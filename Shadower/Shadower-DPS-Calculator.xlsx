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Inputs" sheetId="2" state="visible" r:id="rId2"/>
    <sheet name="FactorTable" sheetId="3" state="visible" r:id="rId3"/>
    <sheet name="Skills" sheetId="4" state="visible" r:id="rId4"/>
    <sheet name="Calc" sheetId="5" state="visible" r:id="rId5"/>
    <sheet name="Summary" sheetId="6" state="visible" r:id="rId6"/>
    <sheet name="Sensitivity" sheetId="7" state="visible" r:id="rId7"/>
    <sheet name="CubeData" sheetId="8" state="visible" r:id="rId8"/>
    <sheet name="PotentialCubes" sheetId="9" state="visible" r:id="rId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4"/>
    </font>
    <font>
      <b val="1"/>
      <sz val="12"/>
    </font>
    <font>
      <b val="1"/>
    </font>
    <font>
      <b val="1"/>
      <color rgb="00FFFFFF"/>
    </font>
    <font>
      <b val="1"/>
      <sz val="13"/>
    </font>
  </fonts>
  <fills count="5">
    <fill>
      <patternFill/>
    </fill>
    <fill>
      <patternFill patternType="gray125"/>
    </fill>
    <fill>
      <patternFill patternType="solid">
        <fgColor rgb="00FFF2CC"/>
      </patternFill>
    </fill>
    <fill>
      <patternFill patternType="solid">
        <fgColor rgb="00D9D9D9"/>
      </patternFill>
    </fill>
    <fill>
      <patternFill patternType="solid">
        <fgColor rgb="001F4E78"/>
      </patternFill>
    </fill>
  </fills>
  <borders count="1">
    <border>
      <left/>
      <right/>
      <top/>
      <bottom/>
      <diagonal/>
    </border>
  </borders>
  <cellStyleXfs count="1">
    <xf numFmtId="0" fontId="0" fillId="0" borderId="0"/>
  </cellStyleXfs>
  <cellXfs count="12">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1" fillId="0" borderId="0" pivotButton="0" quotePrefix="0" xfId="0"/>
    <xf numFmtId="0" fontId="3" fillId="0" borderId="0" pivotButton="0" quotePrefix="0" xfId="0"/>
    <xf numFmtId="0" fontId="0" fillId="2" borderId="0" pivotButton="0" quotePrefix="0" xfId="0"/>
    <xf numFmtId="0" fontId="2" fillId="0" borderId="0" pivotButton="0" quotePrefix="0" xfId="0"/>
    <xf numFmtId="0" fontId="0" fillId="3" borderId="0" pivotButton="0" quotePrefix="0" xfId="0"/>
    <xf numFmtId="0" fontId="4" fillId="4" borderId="0" applyAlignment="1" pivotButton="0" quotePrefix="0" xfId="0">
      <alignment horizontal="center"/>
    </xf>
    <xf numFmtId="0" fontId="5" fillId="0" borderId="0" pivotButton="0" quotePrefix="0" xfId="0"/>
    <xf numFmtId="0" fontId="4"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0" customWidth="1" min="1" max="1"/>
  </cols>
  <sheetData>
    <row r="1">
      <c r="A1" s="1" t="inlineStr">
        <is>
          <t>Shadower — DPS Calculator: How to Use This Workbook</t>
        </is>
      </c>
    </row>
    <row r="2">
      <c r="A2" s="2" t="n"/>
    </row>
    <row r="3">
      <c r="A3" s="3" t="inlineStr">
        <is>
          <t>How to use this workbook</t>
        </is>
      </c>
    </row>
    <row r="4">
      <c r="A4" s="2" t="inlineStr">
        <is>
          <t>Only edit the yellow-highlighted cells on the Inputs sheet — every other sheet is computed from those values and will be overwritten if you rebuild the workbook.</t>
        </is>
      </c>
    </row>
    <row r="5">
      <c r="A5" s="2" t="inlineStr">
        <is>
          <t>Summary shows Total DPS, a Per-Skill DPS Breakdown (damage-dealing skills only — buffs/passives that never deal their own damage are omitted), and a Marginal DPS &amp; Stat Value table showing the DPS gained per +1 of each stat.</t>
        </is>
      </c>
    </row>
    <row r="6">
      <c r="A6" s="2" t="inlineStr">
        <is>
          <t>Sensitivity has the full detail behind that marginal-value table — one self-contained block per stat, showing exactly how bumping that stat by +1 changes every downstream number.</t>
        </is>
      </c>
    </row>
    <row r="7">
      <c r="A7" s="2" t="inlineStr">
        <is>
          <t>CubeData/PotentialCubes model your current gear's Potential Cube lines and drive cube-reroll expected-value decisions. For the full standalone Potential Cube EV calculator (exact optimal-stopping math, works from this workbook alone), see tools/potential_cubes_ev.py in the project repo.</t>
        </is>
      </c>
    </row>
    <row r="8">
      <c r="A8" s="2" t="n"/>
    </row>
    <row r="9">
      <c r="A9" s="3" t="inlineStr">
        <is>
          <t>Design decisions &amp; assumptions</t>
        </is>
      </c>
    </row>
    <row r="10">
      <c r="A10" s="2" t="inlineStr">
        <is>
          <t>Venom/Toxic Venom assume the target is permanently afflicted with Venom's poison at steady state, not an exact on/off timer — matches every other DoT-uptime assumption in this project.</t>
        </is>
      </c>
    </row>
    <row r="11">
      <c r="A11" s="2" t="inlineStr">
        <is>
          <t>Crit Rate pushed above 100% (e.g. by cube potential lines) automatically redirects its stat-value to Crit Damage's own per-unit DPS value on the PotentialCubes sheet, since excess Crit Rate cannot do anything past 100%.</t>
        </is>
      </c>
    </row>
    <row r="12">
      <c r="A12" s="2" t="inlineStr">
        <is>
          <t>Buffs and stacking resources (Dark Sight Attack, Into Darkness, Smokescreen, Meso Explosion/Blood Money stacks) are modeled at steady-state duty-cycle average uptime, not as an exact moment-to-moment state machine.</t>
        </is>
      </c>
    </row>
    <row r="13">
      <c r="A13" s="2" t="inlineStr">
        <is>
          <t>Assassinate's finishing blow is modeled as landing on average every 2nd cast (a flat 50% average multiplier), and Mastery Lv.108 Murderous Intent's finisher-doubling is a steady-state average multiplier based on relative cast rates, not an exact alternating state machine.</t>
        </is>
      </c>
    </row>
    <row r="14">
      <c r="A14" s="2" t="inlineStr">
        <is>
          <t>Channel Karma, Shadow Shifter's own Attack buff, Dagger Mastery, Critical Edge, Physical Training, Dagger Expert, and Shadower Instinct are always-on passives assumed to already be reflected in your own Inputs stat entries — only their Sensitivity marginal delta (what changes if their mastery level differs from what you assumed) is modeled live.</t>
        </is>
      </c>
    </row>
    <row r="15">
      <c r="A15" s="2" t="inlineStr">
        <is>
          <t>Content Type (Inputs) picks what you're fighting — Chapter Boss/Breakthrough/PvP/EXP Dungeon/Equipment Dungeon/Weapon Dungeon/Enhancement Dungeon/Hero Dungeon/World Boss/Chapter Hunt — and Monster Defense and Fixed Fight Duration are both auto-computed from it (plus Chapter/Stage for the chapter- and dungeon-based types); PvP still forces its own fixed 15-second window and uses your own Defense stat as the opponent's Defense estimate. See README.md's 'Content Type' section for the exact formulas.</t>
        </is>
      </c>
    </row>
    <row r="16">
      <c r="A16" s="2" t="inlineStr">
        <is>
          <t>Not modeled (out of scope): all forms of crowd control (Phase Dash/Dark Sight/Assassinate stuns), Accuracy/Evasion/Defense reduction (Smokescreen, Steal, Assassinate), movement speed (Nimble Feet, Haste), the character's own Defense stat (Shield Mastery), and Companion Summoning Time.</t>
        </is>
      </c>
    </row>
    <row r="17">
      <c r="A17"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5"/>
  <sheetViews>
    <sheetView workbookViewId="0">
      <selection activeCell="A1" sqref="A1"/>
    </sheetView>
  </sheetViews>
  <sheetFormatPr baseColWidth="8" defaultRowHeight="15"/>
  <cols>
    <col width="55" customWidth="1" min="1" max="1"/>
    <col width="16" customWidth="1" min="2" max="2"/>
  </cols>
  <sheetData>
    <row r="1">
      <c r="A1" s="4" t="inlineStr">
        <is>
          <t>Shadower — DPS Calculator Inputs</t>
        </is>
      </c>
    </row>
    <row r="3">
      <c r="A3" s="5" t="inlineStr">
        <is>
          <t>Character Level</t>
        </is>
      </c>
      <c r="B3" s="6" t="n">
        <v>200</v>
      </c>
    </row>
    <row r="4">
      <c r="A4" s="5" t="inlineStr">
        <is>
          <t>Content Type</t>
        </is>
      </c>
      <c r="B4" s="6" t="inlineStr">
        <is>
          <t>Chapter Boss</t>
        </is>
      </c>
    </row>
    <row r="5">
      <c r="A5" s="5" t="inlineStr">
        <is>
          <t>Chapter-Stage — e.g. '28-9' for Chapter Boss/Breakthrough/Chapter Hunt (chapter-substage, the boss chapter number alone also works), or just the stage number (e.g. '80') for Weapon/Enhancement/EXP/Equipment/Hero Dungeon</t>
        </is>
      </c>
      <c r="B5" s="6" t="inlineStr">
        <is>
          <t>28-9</t>
        </is>
      </c>
    </row>
    <row r="6">
      <c r="A6" s="5" t="inlineStr">
        <is>
          <t>Flat ATTACK</t>
        </is>
      </c>
      <c r="B6" s="6" t="n">
        <v>10000</v>
      </c>
    </row>
    <row r="7">
      <c r="A7" s="5" t="inlineStr">
        <is>
          <t>ATTACK %</t>
        </is>
      </c>
      <c r="B7" s="6" t="n">
        <v>0</v>
      </c>
    </row>
    <row r="8">
      <c r="A8" s="5" t="inlineStr">
        <is>
          <t>Defense (your own DEF stat; PvP assumes the opponent has the same Defense as you)</t>
        </is>
      </c>
      <c r="B8" s="6" t="n">
        <v>0</v>
      </c>
    </row>
    <row r="9">
      <c r="A9" s="5" t="inlineStr">
        <is>
          <t>CRIT_RATE %</t>
        </is>
      </c>
      <c r="B9" s="6" t="n">
        <v>0</v>
      </c>
    </row>
    <row r="10">
      <c r="A10" s="5" t="inlineStr">
        <is>
          <t>CRIT_DAMAGE %</t>
        </is>
      </c>
      <c r="B10" s="6" t="n">
        <v>0</v>
      </c>
    </row>
    <row r="11">
      <c r="A11" s="5" t="inlineStr">
        <is>
          <t>ATTACK_SPEED % (base, excludes Nimble Feet/Agile Daggers)</t>
        </is>
      </c>
      <c r="B11" s="6" t="n">
        <v>0</v>
      </c>
    </row>
    <row r="12">
      <c r="A12" s="5" t="inlineStr">
        <is>
          <t>Flat LUK</t>
        </is>
      </c>
      <c r="B12" s="6" t="n">
        <v>0</v>
      </c>
    </row>
    <row r="13">
      <c r="A13" s="5" t="inlineStr">
        <is>
          <t>LUK %</t>
        </is>
      </c>
      <c r="B13" s="6" t="n">
        <v>0</v>
      </c>
    </row>
    <row r="14">
      <c r="A14" s="5" t="inlineStr">
        <is>
          <t>DEX</t>
        </is>
      </c>
      <c r="B14" s="6" t="n">
        <v>0</v>
      </c>
    </row>
    <row r="15">
      <c r="A15" s="5" t="inlineStr">
        <is>
          <t>DAMAGE %</t>
        </is>
      </c>
      <c r="B15" s="6" t="n">
        <v>0</v>
      </c>
    </row>
    <row r="16">
      <c r="A16" s="5" t="inlineStr">
        <is>
          <t>DAMAGE_AMP %</t>
        </is>
      </c>
      <c r="B16" s="6" t="n">
        <v>0</v>
      </c>
    </row>
    <row r="17">
      <c r="A17" s="5" t="inlineStr">
        <is>
          <t>BASIC_ATTACK_DAMAGE %</t>
        </is>
      </c>
      <c r="B17" s="6" t="n">
        <v>0</v>
      </c>
    </row>
    <row r="18">
      <c r="A18" s="5" t="inlineStr">
        <is>
          <t>SKILL_DAMAGE %</t>
        </is>
      </c>
      <c r="B18" s="6" t="n">
        <v>0</v>
      </c>
    </row>
    <row r="19">
      <c r="A19" s="5" t="inlineStr">
        <is>
          <t>DEF_PEN %</t>
        </is>
      </c>
      <c r="B19" s="6" t="n">
        <v>0</v>
      </c>
    </row>
    <row r="20">
      <c r="A20" s="5" t="inlineStr">
        <is>
          <t>BOSS_DAMAGE %</t>
        </is>
      </c>
      <c r="B20" s="6" t="n">
        <v>0</v>
      </c>
    </row>
    <row r="21">
      <c r="A21" s="5" t="inlineStr">
        <is>
          <t>NORMAL_DAMAGE %</t>
        </is>
      </c>
      <c r="B21" s="6" t="n">
        <v>0</v>
      </c>
    </row>
    <row r="22">
      <c r="A22" s="5" t="inlineStr">
        <is>
          <t>MIN_DAMAGE %</t>
        </is>
      </c>
      <c r="B22" s="6" t="n">
        <v>100</v>
      </c>
    </row>
    <row r="23">
      <c r="A23" s="5" t="inlineStr">
        <is>
          <t>MAX_DAMAGE %</t>
        </is>
      </c>
      <c r="B23" s="6" t="n">
        <v>100</v>
      </c>
    </row>
    <row r="24">
      <c r="A24" s="5" t="inlineStr">
        <is>
          <t>FINAL_DAMAGE % (base, excludes Into Darkness/Smokescreen)</t>
        </is>
      </c>
      <c r="B24" s="6" t="n">
        <v>0</v>
      </c>
    </row>
    <row r="25">
      <c r="A25" s="5" t="inlineStr">
        <is>
          <t>Skill Level Bonus — 1st Job</t>
        </is>
      </c>
      <c r="B25" s="6" t="n">
        <v>0</v>
      </c>
    </row>
    <row r="26">
      <c r="A26" s="5" t="inlineStr">
        <is>
          <t>Skill Level Bonus — 2nd Job</t>
        </is>
      </c>
      <c r="B26" s="6" t="n">
        <v>0</v>
      </c>
    </row>
    <row r="27">
      <c r="A27" s="5" t="inlineStr">
        <is>
          <t>Skill Level Bonus — 3rd Job</t>
        </is>
      </c>
      <c r="B27" s="6" t="n">
        <v>0</v>
      </c>
    </row>
    <row r="28">
      <c r="A28" s="5" t="inlineStr">
        <is>
          <t>Skill Level Bonus — 4th Job</t>
        </is>
      </c>
      <c r="B28" s="6" t="n">
        <v>0</v>
      </c>
    </row>
    <row r="29">
      <c r="A29" s="5" t="inlineStr">
        <is>
          <t>Skill Level Bonus — All Skills</t>
        </is>
      </c>
      <c r="B29" s="6" t="n">
        <v>0</v>
      </c>
    </row>
    <row r="31">
      <c r="A31" s="7" t="inlineStr">
        <is>
          <t>Additional Bonuses</t>
        </is>
      </c>
    </row>
    <row r="32">
      <c r="A32" s="5" t="inlineStr">
        <is>
          <t>Skill Cooldown Decrease (seconds, only skills/buffs the character actively casts)</t>
        </is>
      </c>
      <c r="B32" s="6" t="n">
        <v>0</v>
      </c>
    </row>
    <row r="33">
      <c r="A33" s="5" t="inlineStr">
        <is>
          <t>Basic Attack Target Increase (flat, adds to the 6-target normal-monster base)</t>
        </is>
      </c>
      <c r="B33" s="6" t="n">
        <v>1</v>
      </c>
    </row>
    <row r="34">
      <c r="A34" s="5" t="inlineStr">
        <is>
          <t>Buff Duration Increase %</t>
        </is>
      </c>
      <c r="B34" s="6" t="n">
        <v>0</v>
      </c>
    </row>
    <row r="35">
      <c r="A35" s="5" t="inlineStr">
        <is>
          <t>Companion Summoning Time Increase % (companions not modeled — always 0 DPS impact)</t>
        </is>
      </c>
      <c r="B35" s="6" t="n">
        <v>0</v>
      </c>
    </row>
    <row r="36">
      <c r="A36" s="5" t="inlineStr">
        <is>
          <t>Boss/Normal Emphasis (used when Content Type is Breakthrough or Hero Dungeon)</t>
        </is>
      </c>
      <c r="B36" s="6" t="inlineStr">
        <is>
          <t>A Little More Normal</t>
        </is>
      </c>
    </row>
    <row r="37">
      <c r="A37" s="5" t="inlineStr">
        <is>
          <t>Max Enemies Actually In Range (normal monsters only; default 999 = uncapped)</t>
        </is>
      </c>
      <c r="B37" s="6" t="n">
        <v>999</v>
      </c>
    </row>
    <row r="38">
      <c r="A38" s="5" t="inlineStr">
        <is>
          <t>Incoming Hit Rate (hits/sec taken — user-estimated, feeds Shadow Shifter's counterattack only)</t>
        </is>
      </c>
      <c r="B38" s="6" t="n">
        <v>1</v>
      </c>
    </row>
    <row r="39" hidden="1">
      <c r="A39" s="5" t="inlineStr">
        <is>
          <t>Monster Type (auto-computed from Content Type) — computed, do not edit</t>
        </is>
      </c>
      <c r="B39" s="8">
        <f>IF(Inputs!$B$4="PvP","pvp",IF(OR(Inputs!$B$4="Breakthrough",Inputs!$B$4="Hero Dungeon"),"breakthrough",IF(OR(Inputs!$B$4="EXP Dungeon",Inputs!$B$4="Equipment Dungeon",Inputs!$B$4="Chapter Hunt"),"normal","boss")))</f>
        <v/>
      </c>
    </row>
    <row r="40" hidden="1">
      <c r="A40" s="5" t="inlineStr">
        <is>
          <t>Chapter (parsed from Chapter-Stage) — computed, do not edit</t>
        </is>
      </c>
      <c r="B40" s="8">
        <f>IFERROR(IF(ISNUMBER(FIND("-",Inputs!$B$5)),VALUE(LEFT(Inputs!$B$5,FIND("-",Inputs!$B$5)-1)),VALUE(Inputs!$B$5)),28)</f>
        <v/>
      </c>
    </row>
    <row r="41" hidden="1">
      <c r="A41" s="5" t="inlineStr">
        <is>
          <t>Stage (parsed from Chapter-Stage) — computed, do not edit</t>
        </is>
      </c>
      <c r="B41" s="8">
        <f>IFERROR(IF(ISNUMBER(FIND("-",Inputs!$B$5)),VALUE(MID(Inputs!$B$5,FIND("-",Inputs!$B$5)+1,50)),VALUE(Inputs!$B$5)),9)</f>
        <v/>
      </c>
    </row>
    <row r="42" hidden="1">
      <c r="A42" s="5" t="inlineStr">
        <is>
          <t>Breakthrough Global Stage Index (helper) — computed, do not edit</t>
        </is>
      </c>
      <c r="B42" s="8">
        <f>IF(Inputs!$B$40=28,Inputs!$B$41-9,Inputs!$B$41+14*MAX(0,MIN(Inputs!$B$40-1,38)-28)+19*MAX(0,Inputs!$B$40-39))</f>
        <v/>
      </c>
    </row>
    <row r="43" hidden="1">
      <c r="A43" s="5" t="inlineStr">
        <is>
          <t>Monster Defense (auto-computed from Content Type) — computed, do not edit</t>
        </is>
      </c>
      <c r="B43" s="8">
        <f>IF(Inputs!$B$4="Chapter Boss",3200+50*(Inputs!$B$40-28),IF(Inputs!$B$4="World Boss",62100,IF(Inputs!$B$4="Weapon Dungeon",Inputs!$B$41*50,IF(Inputs!$B$4="Enhancement Dungeon",950+Inputs!$B$41*50,IF(OR(Inputs!$B$4="EXP Dungeon",Inputs!$B$4="Equipment Dungeon"),250+Inputs!$B$41*50,IF(Inputs!$B$4="Hero Dungeon",650+Inputs!$B$41*50,IF(OR(Inputs!$B$4="Breakthrough",Inputs!$B$4="Chapter Hunt"),4860+20*Inputs!$B$42,Inputs!$B$8)))))))</f>
        <v/>
      </c>
    </row>
    <row r="44" hidden="1">
      <c r="A44" s="5" t="inlineStr">
        <is>
          <t>Fixed Fight Duration (auto-computed from Content Type; 0 = steady-state) — computed, do not edit</t>
        </is>
      </c>
      <c r="B44" s="8">
        <f>IF(Inputs!$B$4="Chapter Hunt",0,IF(Inputs!$B$4="Weapon Dungeon",22,IF(Inputs!$B$4="Equipment Dungeon",40,IF(Inputs!$B$4="Enhancement Dungeon",25,IF(Inputs!$B$4="Hero Dungeon",50,IF(Inputs!$B$4="EXP Dungeon",40,IF(Inputs!$B$4="World Boss",75,IF(Inputs!$B$4="Chapter Boss",70,IF(Inputs!$B$4="Breakthrough",40,0)))))))))</f>
        <v/>
      </c>
    </row>
    <row r="45" hidden="1">
      <c r="A45" s="5" t="inlineStr">
        <is>
          <t>Boss/Normal Weight % (parsed from Boss/Normal Emphasis) — computed, do not edit</t>
        </is>
      </c>
      <c r="B45" s="8">
        <f>IF(Inputs!$B$36="More Normal",70,IF(Inputs!$B$36="A Little More Normal",60,IF(Inputs!$B$36="Equal",50,IF(Inputs!$B$36="A Little More Boss",40,IF(Inputs!$B$36="More Boss",30,60)))))</f>
        <v/>
      </c>
    </row>
  </sheetData>
  <dataValidations count="2">
    <dataValidation sqref="B4" showDropDown="0" showInputMessage="0" showErrorMessage="0" allowBlank="0" type="list">
      <formula1>"Chapter Boss,Breakthrough,PvP,EXP Dungeon,Equipment Dungeon,Weapon Dungeon,Enhancement Dungeon,Hero Dungeon,World Boss,Chapter Hunt"</formula1>
    </dataValidation>
    <dataValidation sqref="B36" showDropDown="0" showInputMessage="0" showErrorMessage="0" allowBlank="0" type="list">
      <formula1>"More Normal,A Little More Normal,Equal,A Little More Boss,More Boss"</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30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s>
  <sheetData>
    <row r="1">
      <c r="A1" s="9" t="inlineStr">
        <is>
          <t>Level</t>
        </is>
      </c>
      <c r="B1" s="9" t="inlineStr">
        <is>
          <t>F0</t>
        </is>
      </c>
      <c r="C1" s="9" t="inlineStr">
        <is>
          <t>F1</t>
        </is>
      </c>
      <c r="D1" s="9" t="inlineStr">
        <is>
          <t>F2</t>
        </is>
      </c>
      <c r="E1" s="9" t="inlineStr">
        <is>
          <t>F3</t>
        </is>
      </c>
      <c r="F1" s="9" t="inlineStr">
        <is>
          <t>F4</t>
        </is>
      </c>
      <c r="G1" s="9" t="inlineStr">
        <is>
          <t>F5</t>
        </is>
      </c>
      <c r="H1" s="9" t="inlineStr">
        <is>
          <t>F6</t>
        </is>
      </c>
      <c r="I1" s="9" t="inlineStr">
        <is>
          <t>F7</t>
        </is>
      </c>
      <c r="J1" s="9" t="inlineStr">
        <is>
          <t>F8</t>
        </is>
      </c>
      <c r="K1" s="9" t="inlineStr">
        <is>
          <t>F9</t>
        </is>
      </c>
      <c r="L1" s="9" t="inlineStr">
        <is>
          <t>F10</t>
        </is>
      </c>
      <c r="M1" s="9" t="inlineStr">
        <is>
          <t>F11</t>
        </is>
      </c>
      <c r="N1" s="9" t="inlineStr">
        <is>
          <t>F12</t>
        </is>
      </c>
      <c r="O1" s="9" t="inlineStr">
        <is>
          <t>F13</t>
        </is>
      </c>
      <c r="P1" s="9" t="inlineStr">
        <is>
          <t>F14</t>
        </is>
      </c>
      <c r="Q1" s="9" t="inlineStr">
        <is>
          <t>F15</t>
        </is>
      </c>
      <c r="R1" s="9" t="inlineStr">
        <is>
          <t>F16</t>
        </is>
      </c>
      <c r="S1" s="9" t="inlineStr">
        <is>
          <t>F17</t>
        </is>
      </c>
      <c r="T1" s="9" t="inlineStr">
        <is>
          <t>F18</t>
        </is>
      </c>
      <c r="U1" s="9" t="inlineStr">
        <is>
          <t>F19</t>
        </is>
      </c>
      <c r="V1" s="9" t="inlineStr">
        <is>
          <t>F20</t>
        </is>
      </c>
      <c r="W1" s="9" t="inlineStr">
        <is>
          <t>F21</t>
        </is>
      </c>
      <c r="X1" s="9" t="inlineStr">
        <is>
          <t>F22</t>
        </is>
      </c>
      <c r="Y1" s="9" t="inlineStr">
        <is>
          <t>F23</t>
        </is>
      </c>
    </row>
    <row r="2">
      <c r="A2" t="n">
        <v>1</v>
      </c>
      <c r="B2" t="n">
        <v>0</v>
      </c>
      <c r="C2" t="n">
        <v>1000</v>
      </c>
      <c r="D2" t="n">
        <v>1000</v>
      </c>
      <c r="E2" t="n">
        <v>1000</v>
      </c>
      <c r="F2" t="n">
        <v>1000</v>
      </c>
      <c r="G2" t="n">
        <v>1000</v>
      </c>
      <c r="H2" t="n">
        <v>1000</v>
      </c>
      <c r="I2" t="n">
        <v>1000</v>
      </c>
      <c r="J2" t="n">
        <v>1000</v>
      </c>
      <c r="K2" t="n">
        <v>1000</v>
      </c>
      <c r="L2" t="n">
        <v>1000</v>
      </c>
      <c r="M2" t="n">
        <v>1000</v>
      </c>
      <c r="N2" t="n">
        <v>1000</v>
      </c>
      <c r="O2" t="n">
        <v>1000</v>
      </c>
      <c r="P2" t="n">
        <v>1000</v>
      </c>
      <c r="Q2" t="n">
        <v>1000</v>
      </c>
      <c r="R2" t="n">
        <v>1000</v>
      </c>
      <c r="S2" t="n">
        <v>1000</v>
      </c>
      <c r="T2" t="n">
        <v>1000</v>
      </c>
      <c r="U2" t="n">
        <v>1000</v>
      </c>
      <c r="V2" t="n">
        <v>1000</v>
      </c>
      <c r="W2" t="n">
        <v>1000</v>
      </c>
      <c r="X2" t="n">
        <v>1000</v>
      </c>
      <c r="Y2" t="n">
        <v>1000</v>
      </c>
    </row>
    <row r="3">
      <c r="A3" t="n">
        <v>2</v>
      </c>
      <c r="B3" t="n">
        <v>0</v>
      </c>
      <c r="C3" t="n">
        <v>1015</v>
      </c>
      <c r="D3" t="n">
        <v>1020</v>
      </c>
      <c r="E3" t="n">
        <v>1030</v>
      </c>
      <c r="F3" t="n">
        <v>1040</v>
      </c>
      <c r="G3" t="n">
        <v>1050</v>
      </c>
      <c r="H3" t="n">
        <v>1060</v>
      </c>
      <c r="I3" t="n">
        <v>1070</v>
      </c>
      <c r="J3" t="n">
        <v>1020</v>
      </c>
      <c r="K3" t="n">
        <v>1020</v>
      </c>
      <c r="L3" t="n">
        <v>1020</v>
      </c>
      <c r="M3" t="n">
        <v>1000</v>
      </c>
      <c r="N3" t="n">
        <v>1010</v>
      </c>
      <c r="O3" t="n">
        <v>1020</v>
      </c>
      <c r="P3" t="n">
        <v>1030</v>
      </c>
      <c r="Q3" t="n">
        <v>1040</v>
      </c>
      <c r="R3" t="n">
        <v>1050</v>
      </c>
      <c r="S3" t="n">
        <v>1060</v>
      </c>
      <c r="T3" t="n">
        <v>1070</v>
      </c>
      <c r="U3" t="n">
        <v>1080</v>
      </c>
      <c r="V3" t="n">
        <v>1010</v>
      </c>
      <c r="W3" t="n">
        <v>1008</v>
      </c>
      <c r="X3" t="n">
        <v>1006</v>
      </c>
      <c r="Y3" t="n">
        <v>1100</v>
      </c>
    </row>
    <row r="4">
      <c r="A4" t="n">
        <v>3</v>
      </c>
      <c r="B4" t="n">
        <v>0</v>
      </c>
      <c r="C4" t="n">
        <v>1031</v>
      </c>
      <c r="D4" t="n">
        <v>1041</v>
      </c>
      <c r="E4" t="n">
        <v>1061</v>
      </c>
      <c r="F4" t="n">
        <v>1082</v>
      </c>
      <c r="G4" t="n">
        <v>1103</v>
      </c>
      <c r="H4" t="n">
        <v>1124</v>
      </c>
      <c r="I4" t="n">
        <v>1145</v>
      </c>
      <c r="J4" t="n">
        <v>1030</v>
      </c>
      <c r="K4" t="n">
        <v>1041</v>
      </c>
      <c r="L4" t="n">
        <v>1030</v>
      </c>
      <c r="M4" t="n">
        <v>1000</v>
      </c>
      <c r="N4" t="n">
        <v>1015</v>
      </c>
      <c r="O4" t="n">
        <v>1030</v>
      </c>
      <c r="P4" t="n">
        <v>1045</v>
      </c>
      <c r="Q4" t="n">
        <v>1060</v>
      </c>
      <c r="R4" t="n">
        <v>1075</v>
      </c>
      <c r="S4" t="n">
        <v>1090</v>
      </c>
      <c r="T4" t="n">
        <v>1105</v>
      </c>
      <c r="U4" t="n">
        <v>1120</v>
      </c>
      <c r="V4" t="n">
        <v>1020</v>
      </c>
      <c r="W4" t="n">
        <v>1012</v>
      </c>
      <c r="X4" t="n">
        <v>1009</v>
      </c>
      <c r="Y4" t="n">
        <v>1150</v>
      </c>
    </row>
    <row r="5">
      <c r="A5" t="n">
        <v>4</v>
      </c>
      <c r="B5" t="n">
        <v>0</v>
      </c>
      <c r="C5" t="n">
        <v>1047</v>
      </c>
      <c r="D5" t="n">
        <v>1062</v>
      </c>
      <c r="E5" t="n">
        <v>1093</v>
      </c>
      <c r="F5" t="n">
        <v>1126</v>
      </c>
      <c r="G5" t="n">
        <v>1159</v>
      </c>
      <c r="H5" t="n">
        <v>1192</v>
      </c>
      <c r="I5" t="n">
        <v>1226</v>
      </c>
      <c r="J5" t="n">
        <v>1040</v>
      </c>
      <c r="K5" t="n">
        <v>1062</v>
      </c>
      <c r="L5" t="n">
        <v>1040</v>
      </c>
      <c r="M5" t="n">
        <v>1000</v>
      </c>
      <c r="N5" t="n">
        <v>1020</v>
      </c>
      <c r="O5" t="n">
        <v>1040</v>
      </c>
      <c r="P5" t="n">
        <v>1060</v>
      </c>
      <c r="Q5" t="n">
        <v>1080</v>
      </c>
      <c r="R5" t="n">
        <v>1100</v>
      </c>
      <c r="S5" t="n">
        <v>1120</v>
      </c>
      <c r="T5" t="n">
        <v>1140</v>
      </c>
      <c r="U5" t="n">
        <v>1160</v>
      </c>
      <c r="V5" t="n">
        <v>1030</v>
      </c>
      <c r="W5" t="n">
        <v>1016</v>
      </c>
      <c r="X5" t="n">
        <v>1012</v>
      </c>
      <c r="Y5" t="n">
        <v>1200</v>
      </c>
    </row>
    <row r="6">
      <c r="A6" t="n">
        <v>5</v>
      </c>
      <c r="B6" t="n">
        <v>0</v>
      </c>
      <c r="C6" t="n">
        <v>1063</v>
      </c>
      <c r="D6" t="n">
        <v>1084</v>
      </c>
      <c r="E6" t="n">
        <v>1126</v>
      </c>
      <c r="F6" t="n">
        <v>1172</v>
      </c>
      <c r="G6" t="n">
        <v>1217</v>
      </c>
      <c r="H6" t="n">
        <v>1264</v>
      </c>
      <c r="I6" t="n">
        <v>1312</v>
      </c>
      <c r="J6" t="n">
        <v>1050</v>
      </c>
      <c r="K6" t="n">
        <v>1084</v>
      </c>
      <c r="L6" t="n">
        <v>1050</v>
      </c>
      <c r="M6" t="n">
        <v>1000</v>
      </c>
      <c r="N6" t="n">
        <v>1025</v>
      </c>
      <c r="O6" t="n">
        <v>1050</v>
      </c>
      <c r="P6" t="n">
        <v>1075</v>
      </c>
      <c r="Q6" t="n">
        <v>1100</v>
      </c>
      <c r="R6" t="n">
        <v>1125</v>
      </c>
      <c r="S6" t="n">
        <v>1150</v>
      </c>
      <c r="T6" t="n">
        <v>1175</v>
      </c>
      <c r="U6" t="n">
        <v>1200</v>
      </c>
      <c r="V6" t="n">
        <v>1040</v>
      </c>
      <c r="W6" t="n">
        <v>1020</v>
      </c>
      <c r="X6" t="n">
        <v>1015</v>
      </c>
      <c r="Y6" t="n">
        <v>1250</v>
      </c>
    </row>
    <row r="7">
      <c r="A7" t="n">
        <v>6</v>
      </c>
      <c r="B7" t="n">
        <v>0</v>
      </c>
      <c r="C7" t="n">
        <v>1079</v>
      </c>
      <c r="D7" t="n">
        <v>1106</v>
      </c>
      <c r="E7" t="n">
        <v>1160</v>
      </c>
      <c r="F7" t="n">
        <v>1219</v>
      </c>
      <c r="G7" t="n">
        <v>1278</v>
      </c>
      <c r="H7" t="n">
        <v>1340</v>
      </c>
      <c r="I7" t="n">
        <v>1404</v>
      </c>
      <c r="J7" t="n">
        <v>1060</v>
      </c>
      <c r="K7" t="n">
        <v>1106</v>
      </c>
      <c r="L7" t="n">
        <v>1060</v>
      </c>
      <c r="M7" t="n">
        <v>1000</v>
      </c>
      <c r="N7" t="n">
        <v>1030</v>
      </c>
      <c r="O7" t="n">
        <v>1060</v>
      </c>
      <c r="P7" t="n">
        <v>1090</v>
      </c>
      <c r="Q7" t="n">
        <v>1120</v>
      </c>
      <c r="R7" t="n">
        <v>1150</v>
      </c>
      <c r="S7" t="n">
        <v>1180</v>
      </c>
      <c r="T7" t="n">
        <v>1210</v>
      </c>
      <c r="U7" t="n">
        <v>1240</v>
      </c>
      <c r="V7" t="n">
        <v>1050</v>
      </c>
      <c r="W7" t="n">
        <v>1024</v>
      </c>
      <c r="X7" t="n">
        <v>1018</v>
      </c>
      <c r="Y7" t="n">
        <v>1300</v>
      </c>
    </row>
    <row r="8">
      <c r="A8" t="n">
        <v>7</v>
      </c>
      <c r="B8" t="n">
        <v>0</v>
      </c>
      <c r="C8" t="n">
        <v>1096</v>
      </c>
      <c r="D8" t="n">
        <v>1129</v>
      </c>
      <c r="E8" t="n">
        <v>1195</v>
      </c>
      <c r="F8" t="n">
        <v>1268</v>
      </c>
      <c r="G8" t="n">
        <v>1342</v>
      </c>
      <c r="H8" t="n">
        <v>1421</v>
      </c>
      <c r="I8" t="n">
        <v>1503</v>
      </c>
      <c r="J8" t="n">
        <v>1070</v>
      </c>
      <c r="K8" t="n">
        <v>1129</v>
      </c>
      <c r="L8" t="n">
        <v>1070</v>
      </c>
      <c r="M8" t="n">
        <v>1000</v>
      </c>
      <c r="N8" t="n">
        <v>1035</v>
      </c>
      <c r="O8" t="n">
        <v>1070</v>
      </c>
      <c r="P8" t="n">
        <v>1105</v>
      </c>
      <c r="Q8" t="n">
        <v>1140</v>
      </c>
      <c r="R8" t="n">
        <v>1175</v>
      </c>
      <c r="S8" t="n">
        <v>1210</v>
      </c>
      <c r="T8" t="n">
        <v>1245</v>
      </c>
      <c r="U8" t="n">
        <v>1280</v>
      </c>
      <c r="V8" t="n">
        <v>1060</v>
      </c>
      <c r="W8" t="n">
        <v>1028</v>
      </c>
      <c r="X8" t="n">
        <v>1021</v>
      </c>
      <c r="Y8" t="n">
        <v>1350</v>
      </c>
    </row>
    <row r="9">
      <c r="A9" t="n">
        <v>8</v>
      </c>
      <c r="B9" t="n">
        <v>0</v>
      </c>
      <c r="C9" t="n">
        <v>1113</v>
      </c>
      <c r="D9" t="n">
        <v>1152</v>
      </c>
      <c r="E9" t="n">
        <v>1231</v>
      </c>
      <c r="F9" t="n">
        <v>1319</v>
      </c>
      <c r="G9" t="n">
        <v>1410</v>
      </c>
      <c r="H9" t="n">
        <v>1507</v>
      </c>
      <c r="I9" t="n">
        <v>1609</v>
      </c>
      <c r="J9" t="n">
        <v>1080</v>
      </c>
      <c r="K9" t="n">
        <v>1152</v>
      </c>
      <c r="L9" t="n">
        <v>1080</v>
      </c>
      <c r="M9" t="n">
        <v>1000</v>
      </c>
      <c r="N9" t="n">
        <v>1040</v>
      </c>
      <c r="O9" t="n">
        <v>1080</v>
      </c>
      <c r="P9" t="n">
        <v>1120</v>
      </c>
      <c r="Q9" t="n">
        <v>1160</v>
      </c>
      <c r="R9" t="n">
        <v>1200</v>
      </c>
      <c r="S9" t="n">
        <v>1240</v>
      </c>
      <c r="T9" t="n">
        <v>1280</v>
      </c>
      <c r="U9" t="n">
        <v>1320</v>
      </c>
      <c r="V9" t="n">
        <v>1070</v>
      </c>
      <c r="W9" t="n">
        <v>1032</v>
      </c>
      <c r="X9" t="n">
        <v>1024</v>
      </c>
      <c r="Y9" t="n">
        <v>1400</v>
      </c>
    </row>
    <row r="10">
      <c r="A10" t="n">
        <v>9</v>
      </c>
      <c r="B10" t="n">
        <v>0</v>
      </c>
      <c r="C10" t="n">
        <v>1130</v>
      </c>
      <c r="D10" t="n">
        <v>1176</v>
      </c>
      <c r="E10" t="n">
        <v>1268</v>
      </c>
      <c r="F10" t="n">
        <v>1372</v>
      </c>
      <c r="G10" t="n">
        <v>1481</v>
      </c>
      <c r="H10" t="n">
        <v>1598</v>
      </c>
      <c r="I10" t="n">
        <v>1722</v>
      </c>
      <c r="J10" t="n">
        <v>1090</v>
      </c>
      <c r="K10" t="n">
        <v>1176</v>
      </c>
      <c r="L10" t="n">
        <v>1090</v>
      </c>
      <c r="M10" t="n">
        <v>1000</v>
      </c>
      <c r="N10" t="n">
        <v>1045</v>
      </c>
      <c r="O10" t="n">
        <v>1090</v>
      </c>
      <c r="P10" t="n">
        <v>1135</v>
      </c>
      <c r="Q10" t="n">
        <v>1180</v>
      </c>
      <c r="R10" t="n">
        <v>1225</v>
      </c>
      <c r="S10" t="n">
        <v>1270</v>
      </c>
      <c r="T10" t="n">
        <v>1315</v>
      </c>
      <c r="U10" t="n">
        <v>1360</v>
      </c>
      <c r="V10" t="n">
        <v>1080</v>
      </c>
      <c r="W10" t="n">
        <v>1036</v>
      </c>
      <c r="X10" t="n">
        <v>1027</v>
      </c>
      <c r="Y10" t="n">
        <v>1450</v>
      </c>
    </row>
    <row r="11">
      <c r="A11" t="n">
        <v>10</v>
      </c>
      <c r="B11" t="n">
        <v>0</v>
      </c>
      <c r="C11" t="n">
        <v>1147</v>
      </c>
      <c r="D11" t="n">
        <v>1200</v>
      </c>
      <c r="E11" t="n">
        <v>1307</v>
      </c>
      <c r="F11" t="n">
        <v>1427</v>
      </c>
      <c r="G11" t="n">
        <v>1556</v>
      </c>
      <c r="H11" t="n">
        <v>1694</v>
      </c>
      <c r="I11" t="n">
        <v>1843</v>
      </c>
      <c r="J11" t="n">
        <v>1100</v>
      </c>
      <c r="K11" t="n">
        <v>1200</v>
      </c>
      <c r="L11" t="n">
        <v>1100</v>
      </c>
      <c r="M11" t="n">
        <v>1000</v>
      </c>
      <c r="N11" t="n">
        <v>1050</v>
      </c>
      <c r="O11" t="n">
        <v>1100</v>
      </c>
      <c r="P11" t="n">
        <v>1150</v>
      </c>
      <c r="Q11" t="n">
        <v>1200</v>
      </c>
      <c r="R11" t="n">
        <v>1250</v>
      </c>
      <c r="S11" t="n">
        <v>1300</v>
      </c>
      <c r="T11" t="n">
        <v>1350</v>
      </c>
      <c r="U11" t="n">
        <v>1400</v>
      </c>
      <c r="V11" t="n">
        <v>1090</v>
      </c>
      <c r="W11" t="n">
        <v>1040</v>
      </c>
      <c r="X11" t="n">
        <v>1030</v>
      </c>
      <c r="Y11" t="n">
        <v>1500</v>
      </c>
    </row>
    <row r="12">
      <c r="A12" t="n">
        <v>11</v>
      </c>
      <c r="B12" t="n">
        <v>0</v>
      </c>
      <c r="C12" t="n">
        <v>1165</v>
      </c>
      <c r="D12" t="n">
        <v>1224</v>
      </c>
      <c r="E12" t="n">
        <v>1347</v>
      </c>
      <c r="F12" t="n">
        <v>1485</v>
      </c>
      <c r="G12" t="n">
        <v>1634</v>
      </c>
      <c r="H12" t="n">
        <v>1796</v>
      </c>
      <c r="I12" t="n">
        <v>1973</v>
      </c>
      <c r="J12" t="n">
        <v>1110</v>
      </c>
      <c r="K12" t="n">
        <v>1224</v>
      </c>
      <c r="L12" t="n">
        <v>1110</v>
      </c>
      <c r="M12" t="n">
        <v>1000</v>
      </c>
      <c r="N12" t="n">
        <v>1055</v>
      </c>
      <c r="O12" t="n">
        <v>1110</v>
      </c>
      <c r="P12" t="n">
        <v>1165</v>
      </c>
      <c r="Q12" t="n">
        <v>1220</v>
      </c>
      <c r="R12" t="n">
        <v>1275</v>
      </c>
      <c r="S12" t="n">
        <v>1330</v>
      </c>
      <c r="T12" t="n">
        <v>1385</v>
      </c>
      <c r="U12" t="n">
        <v>1440</v>
      </c>
      <c r="V12" t="n">
        <v>1100</v>
      </c>
      <c r="W12" t="n">
        <v>1044</v>
      </c>
      <c r="X12" t="n">
        <v>1033</v>
      </c>
      <c r="Y12" t="n">
        <v>1550</v>
      </c>
    </row>
    <row r="13">
      <c r="A13" t="n">
        <v>12</v>
      </c>
      <c r="B13" t="n">
        <v>0</v>
      </c>
      <c r="C13" t="n">
        <v>1183</v>
      </c>
      <c r="D13" t="n">
        <v>1249</v>
      </c>
      <c r="E13" t="n">
        <v>1388</v>
      </c>
      <c r="F13" t="n">
        <v>1545</v>
      </c>
      <c r="G13" t="n">
        <v>1716</v>
      </c>
      <c r="H13" t="n">
        <v>1904</v>
      </c>
      <c r="I13" t="n">
        <v>2112</v>
      </c>
      <c r="J13" t="n">
        <v>1120</v>
      </c>
      <c r="K13" t="n">
        <v>1249</v>
      </c>
      <c r="L13" t="n">
        <v>1120</v>
      </c>
      <c r="M13" t="n">
        <v>1000</v>
      </c>
      <c r="N13" t="n">
        <v>1060</v>
      </c>
      <c r="O13" t="n">
        <v>1120</v>
      </c>
      <c r="P13" t="n">
        <v>1180</v>
      </c>
      <c r="Q13" t="n">
        <v>1240</v>
      </c>
      <c r="R13" t="n">
        <v>1300</v>
      </c>
      <c r="S13" t="n">
        <v>1360</v>
      </c>
      <c r="T13" t="n">
        <v>1420</v>
      </c>
      <c r="U13" t="n">
        <v>1480</v>
      </c>
      <c r="V13" t="n">
        <v>1110</v>
      </c>
      <c r="W13" t="n">
        <v>1048</v>
      </c>
      <c r="X13" t="n">
        <v>1036</v>
      </c>
      <c r="Y13" t="n">
        <v>1600</v>
      </c>
    </row>
    <row r="14">
      <c r="A14" t="n">
        <v>13</v>
      </c>
      <c r="B14" t="n">
        <v>0</v>
      </c>
      <c r="C14" t="n">
        <v>1201</v>
      </c>
      <c r="D14" t="n">
        <v>1274</v>
      </c>
      <c r="E14" t="n">
        <v>1430</v>
      </c>
      <c r="F14" t="n">
        <v>1607</v>
      </c>
      <c r="G14" t="n">
        <v>1802</v>
      </c>
      <c r="H14" t="n">
        <v>2019</v>
      </c>
      <c r="I14" t="n">
        <v>2260</v>
      </c>
      <c r="J14" t="n">
        <v>1130</v>
      </c>
      <c r="K14" t="n">
        <v>1274</v>
      </c>
      <c r="L14" t="n">
        <v>1130</v>
      </c>
      <c r="M14" t="n">
        <v>1000</v>
      </c>
      <c r="N14" t="n">
        <v>1065</v>
      </c>
      <c r="O14" t="n">
        <v>1130</v>
      </c>
      <c r="P14" t="n">
        <v>1195</v>
      </c>
      <c r="Q14" t="n">
        <v>1260</v>
      </c>
      <c r="R14" t="n">
        <v>1325</v>
      </c>
      <c r="S14" t="n">
        <v>1390</v>
      </c>
      <c r="T14" t="n">
        <v>1455</v>
      </c>
      <c r="U14" t="n">
        <v>1520</v>
      </c>
      <c r="V14" t="n">
        <v>1120</v>
      </c>
      <c r="W14" t="n">
        <v>1052</v>
      </c>
      <c r="X14" t="n">
        <v>1039</v>
      </c>
      <c r="Y14" t="n">
        <v>1650</v>
      </c>
    </row>
    <row r="15">
      <c r="A15" t="n">
        <v>14</v>
      </c>
      <c r="B15" t="n">
        <v>0</v>
      </c>
      <c r="C15" t="n">
        <v>1220</v>
      </c>
      <c r="D15" t="n">
        <v>1300</v>
      </c>
      <c r="E15" t="n">
        <v>1473</v>
      </c>
      <c r="F15" t="n">
        <v>1672</v>
      </c>
      <c r="G15" t="n">
        <v>1893</v>
      </c>
      <c r="H15" t="n">
        <v>2141</v>
      </c>
      <c r="I15" t="n">
        <v>2419</v>
      </c>
      <c r="J15" t="n">
        <v>1140</v>
      </c>
      <c r="K15" t="n">
        <v>1300</v>
      </c>
      <c r="L15" t="n">
        <v>1140</v>
      </c>
      <c r="M15" t="n">
        <v>1000</v>
      </c>
      <c r="N15" t="n">
        <v>1070</v>
      </c>
      <c r="O15" t="n">
        <v>1140</v>
      </c>
      <c r="P15" t="n">
        <v>1210</v>
      </c>
      <c r="Q15" t="n">
        <v>1280</v>
      </c>
      <c r="R15" t="n">
        <v>1350</v>
      </c>
      <c r="S15" t="n">
        <v>1420</v>
      </c>
      <c r="T15" t="n">
        <v>1490</v>
      </c>
      <c r="U15" t="n">
        <v>1560</v>
      </c>
      <c r="V15" t="n">
        <v>1130</v>
      </c>
      <c r="W15" t="n">
        <v>1056</v>
      </c>
      <c r="X15" t="n">
        <v>1042</v>
      </c>
      <c r="Y15" t="n">
        <v>1700</v>
      </c>
    </row>
    <row r="16">
      <c r="A16" t="n">
        <v>15</v>
      </c>
      <c r="B16" t="n">
        <v>0</v>
      </c>
      <c r="C16" t="n">
        <v>1239</v>
      </c>
      <c r="D16" t="n">
        <v>1326</v>
      </c>
      <c r="E16" t="n">
        <v>1518</v>
      </c>
      <c r="F16" t="n">
        <v>1739</v>
      </c>
      <c r="G16" t="n">
        <v>1988</v>
      </c>
      <c r="H16" t="n">
        <v>2270</v>
      </c>
      <c r="I16" t="n">
        <v>2589</v>
      </c>
      <c r="J16" t="n">
        <v>1150</v>
      </c>
      <c r="K16" t="n">
        <v>1326</v>
      </c>
      <c r="L16" t="n">
        <v>1150</v>
      </c>
      <c r="M16" t="n">
        <v>1000</v>
      </c>
      <c r="N16" t="n">
        <v>1075</v>
      </c>
      <c r="O16" t="n">
        <v>1150</v>
      </c>
      <c r="P16" t="n">
        <v>1225</v>
      </c>
      <c r="Q16" t="n">
        <v>1300</v>
      </c>
      <c r="R16" t="n">
        <v>1375</v>
      </c>
      <c r="S16" t="n">
        <v>1450</v>
      </c>
      <c r="T16" t="n">
        <v>1525</v>
      </c>
      <c r="U16" t="n">
        <v>1600</v>
      </c>
      <c r="V16" t="n">
        <v>1140</v>
      </c>
      <c r="W16" t="n">
        <v>1060</v>
      </c>
      <c r="X16" t="n">
        <v>1045</v>
      </c>
      <c r="Y16" t="n">
        <v>1750</v>
      </c>
    </row>
    <row r="17">
      <c r="A17" t="n">
        <v>16</v>
      </c>
      <c r="B17" t="n">
        <v>0</v>
      </c>
      <c r="C17" t="n">
        <v>1258</v>
      </c>
      <c r="D17" t="n">
        <v>1353</v>
      </c>
      <c r="E17" t="n">
        <v>1564</v>
      </c>
      <c r="F17" t="n">
        <v>1809</v>
      </c>
      <c r="G17" t="n">
        <v>2088</v>
      </c>
      <c r="H17" t="n">
        <v>2407</v>
      </c>
      <c r="I17" t="n">
        <v>2771</v>
      </c>
      <c r="J17" t="n">
        <v>1160</v>
      </c>
      <c r="K17" t="n">
        <v>1353</v>
      </c>
      <c r="L17" t="n">
        <v>1160</v>
      </c>
      <c r="M17" t="n">
        <v>1000</v>
      </c>
      <c r="N17" t="n">
        <v>1080</v>
      </c>
      <c r="O17" t="n">
        <v>1160</v>
      </c>
      <c r="P17" t="n">
        <v>1240</v>
      </c>
      <c r="Q17" t="n">
        <v>1320</v>
      </c>
      <c r="R17" t="n">
        <v>1400</v>
      </c>
      <c r="S17" t="n">
        <v>1480</v>
      </c>
      <c r="T17" t="n">
        <v>1560</v>
      </c>
      <c r="U17" t="n">
        <v>1640</v>
      </c>
      <c r="V17" t="n">
        <v>1150</v>
      </c>
      <c r="W17" t="n">
        <v>1064</v>
      </c>
      <c r="X17" t="n">
        <v>1048</v>
      </c>
      <c r="Y17" t="n">
        <v>1800</v>
      </c>
    </row>
    <row r="18">
      <c r="A18" t="n">
        <v>17</v>
      </c>
      <c r="B18" t="n">
        <v>0</v>
      </c>
      <c r="C18" t="n">
        <v>1277</v>
      </c>
      <c r="D18" t="n">
        <v>1381</v>
      </c>
      <c r="E18" t="n">
        <v>1611</v>
      </c>
      <c r="F18" t="n">
        <v>1882</v>
      </c>
      <c r="G18" t="n">
        <v>2193</v>
      </c>
      <c r="H18" t="n">
        <v>2552</v>
      </c>
      <c r="I18" t="n">
        <v>2965</v>
      </c>
      <c r="J18" t="n">
        <v>1170</v>
      </c>
      <c r="K18" t="n">
        <v>1381</v>
      </c>
      <c r="L18" t="n">
        <v>1170</v>
      </c>
      <c r="M18" t="n">
        <v>1000</v>
      </c>
      <c r="N18" t="n">
        <v>1085</v>
      </c>
      <c r="O18" t="n">
        <v>1170</v>
      </c>
      <c r="P18" t="n">
        <v>1255</v>
      </c>
      <c r="Q18" t="n">
        <v>1340</v>
      </c>
      <c r="R18" t="n">
        <v>1425</v>
      </c>
      <c r="S18" t="n">
        <v>1510</v>
      </c>
      <c r="T18" t="n">
        <v>1595</v>
      </c>
      <c r="U18" t="n">
        <v>1680</v>
      </c>
      <c r="V18" t="n">
        <v>1160</v>
      </c>
      <c r="W18" t="n">
        <v>1068</v>
      </c>
      <c r="X18" t="n">
        <v>1051</v>
      </c>
      <c r="Y18" t="n">
        <v>1850</v>
      </c>
    </row>
    <row r="19">
      <c r="A19" t="n">
        <v>18</v>
      </c>
      <c r="B19" t="n">
        <v>0</v>
      </c>
      <c r="C19" t="n">
        <v>1297</v>
      </c>
      <c r="D19" t="n">
        <v>1409</v>
      </c>
      <c r="E19" t="n">
        <v>1660</v>
      </c>
      <c r="F19" t="n">
        <v>1958</v>
      </c>
      <c r="G19" t="n">
        <v>2303</v>
      </c>
      <c r="H19" t="n">
        <v>2706</v>
      </c>
      <c r="I19" t="n">
        <v>3173</v>
      </c>
      <c r="J19" t="n">
        <v>1180</v>
      </c>
      <c r="K19" t="n">
        <v>1409</v>
      </c>
      <c r="L19" t="n">
        <v>1180</v>
      </c>
      <c r="M19" t="n">
        <v>1000</v>
      </c>
      <c r="N19" t="n">
        <v>1090</v>
      </c>
      <c r="O19" t="n">
        <v>1180</v>
      </c>
      <c r="P19" t="n">
        <v>1270</v>
      </c>
      <c r="Q19" t="n">
        <v>1360</v>
      </c>
      <c r="R19" t="n">
        <v>1450</v>
      </c>
      <c r="S19" t="n">
        <v>1540</v>
      </c>
      <c r="T19" t="n">
        <v>1630</v>
      </c>
      <c r="U19" t="n">
        <v>1720</v>
      </c>
      <c r="V19" t="n">
        <v>1170</v>
      </c>
      <c r="W19" t="n">
        <v>1072</v>
      </c>
      <c r="X19" t="n">
        <v>1054</v>
      </c>
      <c r="Y19" t="n">
        <v>1900</v>
      </c>
    </row>
    <row r="20">
      <c r="A20" t="n">
        <v>19</v>
      </c>
      <c r="B20" t="n">
        <v>0</v>
      </c>
      <c r="C20" t="n">
        <v>1317</v>
      </c>
      <c r="D20" t="n">
        <v>1438</v>
      </c>
      <c r="E20" t="n">
        <v>1710</v>
      </c>
      <c r="F20" t="n">
        <v>2037</v>
      </c>
      <c r="G20" t="n">
        <v>2419</v>
      </c>
      <c r="H20" t="n">
        <v>2869</v>
      </c>
      <c r="I20" t="n">
        <v>3396</v>
      </c>
      <c r="J20" t="n">
        <v>1190</v>
      </c>
      <c r="K20" t="n">
        <v>1438</v>
      </c>
      <c r="L20" t="n">
        <v>1190</v>
      </c>
      <c r="M20" t="n">
        <v>1000</v>
      </c>
      <c r="N20" t="n">
        <v>1095</v>
      </c>
      <c r="O20" t="n">
        <v>1190</v>
      </c>
      <c r="P20" t="n">
        <v>1285</v>
      </c>
      <c r="Q20" t="n">
        <v>1380</v>
      </c>
      <c r="R20" t="n">
        <v>1475</v>
      </c>
      <c r="S20" t="n">
        <v>1570</v>
      </c>
      <c r="T20" t="n">
        <v>1665</v>
      </c>
      <c r="U20" t="n">
        <v>1760</v>
      </c>
      <c r="V20" t="n">
        <v>1180</v>
      </c>
      <c r="W20" t="n">
        <v>1076</v>
      </c>
      <c r="X20" t="n">
        <v>1057</v>
      </c>
      <c r="Y20" t="n">
        <v>1950</v>
      </c>
    </row>
    <row r="21">
      <c r="A21" t="n">
        <v>20</v>
      </c>
      <c r="B21" t="n">
        <v>0</v>
      </c>
      <c r="C21" t="n">
        <v>1337</v>
      </c>
      <c r="D21" t="n">
        <v>1467</v>
      </c>
      <c r="E21" t="n">
        <v>1762</v>
      </c>
      <c r="F21" t="n">
        <v>2119</v>
      </c>
      <c r="G21" t="n">
        <v>2540</v>
      </c>
      <c r="H21" t="n">
        <v>3042</v>
      </c>
      <c r="I21" t="n">
        <v>3634</v>
      </c>
      <c r="J21" t="n">
        <v>1200</v>
      </c>
      <c r="K21" t="n">
        <v>1467</v>
      </c>
      <c r="L21" t="n">
        <v>1200</v>
      </c>
      <c r="M21" t="n">
        <v>1000</v>
      </c>
      <c r="N21" t="n">
        <v>1100</v>
      </c>
      <c r="O21" t="n">
        <v>1200</v>
      </c>
      <c r="P21" t="n">
        <v>1300</v>
      </c>
      <c r="Q21" t="n">
        <v>1400</v>
      </c>
      <c r="R21" t="n">
        <v>1500</v>
      </c>
      <c r="S21" t="n">
        <v>1600</v>
      </c>
      <c r="T21" t="n">
        <v>1700</v>
      </c>
      <c r="U21" t="n">
        <v>1800</v>
      </c>
      <c r="V21" t="n">
        <v>1190</v>
      </c>
      <c r="W21" t="n">
        <v>1080</v>
      </c>
      <c r="X21" t="n">
        <v>1060</v>
      </c>
      <c r="Y21" t="n">
        <v>2000</v>
      </c>
    </row>
    <row r="22">
      <c r="A22" t="n">
        <v>21</v>
      </c>
      <c r="B22" t="n">
        <v>0</v>
      </c>
      <c r="C22" t="n">
        <v>1358</v>
      </c>
      <c r="D22" t="n">
        <v>1497</v>
      </c>
      <c r="E22" t="n">
        <v>1815</v>
      </c>
      <c r="F22" t="n">
        <v>2204</v>
      </c>
      <c r="G22" t="n">
        <v>2667</v>
      </c>
      <c r="H22" t="n">
        <v>3225</v>
      </c>
      <c r="I22" t="n">
        <v>3889</v>
      </c>
      <c r="J22" t="n">
        <v>1210</v>
      </c>
      <c r="K22" t="n">
        <v>1497</v>
      </c>
      <c r="L22" t="n">
        <v>1210</v>
      </c>
      <c r="M22" t="n">
        <v>1000</v>
      </c>
      <c r="N22" t="n">
        <v>1105</v>
      </c>
      <c r="O22" t="n">
        <v>1210</v>
      </c>
      <c r="P22" t="n">
        <v>1315</v>
      </c>
      <c r="Q22" t="n">
        <v>1420</v>
      </c>
      <c r="R22" t="n">
        <v>1525</v>
      </c>
      <c r="S22" t="n">
        <v>1630</v>
      </c>
      <c r="T22" t="n">
        <v>1735</v>
      </c>
      <c r="U22" t="n">
        <v>1840</v>
      </c>
      <c r="V22" t="n">
        <v>1200</v>
      </c>
      <c r="W22" t="n">
        <v>1084</v>
      </c>
      <c r="X22" t="n">
        <v>1063</v>
      </c>
      <c r="Y22" t="n">
        <v>2050</v>
      </c>
    </row>
    <row r="23">
      <c r="A23" t="n">
        <v>22</v>
      </c>
      <c r="B23" t="n">
        <v>0</v>
      </c>
      <c r="C23" t="n">
        <v>1379</v>
      </c>
      <c r="D23" t="n">
        <v>1527</v>
      </c>
      <c r="E23" t="n">
        <v>1870</v>
      </c>
      <c r="F23" t="n">
        <v>2293</v>
      </c>
      <c r="G23" t="n">
        <v>2801</v>
      </c>
      <c r="H23" t="n">
        <v>3419</v>
      </c>
      <c r="I23" t="n">
        <v>4162</v>
      </c>
      <c r="J23" t="n">
        <v>1220</v>
      </c>
      <c r="K23" t="n">
        <v>1527</v>
      </c>
      <c r="L23" t="n">
        <v>1220</v>
      </c>
      <c r="M23" t="n">
        <v>1000</v>
      </c>
      <c r="N23" t="n">
        <v>1110</v>
      </c>
      <c r="O23" t="n">
        <v>1220</v>
      </c>
      <c r="P23" t="n">
        <v>1330</v>
      </c>
      <c r="Q23" t="n">
        <v>1440</v>
      </c>
      <c r="R23" t="n">
        <v>1550</v>
      </c>
      <c r="S23" t="n">
        <v>1660</v>
      </c>
      <c r="T23" t="n">
        <v>1770</v>
      </c>
      <c r="U23" t="n">
        <v>1880</v>
      </c>
      <c r="V23" t="n">
        <v>1211</v>
      </c>
      <c r="W23" t="n">
        <v>1088</v>
      </c>
      <c r="X23" t="n">
        <v>1066</v>
      </c>
      <c r="Y23" t="n">
        <v>2100</v>
      </c>
    </row>
    <row r="24">
      <c r="A24" t="n">
        <v>23</v>
      </c>
      <c r="B24" t="n">
        <v>0</v>
      </c>
      <c r="C24" t="n">
        <v>1400</v>
      </c>
      <c r="D24" t="n">
        <v>1558</v>
      </c>
      <c r="E24" t="n">
        <v>1927</v>
      </c>
      <c r="F24" t="n">
        <v>2385</v>
      </c>
      <c r="G24" t="n">
        <v>2942</v>
      </c>
      <c r="H24" t="n">
        <v>3625</v>
      </c>
      <c r="I24" t="n">
        <v>4454</v>
      </c>
      <c r="J24" t="n">
        <v>1230</v>
      </c>
      <c r="K24" t="n">
        <v>1558</v>
      </c>
      <c r="L24" t="n">
        <v>1230</v>
      </c>
      <c r="M24" t="n">
        <v>1000</v>
      </c>
      <c r="N24" t="n">
        <v>1115</v>
      </c>
      <c r="O24" t="n">
        <v>1230</v>
      </c>
      <c r="P24" t="n">
        <v>1345</v>
      </c>
      <c r="Q24" t="n">
        <v>1460</v>
      </c>
      <c r="R24" t="n">
        <v>1575</v>
      </c>
      <c r="S24" t="n">
        <v>1690</v>
      </c>
      <c r="T24" t="n">
        <v>1805</v>
      </c>
      <c r="U24" t="n">
        <v>1920</v>
      </c>
      <c r="V24" t="n">
        <v>1222</v>
      </c>
      <c r="W24" t="n">
        <v>1092</v>
      </c>
      <c r="X24" t="n">
        <v>1069</v>
      </c>
      <c r="Y24" t="n">
        <v>2150</v>
      </c>
    </row>
    <row r="25">
      <c r="A25" t="n">
        <v>24</v>
      </c>
      <c r="B25" t="n">
        <v>0</v>
      </c>
      <c r="C25" t="n">
        <v>1421</v>
      </c>
      <c r="D25" t="n">
        <v>1590</v>
      </c>
      <c r="E25" t="n">
        <v>1985</v>
      </c>
      <c r="F25" t="n">
        <v>2481</v>
      </c>
      <c r="G25" t="n">
        <v>3090</v>
      </c>
      <c r="H25" t="n">
        <v>3843</v>
      </c>
      <c r="I25" t="n">
        <v>4766</v>
      </c>
      <c r="J25" t="n">
        <v>1240</v>
      </c>
      <c r="K25" t="n">
        <v>1590</v>
      </c>
      <c r="L25" t="n">
        <v>1240</v>
      </c>
      <c r="M25" t="n">
        <v>1000</v>
      </c>
      <c r="N25" t="n">
        <v>1120</v>
      </c>
      <c r="O25" t="n">
        <v>1240</v>
      </c>
      <c r="P25" t="n">
        <v>1360</v>
      </c>
      <c r="Q25" t="n">
        <v>1480</v>
      </c>
      <c r="R25" t="n">
        <v>1600</v>
      </c>
      <c r="S25" t="n">
        <v>1720</v>
      </c>
      <c r="T25" t="n">
        <v>1840</v>
      </c>
      <c r="U25" t="n">
        <v>1960</v>
      </c>
      <c r="V25" t="n">
        <v>1233</v>
      </c>
      <c r="W25" t="n">
        <v>1096</v>
      </c>
      <c r="X25" t="n">
        <v>1072</v>
      </c>
      <c r="Y25" t="n">
        <v>2200</v>
      </c>
    </row>
    <row r="26">
      <c r="A26" t="n">
        <v>25</v>
      </c>
      <c r="B26" t="n">
        <v>0</v>
      </c>
      <c r="C26" t="n">
        <v>1443</v>
      </c>
      <c r="D26" t="n">
        <v>1622</v>
      </c>
      <c r="E26" t="n">
        <v>2045</v>
      </c>
      <c r="F26" t="n">
        <v>2581</v>
      </c>
      <c r="G26" t="n">
        <v>3245</v>
      </c>
      <c r="H26" t="n">
        <v>4074</v>
      </c>
      <c r="I26" t="n">
        <v>5100</v>
      </c>
      <c r="J26" t="n">
        <v>1250</v>
      </c>
      <c r="K26" t="n">
        <v>1622</v>
      </c>
      <c r="L26" t="n">
        <v>1250</v>
      </c>
      <c r="M26" t="n">
        <v>1000</v>
      </c>
      <c r="N26" t="n">
        <v>1125</v>
      </c>
      <c r="O26" t="n">
        <v>1250</v>
      </c>
      <c r="P26" t="n">
        <v>1375</v>
      </c>
      <c r="Q26" t="n">
        <v>1500</v>
      </c>
      <c r="R26" t="n">
        <v>1625</v>
      </c>
      <c r="S26" t="n">
        <v>1750</v>
      </c>
      <c r="T26" t="n">
        <v>1875</v>
      </c>
      <c r="U26" t="n">
        <v>2000</v>
      </c>
      <c r="V26" t="n">
        <v>1244</v>
      </c>
      <c r="W26" t="n">
        <v>1100</v>
      </c>
      <c r="X26" t="n">
        <v>1075</v>
      </c>
      <c r="Y26" t="n">
        <v>2250</v>
      </c>
    </row>
    <row r="27">
      <c r="A27" t="n">
        <v>26</v>
      </c>
      <c r="B27" t="n">
        <v>0</v>
      </c>
      <c r="C27" t="n">
        <v>1465</v>
      </c>
      <c r="D27" t="n">
        <v>1655</v>
      </c>
      <c r="E27" t="n">
        <v>2107</v>
      </c>
      <c r="F27" t="n">
        <v>2685</v>
      </c>
      <c r="G27" t="n">
        <v>3408</v>
      </c>
      <c r="H27" t="n">
        <v>4319</v>
      </c>
      <c r="I27" t="n">
        <v>5457</v>
      </c>
      <c r="J27" t="n">
        <v>1260</v>
      </c>
      <c r="K27" t="n">
        <v>1655</v>
      </c>
      <c r="L27" t="n">
        <v>1260</v>
      </c>
      <c r="M27" t="n">
        <v>1000</v>
      </c>
      <c r="N27" t="n">
        <v>1130</v>
      </c>
      <c r="O27" t="n">
        <v>1260</v>
      </c>
      <c r="P27" t="n">
        <v>1390</v>
      </c>
      <c r="Q27" t="n">
        <v>1520</v>
      </c>
      <c r="R27" t="n">
        <v>1650</v>
      </c>
      <c r="S27" t="n">
        <v>1780</v>
      </c>
      <c r="T27" t="n">
        <v>1910</v>
      </c>
      <c r="U27" t="n">
        <v>2040</v>
      </c>
      <c r="V27" t="n">
        <v>1255</v>
      </c>
      <c r="W27" t="n">
        <v>1104</v>
      </c>
      <c r="X27" t="n">
        <v>1078</v>
      </c>
      <c r="Y27" t="n">
        <v>2300</v>
      </c>
    </row>
    <row r="28">
      <c r="A28" t="n">
        <v>27</v>
      </c>
      <c r="B28" t="n">
        <v>0</v>
      </c>
      <c r="C28" t="n">
        <v>1487</v>
      </c>
      <c r="D28" t="n">
        <v>1689</v>
      </c>
      <c r="E28" t="n">
        <v>2171</v>
      </c>
      <c r="F28" t="n">
        <v>2793</v>
      </c>
      <c r="G28" t="n">
        <v>3579</v>
      </c>
      <c r="H28" t="n">
        <v>4579</v>
      </c>
      <c r="I28" t="n">
        <v>5839</v>
      </c>
      <c r="J28" t="n">
        <v>1270</v>
      </c>
      <c r="K28" t="n">
        <v>1689</v>
      </c>
      <c r="L28" t="n">
        <v>1270</v>
      </c>
      <c r="M28" t="n">
        <v>1000</v>
      </c>
      <c r="N28" t="n">
        <v>1135</v>
      </c>
      <c r="O28" t="n">
        <v>1270</v>
      </c>
      <c r="P28" t="n">
        <v>1405</v>
      </c>
      <c r="Q28" t="n">
        <v>1540</v>
      </c>
      <c r="R28" t="n">
        <v>1675</v>
      </c>
      <c r="S28" t="n">
        <v>1810</v>
      </c>
      <c r="T28" t="n">
        <v>1945</v>
      </c>
      <c r="U28" t="n">
        <v>2080</v>
      </c>
      <c r="V28" t="n">
        <v>1266</v>
      </c>
      <c r="W28" t="n">
        <v>1108</v>
      </c>
      <c r="X28" t="n">
        <v>1081</v>
      </c>
      <c r="Y28" t="n">
        <v>2350</v>
      </c>
    </row>
    <row r="29">
      <c r="A29" t="n">
        <v>28</v>
      </c>
      <c r="B29" t="n">
        <v>0</v>
      </c>
      <c r="C29" t="n">
        <v>1510</v>
      </c>
      <c r="D29" t="n">
        <v>1723</v>
      </c>
      <c r="E29" t="n">
        <v>2237</v>
      </c>
      <c r="F29" t="n">
        <v>2905</v>
      </c>
      <c r="G29" t="n">
        <v>3758</v>
      </c>
      <c r="H29" t="n">
        <v>4854</v>
      </c>
      <c r="I29" t="n">
        <v>6248</v>
      </c>
      <c r="J29" t="n">
        <v>1280</v>
      </c>
      <c r="K29" t="n">
        <v>1723</v>
      </c>
      <c r="L29" t="n">
        <v>1280</v>
      </c>
      <c r="M29" t="n">
        <v>1000</v>
      </c>
      <c r="N29" t="n">
        <v>1140</v>
      </c>
      <c r="O29" t="n">
        <v>1280</v>
      </c>
      <c r="P29" t="n">
        <v>1420</v>
      </c>
      <c r="Q29" t="n">
        <v>1560</v>
      </c>
      <c r="R29" t="n">
        <v>1700</v>
      </c>
      <c r="S29" t="n">
        <v>1840</v>
      </c>
      <c r="T29" t="n">
        <v>1980</v>
      </c>
      <c r="U29" t="n">
        <v>2120</v>
      </c>
      <c r="V29" t="n">
        <v>1277</v>
      </c>
      <c r="W29" t="n">
        <v>1112</v>
      </c>
      <c r="X29" t="n">
        <v>1084</v>
      </c>
      <c r="Y29" t="n">
        <v>2400</v>
      </c>
    </row>
    <row r="30">
      <c r="A30" t="n">
        <v>29</v>
      </c>
      <c r="B30" t="n">
        <v>0</v>
      </c>
      <c r="C30" t="n">
        <v>1533</v>
      </c>
      <c r="D30" t="n">
        <v>1758</v>
      </c>
      <c r="E30" t="n">
        <v>2305</v>
      </c>
      <c r="F30" t="n">
        <v>3022</v>
      </c>
      <c r="G30" t="n">
        <v>3946</v>
      </c>
      <c r="H30" t="n">
        <v>5146</v>
      </c>
      <c r="I30" t="n">
        <v>6686</v>
      </c>
      <c r="J30" t="n">
        <v>1290</v>
      </c>
      <c r="K30" t="n">
        <v>1758</v>
      </c>
      <c r="L30" t="n">
        <v>1290</v>
      </c>
      <c r="M30" t="n">
        <v>1000</v>
      </c>
      <c r="N30" t="n">
        <v>1145</v>
      </c>
      <c r="O30" t="n">
        <v>1290</v>
      </c>
      <c r="P30" t="n">
        <v>1435</v>
      </c>
      <c r="Q30" t="n">
        <v>1580</v>
      </c>
      <c r="R30" t="n">
        <v>1725</v>
      </c>
      <c r="S30" t="n">
        <v>1870</v>
      </c>
      <c r="T30" t="n">
        <v>2015</v>
      </c>
      <c r="U30" t="n">
        <v>2160</v>
      </c>
      <c r="V30" t="n">
        <v>1288</v>
      </c>
      <c r="W30" t="n">
        <v>1116</v>
      </c>
      <c r="X30" t="n">
        <v>1087</v>
      </c>
      <c r="Y30" t="n">
        <v>2450</v>
      </c>
    </row>
    <row r="31">
      <c r="A31" t="n">
        <v>30</v>
      </c>
      <c r="B31" t="n">
        <v>0</v>
      </c>
      <c r="C31" t="n">
        <v>1556</v>
      </c>
      <c r="D31" t="n">
        <v>1794</v>
      </c>
      <c r="E31" t="n">
        <v>2375</v>
      </c>
      <c r="F31" t="n">
        <v>3143</v>
      </c>
      <c r="G31" t="n">
        <v>4144</v>
      </c>
      <c r="H31" t="n">
        <v>5455</v>
      </c>
      <c r="I31" t="n">
        <v>7155</v>
      </c>
      <c r="J31" t="n">
        <v>1300</v>
      </c>
      <c r="K31" t="n">
        <v>1794</v>
      </c>
      <c r="L31" t="n">
        <v>1300</v>
      </c>
      <c r="M31" t="n">
        <v>1000</v>
      </c>
      <c r="N31" t="n">
        <v>1150</v>
      </c>
      <c r="O31" t="n">
        <v>1300</v>
      </c>
      <c r="P31" t="n">
        <v>1450</v>
      </c>
      <c r="Q31" t="n">
        <v>1600</v>
      </c>
      <c r="R31" t="n">
        <v>1750</v>
      </c>
      <c r="S31" t="n">
        <v>1900</v>
      </c>
      <c r="T31" t="n">
        <v>2050</v>
      </c>
      <c r="U31" t="n">
        <v>2200</v>
      </c>
      <c r="V31" t="n">
        <v>1299</v>
      </c>
      <c r="W31" t="n">
        <v>1120</v>
      </c>
      <c r="X31" t="n">
        <v>1090</v>
      </c>
      <c r="Y31" t="n">
        <v>2500</v>
      </c>
    </row>
    <row r="32">
      <c r="A32" t="n">
        <v>31</v>
      </c>
      <c r="B32" t="n">
        <v>0</v>
      </c>
      <c r="C32" t="n">
        <v>1580</v>
      </c>
      <c r="D32" t="n">
        <v>1830</v>
      </c>
      <c r="E32" t="n">
        <v>2447</v>
      </c>
      <c r="F32" t="n">
        <v>3269</v>
      </c>
      <c r="G32" t="n">
        <v>4352</v>
      </c>
      <c r="H32" t="n">
        <v>5783</v>
      </c>
      <c r="I32" t="n">
        <v>7656</v>
      </c>
      <c r="J32" t="n">
        <v>1310</v>
      </c>
      <c r="K32" t="n">
        <v>1830</v>
      </c>
      <c r="L32" t="n">
        <v>1310</v>
      </c>
      <c r="M32" t="n">
        <v>1000</v>
      </c>
      <c r="N32" t="n">
        <v>1155</v>
      </c>
      <c r="O32" t="n">
        <v>1310</v>
      </c>
      <c r="P32" t="n">
        <v>1465</v>
      </c>
      <c r="Q32" t="n">
        <v>1620</v>
      </c>
      <c r="R32" t="n">
        <v>1775</v>
      </c>
      <c r="S32" t="n">
        <v>1930</v>
      </c>
      <c r="T32" t="n">
        <v>2085</v>
      </c>
      <c r="U32" t="n">
        <v>2240</v>
      </c>
      <c r="V32" t="n">
        <v>1310</v>
      </c>
      <c r="W32" t="n">
        <v>1124</v>
      </c>
      <c r="X32" t="n">
        <v>1093</v>
      </c>
      <c r="Y32" t="n">
        <v>2550</v>
      </c>
    </row>
    <row r="33">
      <c r="A33" t="n">
        <v>32</v>
      </c>
      <c r="B33" t="n">
        <v>0</v>
      </c>
      <c r="C33" t="n">
        <v>1604</v>
      </c>
      <c r="D33" t="n">
        <v>1867</v>
      </c>
      <c r="E33" t="n">
        <v>2521</v>
      </c>
      <c r="F33" t="n">
        <v>3400</v>
      </c>
      <c r="G33" t="n">
        <v>4570</v>
      </c>
      <c r="H33" t="n">
        <v>6130</v>
      </c>
      <c r="I33" t="n">
        <v>8192</v>
      </c>
      <c r="J33" t="n">
        <v>1320</v>
      </c>
      <c r="K33" t="n">
        <v>1867</v>
      </c>
      <c r="L33" t="n">
        <v>1320</v>
      </c>
      <c r="M33" t="n">
        <v>1000</v>
      </c>
      <c r="N33" t="n">
        <v>1160</v>
      </c>
      <c r="O33" t="n">
        <v>1320</v>
      </c>
      <c r="P33" t="n">
        <v>1480</v>
      </c>
      <c r="Q33" t="n">
        <v>1640</v>
      </c>
      <c r="R33" t="n">
        <v>1800</v>
      </c>
      <c r="S33" t="n">
        <v>1960</v>
      </c>
      <c r="T33" t="n">
        <v>2120</v>
      </c>
      <c r="U33" t="n">
        <v>2280</v>
      </c>
      <c r="V33" t="n">
        <v>1321</v>
      </c>
      <c r="W33" t="n">
        <v>1128</v>
      </c>
      <c r="X33" t="n">
        <v>1096</v>
      </c>
      <c r="Y33" t="n">
        <v>2600</v>
      </c>
    </row>
    <row r="34">
      <c r="A34" t="n">
        <v>33</v>
      </c>
      <c r="B34" t="n">
        <v>0</v>
      </c>
      <c r="C34" t="n">
        <v>1629</v>
      </c>
      <c r="D34" t="n">
        <v>1905</v>
      </c>
      <c r="E34" t="n">
        <v>2597</v>
      </c>
      <c r="F34" t="n">
        <v>3536</v>
      </c>
      <c r="G34" t="n">
        <v>4799</v>
      </c>
      <c r="H34" t="n">
        <v>6498</v>
      </c>
      <c r="I34" t="n">
        <v>8766</v>
      </c>
      <c r="J34" t="n">
        <v>1330</v>
      </c>
      <c r="K34" t="n">
        <v>1905</v>
      </c>
      <c r="L34" t="n">
        <v>1330</v>
      </c>
      <c r="M34" t="n">
        <v>1000</v>
      </c>
      <c r="N34" t="n">
        <v>1165</v>
      </c>
      <c r="O34" t="n">
        <v>1330</v>
      </c>
      <c r="P34" t="n">
        <v>1495</v>
      </c>
      <c r="Q34" t="n">
        <v>1660</v>
      </c>
      <c r="R34" t="n">
        <v>1825</v>
      </c>
      <c r="S34" t="n">
        <v>1990</v>
      </c>
      <c r="T34" t="n">
        <v>2155</v>
      </c>
      <c r="U34" t="n">
        <v>2320</v>
      </c>
      <c r="V34" t="n">
        <v>1332</v>
      </c>
      <c r="W34" t="n">
        <v>1132</v>
      </c>
      <c r="X34" t="n">
        <v>1099</v>
      </c>
      <c r="Y34" t="n">
        <v>2650</v>
      </c>
    </row>
    <row r="35">
      <c r="A35" t="n">
        <v>34</v>
      </c>
      <c r="B35" t="n">
        <v>0</v>
      </c>
      <c r="C35" t="n">
        <v>1654</v>
      </c>
      <c r="D35" t="n">
        <v>1944</v>
      </c>
      <c r="E35" t="n">
        <v>2675</v>
      </c>
      <c r="F35" t="n">
        <v>3678</v>
      </c>
      <c r="G35" t="n">
        <v>5039</v>
      </c>
      <c r="H35" t="n">
        <v>6888</v>
      </c>
      <c r="I35" t="n">
        <v>9380</v>
      </c>
      <c r="J35" t="n">
        <v>1340</v>
      </c>
      <c r="K35" t="n">
        <v>1944</v>
      </c>
      <c r="L35" t="n">
        <v>1340</v>
      </c>
      <c r="M35" t="n">
        <v>1000</v>
      </c>
      <c r="N35" t="n">
        <v>1170</v>
      </c>
      <c r="O35" t="n">
        <v>1340</v>
      </c>
      <c r="P35" t="n">
        <v>1510</v>
      </c>
      <c r="Q35" t="n">
        <v>1680</v>
      </c>
      <c r="R35" t="n">
        <v>1850</v>
      </c>
      <c r="S35" t="n">
        <v>2020</v>
      </c>
      <c r="T35" t="n">
        <v>2190</v>
      </c>
      <c r="U35" t="n">
        <v>2360</v>
      </c>
      <c r="V35" t="n">
        <v>1343</v>
      </c>
      <c r="W35" t="n">
        <v>1136</v>
      </c>
      <c r="X35" t="n">
        <v>1102</v>
      </c>
      <c r="Y35" t="n">
        <v>2700</v>
      </c>
    </row>
    <row r="36">
      <c r="A36" t="n">
        <v>35</v>
      </c>
      <c r="B36" t="n">
        <v>0</v>
      </c>
      <c r="C36" t="n">
        <v>1679</v>
      </c>
      <c r="D36" t="n">
        <v>1983</v>
      </c>
      <c r="E36" t="n">
        <v>2756</v>
      </c>
      <c r="F36" t="n">
        <v>3826</v>
      </c>
      <c r="G36" t="n">
        <v>5291</v>
      </c>
      <c r="H36" t="n">
        <v>7302</v>
      </c>
      <c r="I36" t="n">
        <v>10037</v>
      </c>
      <c r="J36" t="n">
        <v>1350</v>
      </c>
      <c r="K36" t="n">
        <v>1983</v>
      </c>
      <c r="L36" t="n">
        <v>1350</v>
      </c>
      <c r="M36" t="n">
        <v>1000</v>
      </c>
      <c r="N36" t="n">
        <v>1175</v>
      </c>
      <c r="O36" t="n">
        <v>1350</v>
      </c>
      <c r="P36" t="n">
        <v>1525</v>
      </c>
      <c r="Q36" t="n">
        <v>1700</v>
      </c>
      <c r="R36" t="n">
        <v>1875</v>
      </c>
      <c r="S36" t="n">
        <v>2050</v>
      </c>
      <c r="T36" t="n">
        <v>2225</v>
      </c>
      <c r="U36" t="n">
        <v>2400</v>
      </c>
      <c r="V36" t="n">
        <v>1354</v>
      </c>
      <c r="W36" t="n">
        <v>1140</v>
      </c>
      <c r="X36" t="n">
        <v>1105</v>
      </c>
      <c r="Y36" t="n">
        <v>2750</v>
      </c>
    </row>
    <row r="37">
      <c r="A37" t="n">
        <v>36</v>
      </c>
      <c r="B37" t="n">
        <v>0</v>
      </c>
      <c r="C37" t="n">
        <v>1705</v>
      </c>
      <c r="D37" t="n">
        <v>2023</v>
      </c>
      <c r="E37" t="n">
        <v>2839</v>
      </c>
      <c r="F37" t="n">
        <v>3980</v>
      </c>
      <c r="G37" t="n">
        <v>5556</v>
      </c>
      <c r="H37" t="n">
        <v>7741</v>
      </c>
      <c r="I37" t="n">
        <v>10740</v>
      </c>
      <c r="J37" t="n">
        <v>1360</v>
      </c>
      <c r="K37" t="n">
        <v>2023</v>
      </c>
      <c r="L37" t="n">
        <v>1360</v>
      </c>
      <c r="M37" t="n">
        <v>1000</v>
      </c>
      <c r="N37" t="n">
        <v>1180</v>
      </c>
      <c r="O37" t="n">
        <v>1360</v>
      </c>
      <c r="P37" t="n">
        <v>1540</v>
      </c>
      <c r="Q37" t="n">
        <v>1720</v>
      </c>
      <c r="R37" t="n">
        <v>1900</v>
      </c>
      <c r="S37" t="n">
        <v>2080</v>
      </c>
      <c r="T37" t="n">
        <v>2260</v>
      </c>
      <c r="U37" t="n">
        <v>2440</v>
      </c>
      <c r="V37" t="n">
        <v>1365</v>
      </c>
      <c r="W37" t="n">
        <v>1144</v>
      </c>
      <c r="X37" t="n">
        <v>1108</v>
      </c>
      <c r="Y37" t="n">
        <v>2800</v>
      </c>
    </row>
    <row r="38">
      <c r="A38" t="n">
        <v>37</v>
      </c>
      <c r="B38" t="n">
        <v>0</v>
      </c>
      <c r="C38" t="n">
        <v>1731</v>
      </c>
      <c r="D38" t="n">
        <v>2064</v>
      </c>
      <c r="E38" t="n">
        <v>2925</v>
      </c>
      <c r="F38" t="n">
        <v>4140</v>
      </c>
      <c r="G38" t="n">
        <v>5834</v>
      </c>
      <c r="H38" t="n">
        <v>8206</v>
      </c>
      <c r="I38" t="n">
        <v>11492</v>
      </c>
      <c r="J38" t="n">
        <v>1370</v>
      </c>
      <c r="K38" t="n">
        <v>2064</v>
      </c>
      <c r="L38" t="n">
        <v>1370</v>
      </c>
      <c r="M38" t="n">
        <v>1000</v>
      </c>
      <c r="N38" t="n">
        <v>1185</v>
      </c>
      <c r="O38" t="n">
        <v>1370</v>
      </c>
      <c r="P38" t="n">
        <v>1555</v>
      </c>
      <c r="Q38" t="n">
        <v>1740</v>
      </c>
      <c r="R38" t="n">
        <v>1925</v>
      </c>
      <c r="S38" t="n">
        <v>2110</v>
      </c>
      <c r="T38" t="n">
        <v>2295</v>
      </c>
      <c r="U38" t="n">
        <v>2480</v>
      </c>
      <c r="V38" t="n">
        <v>1376</v>
      </c>
      <c r="W38" t="n">
        <v>1148</v>
      </c>
      <c r="X38" t="n">
        <v>1111</v>
      </c>
      <c r="Y38" t="n">
        <v>2850</v>
      </c>
    </row>
    <row r="39">
      <c r="A39" t="n">
        <v>38</v>
      </c>
      <c r="B39" t="n">
        <v>0</v>
      </c>
      <c r="C39" t="n">
        <v>1757</v>
      </c>
      <c r="D39" t="n">
        <v>2106</v>
      </c>
      <c r="E39" t="n">
        <v>3013</v>
      </c>
      <c r="F39" t="n">
        <v>4306</v>
      </c>
      <c r="G39" t="n">
        <v>6126</v>
      </c>
      <c r="H39" t="n">
        <v>8699</v>
      </c>
      <c r="I39" t="n">
        <v>12297</v>
      </c>
      <c r="J39" t="n">
        <v>1380</v>
      </c>
      <c r="K39" t="n">
        <v>2106</v>
      </c>
      <c r="L39" t="n">
        <v>1380</v>
      </c>
      <c r="M39" t="n">
        <v>1000</v>
      </c>
      <c r="N39" t="n">
        <v>1190</v>
      </c>
      <c r="O39" t="n">
        <v>1380</v>
      </c>
      <c r="P39" t="n">
        <v>1570</v>
      </c>
      <c r="Q39" t="n">
        <v>1760</v>
      </c>
      <c r="R39" t="n">
        <v>1950</v>
      </c>
      <c r="S39" t="n">
        <v>2140</v>
      </c>
      <c r="T39" t="n">
        <v>2330</v>
      </c>
      <c r="U39" t="n">
        <v>2520</v>
      </c>
      <c r="V39" t="n">
        <v>1387</v>
      </c>
      <c r="W39" t="n">
        <v>1152</v>
      </c>
      <c r="X39" t="n">
        <v>1114</v>
      </c>
      <c r="Y39" t="n">
        <v>2900</v>
      </c>
    </row>
    <row r="40">
      <c r="A40" t="n">
        <v>39</v>
      </c>
      <c r="B40" t="n">
        <v>0</v>
      </c>
      <c r="C40" t="n">
        <v>1784</v>
      </c>
      <c r="D40" t="n">
        <v>2149</v>
      </c>
      <c r="E40" t="n">
        <v>3104</v>
      </c>
      <c r="F40" t="n">
        <v>4479</v>
      </c>
      <c r="G40" t="n">
        <v>6433</v>
      </c>
      <c r="H40" t="n">
        <v>9221</v>
      </c>
      <c r="I40" t="n">
        <v>13158</v>
      </c>
      <c r="J40" t="n">
        <v>1390</v>
      </c>
      <c r="K40" t="n">
        <v>2149</v>
      </c>
      <c r="L40" t="n">
        <v>1390</v>
      </c>
      <c r="M40" t="n">
        <v>1000</v>
      </c>
      <c r="N40" t="n">
        <v>1195</v>
      </c>
      <c r="O40" t="n">
        <v>1390</v>
      </c>
      <c r="P40" t="n">
        <v>1585</v>
      </c>
      <c r="Q40" t="n">
        <v>1780</v>
      </c>
      <c r="R40" t="n">
        <v>1975</v>
      </c>
      <c r="S40" t="n">
        <v>2170</v>
      </c>
      <c r="T40" t="n">
        <v>2365</v>
      </c>
      <c r="U40" t="n">
        <v>2560</v>
      </c>
      <c r="V40" t="n">
        <v>1398</v>
      </c>
      <c r="W40" t="n">
        <v>1156</v>
      </c>
      <c r="X40" t="n">
        <v>1117</v>
      </c>
      <c r="Y40" t="n">
        <v>2950</v>
      </c>
    </row>
    <row r="41">
      <c r="A41" t="n">
        <v>40</v>
      </c>
      <c r="B41" t="n">
        <v>0</v>
      </c>
      <c r="C41" t="n">
        <v>1811</v>
      </c>
      <c r="D41" t="n">
        <v>2192</v>
      </c>
      <c r="E41" t="n">
        <v>3198</v>
      </c>
      <c r="F41" t="n">
        <v>4659</v>
      </c>
      <c r="G41" t="n">
        <v>6755</v>
      </c>
      <c r="H41" t="n">
        <v>9775</v>
      </c>
      <c r="I41" t="n">
        <v>14080</v>
      </c>
      <c r="J41" t="n">
        <v>1400</v>
      </c>
      <c r="K41" t="n">
        <v>2192</v>
      </c>
      <c r="L41" t="n">
        <v>1400</v>
      </c>
      <c r="M41" t="n">
        <v>1000</v>
      </c>
      <c r="N41" t="n">
        <v>1200</v>
      </c>
      <c r="O41" t="n">
        <v>1400</v>
      </c>
      <c r="P41" t="n">
        <v>1600</v>
      </c>
      <c r="Q41" t="n">
        <v>1800</v>
      </c>
      <c r="R41" t="n">
        <v>2000</v>
      </c>
      <c r="S41" t="n">
        <v>2200</v>
      </c>
      <c r="T41" t="n">
        <v>2400</v>
      </c>
      <c r="U41" t="n">
        <v>2600</v>
      </c>
      <c r="V41" t="n">
        <v>1410</v>
      </c>
      <c r="W41" t="n">
        <v>1160</v>
      </c>
      <c r="X41" t="n">
        <v>1120</v>
      </c>
      <c r="Y41" t="n">
        <v>3000</v>
      </c>
    </row>
    <row r="42">
      <c r="A42" t="n">
        <v>41</v>
      </c>
      <c r="B42" t="n">
        <v>0</v>
      </c>
      <c r="C42" t="n">
        <v>1839</v>
      </c>
      <c r="D42" t="n">
        <v>2236</v>
      </c>
      <c r="E42" t="n">
        <v>3294</v>
      </c>
      <c r="F42" t="n">
        <v>4846</v>
      </c>
      <c r="G42" t="n">
        <v>7093</v>
      </c>
      <c r="H42" t="n">
        <v>10362</v>
      </c>
      <c r="I42" t="n">
        <v>15066</v>
      </c>
      <c r="J42" t="n">
        <v>1410</v>
      </c>
      <c r="K42" t="n">
        <v>2236</v>
      </c>
      <c r="L42" t="n">
        <v>1410</v>
      </c>
      <c r="M42" t="n">
        <v>1000</v>
      </c>
      <c r="N42" t="n">
        <v>1205</v>
      </c>
      <c r="O42" t="n">
        <v>1410</v>
      </c>
      <c r="P42" t="n">
        <v>1615</v>
      </c>
      <c r="Q42" t="n">
        <v>1820</v>
      </c>
      <c r="R42" t="n">
        <v>2025</v>
      </c>
      <c r="S42" t="n">
        <v>2230</v>
      </c>
      <c r="T42" t="n">
        <v>2435</v>
      </c>
      <c r="U42" t="n">
        <v>2640</v>
      </c>
      <c r="V42" t="n">
        <v>1422</v>
      </c>
      <c r="W42" t="n">
        <v>1164</v>
      </c>
      <c r="X42" t="n">
        <v>1123</v>
      </c>
      <c r="Y42" t="n">
        <v>3050</v>
      </c>
    </row>
    <row r="43">
      <c r="A43" t="n">
        <v>42</v>
      </c>
      <c r="B43" t="n">
        <v>0</v>
      </c>
      <c r="C43" t="n">
        <v>1867</v>
      </c>
      <c r="D43" t="n">
        <v>2281</v>
      </c>
      <c r="E43" t="n">
        <v>3393</v>
      </c>
      <c r="F43" t="n">
        <v>5040</v>
      </c>
      <c r="G43" t="n">
        <v>7448</v>
      </c>
      <c r="H43" t="n">
        <v>10984</v>
      </c>
      <c r="I43" t="n">
        <v>16121</v>
      </c>
      <c r="J43" t="n">
        <v>1420</v>
      </c>
      <c r="K43" t="n">
        <v>2281</v>
      </c>
      <c r="L43" t="n">
        <v>1420</v>
      </c>
      <c r="M43" t="n">
        <v>1000</v>
      </c>
      <c r="N43" t="n">
        <v>1210</v>
      </c>
      <c r="O43" t="n">
        <v>1420</v>
      </c>
      <c r="P43" t="n">
        <v>1630</v>
      </c>
      <c r="Q43" t="n">
        <v>1840</v>
      </c>
      <c r="R43" t="n">
        <v>2050</v>
      </c>
      <c r="S43" t="n">
        <v>2260</v>
      </c>
      <c r="T43" t="n">
        <v>2470</v>
      </c>
      <c r="U43" t="n">
        <v>2680</v>
      </c>
      <c r="V43" t="n">
        <v>1434</v>
      </c>
      <c r="W43" t="n">
        <v>1168</v>
      </c>
      <c r="X43" t="n">
        <v>1126</v>
      </c>
      <c r="Y43" t="n">
        <v>3100</v>
      </c>
    </row>
    <row r="44">
      <c r="A44" t="n">
        <v>43</v>
      </c>
      <c r="B44" t="n">
        <v>0</v>
      </c>
      <c r="C44" t="n">
        <v>1896</v>
      </c>
      <c r="D44" t="n">
        <v>2327</v>
      </c>
      <c r="E44" t="n">
        <v>3495</v>
      </c>
      <c r="F44" t="n">
        <v>5242</v>
      </c>
      <c r="G44" t="n">
        <v>7821</v>
      </c>
      <c r="H44" t="n">
        <v>11644</v>
      </c>
      <c r="I44" t="n">
        <v>17250</v>
      </c>
      <c r="J44" t="n">
        <v>1430</v>
      </c>
      <c r="K44" t="n">
        <v>2327</v>
      </c>
      <c r="L44" t="n">
        <v>1430</v>
      </c>
      <c r="M44" t="n">
        <v>1000</v>
      </c>
      <c r="N44" t="n">
        <v>1215</v>
      </c>
      <c r="O44" t="n">
        <v>1430</v>
      </c>
      <c r="P44" t="n">
        <v>1645</v>
      </c>
      <c r="Q44" t="n">
        <v>1860</v>
      </c>
      <c r="R44" t="n">
        <v>2075</v>
      </c>
      <c r="S44" t="n">
        <v>2290</v>
      </c>
      <c r="T44" t="n">
        <v>2505</v>
      </c>
      <c r="U44" t="n">
        <v>2720</v>
      </c>
      <c r="V44" t="n">
        <v>1446</v>
      </c>
      <c r="W44" t="n">
        <v>1172</v>
      </c>
      <c r="X44" t="n">
        <v>1129</v>
      </c>
      <c r="Y44" t="n">
        <v>3150</v>
      </c>
    </row>
    <row r="45">
      <c r="A45" t="n">
        <v>44</v>
      </c>
      <c r="B45" t="n">
        <v>0</v>
      </c>
      <c r="C45" t="n">
        <v>1925</v>
      </c>
      <c r="D45" t="n">
        <v>2374</v>
      </c>
      <c r="E45" t="n">
        <v>3600</v>
      </c>
      <c r="F45" t="n">
        <v>5452</v>
      </c>
      <c r="G45" t="n">
        <v>8213</v>
      </c>
      <c r="H45" t="n">
        <v>12343</v>
      </c>
      <c r="I45" t="n">
        <v>18458</v>
      </c>
      <c r="J45" t="n">
        <v>1440</v>
      </c>
      <c r="K45" t="n">
        <v>2374</v>
      </c>
      <c r="L45" t="n">
        <v>1440</v>
      </c>
      <c r="M45" t="n">
        <v>1000</v>
      </c>
      <c r="N45" t="n">
        <v>1220</v>
      </c>
      <c r="O45" t="n">
        <v>1440</v>
      </c>
      <c r="P45" t="n">
        <v>1660</v>
      </c>
      <c r="Q45" t="n">
        <v>1880</v>
      </c>
      <c r="R45" t="n">
        <v>2100</v>
      </c>
      <c r="S45" t="n">
        <v>2320</v>
      </c>
      <c r="T45" t="n">
        <v>2540</v>
      </c>
      <c r="U45" t="n">
        <v>2760</v>
      </c>
      <c r="V45" t="n">
        <v>1458</v>
      </c>
      <c r="W45" t="n">
        <v>1176</v>
      </c>
      <c r="X45" t="n">
        <v>1132</v>
      </c>
      <c r="Y45" t="n">
        <v>3200</v>
      </c>
    </row>
    <row r="46">
      <c r="A46" t="n">
        <v>45</v>
      </c>
      <c r="B46" t="n">
        <v>0</v>
      </c>
      <c r="C46" t="n">
        <v>1954</v>
      </c>
      <c r="D46" t="n">
        <v>2422</v>
      </c>
      <c r="E46" t="n">
        <v>3708</v>
      </c>
      <c r="F46" t="n">
        <v>5671</v>
      </c>
      <c r="G46" t="n">
        <v>8624</v>
      </c>
      <c r="H46" t="n">
        <v>13084</v>
      </c>
      <c r="I46" t="n">
        <v>19751</v>
      </c>
      <c r="J46" t="n">
        <v>1450</v>
      </c>
      <c r="K46" t="n">
        <v>2422</v>
      </c>
      <c r="L46" t="n">
        <v>1450</v>
      </c>
      <c r="M46" t="n">
        <v>1000</v>
      </c>
      <c r="N46" t="n">
        <v>1225</v>
      </c>
      <c r="O46" t="n">
        <v>1450</v>
      </c>
      <c r="P46" t="n">
        <v>1675</v>
      </c>
      <c r="Q46" t="n">
        <v>1900</v>
      </c>
      <c r="R46" t="n">
        <v>2125</v>
      </c>
      <c r="S46" t="n">
        <v>2350</v>
      </c>
      <c r="T46" t="n">
        <v>2575</v>
      </c>
      <c r="U46" t="n">
        <v>2800</v>
      </c>
      <c r="V46" t="n">
        <v>1470</v>
      </c>
      <c r="W46" t="n">
        <v>1180</v>
      </c>
      <c r="X46" t="n">
        <v>1135</v>
      </c>
      <c r="Y46" t="n">
        <v>3250</v>
      </c>
    </row>
    <row r="47">
      <c r="A47" t="n">
        <v>46</v>
      </c>
      <c r="B47" t="n">
        <v>0</v>
      </c>
      <c r="C47" t="n">
        <v>1984</v>
      </c>
      <c r="D47" t="n">
        <v>2471</v>
      </c>
      <c r="E47" t="n">
        <v>3820</v>
      </c>
      <c r="F47" t="n">
        <v>5898</v>
      </c>
      <c r="G47" t="n">
        <v>9056</v>
      </c>
      <c r="H47" t="n">
        <v>13870</v>
      </c>
      <c r="I47" t="n">
        <v>21134</v>
      </c>
      <c r="J47" t="n">
        <v>1460</v>
      </c>
      <c r="K47" t="n">
        <v>2471</v>
      </c>
      <c r="L47" t="n">
        <v>1460</v>
      </c>
      <c r="M47" t="n">
        <v>1000</v>
      </c>
      <c r="N47" t="n">
        <v>1230</v>
      </c>
      <c r="O47" t="n">
        <v>1460</v>
      </c>
      <c r="P47" t="n">
        <v>1690</v>
      </c>
      <c r="Q47" t="n">
        <v>1920</v>
      </c>
      <c r="R47" t="n">
        <v>2150</v>
      </c>
      <c r="S47" t="n">
        <v>2380</v>
      </c>
      <c r="T47" t="n">
        <v>2610</v>
      </c>
      <c r="U47" t="n">
        <v>2840</v>
      </c>
      <c r="V47" t="n">
        <v>1482</v>
      </c>
      <c r="W47" t="n">
        <v>1184</v>
      </c>
      <c r="X47" t="n">
        <v>1138</v>
      </c>
      <c r="Y47" t="n">
        <v>3300</v>
      </c>
    </row>
    <row r="48">
      <c r="A48" t="n">
        <v>47</v>
      </c>
      <c r="B48" t="n">
        <v>0</v>
      </c>
      <c r="C48" t="n">
        <v>2014</v>
      </c>
      <c r="D48" t="n">
        <v>2521</v>
      </c>
      <c r="E48" t="n">
        <v>3935</v>
      </c>
      <c r="F48" t="n">
        <v>6134</v>
      </c>
      <c r="G48" t="n">
        <v>9509</v>
      </c>
      <c r="H48" t="n">
        <v>14703</v>
      </c>
      <c r="I48" t="n">
        <v>22614</v>
      </c>
      <c r="J48" t="n">
        <v>1470</v>
      </c>
      <c r="K48" t="n">
        <v>2521</v>
      </c>
      <c r="L48" t="n">
        <v>1470</v>
      </c>
      <c r="M48" t="n">
        <v>1000</v>
      </c>
      <c r="N48" t="n">
        <v>1235</v>
      </c>
      <c r="O48" t="n">
        <v>1470</v>
      </c>
      <c r="P48" t="n">
        <v>1705</v>
      </c>
      <c r="Q48" t="n">
        <v>1940</v>
      </c>
      <c r="R48" t="n">
        <v>2175</v>
      </c>
      <c r="S48" t="n">
        <v>2410</v>
      </c>
      <c r="T48" t="n">
        <v>2645</v>
      </c>
      <c r="U48" t="n">
        <v>2880</v>
      </c>
      <c r="V48" t="n">
        <v>1494</v>
      </c>
      <c r="W48" t="n">
        <v>1188</v>
      </c>
      <c r="X48" t="n">
        <v>1141</v>
      </c>
      <c r="Y48" t="n">
        <v>3350</v>
      </c>
    </row>
    <row r="49">
      <c r="A49" t="n">
        <v>48</v>
      </c>
      <c r="B49" t="n">
        <v>0</v>
      </c>
      <c r="C49" t="n">
        <v>2045</v>
      </c>
      <c r="D49" t="n">
        <v>2572</v>
      </c>
      <c r="E49" t="n">
        <v>4054</v>
      </c>
      <c r="F49" t="n">
        <v>6380</v>
      </c>
      <c r="G49" t="n">
        <v>9985</v>
      </c>
      <c r="H49" t="n">
        <v>15586</v>
      </c>
      <c r="I49" t="n">
        <v>24197</v>
      </c>
      <c r="J49" t="n">
        <v>1480</v>
      </c>
      <c r="K49" t="n">
        <v>2572</v>
      </c>
      <c r="L49" t="n">
        <v>1480</v>
      </c>
      <c r="M49" t="n">
        <v>1000</v>
      </c>
      <c r="N49" t="n">
        <v>1240</v>
      </c>
      <c r="O49" t="n">
        <v>1480</v>
      </c>
      <c r="P49" t="n">
        <v>1720</v>
      </c>
      <c r="Q49" t="n">
        <v>1960</v>
      </c>
      <c r="R49" t="n">
        <v>2200</v>
      </c>
      <c r="S49" t="n">
        <v>2440</v>
      </c>
      <c r="T49" t="n">
        <v>2680</v>
      </c>
      <c r="U49" t="n">
        <v>2920</v>
      </c>
      <c r="V49" t="n">
        <v>1506</v>
      </c>
      <c r="W49" t="n">
        <v>1192</v>
      </c>
      <c r="X49" t="n">
        <v>1144</v>
      </c>
      <c r="Y49" t="n">
        <v>3400</v>
      </c>
    </row>
    <row r="50">
      <c r="A50" t="n">
        <v>49</v>
      </c>
      <c r="B50" t="n">
        <v>0</v>
      </c>
      <c r="C50" t="n">
        <v>2076</v>
      </c>
      <c r="D50" t="n">
        <v>2624</v>
      </c>
      <c r="E50" t="n">
        <v>4176</v>
      </c>
      <c r="F50" t="n">
        <v>6636</v>
      </c>
      <c r="G50" t="n">
        <v>10485</v>
      </c>
      <c r="H50" t="n">
        <v>16522</v>
      </c>
      <c r="I50" t="n">
        <v>25891</v>
      </c>
      <c r="J50" t="n">
        <v>1490</v>
      </c>
      <c r="K50" t="n">
        <v>2624</v>
      </c>
      <c r="L50" t="n">
        <v>1490</v>
      </c>
      <c r="M50" t="n">
        <v>1000</v>
      </c>
      <c r="N50" t="n">
        <v>1245</v>
      </c>
      <c r="O50" t="n">
        <v>1490</v>
      </c>
      <c r="P50" t="n">
        <v>1735</v>
      </c>
      <c r="Q50" t="n">
        <v>1980</v>
      </c>
      <c r="R50" t="n">
        <v>2225</v>
      </c>
      <c r="S50" t="n">
        <v>2470</v>
      </c>
      <c r="T50" t="n">
        <v>2715</v>
      </c>
      <c r="U50" t="n">
        <v>2960</v>
      </c>
      <c r="V50" t="n">
        <v>1518</v>
      </c>
      <c r="W50" t="n">
        <v>1196</v>
      </c>
      <c r="X50" t="n">
        <v>1147</v>
      </c>
      <c r="Y50" t="n">
        <v>3450</v>
      </c>
    </row>
    <row r="51">
      <c r="A51" t="n">
        <v>50</v>
      </c>
      <c r="B51" t="n">
        <v>0</v>
      </c>
      <c r="C51" t="n">
        <v>2108</v>
      </c>
      <c r="D51" t="n">
        <v>2677</v>
      </c>
      <c r="E51" t="n">
        <v>4302</v>
      </c>
      <c r="F51" t="n">
        <v>6902</v>
      </c>
      <c r="G51" t="n">
        <v>11010</v>
      </c>
      <c r="H51" t="n">
        <v>17514</v>
      </c>
      <c r="I51" t="n">
        <v>27704</v>
      </c>
      <c r="J51" t="n">
        <v>1500</v>
      </c>
      <c r="K51" t="n">
        <v>2677</v>
      </c>
      <c r="L51" t="n">
        <v>1500</v>
      </c>
      <c r="M51" t="n">
        <v>1000</v>
      </c>
      <c r="N51" t="n">
        <v>1250</v>
      </c>
      <c r="O51" t="n">
        <v>1500</v>
      </c>
      <c r="P51" t="n">
        <v>1750</v>
      </c>
      <c r="Q51" t="n">
        <v>2000</v>
      </c>
      <c r="R51" t="n">
        <v>2250</v>
      </c>
      <c r="S51" t="n">
        <v>2500</v>
      </c>
      <c r="T51" t="n">
        <v>2750</v>
      </c>
      <c r="U51" t="n">
        <v>3000</v>
      </c>
      <c r="V51" t="n">
        <v>1530</v>
      </c>
      <c r="W51" t="n">
        <v>1200</v>
      </c>
      <c r="X51" t="n">
        <v>1150</v>
      </c>
      <c r="Y51" t="n">
        <v>3500</v>
      </c>
    </row>
    <row r="52">
      <c r="A52" t="n">
        <v>51</v>
      </c>
      <c r="B52" t="n">
        <v>0</v>
      </c>
      <c r="C52" t="n">
        <v>2140</v>
      </c>
      <c r="D52" t="n">
        <v>2731</v>
      </c>
      <c r="E52" t="n">
        <v>4432</v>
      </c>
      <c r="F52" t="n">
        <v>7179</v>
      </c>
      <c r="G52" t="n">
        <v>11561</v>
      </c>
      <c r="H52" t="n">
        <v>18565</v>
      </c>
      <c r="I52" t="n">
        <v>29644</v>
      </c>
      <c r="J52" t="n">
        <v>1510</v>
      </c>
      <c r="K52" t="n">
        <v>2731</v>
      </c>
      <c r="L52" t="n">
        <v>1510</v>
      </c>
      <c r="M52" t="n">
        <v>1000</v>
      </c>
      <c r="N52" t="n">
        <v>1255</v>
      </c>
      <c r="O52" t="n">
        <v>1510</v>
      </c>
      <c r="P52" t="n">
        <v>1765</v>
      </c>
      <c r="Q52" t="n">
        <v>2020</v>
      </c>
      <c r="R52" t="n">
        <v>2275</v>
      </c>
      <c r="S52" t="n">
        <v>2530</v>
      </c>
      <c r="T52" t="n">
        <v>2785</v>
      </c>
      <c r="U52" t="n">
        <v>3040</v>
      </c>
      <c r="V52" t="n">
        <v>1542</v>
      </c>
      <c r="W52" t="n">
        <v>1204</v>
      </c>
      <c r="X52" t="n">
        <v>1153</v>
      </c>
      <c r="Y52" t="n">
        <v>3550</v>
      </c>
    </row>
    <row r="53">
      <c r="A53" t="n">
        <v>52</v>
      </c>
      <c r="B53" t="n">
        <v>0</v>
      </c>
      <c r="C53" t="n">
        <v>2173</v>
      </c>
      <c r="D53" t="n">
        <v>2786</v>
      </c>
      <c r="E53" t="n">
        <v>4565</v>
      </c>
      <c r="F53" t="n">
        <v>7467</v>
      </c>
      <c r="G53" t="n">
        <v>12140</v>
      </c>
      <c r="H53" t="n">
        <v>19679</v>
      </c>
      <c r="I53" t="n">
        <v>31720</v>
      </c>
      <c r="J53" t="n">
        <v>1520</v>
      </c>
      <c r="K53" t="n">
        <v>2786</v>
      </c>
      <c r="L53" t="n">
        <v>1520</v>
      </c>
      <c r="M53" t="n">
        <v>1000</v>
      </c>
      <c r="N53" t="n">
        <v>1260</v>
      </c>
      <c r="O53" t="n">
        <v>1520</v>
      </c>
      <c r="P53" t="n">
        <v>1780</v>
      </c>
      <c r="Q53" t="n">
        <v>2040</v>
      </c>
      <c r="R53" t="n">
        <v>2300</v>
      </c>
      <c r="S53" t="n">
        <v>2560</v>
      </c>
      <c r="T53" t="n">
        <v>2820</v>
      </c>
      <c r="U53" t="n">
        <v>3080</v>
      </c>
      <c r="V53" t="n">
        <v>1554</v>
      </c>
      <c r="W53" t="n">
        <v>1208</v>
      </c>
      <c r="X53" t="n">
        <v>1156</v>
      </c>
      <c r="Y53" t="n">
        <v>3600</v>
      </c>
    </row>
    <row r="54">
      <c r="A54" t="n">
        <v>53</v>
      </c>
      <c r="B54" t="n">
        <v>0</v>
      </c>
      <c r="C54" t="n">
        <v>2206</v>
      </c>
      <c r="D54" t="n">
        <v>2842</v>
      </c>
      <c r="E54" t="n">
        <v>4702</v>
      </c>
      <c r="F54" t="n">
        <v>7766</v>
      </c>
      <c r="G54" t="n">
        <v>12747</v>
      </c>
      <c r="H54" t="n">
        <v>20860</v>
      </c>
      <c r="I54" t="n">
        <v>33941</v>
      </c>
      <c r="J54" t="n">
        <v>1530</v>
      </c>
      <c r="K54" t="n">
        <v>2842</v>
      </c>
      <c r="L54" t="n">
        <v>1530</v>
      </c>
      <c r="M54" t="n">
        <v>1000</v>
      </c>
      <c r="N54" t="n">
        <v>1265</v>
      </c>
      <c r="O54" t="n">
        <v>1530</v>
      </c>
      <c r="P54" t="n">
        <v>1795</v>
      </c>
      <c r="Q54" t="n">
        <v>2060</v>
      </c>
      <c r="R54" t="n">
        <v>2325</v>
      </c>
      <c r="S54" t="n">
        <v>2590</v>
      </c>
      <c r="T54" t="n">
        <v>2855</v>
      </c>
      <c r="U54" t="n">
        <v>3120</v>
      </c>
      <c r="V54" t="n">
        <v>1566</v>
      </c>
      <c r="W54" t="n">
        <v>1212</v>
      </c>
      <c r="X54" t="n">
        <v>1159</v>
      </c>
      <c r="Y54" t="n">
        <v>3650</v>
      </c>
    </row>
    <row r="55">
      <c r="A55" t="n">
        <v>54</v>
      </c>
      <c r="B55" t="n">
        <v>0</v>
      </c>
      <c r="C55" t="n">
        <v>2240</v>
      </c>
      <c r="D55" t="n">
        <v>2899</v>
      </c>
      <c r="E55" t="n">
        <v>4844</v>
      </c>
      <c r="F55" t="n">
        <v>8077</v>
      </c>
      <c r="G55" t="n">
        <v>13385</v>
      </c>
      <c r="H55" t="n">
        <v>22112</v>
      </c>
      <c r="I55" t="n">
        <v>36317</v>
      </c>
      <c r="J55" t="n">
        <v>1540</v>
      </c>
      <c r="K55" t="n">
        <v>2899</v>
      </c>
      <c r="L55" t="n">
        <v>1540</v>
      </c>
      <c r="M55" t="n">
        <v>1000</v>
      </c>
      <c r="N55" t="n">
        <v>1270</v>
      </c>
      <c r="O55" t="n">
        <v>1540</v>
      </c>
      <c r="P55" t="n">
        <v>1810</v>
      </c>
      <c r="Q55" t="n">
        <v>2080</v>
      </c>
      <c r="R55" t="n">
        <v>2350</v>
      </c>
      <c r="S55" t="n">
        <v>2620</v>
      </c>
      <c r="T55" t="n">
        <v>2890</v>
      </c>
      <c r="U55" t="n">
        <v>3160</v>
      </c>
      <c r="V55" t="n">
        <v>1578</v>
      </c>
      <c r="W55" t="n">
        <v>1216</v>
      </c>
      <c r="X55" t="n">
        <v>1162</v>
      </c>
      <c r="Y55" t="n">
        <v>3700</v>
      </c>
    </row>
    <row r="56">
      <c r="A56" t="n">
        <v>55</v>
      </c>
      <c r="B56" t="n">
        <v>0</v>
      </c>
      <c r="C56" t="n">
        <v>2274</v>
      </c>
      <c r="D56" t="n">
        <v>2957</v>
      </c>
      <c r="E56" t="n">
        <v>4990</v>
      </c>
      <c r="F56" t="n">
        <v>8401</v>
      </c>
      <c r="G56" t="n">
        <v>14055</v>
      </c>
      <c r="H56" t="n">
        <v>23439</v>
      </c>
      <c r="I56" t="n">
        <v>38860</v>
      </c>
      <c r="J56" t="n">
        <v>1550</v>
      </c>
      <c r="K56" t="n">
        <v>2957</v>
      </c>
      <c r="L56" t="n">
        <v>1550</v>
      </c>
      <c r="M56" t="n">
        <v>1000</v>
      </c>
      <c r="N56" t="n">
        <v>1275</v>
      </c>
      <c r="O56" t="n">
        <v>1550</v>
      </c>
      <c r="P56" t="n">
        <v>1825</v>
      </c>
      <c r="Q56" t="n">
        <v>2100</v>
      </c>
      <c r="R56" t="n">
        <v>2375</v>
      </c>
      <c r="S56" t="n">
        <v>2650</v>
      </c>
      <c r="T56" t="n">
        <v>2925</v>
      </c>
      <c r="U56" t="n">
        <v>3200</v>
      </c>
      <c r="V56" t="n">
        <v>1590</v>
      </c>
      <c r="W56" t="n">
        <v>1220</v>
      </c>
      <c r="X56" t="n">
        <v>1165</v>
      </c>
      <c r="Y56" t="n">
        <v>3750</v>
      </c>
    </row>
    <row r="57">
      <c r="A57" t="n">
        <v>56</v>
      </c>
      <c r="B57" t="n">
        <v>0</v>
      </c>
      <c r="C57" t="n">
        <v>2309</v>
      </c>
      <c r="D57" t="n">
        <v>3017</v>
      </c>
      <c r="E57" t="n">
        <v>5140</v>
      </c>
      <c r="F57" t="n">
        <v>8738</v>
      </c>
      <c r="G57" t="n">
        <v>14758</v>
      </c>
      <c r="H57" t="n">
        <v>24846</v>
      </c>
      <c r="I57" t="n">
        <v>41581</v>
      </c>
      <c r="J57" t="n">
        <v>1560</v>
      </c>
      <c r="K57" t="n">
        <v>3017</v>
      </c>
      <c r="L57" t="n">
        <v>1560</v>
      </c>
      <c r="M57" t="n">
        <v>1000</v>
      </c>
      <c r="N57" t="n">
        <v>1280</v>
      </c>
      <c r="O57" t="n">
        <v>1560</v>
      </c>
      <c r="P57" t="n">
        <v>1840</v>
      </c>
      <c r="Q57" t="n">
        <v>2120</v>
      </c>
      <c r="R57" t="n">
        <v>2400</v>
      </c>
      <c r="S57" t="n">
        <v>2680</v>
      </c>
      <c r="T57" t="n">
        <v>2960</v>
      </c>
      <c r="U57" t="n">
        <v>3240</v>
      </c>
      <c r="V57" t="n">
        <v>1602</v>
      </c>
      <c r="W57" t="n">
        <v>1224</v>
      </c>
      <c r="X57" t="n">
        <v>1168</v>
      </c>
      <c r="Y57" t="n">
        <v>3800</v>
      </c>
    </row>
    <row r="58">
      <c r="A58" t="n">
        <v>57</v>
      </c>
      <c r="B58" t="n">
        <v>0</v>
      </c>
      <c r="C58" t="n">
        <v>2344</v>
      </c>
      <c r="D58" t="n">
        <v>3078</v>
      </c>
      <c r="E58" t="n">
        <v>5295</v>
      </c>
      <c r="F58" t="n">
        <v>9088</v>
      </c>
      <c r="G58" t="n">
        <v>15496</v>
      </c>
      <c r="H58" t="n">
        <v>26337</v>
      </c>
      <c r="I58" t="n">
        <v>44492</v>
      </c>
      <c r="J58" t="n">
        <v>1570</v>
      </c>
      <c r="K58" t="n">
        <v>3078</v>
      </c>
      <c r="L58" t="n">
        <v>1570</v>
      </c>
      <c r="M58" t="n">
        <v>1000</v>
      </c>
      <c r="N58" t="n">
        <v>1285</v>
      </c>
      <c r="O58" t="n">
        <v>1570</v>
      </c>
      <c r="P58" t="n">
        <v>1855</v>
      </c>
      <c r="Q58" t="n">
        <v>2140</v>
      </c>
      <c r="R58" t="n">
        <v>2425</v>
      </c>
      <c r="S58" t="n">
        <v>2710</v>
      </c>
      <c r="T58" t="n">
        <v>2995</v>
      </c>
      <c r="U58" t="n">
        <v>3280</v>
      </c>
      <c r="V58" t="n">
        <v>1615</v>
      </c>
      <c r="W58" t="n">
        <v>1228</v>
      </c>
      <c r="X58" t="n">
        <v>1171</v>
      </c>
      <c r="Y58" t="n">
        <v>3850</v>
      </c>
    </row>
    <row r="59">
      <c r="A59" t="n">
        <v>58</v>
      </c>
      <c r="B59" t="n">
        <v>0</v>
      </c>
      <c r="C59" t="n">
        <v>2380</v>
      </c>
      <c r="D59" t="n">
        <v>3140</v>
      </c>
      <c r="E59" t="n">
        <v>5454</v>
      </c>
      <c r="F59" t="n">
        <v>9452</v>
      </c>
      <c r="G59" t="n">
        <v>16271</v>
      </c>
      <c r="H59" t="n">
        <v>27918</v>
      </c>
      <c r="I59" t="n">
        <v>47607</v>
      </c>
      <c r="J59" t="n">
        <v>1580</v>
      </c>
      <c r="K59" t="n">
        <v>3140</v>
      </c>
      <c r="L59" t="n">
        <v>1580</v>
      </c>
      <c r="M59" t="n">
        <v>1000</v>
      </c>
      <c r="N59" t="n">
        <v>1290</v>
      </c>
      <c r="O59" t="n">
        <v>1580</v>
      </c>
      <c r="P59" t="n">
        <v>1870</v>
      </c>
      <c r="Q59" t="n">
        <v>2160</v>
      </c>
      <c r="R59" t="n">
        <v>2450</v>
      </c>
      <c r="S59" t="n">
        <v>2740</v>
      </c>
      <c r="T59" t="n">
        <v>3030</v>
      </c>
      <c r="U59" t="n">
        <v>3320</v>
      </c>
      <c r="V59" t="n">
        <v>1628</v>
      </c>
      <c r="W59" t="n">
        <v>1232</v>
      </c>
      <c r="X59" t="n">
        <v>1174</v>
      </c>
      <c r="Y59" t="n">
        <v>3900</v>
      </c>
    </row>
    <row r="60">
      <c r="A60" t="n">
        <v>59</v>
      </c>
      <c r="B60" t="n">
        <v>0</v>
      </c>
      <c r="C60" t="n">
        <v>2416</v>
      </c>
      <c r="D60" t="n">
        <v>3203</v>
      </c>
      <c r="E60" t="n">
        <v>5618</v>
      </c>
      <c r="F60" t="n">
        <v>9831</v>
      </c>
      <c r="G60" t="n">
        <v>17085</v>
      </c>
      <c r="H60" t="n">
        <v>29594</v>
      </c>
      <c r="I60" t="n">
        <v>50940</v>
      </c>
      <c r="J60" t="n">
        <v>1590</v>
      </c>
      <c r="K60" t="n">
        <v>3203</v>
      </c>
      <c r="L60" t="n">
        <v>1590</v>
      </c>
      <c r="M60" t="n">
        <v>1000</v>
      </c>
      <c r="N60" t="n">
        <v>1295</v>
      </c>
      <c r="O60" t="n">
        <v>1590</v>
      </c>
      <c r="P60" t="n">
        <v>1885</v>
      </c>
      <c r="Q60" t="n">
        <v>2180</v>
      </c>
      <c r="R60" t="n">
        <v>2475</v>
      </c>
      <c r="S60" t="n">
        <v>2770</v>
      </c>
      <c r="T60" t="n">
        <v>3065</v>
      </c>
      <c r="U60" t="n">
        <v>3360</v>
      </c>
      <c r="V60" t="n">
        <v>1641</v>
      </c>
      <c r="W60" t="n">
        <v>1236</v>
      </c>
      <c r="X60" t="n">
        <v>1177</v>
      </c>
      <c r="Y60" t="n">
        <v>3950</v>
      </c>
    </row>
    <row r="61">
      <c r="A61" t="n">
        <v>60</v>
      </c>
      <c r="B61" t="n">
        <v>0</v>
      </c>
      <c r="C61" t="n">
        <v>2453</v>
      </c>
      <c r="D61" t="n">
        <v>3268</v>
      </c>
      <c r="E61" t="n">
        <v>5787</v>
      </c>
      <c r="F61" t="n">
        <v>10225</v>
      </c>
      <c r="G61" t="n">
        <v>17940</v>
      </c>
      <c r="H61" t="n">
        <v>31370</v>
      </c>
      <c r="I61" t="n">
        <v>54506</v>
      </c>
      <c r="J61" t="n">
        <v>1600</v>
      </c>
      <c r="K61" t="n">
        <v>3268</v>
      </c>
      <c r="L61" t="n">
        <v>1600</v>
      </c>
      <c r="M61" t="n">
        <v>1000</v>
      </c>
      <c r="N61" t="n">
        <v>1300</v>
      </c>
      <c r="O61" t="n">
        <v>1600</v>
      </c>
      <c r="P61" t="n">
        <v>1900</v>
      </c>
      <c r="Q61" t="n">
        <v>2200</v>
      </c>
      <c r="R61" t="n">
        <v>2500</v>
      </c>
      <c r="S61" t="n">
        <v>2800</v>
      </c>
      <c r="T61" t="n">
        <v>3100</v>
      </c>
      <c r="U61" t="n">
        <v>3400</v>
      </c>
      <c r="V61" t="n">
        <v>1654</v>
      </c>
      <c r="W61" t="n">
        <v>1240</v>
      </c>
      <c r="X61" t="n">
        <v>1180</v>
      </c>
      <c r="Y61" t="n">
        <v>4000</v>
      </c>
    </row>
    <row r="62">
      <c r="A62" t="n">
        <v>61</v>
      </c>
      <c r="B62" t="n">
        <v>0</v>
      </c>
      <c r="C62" t="n">
        <v>2490</v>
      </c>
      <c r="D62" t="n">
        <v>3334</v>
      </c>
      <c r="E62" t="n">
        <v>5961</v>
      </c>
      <c r="F62" t="n">
        <v>10634</v>
      </c>
      <c r="G62" t="n">
        <v>18837</v>
      </c>
      <c r="H62" t="n">
        <v>33253</v>
      </c>
      <c r="I62" t="n">
        <v>58322</v>
      </c>
      <c r="J62" t="n">
        <v>1610</v>
      </c>
      <c r="K62" t="n">
        <v>3334</v>
      </c>
      <c r="L62" t="n">
        <v>1610</v>
      </c>
      <c r="M62" t="n">
        <v>1000</v>
      </c>
      <c r="N62" t="n">
        <v>1305</v>
      </c>
      <c r="O62" t="n">
        <v>1610</v>
      </c>
      <c r="P62" t="n">
        <v>1915</v>
      </c>
      <c r="Q62" t="n">
        <v>2220</v>
      </c>
      <c r="R62" t="n">
        <v>2525</v>
      </c>
      <c r="S62" t="n">
        <v>2830</v>
      </c>
      <c r="T62" t="n">
        <v>3135</v>
      </c>
      <c r="U62" t="n">
        <v>3440</v>
      </c>
      <c r="V62" t="n">
        <v>1667</v>
      </c>
      <c r="W62" t="n">
        <v>1244</v>
      </c>
      <c r="X62" t="n">
        <v>1183</v>
      </c>
      <c r="Y62" t="n">
        <v>4050</v>
      </c>
    </row>
    <row r="63">
      <c r="A63" t="n">
        <v>62</v>
      </c>
      <c r="B63" t="n">
        <v>0</v>
      </c>
      <c r="C63" t="n">
        <v>2528</v>
      </c>
      <c r="D63" t="n">
        <v>3401</v>
      </c>
      <c r="E63" t="n">
        <v>6140</v>
      </c>
      <c r="F63" t="n">
        <v>11060</v>
      </c>
      <c r="G63" t="n">
        <v>19779</v>
      </c>
      <c r="H63" t="n">
        <v>35249</v>
      </c>
      <c r="I63" t="n">
        <v>62405</v>
      </c>
      <c r="J63" t="n">
        <v>1620</v>
      </c>
      <c r="K63" t="n">
        <v>3401</v>
      </c>
      <c r="L63" t="n">
        <v>1620</v>
      </c>
      <c r="M63" t="n">
        <v>1000</v>
      </c>
      <c r="N63" t="n">
        <v>1310</v>
      </c>
      <c r="O63" t="n">
        <v>1620</v>
      </c>
      <c r="P63" t="n">
        <v>1930</v>
      </c>
      <c r="Q63" t="n">
        <v>2240</v>
      </c>
      <c r="R63" t="n">
        <v>2550</v>
      </c>
      <c r="S63" t="n">
        <v>2860</v>
      </c>
      <c r="T63" t="n">
        <v>3170</v>
      </c>
      <c r="U63" t="n">
        <v>3480</v>
      </c>
      <c r="V63" t="n">
        <v>1680</v>
      </c>
      <c r="W63" t="n">
        <v>1248</v>
      </c>
      <c r="X63" t="n">
        <v>1186</v>
      </c>
      <c r="Y63" t="n">
        <v>4100</v>
      </c>
    </row>
    <row r="64">
      <c r="A64" t="n">
        <v>63</v>
      </c>
      <c r="B64" t="n">
        <v>0</v>
      </c>
      <c r="C64" t="n">
        <v>2566</v>
      </c>
      <c r="D64" t="n">
        <v>3470</v>
      </c>
      <c r="E64" t="n">
        <v>6325</v>
      </c>
      <c r="F64" t="n">
        <v>11503</v>
      </c>
      <c r="G64" t="n">
        <v>20768</v>
      </c>
      <c r="H64" t="n">
        <v>37364</v>
      </c>
      <c r="I64" t="n">
        <v>66774</v>
      </c>
      <c r="J64" t="n">
        <v>1630</v>
      </c>
      <c r="K64" t="n">
        <v>3470</v>
      </c>
      <c r="L64" t="n">
        <v>1630</v>
      </c>
      <c r="M64" t="n">
        <v>1000</v>
      </c>
      <c r="N64" t="n">
        <v>1315</v>
      </c>
      <c r="O64" t="n">
        <v>1630</v>
      </c>
      <c r="P64" t="n">
        <v>1945</v>
      </c>
      <c r="Q64" t="n">
        <v>2260</v>
      </c>
      <c r="R64" t="n">
        <v>2575</v>
      </c>
      <c r="S64" t="n">
        <v>2890</v>
      </c>
      <c r="T64" t="n">
        <v>3205</v>
      </c>
      <c r="U64" t="n">
        <v>3520</v>
      </c>
      <c r="V64" t="n">
        <v>1693</v>
      </c>
      <c r="W64" t="n">
        <v>1252</v>
      </c>
      <c r="X64" t="n">
        <v>1189</v>
      </c>
      <c r="Y64" t="n">
        <v>4150</v>
      </c>
    </row>
    <row r="65">
      <c r="A65" t="n">
        <v>64</v>
      </c>
      <c r="B65" t="n">
        <v>0</v>
      </c>
      <c r="C65" t="n">
        <v>2605</v>
      </c>
      <c r="D65" t="n">
        <v>3540</v>
      </c>
      <c r="E65" t="n">
        <v>6515</v>
      </c>
      <c r="F65" t="n">
        <v>11964</v>
      </c>
      <c r="G65" t="n">
        <v>21807</v>
      </c>
      <c r="H65" t="n">
        <v>39606</v>
      </c>
      <c r="I65" t="n">
        <v>71449</v>
      </c>
      <c r="J65" t="n">
        <v>1640</v>
      </c>
      <c r="K65" t="n">
        <v>3540</v>
      </c>
      <c r="L65" t="n">
        <v>1640</v>
      </c>
      <c r="M65" t="n">
        <v>1000</v>
      </c>
      <c r="N65" t="n">
        <v>1320</v>
      </c>
      <c r="O65" t="n">
        <v>1640</v>
      </c>
      <c r="P65" t="n">
        <v>1960</v>
      </c>
      <c r="Q65" t="n">
        <v>2280</v>
      </c>
      <c r="R65" t="n">
        <v>2600</v>
      </c>
      <c r="S65" t="n">
        <v>2920</v>
      </c>
      <c r="T65" t="n">
        <v>3240</v>
      </c>
      <c r="U65" t="n">
        <v>3560</v>
      </c>
      <c r="V65" t="n">
        <v>1706</v>
      </c>
      <c r="W65" t="n">
        <v>1256</v>
      </c>
      <c r="X65" t="n">
        <v>1192</v>
      </c>
      <c r="Y65" t="n">
        <v>4200</v>
      </c>
    </row>
    <row r="66">
      <c r="A66" t="n">
        <v>65</v>
      </c>
      <c r="B66" t="n">
        <v>0</v>
      </c>
      <c r="C66" t="n">
        <v>2645</v>
      </c>
      <c r="D66" t="n">
        <v>3611</v>
      </c>
      <c r="E66" t="n">
        <v>6711</v>
      </c>
      <c r="F66" t="n">
        <v>12443</v>
      </c>
      <c r="G66" t="n">
        <v>22898</v>
      </c>
      <c r="H66" t="n">
        <v>41983</v>
      </c>
      <c r="I66" t="n">
        <v>76451</v>
      </c>
      <c r="J66" t="n">
        <v>1650</v>
      </c>
      <c r="K66" t="n">
        <v>3611</v>
      </c>
      <c r="L66" t="n">
        <v>1650</v>
      </c>
      <c r="M66" t="n">
        <v>1000</v>
      </c>
      <c r="N66" t="n">
        <v>1325</v>
      </c>
      <c r="O66" t="n">
        <v>1650</v>
      </c>
      <c r="P66" t="n">
        <v>1975</v>
      </c>
      <c r="Q66" t="n">
        <v>2300</v>
      </c>
      <c r="R66" t="n">
        <v>2625</v>
      </c>
      <c r="S66" t="n">
        <v>2950</v>
      </c>
      <c r="T66" t="n">
        <v>3275</v>
      </c>
      <c r="U66" t="n">
        <v>3600</v>
      </c>
      <c r="V66" t="n">
        <v>1719</v>
      </c>
      <c r="W66" t="n">
        <v>1260</v>
      </c>
      <c r="X66" t="n">
        <v>1195</v>
      </c>
      <c r="Y66" t="n">
        <v>4250</v>
      </c>
    </row>
    <row r="67">
      <c r="A67" t="n">
        <v>66</v>
      </c>
      <c r="B67" t="n">
        <v>0</v>
      </c>
      <c r="C67" t="n">
        <v>2685</v>
      </c>
      <c r="D67" t="n">
        <v>3684</v>
      </c>
      <c r="E67" t="n">
        <v>6913</v>
      </c>
      <c r="F67" t="n">
        <v>12941</v>
      </c>
      <c r="G67" t="n">
        <v>24043</v>
      </c>
      <c r="H67" t="n">
        <v>44502</v>
      </c>
      <c r="I67" t="n">
        <v>81803</v>
      </c>
      <c r="J67" t="n">
        <v>1660</v>
      </c>
      <c r="K67" t="n">
        <v>3684</v>
      </c>
      <c r="L67" t="n">
        <v>1660</v>
      </c>
      <c r="M67" t="n">
        <v>1000</v>
      </c>
      <c r="N67" t="n">
        <v>1330</v>
      </c>
      <c r="O67" t="n">
        <v>1660</v>
      </c>
      <c r="P67" t="n">
        <v>1990</v>
      </c>
      <c r="Q67" t="n">
        <v>2320</v>
      </c>
      <c r="R67" t="n">
        <v>2650</v>
      </c>
      <c r="S67" t="n">
        <v>2980</v>
      </c>
      <c r="T67" t="n">
        <v>3310</v>
      </c>
      <c r="U67" t="n">
        <v>3640</v>
      </c>
      <c r="V67" t="n">
        <v>1732</v>
      </c>
      <c r="W67" t="n">
        <v>1264</v>
      </c>
      <c r="X67" t="n">
        <v>1198</v>
      </c>
      <c r="Y67" t="n">
        <v>4300</v>
      </c>
    </row>
    <row r="68">
      <c r="A68" t="n">
        <v>67</v>
      </c>
      <c r="B68" t="n">
        <v>0</v>
      </c>
      <c r="C68" t="n">
        <v>2726</v>
      </c>
      <c r="D68" t="n">
        <v>3758</v>
      </c>
      <c r="E68" t="n">
        <v>7121</v>
      </c>
      <c r="F68" t="n">
        <v>13459</v>
      </c>
      <c r="G68" t="n">
        <v>25246</v>
      </c>
      <c r="H68" t="n">
        <v>47173</v>
      </c>
      <c r="I68" t="n">
        <v>87530</v>
      </c>
      <c r="J68" t="n">
        <v>1670</v>
      </c>
      <c r="K68" t="n">
        <v>3758</v>
      </c>
      <c r="L68" t="n">
        <v>1670</v>
      </c>
      <c r="M68" t="n">
        <v>1000</v>
      </c>
      <c r="N68" t="n">
        <v>1335</v>
      </c>
      <c r="O68" t="n">
        <v>1670</v>
      </c>
      <c r="P68" t="n">
        <v>2005</v>
      </c>
      <c r="Q68" t="n">
        <v>2340</v>
      </c>
      <c r="R68" t="n">
        <v>2675</v>
      </c>
      <c r="S68" t="n">
        <v>3010</v>
      </c>
      <c r="T68" t="n">
        <v>3345</v>
      </c>
      <c r="U68" t="n">
        <v>3680</v>
      </c>
      <c r="V68" t="n">
        <v>1745</v>
      </c>
      <c r="W68" t="n">
        <v>1268</v>
      </c>
      <c r="X68" t="n">
        <v>1201</v>
      </c>
      <c r="Y68" t="n">
        <v>4350</v>
      </c>
    </row>
    <row r="69">
      <c r="A69" t="n">
        <v>68</v>
      </c>
      <c r="B69" t="n">
        <v>0</v>
      </c>
      <c r="C69" t="n">
        <v>2767</v>
      </c>
      <c r="D69" t="n">
        <v>3834</v>
      </c>
      <c r="E69" t="n">
        <v>7335</v>
      </c>
      <c r="F69" t="n">
        <v>13998</v>
      </c>
      <c r="G69" t="n">
        <v>26509</v>
      </c>
      <c r="H69" t="n">
        <v>50004</v>
      </c>
      <c r="I69" t="n">
        <v>93658</v>
      </c>
      <c r="J69" t="n">
        <v>1680</v>
      </c>
      <c r="K69" t="n">
        <v>3834</v>
      </c>
      <c r="L69" t="n">
        <v>1680</v>
      </c>
      <c r="M69" t="n">
        <v>1000</v>
      </c>
      <c r="N69" t="n">
        <v>1340</v>
      </c>
      <c r="O69" t="n">
        <v>1680</v>
      </c>
      <c r="P69" t="n">
        <v>2020</v>
      </c>
      <c r="Q69" t="n">
        <v>2360</v>
      </c>
      <c r="R69" t="n">
        <v>2700</v>
      </c>
      <c r="S69" t="n">
        <v>3040</v>
      </c>
      <c r="T69" t="n">
        <v>3380</v>
      </c>
      <c r="U69" t="n">
        <v>3720</v>
      </c>
      <c r="V69" t="n">
        <v>1758</v>
      </c>
      <c r="W69" t="n">
        <v>1272</v>
      </c>
      <c r="X69" t="n">
        <v>1204</v>
      </c>
      <c r="Y69" t="n">
        <v>4400</v>
      </c>
    </row>
    <row r="70">
      <c r="A70" t="n">
        <v>69</v>
      </c>
      <c r="B70" t="n">
        <v>0</v>
      </c>
      <c r="C70" t="n">
        <v>2809</v>
      </c>
      <c r="D70" t="n">
        <v>3911</v>
      </c>
      <c r="E70" t="n">
        <v>7556</v>
      </c>
      <c r="F70" t="n">
        <v>14558</v>
      </c>
      <c r="G70" t="n">
        <v>27835</v>
      </c>
      <c r="H70" t="n">
        <v>53005</v>
      </c>
      <c r="I70" t="n">
        <v>100215</v>
      </c>
      <c r="J70" t="n">
        <v>1690</v>
      </c>
      <c r="K70" t="n">
        <v>3911</v>
      </c>
      <c r="L70" t="n">
        <v>1690</v>
      </c>
      <c r="M70" t="n">
        <v>1000</v>
      </c>
      <c r="N70" t="n">
        <v>1345</v>
      </c>
      <c r="O70" t="n">
        <v>1690</v>
      </c>
      <c r="P70" t="n">
        <v>2035</v>
      </c>
      <c r="Q70" t="n">
        <v>2380</v>
      </c>
      <c r="R70" t="n">
        <v>2725</v>
      </c>
      <c r="S70" t="n">
        <v>3070</v>
      </c>
      <c r="T70" t="n">
        <v>3415</v>
      </c>
      <c r="U70" t="n">
        <v>3760</v>
      </c>
      <c r="V70" t="n">
        <v>1771</v>
      </c>
      <c r="W70" t="n">
        <v>1276</v>
      </c>
      <c r="X70" t="n">
        <v>1207</v>
      </c>
      <c r="Y70" t="n">
        <v>4450</v>
      </c>
    </row>
    <row r="71">
      <c r="A71" t="n">
        <v>70</v>
      </c>
      <c r="B71" t="n">
        <v>0</v>
      </c>
      <c r="C71" t="n">
        <v>2852</v>
      </c>
      <c r="D71" t="n">
        <v>3990</v>
      </c>
      <c r="E71" t="n">
        <v>7783</v>
      </c>
      <c r="F71" t="n">
        <v>15141</v>
      </c>
      <c r="G71" t="n">
        <v>29227</v>
      </c>
      <c r="H71" t="n">
        <v>56186</v>
      </c>
      <c r="I71" t="n">
        <v>107231</v>
      </c>
      <c r="J71" t="n">
        <v>1700</v>
      </c>
      <c r="K71" t="n">
        <v>3990</v>
      </c>
      <c r="L71" t="n">
        <v>1700</v>
      </c>
      <c r="M71" t="n">
        <v>1000</v>
      </c>
      <c r="N71" t="n">
        <v>1350</v>
      </c>
      <c r="O71" t="n">
        <v>1700</v>
      </c>
      <c r="P71" t="n">
        <v>2050</v>
      </c>
      <c r="Q71" t="n">
        <v>2400</v>
      </c>
      <c r="R71" t="n">
        <v>2750</v>
      </c>
      <c r="S71" t="n">
        <v>3100</v>
      </c>
      <c r="T71" t="n">
        <v>3450</v>
      </c>
      <c r="U71" t="n">
        <v>3800</v>
      </c>
      <c r="V71" t="n">
        <v>1784</v>
      </c>
      <c r="W71" t="n">
        <v>1280</v>
      </c>
      <c r="X71" t="n">
        <v>1210</v>
      </c>
      <c r="Y71" t="n">
        <v>4500</v>
      </c>
    </row>
    <row r="72">
      <c r="A72" t="n">
        <v>71</v>
      </c>
      <c r="B72" t="n">
        <v>0</v>
      </c>
      <c r="C72" t="n">
        <v>2895</v>
      </c>
      <c r="D72" t="n">
        <v>4070</v>
      </c>
      <c r="E72" t="n">
        <v>8017</v>
      </c>
      <c r="F72" t="n">
        <v>15747</v>
      </c>
      <c r="G72" t="n">
        <v>30689</v>
      </c>
      <c r="H72" t="n">
        <v>59558</v>
      </c>
      <c r="I72" t="n">
        <v>114738</v>
      </c>
      <c r="J72" t="n">
        <v>1710</v>
      </c>
      <c r="K72" t="n">
        <v>4070</v>
      </c>
      <c r="L72" t="n">
        <v>1710</v>
      </c>
      <c r="M72" t="n">
        <v>1000</v>
      </c>
      <c r="N72" t="n">
        <v>1355</v>
      </c>
      <c r="O72" t="n">
        <v>1710</v>
      </c>
      <c r="P72" t="n">
        <v>2065</v>
      </c>
      <c r="Q72" t="n">
        <v>2420</v>
      </c>
      <c r="R72" t="n">
        <v>2775</v>
      </c>
      <c r="S72" t="n">
        <v>3130</v>
      </c>
      <c r="T72" t="n">
        <v>3485</v>
      </c>
      <c r="U72" t="n">
        <v>3840</v>
      </c>
      <c r="V72" t="n">
        <v>1797</v>
      </c>
      <c r="W72" t="n">
        <v>1284</v>
      </c>
      <c r="X72" t="n">
        <v>1213</v>
      </c>
      <c r="Y72" t="n">
        <v>4550</v>
      </c>
    </row>
    <row r="73">
      <c r="A73" t="n">
        <v>72</v>
      </c>
      <c r="B73" t="n">
        <v>0</v>
      </c>
      <c r="C73" t="n">
        <v>2939</v>
      </c>
      <c r="D73" t="n">
        <v>4152</v>
      </c>
      <c r="E73" t="n">
        <v>8258</v>
      </c>
      <c r="F73" t="n">
        <v>16377</v>
      </c>
      <c r="G73" t="n">
        <v>32224</v>
      </c>
      <c r="H73" t="n">
        <v>63132</v>
      </c>
      <c r="I73" t="n">
        <v>122770</v>
      </c>
      <c r="J73" t="n">
        <v>1720</v>
      </c>
      <c r="K73" t="n">
        <v>4152</v>
      </c>
      <c r="L73" t="n">
        <v>1720</v>
      </c>
      <c r="M73" t="n">
        <v>1000</v>
      </c>
      <c r="N73" t="n">
        <v>1360</v>
      </c>
      <c r="O73" t="n">
        <v>1720</v>
      </c>
      <c r="P73" t="n">
        <v>2080</v>
      </c>
      <c r="Q73" t="n">
        <v>2440</v>
      </c>
      <c r="R73" t="n">
        <v>2800</v>
      </c>
      <c r="S73" t="n">
        <v>3160</v>
      </c>
      <c r="T73" t="n">
        <v>3520</v>
      </c>
      <c r="U73" t="n">
        <v>3880</v>
      </c>
      <c r="V73" t="n">
        <v>1811</v>
      </c>
      <c r="W73" t="n">
        <v>1288</v>
      </c>
      <c r="X73" t="n">
        <v>1216</v>
      </c>
      <c r="Y73" t="n">
        <v>4600</v>
      </c>
    </row>
    <row r="74">
      <c r="A74" t="n">
        <v>73</v>
      </c>
      <c r="B74" t="n">
        <v>0</v>
      </c>
      <c r="C74" t="n">
        <v>2984</v>
      </c>
      <c r="D74" t="n">
        <v>4236</v>
      </c>
      <c r="E74" t="n">
        <v>8506</v>
      </c>
      <c r="F74" t="n">
        <v>17033</v>
      </c>
      <c r="G74" t="n">
        <v>33836</v>
      </c>
      <c r="H74" t="n">
        <v>66920</v>
      </c>
      <c r="I74" t="n">
        <v>131364</v>
      </c>
      <c r="J74" t="n">
        <v>1730</v>
      </c>
      <c r="K74" t="n">
        <v>4236</v>
      </c>
      <c r="L74" t="n">
        <v>1730</v>
      </c>
      <c r="M74" t="n">
        <v>1000</v>
      </c>
      <c r="N74" t="n">
        <v>1365</v>
      </c>
      <c r="O74" t="n">
        <v>1730</v>
      </c>
      <c r="P74" t="n">
        <v>2095</v>
      </c>
      <c r="Q74" t="n">
        <v>2460</v>
      </c>
      <c r="R74" t="n">
        <v>2825</v>
      </c>
      <c r="S74" t="n">
        <v>3190</v>
      </c>
      <c r="T74" t="n">
        <v>3555</v>
      </c>
      <c r="U74" t="n">
        <v>3920</v>
      </c>
      <c r="V74" t="n">
        <v>1825</v>
      </c>
      <c r="W74" t="n">
        <v>1292</v>
      </c>
      <c r="X74" t="n">
        <v>1219</v>
      </c>
      <c r="Y74" t="n">
        <v>4650</v>
      </c>
    </row>
    <row r="75">
      <c r="A75" t="n">
        <v>74</v>
      </c>
      <c r="B75" t="n">
        <v>0</v>
      </c>
      <c r="C75" t="n">
        <v>3029</v>
      </c>
      <c r="D75" t="n">
        <v>4321</v>
      </c>
      <c r="E75" t="n">
        <v>8762</v>
      </c>
      <c r="F75" t="n">
        <v>17715</v>
      </c>
      <c r="G75" t="n">
        <v>35528</v>
      </c>
      <c r="H75" t="n">
        <v>70936</v>
      </c>
      <c r="I75" t="n">
        <v>140560</v>
      </c>
      <c r="J75" t="n">
        <v>1740</v>
      </c>
      <c r="K75" t="n">
        <v>4321</v>
      </c>
      <c r="L75" t="n">
        <v>1740</v>
      </c>
      <c r="M75" t="n">
        <v>1000</v>
      </c>
      <c r="N75" t="n">
        <v>1370</v>
      </c>
      <c r="O75" t="n">
        <v>1740</v>
      </c>
      <c r="P75" t="n">
        <v>2110</v>
      </c>
      <c r="Q75" t="n">
        <v>2480</v>
      </c>
      <c r="R75" t="n">
        <v>2850</v>
      </c>
      <c r="S75" t="n">
        <v>3220</v>
      </c>
      <c r="T75" t="n">
        <v>3590</v>
      </c>
      <c r="U75" t="n">
        <v>3960</v>
      </c>
      <c r="V75" t="n">
        <v>1839</v>
      </c>
      <c r="W75" t="n">
        <v>1296</v>
      </c>
      <c r="X75" t="n">
        <v>1222</v>
      </c>
      <c r="Y75" t="n">
        <v>4700</v>
      </c>
    </row>
    <row r="76">
      <c r="A76" t="n">
        <v>75</v>
      </c>
      <c r="B76" t="n">
        <v>0</v>
      </c>
      <c r="C76" t="n">
        <v>3075</v>
      </c>
      <c r="D76" t="n">
        <v>4408</v>
      </c>
      <c r="E76" t="n">
        <v>9025</v>
      </c>
      <c r="F76" t="n">
        <v>18424</v>
      </c>
      <c r="G76" t="n">
        <v>37305</v>
      </c>
      <c r="H76" t="n">
        <v>75193</v>
      </c>
      <c r="I76" t="n">
        <v>150400</v>
      </c>
      <c r="J76" t="n">
        <v>1750</v>
      </c>
      <c r="K76" t="n">
        <v>4408</v>
      </c>
      <c r="L76" t="n">
        <v>1750</v>
      </c>
      <c r="M76" t="n">
        <v>1000</v>
      </c>
      <c r="N76" t="n">
        <v>1375</v>
      </c>
      <c r="O76" t="n">
        <v>1750</v>
      </c>
      <c r="P76" t="n">
        <v>2125</v>
      </c>
      <c r="Q76" t="n">
        <v>2500</v>
      </c>
      <c r="R76" t="n">
        <v>2875</v>
      </c>
      <c r="S76" t="n">
        <v>3250</v>
      </c>
      <c r="T76" t="n">
        <v>3625</v>
      </c>
      <c r="U76" t="n">
        <v>4000</v>
      </c>
      <c r="V76" t="n">
        <v>1853</v>
      </c>
      <c r="W76" t="n">
        <v>1300</v>
      </c>
      <c r="X76" t="n">
        <v>1225</v>
      </c>
      <c r="Y76" t="n">
        <v>4750</v>
      </c>
    </row>
    <row r="77">
      <c r="A77" t="n">
        <v>76</v>
      </c>
      <c r="B77" t="n">
        <v>0</v>
      </c>
      <c r="C77" t="n">
        <v>3122</v>
      </c>
      <c r="D77" t="n">
        <v>4497</v>
      </c>
      <c r="E77" t="n">
        <v>9296</v>
      </c>
      <c r="F77" t="n">
        <v>19161</v>
      </c>
      <c r="G77" t="n">
        <v>39171</v>
      </c>
      <c r="H77" t="n">
        <v>79705</v>
      </c>
      <c r="I77" t="n">
        <v>160928</v>
      </c>
      <c r="J77" t="n">
        <v>1760</v>
      </c>
      <c r="K77" t="n">
        <v>4497</v>
      </c>
      <c r="L77" t="n">
        <v>1760</v>
      </c>
      <c r="M77" t="n">
        <v>1000</v>
      </c>
      <c r="N77" t="n">
        <v>1380</v>
      </c>
      <c r="O77" t="n">
        <v>1760</v>
      </c>
      <c r="P77" t="n">
        <v>2140</v>
      </c>
      <c r="Q77" t="n">
        <v>2520</v>
      </c>
      <c r="R77" t="n">
        <v>2900</v>
      </c>
      <c r="S77" t="n">
        <v>3280</v>
      </c>
      <c r="T77" t="n">
        <v>3660</v>
      </c>
      <c r="U77" t="n">
        <v>4040</v>
      </c>
      <c r="V77" t="n">
        <v>1867</v>
      </c>
      <c r="W77" t="n">
        <v>1304</v>
      </c>
      <c r="X77" t="n">
        <v>1228</v>
      </c>
      <c r="Y77" t="n">
        <v>4800</v>
      </c>
    </row>
    <row r="78">
      <c r="A78" t="n">
        <v>77</v>
      </c>
      <c r="B78" t="n">
        <v>0</v>
      </c>
      <c r="C78" t="n">
        <v>3169</v>
      </c>
      <c r="D78" t="n">
        <v>4587</v>
      </c>
      <c r="E78" t="n">
        <v>9575</v>
      </c>
      <c r="F78" t="n">
        <v>19928</v>
      </c>
      <c r="G78" t="n">
        <v>41130</v>
      </c>
      <c r="H78" t="n">
        <v>84488</v>
      </c>
      <c r="I78" t="n">
        <v>172193</v>
      </c>
      <c r="J78" t="n">
        <v>1770</v>
      </c>
      <c r="K78" t="n">
        <v>4587</v>
      </c>
      <c r="L78" t="n">
        <v>1770</v>
      </c>
      <c r="M78" t="n">
        <v>1000</v>
      </c>
      <c r="N78" t="n">
        <v>1385</v>
      </c>
      <c r="O78" t="n">
        <v>1770</v>
      </c>
      <c r="P78" t="n">
        <v>2155</v>
      </c>
      <c r="Q78" t="n">
        <v>2540</v>
      </c>
      <c r="R78" t="n">
        <v>2925</v>
      </c>
      <c r="S78" t="n">
        <v>3310</v>
      </c>
      <c r="T78" t="n">
        <v>3695</v>
      </c>
      <c r="U78" t="n">
        <v>4080</v>
      </c>
      <c r="V78" t="n">
        <v>1881</v>
      </c>
      <c r="W78" t="n">
        <v>1308</v>
      </c>
      <c r="X78" t="n">
        <v>1231</v>
      </c>
      <c r="Y78" t="n">
        <v>4850</v>
      </c>
    </row>
    <row r="79">
      <c r="A79" t="n">
        <v>78</v>
      </c>
      <c r="B79" t="n">
        <v>0</v>
      </c>
      <c r="C79" t="n">
        <v>3217</v>
      </c>
      <c r="D79" t="n">
        <v>4679</v>
      </c>
      <c r="E79" t="n">
        <v>9863</v>
      </c>
      <c r="F79" t="n">
        <v>20726</v>
      </c>
      <c r="G79" t="n">
        <v>43187</v>
      </c>
      <c r="H79" t="n">
        <v>89558</v>
      </c>
      <c r="I79" t="n">
        <v>184247</v>
      </c>
      <c r="J79" t="n">
        <v>1780</v>
      </c>
      <c r="K79" t="n">
        <v>4679</v>
      </c>
      <c r="L79" t="n">
        <v>1780</v>
      </c>
      <c r="M79" t="n">
        <v>1000</v>
      </c>
      <c r="N79" t="n">
        <v>1390</v>
      </c>
      <c r="O79" t="n">
        <v>1780</v>
      </c>
      <c r="P79" t="n">
        <v>2170</v>
      </c>
      <c r="Q79" t="n">
        <v>2560</v>
      </c>
      <c r="R79" t="n">
        <v>2950</v>
      </c>
      <c r="S79" t="n">
        <v>3340</v>
      </c>
      <c r="T79" t="n">
        <v>3730</v>
      </c>
      <c r="U79" t="n">
        <v>4120</v>
      </c>
      <c r="V79" t="n">
        <v>1895</v>
      </c>
      <c r="W79" t="n">
        <v>1312</v>
      </c>
      <c r="X79" t="n">
        <v>1234</v>
      </c>
      <c r="Y79" t="n">
        <v>4900</v>
      </c>
    </row>
    <row r="80">
      <c r="A80" t="n">
        <v>79</v>
      </c>
      <c r="B80" t="n">
        <v>0</v>
      </c>
      <c r="C80" t="n">
        <v>3266</v>
      </c>
      <c r="D80" t="n">
        <v>4773</v>
      </c>
      <c r="E80" t="n">
        <v>10159</v>
      </c>
      <c r="F80" t="n">
        <v>21556</v>
      </c>
      <c r="G80" t="n">
        <v>45347</v>
      </c>
      <c r="H80" t="n">
        <v>94932</v>
      </c>
      <c r="I80" t="n">
        <v>197145</v>
      </c>
      <c r="J80" t="n">
        <v>1790</v>
      </c>
      <c r="K80" t="n">
        <v>4773</v>
      </c>
      <c r="L80" t="n">
        <v>1790</v>
      </c>
      <c r="M80" t="n">
        <v>1000</v>
      </c>
      <c r="N80" t="n">
        <v>1395</v>
      </c>
      <c r="O80" t="n">
        <v>1790</v>
      </c>
      <c r="P80" t="n">
        <v>2185</v>
      </c>
      <c r="Q80" t="n">
        <v>2580</v>
      </c>
      <c r="R80" t="n">
        <v>2975</v>
      </c>
      <c r="S80" t="n">
        <v>3370</v>
      </c>
      <c r="T80" t="n">
        <v>3765</v>
      </c>
      <c r="U80" t="n">
        <v>4160</v>
      </c>
      <c r="V80" t="n">
        <v>1909</v>
      </c>
      <c r="W80" t="n">
        <v>1316</v>
      </c>
      <c r="X80" t="n">
        <v>1237</v>
      </c>
      <c r="Y80" t="n">
        <v>4950</v>
      </c>
    </row>
    <row r="81">
      <c r="A81" t="n">
        <v>80</v>
      </c>
      <c r="B81" t="n">
        <v>0</v>
      </c>
      <c r="C81" t="n">
        <v>3315</v>
      </c>
      <c r="D81" t="n">
        <v>4869</v>
      </c>
      <c r="E81" t="n">
        <v>10464</v>
      </c>
      <c r="F81" t="n">
        <v>22419</v>
      </c>
      <c r="G81" t="n">
        <v>47615</v>
      </c>
      <c r="H81" t="n">
        <v>100628</v>
      </c>
      <c r="I81" t="n">
        <v>210946</v>
      </c>
      <c r="J81" t="n">
        <v>1800</v>
      </c>
      <c r="K81" t="n">
        <v>4869</v>
      </c>
      <c r="L81" t="n">
        <v>1800</v>
      </c>
      <c r="M81" t="n">
        <v>1000</v>
      </c>
      <c r="N81" t="n">
        <v>1400</v>
      </c>
      <c r="O81" t="n">
        <v>1800</v>
      </c>
      <c r="P81" t="n">
        <v>2200</v>
      </c>
      <c r="Q81" t="n">
        <v>2600</v>
      </c>
      <c r="R81" t="n">
        <v>3000</v>
      </c>
      <c r="S81" t="n">
        <v>3400</v>
      </c>
      <c r="T81" t="n">
        <v>3800</v>
      </c>
      <c r="U81" t="n">
        <v>4200</v>
      </c>
      <c r="V81" t="n">
        <v>1923</v>
      </c>
      <c r="W81" t="n">
        <v>1320</v>
      </c>
      <c r="X81" t="n">
        <v>1240</v>
      </c>
      <c r="Y81" t="n">
        <v>5000</v>
      </c>
    </row>
    <row r="82">
      <c r="A82" t="n">
        <v>81</v>
      </c>
      <c r="B82" t="n">
        <v>0</v>
      </c>
      <c r="C82" t="n">
        <v>3365</v>
      </c>
      <c r="D82" t="n">
        <v>4967</v>
      </c>
      <c r="E82" t="n">
        <v>10778</v>
      </c>
      <c r="F82" t="n">
        <v>23316</v>
      </c>
      <c r="G82" t="n">
        <v>49996</v>
      </c>
      <c r="H82" t="n">
        <v>106666</v>
      </c>
      <c r="I82" t="n">
        <v>225713</v>
      </c>
      <c r="J82" t="n">
        <v>1810</v>
      </c>
      <c r="K82" t="n">
        <v>4967</v>
      </c>
      <c r="L82" t="n">
        <v>1810</v>
      </c>
      <c r="M82" t="n">
        <v>1000</v>
      </c>
      <c r="N82" t="n">
        <v>1405</v>
      </c>
      <c r="O82" t="n">
        <v>1810</v>
      </c>
      <c r="P82" t="n">
        <v>2215</v>
      </c>
      <c r="Q82" t="n">
        <v>2620</v>
      </c>
      <c r="R82" t="n">
        <v>3025</v>
      </c>
      <c r="S82" t="n">
        <v>3430</v>
      </c>
      <c r="T82" t="n">
        <v>3835</v>
      </c>
      <c r="U82" t="n">
        <v>4240</v>
      </c>
      <c r="V82" t="n">
        <v>1937</v>
      </c>
      <c r="W82" t="n">
        <v>1324</v>
      </c>
      <c r="X82" t="n">
        <v>1243</v>
      </c>
      <c r="Y82" t="n">
        <v>5050</v>
      </c>
    </row>
    <row r="83">
      <c r="A83" t="n">
        <v>82</v>
      </c>
      <c r="B83" t="n">
        <v>0</v>
      </c>
      <c r="C83" t="n">
        <v>3416</v>
      </c>
      <c r="D83" t="n">
        <v>5067</v>
      </c>
      <c r="E83" t="n">
        <v>11102</v>
      </c>
      <c r="F83" t="n">
        <v>24249</v>
      </c>
      <c r="G83" t="n">
        <v>52496</v>
      </c>
      <c r="H83" t="n">
        <v>113066</v>
      </c>
      <c r="I83" t="n">
        <v>241513</v>
      </c>
      <c r="J83" t="n">
        <v>1820</v>
      </c>
      <c r="K83" t="n">
        <v>5067</v>
      </c>
      <c r="L83" t="n">
        <v>1820</v>
      </c>
      <c r="M83" t="n">
        <v>1000</v>
      </c>
      <c r="N83" t="n">
        <v>1410</v>
      </c>
      <c r="O83" t="n">
        <v>1820</v>
      </c>
      <c r="P83" t="n">
        <v>2230</v>
      </c>
      <c r="Q83" t="n">
        <v>2640</v>
      </c>
      <c r="R83" t="n">
        <v>3050</v>
      </c>
      <c r="S83" t="n">
        <v>3460</v>
      </c>
      <c r="T83" t="n">
        <v>3870</v>
      </c>
      <c r="U83" t="n">
        <v>4280</v>
      </c>
      <c r="V83" t="n">
        <v>1951</v>
      </c>
      <c r="W83" t="n">
        <v>1328</v>
      </c>
      <c r="X83" t="n">
        <v>1246</v>
      </c>
      <c r="Y83" t="n">
        <v>5100</v>
      </c>
    </row>
    <row r="84">
      <c r="A84" t="n">
        <v>83</v>
      </c>
      <c r="B84" t="n">
        <v>0</v>
      </c>
      <c r="C84" t="n">
        <v>3468</v>
      </c>
      <c r="D84" t="n">
        <v>5169</v>
      </c>
      <c r="E84" t="n">
        <v>11436</v>
      </c>
      <c r="F84" t="n">
        <v>25219</v>
      </c>
      <c r="G84" t="n">
        <v>55121</v>
      </c>
      <c r="H84" t="n">
        <v>119850</v>
      </c>
      <c r="I84" t="n">
        <v>258419</v>
      </c>
      <c r="J84" t="n">
        <v>1830</v>
      </c>
      <c r="K84" t="n">
        <v>5169</v>
      </c>
      <c r="L84" t="n">
        <v>1830</v>
      </c>
      <c r="M84" t="n">
        <v>1000</v>
      </c>
      <c r="N84" t="n">
        <v>1415</v>
      </c>
      <c r="O84" t="n">
        <v>1830</v>
      </c>
      <c r="P84" t="n">
        <v>2245</v>
      </c>
      <c r="Q84" t="n">
        <v>2660</v>
      </c>
      <c r="R84" t="n">
        <v>3075</v>
      </c>
      <c r="S84" t="n">
        <v>3490</v>
      </c>
      <c r="T84" t="n">
        <v>3905</v>
      </c>
      <c r="U84" t="n">
        <v>4320</v>
      </c>
      <c r="V84" t="n">
        <v>1965</v>
      </c>
      <c r="W84" t="n">
        <v>1332</v>
      </c>
      <c r="X84" t="n">
        <v>1249</v>
      </c>
      <c r="Y84" t="n">
        <v>5150</v>
      </c>
    </row>
    <row r="85">
      <c r="A85" t="n">
        <v>84</v>
      </c>
      <c r="B85" t="n">
        <v>0</v>
      </c>
      <c r="C85" t="n">
        <v>3521</v>
      </c>
      <c r="D85" t="n">
        <v>5273</v>
      </c>
      <c r="E85" t="n">
        <v>11780</v>
      </c>
      <c r="F85" t="n">
        <v>26228</v>
      </c>
      <c r="G85" t="n">
        <v>57878</v>
      </c>
      <c r="H85" t="n">
        <v>127041</v>
      </c>
      <c r="I85" t="n">
        <v>276509</v>
      </c>
      <c r="J85" t="n">
        <v>1840</v>
      </c>
      <c r="K85" t="n">
        <v>5273</v>
      </c>
      <c r="L85" t="n">
        <v>1840</v>
      </c>
      <c r="M85" t="n">
        <v>1000</v>
      </c>
      <c r="N85" t="n">
        <v>1420</v>
      </c>
      <c r="O85" t="n">
        <v>1840</v>
      </c>
      <c r="P85" t="n">
        <v>2260</v>
      </c>
      <c r="Q85" t="n">
        <v>2680</v>
      </c>
      <c r="R85" t="n">
        <v>3100</v>
      </c>
      <c r="S85" t="n">
        <v>3520</v>
      </c>
      <c r="T85" t="n">
        <v>3940</v>
      </c>
      <c r="U85" t="n">
        <v>4360</v>
      </c>
      <c r="V85" t="n">
        <v>1979</v>
      </c>
      <c r="W85" t="n">
        <v>1336</v>
      </c>
      <c r="X85" t="n">
        <v>1252</v>
      </c>
      <c r="Y85" t="n">
        <v>5200</v>
      </c>
    </row>
    <row r="86">
      <c r="A86" t="n">
        <v>85</v>
      </c>
      <c r="B86" t="n">
        <v>0</v>
      </c>
      <c r="C86" t="n">
        <v>3574</v>
      </c>
      <c r="D86" t="n">
        <v>5379</v>
      </c>
      <c r="E86" t="n">
        <v>12134</v>
      </c>
      <c r="F86" t="n">
        <v>27278</v>
      </c>
      <c r="G86" t="n">
        <v>60772</v>
      </c>
      <c r="H86" t="n">
        <v>134664</v>
      </c>
      <c r="I86" t="n">
        <v>295865</v>
      </c>
      <c r="J86" t="n">
        <v>1850</v>
      </c>
      <c r="K86" t="n">
        <v>5379</v>
      </c>
      <c r="L86" t="n">
        <v>1850</v>
      </c>
      <c r="M86" t="n">
        <v>1000</v>
      </c>
      <c r="N86" t="n">
        <v>1425</v>
      </c>
      <c r="O86" t="n">
        <v>1850</v>
      </c>
      <c r="P86" t="n">
        <v>2275</v>
      </c>
      <c r="Q86" t="n">
        <v>2700</v>
      </c>
      <c r="R86" t="n">
        <v>3125</v>
      </c>
      <c r="S86" t="n">
        <v>3550</v>
      </c>
      <c r="T86" t="n">
        <v>3975</v>
      </c>
      <c r="U86" t="n">
        <v>4400</v>
      </c>
      <c r="V86" t="n">
        <v>1993</v>
      </c>
      <c r="W86" t="n">
        <v>1340</v>
      </c>
      <c r="X86" t="n">
        <v>1255</v>
      </c>
      <c r="Y86" t="n">
        <v>5250</v>
      </c>
    </row>
    <row r="87">
      <c r="A87" t="n">
        <v>86</v>
      </c>
      <c r="B87" t="n">
        <v>0</v>
      </c>
      <c r="C87" t="n">
        <v>3628</v>
      </c>
      <c r="D87" t="n">
        <v>5487</v>
      </c>
      <c r="E87" t="n">
        <v>12499</v>
      </c>
      <c r="F87" t="n">
        <v>28370</v>
      </c>
      <c r="G87" t="n">
        <v>63811</v>
      </c>
      <c r="H87" t="n">
        <v>142744</v>
      </c>
      <c r="I87" t="n">
        <v>316576</v>
      </c>
      <c r="J87" t="n">
        <v>1860</v>
      </c>
      <c r="K87" t="n">
        <v>5487</v>
      </c>
      <c r="L87" t="n">
        <v>1860</v>
      </c>
      <c r="M87" t="n">
        <v>1000</v>
      </c>
      <c r="N87" t="n">
        <v>1430</v>
      </c>
      <c r="O87" t="n">
        <v>1860</v>
      </c>
      <c r="P87" t="n">
        <v>2290</v>
      </c>
      <c r="Q87" t="n">
        <v>2720</v>
      </c>
      <c r="R87" t="n">
        <v>3150</v>
      </c>
      <c r="S87" t="n">
        <v>3580</v>
      </c>
      <c r="T87" t="n">
        <v>4010</v>
      </c>
      <c r="U87" t="n">
        <v>4440</v>
      </c>
      <c r="V87" t="n">
        <v>2007</v>
      </c>
      <c r="W87" t="n">
        <v>1344</v>
      </c>
      <c r="X87" t="n">
        <v>1258</v>
      </c>
      <c r="Y87" t="n">
        <v>5300</v>
      </c>
    </row>
    <row r="88">
      <c r="A88" t="n">
        <v>87</v>
      </c>
      <c r="B88" t="n">
        <v>0</v>
      </c>
      <c r="C88" t="n">
        <v>3683</v>
      </c>
      <c r="D88" t="n">
        <v>5597</v>
      </c>
      <c r="E88" t="n">
        <v>12874</v>
      </c>
      <c r="F88" t="n">
        <v>29505</v>
      </c>
      <c r="G88" t="n">
        <v>67002</v>
      </c>
      <c r="H88" t="n">
        <v>151309</v>
      </c>
      <c r="I88" t="n">
        <v>338737</v>
      </c>
      <c r="J88" t="n">
        <v>1870</v>
      </c>
      <c r="K88" t="n">
        <v>5597</v>
      </c>
      <c r="L88" t="n">
        <v>1870</v>
      </c>
      <c r="M88" t="n">
        <v>1000</v>
      </c>
      <c r="N88" t="n">
        <v>1435</v>
      </c>
      <c r="O88" t="n">
        <v>1870</v>
      </c>
      <c r="P88" t="n">
        <v>2305</v>
      </c>
      <c r="Q88" t="n">
        <v>2740</v>
      </c>
      <c r="R88" t="n">
        <v>3175</v>
      </c>
      <c r="S88" t="n">
        <v>3610</v>
      </c>
      <c r="T88" t="n">
        <v>4045</v>
      </c>
      <c r="U88" t="n">
        <v>4480</v>
      </c>
      <c r="V88" t="n">
        <v>2022</v>
      </c>
      <c r="W88" t="n">
        <v>1348</v>
      </c>
      <c r="X88" t="n">
        <v>1261</v>
      </c>
      <c r="Y88" t="n">
        <v>5350</v>
      </c>
    </row>
    <row r="89">
      <c r="A89" t="n">
        <v>88</v>
      </c>
      <c r="B89" t="n">
        <v>0</v>
      </c>
      <c r="C89" t="n">
        <v>3739</v>
      </c>
      <c r="D89" t="n">
        <v>5709</v>
      </c>
      <c r="E89" t="n">
        <v>13261</v>
      </c>
      <c r="F89" t="n">
        <v>30686</v>
      </c>
      <c r="G89" t="n">
        <v>70353</v>
      </c>
      <c r="H89" t="n">
        <v>160388</v>
      </c>
      <c r="I89" t="n">
        <v>362449</v>
      </c>
      <c r="J89" t="n">
        <v>1880</v>
      </c>
      <c r="K89" t="n">
        <v>5709</v>
      </c>
      <c r="L89" t="n">
        <v>1880</v>
      </c>
      <c r="M89" t="n">
        <v>1000</v>
      </c>
      <c r="N89" t="n">
        <v>1440</v>
      </c>
      <c r="O89" t="n">
        <v>1880</v>
      </c>
      <c r="P89" t="n">
        <v>2320</v>
      </c>
      <c r="Q89" t="n">
        <v>2760</v>
      </c>
      <c r="R89" t="n">
        <v>3200</v>
      </c>
      <c r="S89" t="n">
        <v>3640</v>
      </c>
      <c r="T89" t="n">
        <v>4080</v>
      </c>
      <c r="U89" t="n">
        <v>4520</v>
      </c>
      <c r="V89" t="n">
        <v>2037</v>
      </c>
      <c r="W89" t="n">
        <v>1352</v>
      </c>
      <c r="X89" t="n">
        <v>1264</v>
      </c>
      <c r="Y89" t="n">
        <v>5400</v>
      </c>
    </row>
    <row r="90">
      <c r="A90" t="n">
        <v>89</v>
      </c>
      <c r="B90" t="n">
        <v>0</v>
      </c>
      <c r="C90" t="n">
        <v>3796</v>
      </c>
      <c r="D90" t="n">
        <v>5824</v>
      </c>
      <c r="E90" t="n">
        <v>13659</v>
      </c>
      <c r="F90" t="n">
        <v>31914</v>
      </c>
      <c r="G90" t="n">
        <v>73871</v>
      </c>
      <c r="H90" t="n">
        <v>170012</v>
      </c>
      <c r="I90" t="n">
        <v>387821</v>
      </c>
      <c r="J90" t="n">
        <v>1890</v>
      </c>
      <c r="K90" t="n">
        <v>5824</v>
      </c>
      <c r="L90" t="n">
        <v>1890</v>
      </c>
      <c r="M90" t="n">
        <v>1000</v>
      </c>
      <c r="N90" t="n">
        <v>1445</v>
      </c>
      <c r="O90" t="n">
        <v>1890</v>
      </c>
      <c r="P90" t="n">
        <v>2335</v>
      </c>
      <c r="Q90" t="n">
        <v>2780</v>
      </c>
      <c r="R90" t="n">
        <v>3225</v>
      </c>
      <c r="S90" t="n">
        <v>3670</v>
      </c>
      <c r="T90" t="n">
        <v>4115</v>
      </c>
      <c r="U90" t="n">
        <v>4560</v>
      </c>
      <c r="V90" t="n">
        <v>2052</v>
      </c>
      <c r="W90" t="n">
        <v>1356</v>
      </c>
      <c r="X90" t="n">
        <v>1267</v>
      </c>
      <c r="Y90" t="n">
        <v>5450</v>
      </c>
    </row>
    <row r="91">
      <c r="A91" t="n">
        <v>90</v>
      </c>
      <c r="B91" t="n">
        <v>0</v>
      </c>
      <c r="C91" t="n">
        <v>3853</v>
      </c>
      <c r="D91" t="n">
        <v>5941</v>
      </c>
      <c r="E91" t="n">
        <v>14069</v>
      </c>
      <c r="F91" t="n">
        <v>33191</v>
      </c>
      <c r="G91" t="n">
        <v>77565</v>
      </c>
      <c r="H91" t="n">
        <v>180213</v>
      </c>
      <c r="I91" t="n">
        <v>414969</v>
      </c>
      <c r="J91" t="n">
        <v>1900</v>
      </c>
      <c r="K91" t="n">
        <v>5941</v>
      </c>
      <c r="L91" t="n">
        <v>1900</v>
      </c>
      <c r="M91" t="n">
        <v>1000</v>
      </c>
      <c r="N91" t="n">
        <v>1450</v>
      </c>
      <c r="O91" t="n">
        <v>1900</v>
      </c>
      <c r="P91" t="n">
        <v>2350</v>
      </c>
      <c r="Q91" t="n">
        <v>2800</v>
      </c>
      <c r="R91" t="n">
        <v>3250</v>
      </c>
      <c r="S91" t="n">
        <v>3700</v>
      </c>
      <c r="T91" t="n">
        <v>4150</v>
      </c>
      <c r="U91" t="n">
        <v>4600</v>
      </c>
      <c r="V91" t="n">
        <v>2067</v>
      </c>
      <c r="W91" t="n">
        <v>1360</v>
      </c>
      <c r="X91" t="n">
        <v>1270</v>
      </c>
      <c r="Y91" t="n">
        <v>5500</v>
      </c>
    </row>
    <row r="92">
      <c r="A92" t="n">
        <v>91</v>
      </c>
      <c r="B92" t="n">
        <v>0</v>
      </c>
      <c r="C92" t="n">
        <v>3911</v>
      </c>
      <c r="D92" t="n">
        <v>6060</v>
      </c>
      <c r="E92" t="n">
        <v>14492</v>
      </c>
      <c r="F92" t="n">
        <v>34519</v>
      </c>
      <c r="G92" t="n">
        <v>81444</v>
      </c>
      <c r="H92" t="n">
        <v>191026</v>
      </c>
      <c r="I92" t="n">
        <v>444017</v>
      </c>
      <c r="J92" t="n">
        <v>1910</v>
      </c>
      <c r="K92" t="n">
        <v>6060</v>
      </c>
      <c r="L92" t="n">
        <v>1910</v>
      </c>
      <c r="M92" t="n">
        <v>1000</v>
      </c>
      <c r="N92" t="n">
        <v>1455</v>
      </c>
      <c r="O92" t="n">
        <v>1910</v>
      </c>
      <c r="P92" t="n">
        <v>2365</v>
      </c>
      <c r="Q92" t="n">
        <v>2820</v>
      </c>
      <c r="R92" t="n">
        <v>3275</v>
      </c>
      <c r="S92" t="n">
        <v>3730</v>
      </c>
      <c r="T92" t="n">
        <v>4185</v>
      </c>
      <c r="U92" t="n">
        <v>4640</v>
      </c>
      <c r="V92" t="n">
        <v>2082</v>
      </c>
      <c r="W92" t="n">
        <v>1364</v>
      </c>
      <c r="X92" t="n">
        <v>1273</v>
      </c>
      <c r="Y92" t="n">
        <v>5550</v>
      </c>
    </row>
    <row r="93">
      <c r="A93" t="n">
        <v>92</v>
      </c>
      <c r="B93" t="n">
        <v>0</v>
      </c>
      <c r="C93" t="n">
        <v>3970</v>
      </c>
      <c r="D93" t="n">
        <v>6182</v>
      </c>
      <c r="E93" t="n">
        <v>14927</v>
      </c>
      <c r="F93" t="n">
        <v>35900</v>
      </c>
      <c r="G93" t="n">
        <v>85517</v>
      </c>
      <c r="H93" t="n">
        <v>202488</v>
      </c>
      <c r="I93" t="n">
        <v>475099</v>
      </c>
      <c r="J93" t="n">
        <v>1920</v>
      </c>
      <c r="K93" t="n">
        <v>6182</v>
      </c>
      <c r="L93" t="n">
        <v>1920</v>
      </c>
      <c r="M93" t="n">
        <v>1000</v>
      </c>
      <c r="N93" t="n">
        <v>1460</v>
      </c>
      <c r="O93" t="n">
        <v>1920</v>
      </c>
      <c r="P93" t="n">
        <v>2380</v>
      </c>
      <c r="Q93" t="n">
        <v>2840</v>
      </c>
      <c r="R93" t="n">
        <v>3300</v>
      </c>
      <c r="S93" t="n">
        <v>3760</v>
      </c>
      <c r="T93" t="n">
        <v>4220</v>
      </c>
      <c r="U93" t="n">
        <v>4680</v>
      </c>
      <c r="V93" t="n">
        <v>2097</v>
      </c>
      <c r="W93" t="n">
        <v>1368</v>
      </c>
      <c r="X93" t="n">
        <v>1276</v>
      </c>
      <c r="Y93" t="n">
        <v>5600</v>
      </c>
    </row>
    <row r="94">
      <c r="A94" t="n">
        <v>93</v>
      </c>
      <c r="B94" t="n">
        <v>0</v>
      </c>
      <c r="C94" t="n">
        <v>4030</v>
      </c>
      <c r="D94" t="n">
        <v>6306</v>
      </c>
      <c r="E94" t="n">
        <v>15375</v>
      </c>
      <c r="F94" t="n">
        <v>37336</v>
      </c>
      <c r="G94" t="n">
        <v>89793</v>
      </c>
      <c r="H94" t="n">
        <v>214638</v>
      </c>
      <c r="I94" t="n">
        <v>508356</v>
      </c>
      <c r="J94" t="n">
        <v>1930</v>
      </c>
      <c r="K94" t="n">
        <v>6306</v>
      </c>
      <c r="L94" t="n">
        <v>1930</v>
      </c>
      <c r="M94" t="n">
        <v>1000</v>
      </c>
      <c r="N94" t="n">
        <v>1465</v>
      </c>
      <c r="O94" t="n">
        <v>1930</v>
      </c>
      <c r="P94" t="n">
        <v>2395</v>
      </c>
      <c r="Q94" t="n">
        <v>2860</v>
      </c>
      <c r="R94" t="n">
        <v>3325</v>
      </c>
      <c r="S94" t="n">
        <v>3790</v>
      </c>
      <c r="T94" t="n">
        <v>4255</v>
      </c>
      <c r="U94" t="n">
        <v>4720</v>
      </c>
      <c r="V94" t="n">
        <v>2112</v>
      </c>
      <c r="W94" t="n">
        <v>1372</v>
      </c>
      <c r="X94" t="n">
        <v>1279</v>
      </c>
      <c r="Y94" t="n">
        <v>5650</v>
      </c>
    </row>
    <row r="95">
      <c r="A95" t="n">
        <v>94</v>
      </c>
      <c r="B95" t="n">
        <v>0</v>
      </c>
      <c r="C95" t="n">
        <v>4091</v>
      </c>
      <c r="D95" t="n">
        <v>6433</v>
      </c>
      <c r="E95" t="n">
        <v>15837</v>
      </c>
      <c r="F95" t="n">
        <v>38830</v>
      </c>
      <c r="G95" t="n">
        <v>94283</v>
      </c>
      <c r="H95" t="n">
        <v>227517</v>
      </c>
      <c r="I95" t="n">
        <v>543941</v>
      </c>
      <c r="J95" t="n">
        <v>1940</v>
      </c>
      <c r="K95" t="n">
        <v>6433</v>
      </c>
      <c r="L95" t="n">
        <v>1940</v>
      </c>
      <c r="M95" t="n">
        <v>1000</v>
      </c>
      <c r="N95" t="n">
        <v>1470</v>
      </c>
      <c r="O95" t="n">
        <v>1940</v>
      </c>
      <c r="P95" t="n">
        <v>2410</v>
      </c>
      <c r="Q95" t="n">
        <v>2880</v>
      </c>
      <c r="R95" t="n">
        <v>3350</v>
      </c>
      <c r="S95" t="n">
        <v>3820</v>
      </c>
      <c r="T95" t="n">
        <v>4290</v>
      </c>
      <c r="U95" t="n">
        <v>4760</v>
      </c>
      <c r="V95" t="n">
        <v>2127</v>
      </c>
      <c r="W95" t="n">
        <v>1376</v>
      </c>
      <c r="X95" t="n">
        <v>1282</v>
      </c>
      <c r="Y95" t="n">
        <v>5700</v>
      </c>
    </row>
    <row r="96">
      <c r="A96" t="n">
        <v>95</v>
      </c>
      <c r="B96" t="n">
        <v>0</v>
      </c>
      <c r="C96" t="n">
        <v>4153</v>
      </c>
      <c r="D96" t="n">
        <v>6562</v>
      </c>
      <c r="E96" t="n">
        <v>16313</v>
      </c>
      <c r="F96" t="n">
        <v>40384</v>
      </c>
      <c r="G96" t="n">
        <v>98998</v>
      </c>
      <c r="H96" t="n">
        <v>241169</v>
      </c>
      <c r="I96" t="n">
        <v>582017</v>
      </c>
      <c r="J96" t="n">
        <v>1950</v>
      </c>
      <c r="K96" t="n">
        <v>6562</v>
      </c>
      <c r="L96" t="n">
        <v>1950</v>
      </c>
      <c r="M96" t="n">
        <v>1000</v>
      </c>
      <c r="N96" t="n">
        <v>1475</v>
      </c>
      <c r="O96" t="n">
        <v>1950</v>
      </c>
      <c r="P96" t="n">
        <v>2425</v>
      </c>
      <c r="Q96" t="n">
        <v>2900</v>
      </c>
      <c r="R96" t="n">
        <v>3375</v>
      </c>
      <c r="S96" t="n">
        <v>3850</v>
      </c>
      <c r="T96" t="n">
        <v>4325</v>
      </c>
      <c r="U96" t="n">
        <v>4800</v>
      </c>
      <c r="V96" t="n">
        <v>2142</v>
      </c>
      <c r="W96" t="n">
        <v>1380</v>
      </c>
      <c r="X96" t="n">
        <v>1285</v>
      </c>
      <c r="Y96" t="n">
        <v>5750</v>
      </c>
    </row>
    <row r="97">
      <c r="A97" t="n">
        <v>96</v>
      </c>
      <c r="B97" t="n">
        <v>0</v>
      </c>
      <c r="C97" t="n">
        <v>4216</v>
      </c>
      <c r="D97" t="n">
        <v>6694</v>
      </c>
      <c r="E97" t="n">
        <v>16803</v>
      </c>
      <c r="F97" t="n">
        <v>42000</v>
      </c>
      <c r="G97" t="n">
        <v>103948</v>
      </c>
      <c r="H97" t="n">
        <v>255640</v>
      </c>
      <c r="I97" t="n">
        <v>622759</v>
      </c>
      <c r="J97" t="n">
        <v>1960</v>
      </c>
      <c r="K97" t="n">
        <v>6694</v>
      </c>
      <c r="L97" t="n">
        <v>1960</v>
      </c>
      <c r="M97" t="n">
        <v>1000</v>
      </c>
      <c r="N97" t="n">
        <v>1480</v>
      </c>
      <c r="O97" t="n">
        <v>1960</v>
      </c>
      <c r="P97" t="n">
        <v>2440</v>
      </c>
      <c r="Q97" t="n">
        <v>2920</v>
      </c>
      <c r="R97" t="n">
        <v>3400</v>
      </c>
      <c r="S97" t="n">
        <v>3880</v>
      </c>
      <c r="T97" t="n">
        <v>4360</v>
      </c>
      <c r="U97" t="n">
        <v>4840</v>
      </c>
      <c r="V97" t="n">
        <v>2157</v>
      </c>
      <c r="W97" t="n">
        <v>1384</v>
      </c>
      <c r="X97" t="n">
        <v>1288</v>
      </c>
      <c r="Y97" t="n">
        <v>5800</v>
      </c>
    </row>
    <row r="98">
      <c r="A98" t="n">
        <v>97</v>
      </c>
      <c r="B98" t="n">
        <v>0</v>
      </c>
      <c r="C98" t="n">
        <v>4280</v>
      </c>
      <c r="D98" t="n">
        <v>6828</v>
      </c>
      <c r="E98" t="n">
        <v>17308</v>
      </c>
      <c r="F98" t="n">
        <v>43680</v>
      </c>
      <c r="G98" t="n">
        <v>109146</v>
      </c>
      <c r="H98" t="n">
        <v>270979</v>
      </c>
      <c r="I98" t="n">
        <v>666353</v>
      </c>
      <c r="J98" t="n">
        <v>1970</v>
      </c>
      <c r="K98" t="n">
        <v>6828</v>
      </c>
      <c r="L98" t="n">
        <v>1970</v>
      </c>
      <c r="M98" t="n">
        <v>1000</v>
      </c>
      <c r="N98" t="n">
        <v>1485</v>
      </c>
      <c r="O98" t="n">
        <v>1970</v>
      </c>
      <c r="P98" t="n">
        <v>2455</v>
      </c>
      <c r="Q98" t="n">
        <v>2940</v>
      </c>
      <c r="R98" t="n">
        <v>3425</v>
      </c>
      <c r="S98" t="n">
        <v>3910</v>
      </c>
      <c r="T98" t="n">
        <v>4395</v>
      </c>
      <c r="U98" t="n">
        <v>4880</v>
      </c>
      <c r="V98" t="n">
        <v>2172</v>
      </c>
      <c r="W98" t="n">
        <v>1388</v>
      </c>
      <c r="X98" t="n">
        <v>1291</v>
      </c>
      <c r="Y98" t="n">
        <v>5850</v>
      </c>
    </row>
    <row r="99">
      <c r="A99" t="n">
        <v>98</v>
      </c>
      <c r="B99" t="n">
        <v>0</v>
      </c>
      <c r="C99" t="n">
        <v>4345</v>
      </c>
      <c r="D99" t="n">
        <v>6965</v>
      </c>
      <c r="E99" t="n">
        <v>17828</v>
      </c>
      <c r="F99" t="n">
        <v>45428</v>
      </c>
      <c r="G99" t="n">
        <v>114604</v>
      </c>
      <c r="H99" t="n">
        <v>287238</v>
      </c>
      <c r="I99" t="n">
        <v>712998</v>
      </c>
      <c r="J99" t="n">
        <v>1980</v>
      </c>
      <c r="K99" t="n">
        <v>6965</v>
      </c>
      <c r="L99" t="n">
        <v>1980</v>
      </c>
      <c r="M99" t="n">
        <v>1000</v>
      </c>
      <c r="N99" t="n">
        <v>1490</v>
      </c>
      <c r="O99" t="n">
        <v>1980</v>
      </c>
      <c r="P99" t="n">
        <v>2470</v>
      </c>
      <c r="Q99" t="n">
        <v>2960</v>
      </c>
      <c r="R99" t="n">
        <v>3450</v>
      </c>
      <c r="S99" t="n">
        <v>3940</v>
      </c>
      <c r="T99" t="n">
        <v>4430</v>
      </c>
      <c r="U99" t="n">
        <v>4920</v>
      </c>
      <c r="V99" t="n">
        <v>2187</v>
      </c>
      <c r="W99" t="n">
        <v>1392</v>
      </c>
      <c r="X99" t="n">
        <v>1294</v>
      </c>
      <c r="Y99" t="n">
        <v>5900</v>
      </c>
    </row>
    <row r="100">
      <c r="A100" t="n">
        <v>99</v>
      </c>
      <c r="B100" t="n">
        <v>0</v>
      </c>
      <c r="C100" t="n">
        <v>4411</v>
      </c>
      <c r="D100" t="n">
        <v>7105</v>
      </c>
      <c r="E100" t="n">
        <v>18363</v>
      </c>
      <c r="F100" t="n">
        <v>47246</v>
      </c>
      <c r="G100" t="n">
        <v>120335</v>
      </c>
      <c r="H100" t="n">
        <v>304473</v>
      </c>
      <c r="I100" t="n">
        <v>762908</v>
      </c>
      <c r="J100" t="n">
        <v>1990</v>
      </c>
      <c r="K100" t="n">
        <v>7105</v>
      </c>
      <c r="L100" t="n">
        <v>1990</v>
      </c>
      <c r="M100" t="n">
        <v>1000</v>
      </c>
      <c r="N100" t="n">
        <v>1495</v>
      </c>
      <c r="O100" t="n">
        <v>1990</v>
      </c>
      <c r="P100" t="n">
        <v>2485</v>
      </c>
      <c r="Q100" t="n">
        <v>2980</v>
      </c>
      <c r="R100" t="n">
        <v>3475</v>
      </c>
      <c r="S100" t="n">
        <v>3970</v>
      </c>
      <c r="T100" t="n">
        <v>4465</v>
      </c>
      <c r="U100" t="n">
        <v>4960</v>
      </c>
      <c r="V100" t="n">
        <v>2202</v>
      </c>
      <c r="W100" t="n">
        <v>1396</v>
      </c>
      <c r="X100" t="n">
        <v>1297</v>
      </c>
      <c r="Y100" t="n">
        <v>5950</v>
      </c>
    </row>
    <row r="101">
      <c r="A101" t="n">
        <v>100</v>
      </c>
      <c r="B101" t="n">
        <v>0</v>
      </c>
      <c r="C101" t="n">
        <v>4478</v>
      </c>
      <c r="D101" t="n">
        <v>7248</v>
      </c>
      <c r="E101" t="n">
        <v>18914</v>
      </c>
      <c r="F101" t="n">
        <v>49136</v>
      </c>
      <c r="G101" t="n">
        <v>126352</v>
      </c>
      <c r="H101" t="n">
        <v>322742</v>
      </c>
      <c r="I101" t="n">
        <v>816312</v>
      </c>
      <c r="J101" t="n">
        <v>2000</v>
      </c>
      <c r="K101" t="n">
        <v>7248</v>
      </c>
      <c r="L101" t="n">
        <v>2000</v>
      </c>
      <c r="M101" t="n">
        <v>1000</v>
      </c>
      <c r="N101" t="n">
        <v>1500</v>
      </c>
      <c r="O101" t="n">
        <v>2000</v>
      </c>
      <c r="P101" t="n">
        <v>2500</v>
      </c>
      <c r="Q101" t="n">
        <v>3000</v>
      </c>
      <c r="R101" t="n">
        <v>3500</v>
      </c>
      <c r="S101" t="n">
        <v>4000</v>
      </c>
      <c r="T101" t="n">
        <v>4500</v>
      </c>
      <c r="U101" t="n">
        <v>5000</v>
      </c>
      <c r="V101" t="n">
        <v>2218</v>
      </c>
      <c r="W101" t="n">
        <v>1400</v>
      </c>
      <c r="X101" t="n">
        <v>1300</v>
      </c>
      <c r="Y101" t="n">
        <v>6000</v>
      </c>
    </row>
    <row r="102">
      <c r="A102" t="n">
        <v>101</v>
      </c>
      <c r="B102" t="n">
        <v>0</v>
      </c>
      <c r="C102" t="n">
        <v>4546</v>
      </c>
      <c r="D102" t="n">
        <v>7393</v>
      </c>
      <c r="E102" t="n">
        <v>19482</v>
      </c>
      <c r="F102" t="n">
        <v>51102</v>
      </c>
      <c r="G102" t="n">
        <v>132670</v>
      </c>
      <c r="H102" t="n">
        <v>342107</v>
      </c>
      <c r="I102" t="n">
        <v>873454</v>
      </c>
      <c r="J102" t="n">
        <v>2000</v>
      </c>
      <c r="K102" t="n">
        <v>7321</v>
      </c>
      <c r="L102" t="n">
        <v>2010</v>
      </c>
      <c r="M102" t="n">
        <v>1001</v>
      </c>
      <c r="N102" t="n">
        <v>1505</v>
      </c>
      <c r="O102" t="n">
        <v>2010</v>
      </c>
      <c r="P102" t="n">
        <v>2515</v>
      </c>
      <c r="Q102" t="n">
        <v>3020</v>
      </c>
      <c r="R102" t="n">
        <v>3525</v>
      </c>
      <c r="S102" t="n">
        <v>4030</v>
      </c>
      <c r="T102" t="n">
        <v>4535</v>
      </c>
      <c r="U102" t="n">
        <v>5040</v>
      </c>
      <c r="V102" t="n">
        <v>2234</v>
      </c>
      <c r="W102" t="n">
        <v>1404</v>
      </c>
      <c r="X102" t="n">
        <v>1303</v>
      </c>
      <c r="Y102" t="n">
        <v>6050</v>
      </c>
    </row>
    <row r="103">
      <c r="A103" t="n">
        <v>102</v>
      </c>
      <c r="B103" t="n">
        <v>0</v>
      </c>
      <c r="C103" t="n">
        <v>4615</v>
      </c>
      <c r="D103" t="n">
        <v>7541</v>
      </c>
      <c r="E103" t="n">
        <v>20067</v>
      </c>
      <c r="F103" t="n">
        <v>53147</v>
      </c>
      <c r="G103" t="n">
        <v>139304</v>
      </c>
      <c r="H103" t="n">
        <v>362634</v>
      </c>
      <c r="I103" t="n">
        <v>934596</v>
      </c>
      <c r="J103" t="n">
        <v>2000</v>
      </c>
      <c r="K103" t="n">
        <v>7395</v>
      </c>
      <c r="L103" t="n">
        <v>2020</v>
      </c>
      <c r="M103" t="n">
        <v>1002</v>
      </c>
      <c r="N103" t="n">
        <v>1510</v>
      </c>
      <c r="O103" t="n">
        <v>2020</v>
      </c>
      <c r="P103" t="n">
        <v>2530</v>
      </c>
      <c r="Q103" t="n">
        <v>3040</v>
      </c>
      <c r="R103" t="n">
        <v>3550</v>
      </c>
      <c r="S103" t="n">
        <v>4060</v>
      </c>
      <c r="T103" t="n">
        <v>4570</v>
      </c>
      <c r="U103" t="n">
        <v>5080</v>
      </c>
      <c r="V103" t="n">
        <v>2250</v>
      </c>
      <c r="W103" t="n">
        <v>1408</v>
      </c>
      <c r="X103" t="n">
        <v>1306</v>
      </c>
      <c r="Y103" t="n">
        <v>6100</v>
      </c>
    </row>
    <row r="104">
      <c r="A104" t="n">
        <v>103</v>
      </c>
      <c r="B104" t="n">
        <v>0</v>
      </c>
      <c r="C104" t="n">
        <v>4685</v>
      </c>
      <c r="D104" t="n">
        <v>7692</v>
      </c>
      <c r="E104" t="n">
        <v>20670</v>
      </c>
      <c r="F104" t="n">
        <v>55273</v>
      </c>
      <c r="G104" t="n">
        <v>146270</v>
      </c>
      <c r="H104" t="n">
        <v>384393</v>
      </c>
      <c r="I104" t="n">
        <v>1000018</v>
      </c>
      <c r="J104" t="n">
        <v>2000</v>
      </c>
      <c r="K104" t="n">
        <v>7469</v>
      </c>
      <c r="L104" t="n">
        <v>2030</v>
      </c>
      <c r="M104" t="n">
        <v>1003</v>
      </c>
      <c r="N104" t="n">
        <v>1515</v>
      </c>
      <c r="O104" t="n">
        <v>2030</v>
      </c>
      <c r="P104" t="n">
        <v>2545</v>
      </c>
      <c r="Q104" t="n">
        <v>3060</v>
      </c>
      <c r="R104" t="n">
        <v>3575</v>
      </c>
      <c r="S104" t="n">
        <v>4090</v>
      </c>
      <c r="T104" t="n">
        <v>4605</v>
      </c>
      <c r="U104" t="n">
        <v>5120</v>
      </c>
      <c r="V104" t="n">
        <v>2266</v>
      </c>
      <c r="W104" t="n">
        <v>1412</v>
      </c>
      <c r="X104" t="n">
        <v>1309</v>
      </c>
      <c r="Y104" t="n">
        <v>6150</v>
      </c>
    </row>
    <row r="105">
      <c r="A105" t="n">
        <v>104</v>
      </c>
      <c r="B105" t="n">
        <v>0</v>
      </c>
      <c r="C105" t="n">
        <v>4756</v>
      </c>
      <c r="D105" t="n">
        <v>7846</v>
      </c>
      <c r="E105" t="n">
        <v>21291</v>
      </c>
      <c r="F105" t="n">
        <v>57484</v>
      </c>
      <c r="G105" t="n">
        <v>153584</v>
      </c>
      <c r="H105" t="n">
        <v>407457</v>
      </c>
      <c r="I105" t="n">
        <v>1070020</v>
      </c>
      <c r="J105" t="n">
        <v>2000</v>
      </c>
      <c r="K105" t="n">
        <v>7544</v>
      </c>
      <c r="L105" t="n">
        <v>2040</v>
      </c>
      <c r="M105" t="n">
        <v>1004</v>
      </c>
      <c r="N105" t="n">
        <v>1520</v>
      </c>
      <c r="O105" t="n">
        <v>2040</v>
      </c>
      <c r="P105" t="n">
        <v>2560</v>
      </c>
      <c r="Q105" t="n">
        <v>3080</v>
      </c>
      <c r="R105" t="n">
        <v>3600</v>
      </c>
      <c r="S105" t="n">
        <v>4120</v>
      </c>
      <c r="T105" t="n">
        <v>4640</v>
      </c>
      <c r="U105" t="n">
        <v>5160</v>
      </c>
      <c r="V105" t="n">
        <v>2282</v>
      </c>
      <c r="W105" t="n">
        <v>1416</v>
      </c>
      <c r="X105" t="n">
        <v>1312</v>
      </c>
      <c r="Y105" t="n">
        <v>6200</v>
      </c>
    </row>
    <row r="106">
      <c r="A106" t="n">
        <v>105</v>
      </c>
      <c r="B106" t="n">
        <v>0</v>
      </c>
      <c r="C106" t="n">
        <v>4828</v>
      </c>
      <c r="D106" t="n">
        <v>8003</v>
      </c>
      <c r="E106" t="n">
        <v>21930</v>
      </c>
      <c r="F106" t="n">
        <v>59784</v>
      </c>
      <c r="G106" t="n">
        <v>161264</v>
      </c>
      <c r="H106" t="n">
        <v>431905</v>
      </c>
      <c r="I106" t="n">
        <v>1144922</v>
      </c>
      <c r="J106" t="n">
        <v>2000</v>
      </c>
      <c r="K106" t="n">
        <v>7620</v>
      </c>
      <c r="L106" t="n">
        <v>2050</v>
      </c>
      <c r="M106" t="n">
        <v>1005</v>
      </c>
      <c r="N106" t="n">
        <v>1525</v>
      </c>
      <c r="O106" t="n">
        <v>2050</v>
      </c>
      <c r="P106" t="n">
        <v>2575</v>
      </c>
      <c r="Q106" t="n">
        <v>3100</v>
      </c>
      <c r="R106" t="n">
        <v>3625</v>
      </c>
      <c r="S106" t="n">
        <v>4150</v>
      </c>
      <c r="T106" t="n">
        <v>4675</v>
      </c>
      <c r="U106" t="n">
        <v>5200</v>
      </c>
      <c r="V106" t="n">
        <v>2298</v>
      </c>
      <c r="W106" t="n">
        <v>1420</v>
      </c>
      <c r="X106" t="n">
        <v>1315</v>
      </c>
      <c r="Y106" t="n">
        <v>6250</v>
      </c>
    </row>
    <row r="107">
      <c r="A107" t="n">
        <v>106</v>
      </c>
      <c r="B107" t="n">
        <v>0</v>
      </c>
      <c r="C107" t="n">
        <v>4901</v>
      </c>
      <c r="D107" t="n">
        <v>8164</v>
      </c>
      <c r="E107" t="n">
        <v>22588</v>
      </c>
      <c r="F107" t="n">
        <v>62176</v>
      </c>
      <c r="G107" t="n">
        <v>169328</v>
      </c>
      <c r="H107" t="n">
        <v>457820</v>
      </c>
      <c r="I107" t="n">
        <v>1225067</v>
      </c>
      <c r="J107" t="n">
        <v>2000</v>
      </c>
      <c r="K107" t="n">
        <v>7697</v>
      </c>
      <c r="L107" t="n">
        <v>2060</v>
      </c>
      <c r="M107" t="n">
        <v>1006</v>
      </c>
      <c r="N107" t="n">
        <v>1530</v>
      </c>
      <c r="O107" t="n">
        <v>2060</v>
      </c>
      <c r="P107" t="n">
        <v>2590</v>
      </c>
      <c r="Q107" t="n">
        <v>3120</v>
      </c>
      <c r="R107" t="n">
        <v>3650</v>
      </c>
      <c r="S107" t="n">
        <v>4180</v>
      </c>
      <c r="T107" t="n">
        <v>4710</v>
      </c>
      <c r="U107" t="n">
        <v>5240</v>
      </c>
      <c r="V107" t="n">
        <v>2314</v>
      </c>
      <c r="W107" t="n">
        <v>1424</v>
      </c>
      <c r="X107" t="n">
        <v>1318</v>
      </c>
      <c r="Y107" t="n">
        <v>6300</v>
      </c>
    </row>
    <row r="108">
      <c r="A108" t="n">
        <v>107</v>
      </c>
      <c r="B108" t="n">
        <v>0</v>
      </c>
      <c r="C108" t="n">
        <v>4975</v>
      </c>
      <c r="D108" t="n">
        <v>8328</v>
      </c>
      <c r="E108" t="n">
        <v>23266</v>
      </c>
      <c r="F108" t="n">
        <v>64664</v>
      </c>
      <c r="G108" t="n">
        <v>177795</v>
      </c>
      <c r="H108" t="n">
        <v>485290</v>
      </c>
      <c r="I108" t="n">
        <v>1310822</v>
      </c>
      <c r="J108" t="n">
        <v>2000</v>
      </c>
      <c r="K108" t="n">
        <v>7774</v>
      </c>
      <c r="L108" t="n">
        <v>2070</v>
      </c>
      <c r="M108" t="n">
        <v>1007</v>
      </c>
      <c r="N108" t="n">
        <v>1535</v>
      </c>
      <c r="O108" t="n">
        <v>2070</v>
      </c>
      <c r="P108" t="n">
        <v>2605</v>
      </c>
      <c r="Q108" t="n">
        <v>3140</v>
      </c>
      <c r="R108" t="n">
        <v>3675</v>
      </c>
      <c r="S108" t="n">
        <v>4210</v>
      </c>
      <c r="T108" t="n">
        <v>4745</v>
      </c>
      <c r="U108" t="n">
        <v>5280</v>
      </c>
      <c r="V108" t="n">
        <v>2330</v>
      </c>
      <c r="W108" t="n">
        <v>1428</v>
      </c>
      <c r="X108" t="n">
        <v>1321</v>
      </c>
      <c r="Y108" t="n">
        <v>6350</v>
      </c>
    </row>
    <row r="109">
      <c r="A109" t="n">
        <v>108</v>
      </c>
      <c r="B109" t="n">
        <v>0</v>
      </c>
      <c r="C109" t="n">
        <v>5050</v>
      </c>
      <c r="D109" t="n">
        <v>8495</v>
      </c>
      <c r="E109" t="n">
        <v>23964</v>
      </c>
      <c r="F109" t="n">
        <v>67251</v>
      </c>
      <c r="G109" t="n">
        <v>186685</v>
      </c>
      <c r="H109" t="n">
        <v>514408</v>
      </c>
      <c r="I109" t="n">
        <v>1402580</v>
      </c>
      <c r="J109" t="n">
        <v>2000</v>
      </c>
      <c r="K109" t="n">
        <v>7852</v>
      </c>
      <c r="L109" t="n">
        <v>2080</v>
      </c>
      <c r="M109" t="n">
        <v>1008</v>
      </c>
      <c r="N109" t="n">
        <v>1540</v>
      </c>
      <c r="O109" t="n">
        <v>2080</v>
      </c>
      <c r="P109" t="n">
        <v>2620</v>
      </c>
      <c r="Q109" t="n">
        <v>3160</v>
      </c>
      <c r="R109" t="n">
        <v>3700</v>
      </c>
      <c r="S109" t="n">
        <v>4240</v>
      </c>
      <c r="T109" t="n">
        <v>4780</v>
      </c>
      <c r="U109" t="n">
        <v>5320</v>
      </c>
      <c r="V109" t="n">
        <v>2346</v>
      </c>
      <c r="W109" t="n">
        <v>1432</v>
      </c>
      <c r="X109" t="n">
        <v>1324</v>
      </c>
      <c r="Y109" t="n">
        <v>6400</v>
      </c>
    </row>
    <row r="110">
      <c r="A110" t="n">
        <v>109</v>
      </c>
      <c r="B110" t="n">
        <v>0</v>
      </c>
      <c r="C110" t="n">
        <v>5126</v>
      </c>
      <c r="D110" t="n">
        <v>8665</v>
      </c>
      <c r="E110" t="n">
        <v>24683</v>
      </c>
      <c r="F110" t="n">
        <v>69942</v>
      </c>
      <c r="G110" t="n">
        <v>196020</v>
      </c>
      <c r="H110" t="n">
        <v>545273</v>
      </c>
      <c r="I110" t="n">
        <v>1500761</v>
      </c>
      <c r="J110" t="n">
        <v>2000</v>
      </c>
      <c r="K110" t="n">
        <v>7931</v>
      </c>
      <c r="L110" t="n">
        <v>2090</v>
      </c>
      <c r="M110" t="n">
        <v>1009</v>
      </c>
      <c r="N110" t="n">
        <v>1545</v>
      </c>
      <c r="O110" t="n">
        <v>2090</v>
      </c>
      <c r="P110" t="n">
        <v>2635</v>
      </c>
      <c r="Q110" t="n">
        <v>3180</v>
      </c>
      <c r="R110" t="n">
        <v>3725</v>
      </c>
      <c r="S110" t="n">
        <v>4270</v>
      </c>
      <c r="T110" t="n">
        <v>4815</v>
      </c>
      <c r="U110" t="n">
        <v>5360</v>
      </c>
      <c r="V110" t="n">
        <v>2362</v>
      </c>
      <c r="W110" t="n">
        <v>1436</v>
      </c>
      <c r="X110" t="n">
        <v>1327</v>
      </c>
      <c r="Y110" t="n">
        <v>6450</v>
      </c>
    </row>
    <row r="111">
      <c r="A111" t="n">
        <v>110</v>
      </c>
      <c r="B111" t="n">
        <v>0</v>
      </c>
      <c r="C111" t="n">
        <v>5203</v>
      </c>
      <c r="D111" t="n">
        <v>8839</v>
      </c>
      <c r="E111" t="n">
        <v>25424</v>
      </c>
      <c r="F111" t="n">
        <v>72740</v>
      </c>
      <c r="G111" t="n">
        <v>205821</v>
      </c>
      <c r="H111" t="n">
        <v>577990</v>
      </c>
      <c r="I111" t="n">
        <v>1605815</v>
      </c>
      <c r="J111" t="n">
        <v>2000</v>
      </c>
      <c r="K111" t="n">
        <v>8011</v>
      </c>
      <c r="L111" t="n">
        <v>2100</v>
      </c>
      <c r="M111" t="n">
        <v>1010</v>
      </c>
      <c r="N111" t="n">
        <v>1550</v>
      </c>
      <c r="O111" t="n">
        <v>2100</v>
      </c>
      <c r="P111" t="n">
        <v>2650</v>
      </c>
      <c r="Q111" t="n">
        <v>3200</v>
      </c>
      <c r="R111" t="n">
        <v>3750</v>
      </c>
      <c r="S111" t="n">
        <v>4300</v>
      </c>
      <c r="T111" t="n">
        <v>4850</v>
      </c>
      <c r="U111" t="n">
        <v>5400</v>
      </c>
      <c r="V111" t="n">
        <v>2378</v>
      </c>
      <c r="W111" t="n">
        <v>1440</v>
      </c>
      <c r="X111" t="n">
        <v>1330</v>
      </c>
      <c r="Y111" t="n">
        <v>6500</v>
      </c>
    </row>
    <row r="112">
      <c r="A112" t="n">
        <v>111</v>
      </c>
      <c r="B112" t="n">
        <v>0</v>
      </c>
      <c r="C112" t="n">
        <v>5282</v>
      </c>
      <c r="D112" t="n">
        <v>9016</v>
      </c>
      <c r="E112" t="n">
        <v>26187</v>
      </c>
      <c r="F112" t="n">
        <v>75650</v>
      </c>
      <c r="G112" t="n">
        <v>216113</v>
      </c>
      <c r="H112" t="n">
        <v>612670</v>
      </c>
      <c r="I112" t="n">
        <v>1718223</v>
      </c>
      <c r="J112" t="n">
        <v>2000</v>
      </c>
      <c r="K112" t="n">
        <v>8092</v>
      </c>
      <c r="L112" t="n">
        <v>2110</v>
      </c>
      <c r="M112" t="n">
        <v>1011</v>
      </c>
      <c r="N112" t="n">
        <v>1555</v>
      </c>
      <c r="O112" t="n">
        <v>2110</v>
      </c>
      <c r="P112" t="n">
        <v>2665</v>
      </c>
      <c r="Q112" t="n">
        <v>3220</v>
      </c>
      <c r="R112" t="n">
        <v>3775</v>
      </c>
      <c r="S112" t="n">
        <v>4330</v>
      </c>
      <c r="T112" t="n">
        <v>4885</v>
      </c>
      <c r="U112" t="n">
        <v>5440</v>
      </c>
      <c r="V112" t="n">
        <v>2394</v>
      </c>
      <c r="W112" t="n">
        <v>1444</v>
      </c>
      <c r="X112" t="n">
        <v>1333</v>
      </c>
      <c r="Y112" t="n">
        <v>6550</v>
      </c>
    </row>
    <row r="113">
      <c r="A113" t="n">
        <v>112</v>
      </c>
      <c r="B113" t="n">
        <v>0</v>
      </c>
      <c r="C113" t="n">
        <v>5362</v>
      </c>
      <c r="D113" t="n">
        <v>9197</v>
      </c>
      <c r="E113" t="n">
        <v>26973</v>
      </c>
      <c r="F113" t="n">
        <v>78676</v>
      </c>
      <c r="G113" t="n">
        <v>226919</v>
      </c>
      <c r="H113" t="n">
        <v>649431</v>
      </c>
      <c r="I113" t="n">
        <v>1838499</v>
      </c>
      <c r="J113" t="n">
        <v>2000</v>
      </c>
      <c r="K113" t="n">
        <v>8173</v>
      </c>
      <c r="L113" t="n">
        <v>2120</v>
      </c>
      <c r="M113" t="n">
        <v>1012</v>
      </c>
      <c r="N113" t="n">
        <v>1560</v>
      </c>
      <c r="O113" t="n">
        <v>2120</v>
      </c>
      <c r="P113" t="n">
        <v>2680</v>
      </c>
      <c r="Q113" t="n">
        <v>3240</v>
      </c>
      <c r="R113" t="n">
        <v>3800</v>
      </c>
      <c r="S113" t="n">
        <v>4360</v>
      </c>
      <c r="T113" t="n">
        <v>4920</v>
      </c>
      <c r="U113" t="n">
        <v>5480</v>
      </c>
      <c r="V113" t="n">
        <v>2410</v>
      </c>
      <c r="W113" t="n">
        <v>1448</v>
      </c>
      <c r="X113" t="n">
        <v>1336</v>
      </c>
      <c r="Y113" t="n">
        <v>6600</v>
      </c>
    </row>
    <row r="114">
      <c r="A114" t="n">
        <v>113</v>
      </c>
      <c r="B114" t="n">
        <v>0</v>
      </c>
      <c r="C114" t="n">
        <v>5443</v>
      </c>
      <c r="D114" t="n">
        <v>9381</v>
      </c>
      <c r="E114" t="n">
        <v>27783</v>
      </c>
      <c r="F114" t="n">
        <v>81824</v>
      </c>
      <c r="G114" t="n">
        <v>238265</v>
      </c>
      <c r="H114" t="n">
        <v>688397</v>
      </c>
      <c r="I114" t="n">
        <v>1967194</v>
      </c>
      <c r="J114" t="n">
        <v>2000</v>
      </c>
      <c r="K114" t="n">
        <v>8255</v>
      </c>
      <c r="L114" t="n">
        <v>2130</v>
      </c>
      <c r="M114" t="n">
        <v>1013</v>
      </c>
      <c r="N114" t="n">
        <v>1565</v>
      </c>
      <c r="O114" t="n">
        <v>2130</v>
      </c>
      <c r="P114" t="n">
        <v>2695</v>
      </c>
      <c r="Q114" t="n">
        <v>3260</v>
      </c>
      <c r="R114" t="n">
        <v>3825</v>
      </c>
      <c r="S114" t="n">
        <v>4390</v>
      </c>
      <c r="T114" t="n">
        <v>4955</v>
      </c>
      <c r="U114" t="n">
        <v>5520</v>
      </c>
      <c r="V114" t="n">
        <v>2427</v>
      </c>
      <c r="W114" t="n">
        <v>1452</v>
      </c>
      <c r="X114" t="n">
        <v>1339</v>
      </c>
      <c r="Y114" t="n">
        <v>6650</v>
      </c>
    </row>
    <row r="115">
      <c r="A115" t="n">
        <v>114</v>
      </c>
      <c r="B115" t="n">
        <v>0</v>
      </c>
      <c r="C115" t="n">
        <v>5525</v>
      </c>
      <c r="D115" t="n">
        <v>9569</v>
      </c>
      <c r="E115" t="n">
        <v>28617</v>
      </c>
      <c r="F115" t="n">
        <v>85097</v>
      </c>
      <c r="G115" t="n">
        <v>250179</v>
      </c>
      <c r="H115" t="n">
        <v>729701</v>
      </c>
      <c r="I115" t="n">
        <v>2104898</v>
      </c>
      <c r="J115" t="n">
        <v>2000</v>
      </c>
      <c r="K115" t="n">
        <v>8338</v>
      </c>
      <c r="L115" t="n">
        <v>2140</v>
      </c>
      <c r="M115" t="n">
        <v>1014</v>
      </c>
      <c r="N115" t="n">
        <v>1570</v>
      </c>
      <c r="O115" t="n">
        <v>2140</v>
      </c>
      <c r="P115" t="n">
        <v>2710</v>
      </c>
      <c r="Q115" t="n">
        <v>3280</v>
      </c>
      <c r="R115" t="n">
        <v>3850</v>
      </c>
      <c r="S115" t="n">
        <v>4420</v>
      </c>
      <c r="T115" t="n">
        <v>4990</v>
      </c>
      <c r="U115" t="n">
        <v>5560</v>
      </c>
      <c r="V115" t="n">
        <v>2444</v>
      </c>
      <c r="W115" t="n">
        <v>1456</v>
      </c>
      <c r="X115" t="n">
        <v>1342</v>
      </c>
      <c r="Y115" t="n">
        <v>6700</v>
      </c>
    </row>
    <row r="116">
      <c r="A116" t="n">
        <v>115</v>
      </c>
      <c r="B116" t="n">
        <v>0</v>
      </c>
      <c r="C116" t="n">
        <v>5608</v>
      </c>
      <c r="D116" t="n">
        <v>9761</v>
      </c>
      <c r="E116" t="n">
        <v>29476</v>
      </c>
      <c r="F116" t="n">
        <v>88501</v>
      </c>
      <c r="G116" t="n">
        <v>262688</v>
      </c>
      <c r="H116" t="n">
        <v>773484</v>
      </c>
      <c r="I116" t="n">
        <v>2252241</v>
      </c>
      <c r="J116" t="n">
        <v>2000</v>
      </c>
      <c r="K116" t="n">
        <v>8422</v>
      </c>
      <c r="L116" t="n">
        <v>2150</v>
      </c>
      <c r="M116" t="n">
        <v>1015</v>
      </c>
      <c r="N116" t="n">
        <v>1575</v>
      </c>
      <c r="O116" t="n">
        <v>2150</v>
      </c>
      <c r="P116" t="n">
        <v>2725</v>
      </c>
      <c r="Q116" t="n">
        <v>3300</v>
      </c>
      <c r="R116" t="n">
        <v>3875</v>
      </c>
      <c r="S116" t="n">
        <v>4450</v>
      </c>
      <c r="T116" t="n">
        <v>5025</v>
      </c>
      <c r="U116" t="n">
        <v>5600</v>
      </c>
      <c r="V116" t="n">
        <v>2461</v>
      </c>
      <c r="W116" t="n">
        <v>1460</v>
      </c>
      <c r="X116" t="n">
        <v>1345</v>
      </c>
      <c r="Y116" t="n">
        <v>6750</v>
      </c>
    </row>
    <row r="117">
      <c r="A117" t="n">
        <v>116</v>
      </c>
      <c r="B117" t="n">
        <v>0</v>
      </c>
      <c r="C117" t="n">
        <v>5693</v>
      </c>
      <c r="D117" t="n">
        <v>9957</v>
      </c>
      <c r="E117" t="n">
        <v>30361</v>
      </c>
      <c r="F117" t="n">
        <v>92042</v>
      </c>
      <c r="G117" t="n">
        <v>275823</v>
      </c>
      <c r="H117" t="n">
        <v>819894</v>
      </c>
      <c r="I117" t="n">
        <v>2409898</v>
      </c>
      <c r="J117" t="n">
        <v>2000</v>
      </c>
      <c r="K117" t="n">
        <v>8507</v>
      </c>
      <c r="L117" t="n">
        <v>2160</v>
      </c>
      <c r="M117" t="n">
        <v>1016</v>
      </c>
      <c r="N117" t="n">
        <v>1580</v>
      </c>
      <c r="O117" t="n">
        <v>2160</v>
      </c>
      <c r="P117" t="n">
        <v>2740</v>
      </c>
      <c r="Q117" t="n">
        <v>3320</v>
      </c>
      <c r="R117" t="n">
        <v>3900</v>
      </c>
      <c r="S117" t="n">
        <v>4480</v>
      </c>
      <c r="T117" t="n">
        <v>5060</v>
      </c>
      <c r="U117" t="n">
        <v>5640</v>
      </c>
      <c r="V117" t="n">
        <v>2478</v>
      </c>
      <c r="W117" t="n">
        <v>1464</v>
      </c>
      <c r="X117" t="n">
        <v>1348</v>
      </c>
      <c r="Y117" t="n">
        <v>6800</v>
      </c>
    </row>
    <row r="118">
      <c r="A118" t="n">
        <v>117</v>
      </c>
      <c r="B118" t="n">
        <v>0</v>
      </c>
      <c r="C118" t="n">
        <v>5779</v>
      </c>
      <c r="D118" t="n">
        <v>10157</v>
      </c>
      <c r="E118" t="n">
        <v>31272</v>
      </c>
      <c r="F118" t="n">
        <v>95724</v>
      </c>
      <c r="G118" t="n">
        <v>289615</v>
      </c>
      <c r="H118" t="n">
        <v>869088</v>
      </c>
      <c r="I118" t="n">
        <v>2578591</v>
      </c>
      <c r="J118" t="n">
        <v>2000</v>
      </c>
      <c r="K118" t="n">
        <v>8593</v>
      </c>
      <c r="L118" t="n">
        <v>2170</v>
      </c>
      <c r="M118" t="n">
        <v>1017</v>
      </c>
      <c r="N118" t="n">
        <v>1585</v>
      </c>
      <c r="O118" t="n">
        <v>2170</v>
      </c>
      <c r="P118" t="n">
        <v>2755</v>
      </c>
      <c r="Q118" t="n">
        <v>3340</v>
      </c>
      <c r="R118" t="n">
        <v>3925</v>
      </c>
      <c r="S118" t="n">
        <v>4510</v>
      </c>
      <c r="T118" t="n">
        <v>5095</v>
      </c>
      <c r="U118" t="n">
        <v>5680</v>
      </c>
      <c r="V118" t="n">
        <v>2495</v>
      </c>
      <c r="W118" t="n">
        <v>1468</v>
      </c>
      <c r="X118" t="n">
        <v>1351</v>
      </c>
      <c r="Y118" t="n">
        <v>6850</v>
      </c>
    </row>
    <row r="119">
      <c r="A119" t="n">
        <v>118</v>
      </c>
      <c r="B119" t="n">
        <v>0</v>
      </c>
      <c r="C119" t="n">
        <v>5866</v>
      </c>
      <c r="D119" t="n">
        <v>10361</v>
      </c>
      <c r="E119" t="n">
        <v>32211</v>
      </c>
      <c r="F119" t="n">
        <v>99553</v>
      </c>
      <c r="G119" t="n">
        <v>304096</v>
      </c>
      <c r="H119" t="n">
        <v>921234</v>
      </c>
      <c r="I119" t="n">
        <v>2759093</v>
      </c>
      <c r="J119" t="n">
        <v>2000</v>
      </c>
      <c r="K119" t="n">
        <v>8679</v>
      </c>
      <c r="L119" t="n">
        <v>2180</v>
      </c>
      <c r="M119" t="n">
        <v>1018</v>
      </c>
      <c r="N119" t="n">
        <v>1590</v>
      </c>
      <c r="O119" t="n">
        <v>2180</v>
      </c>
      <c r="P119" t="n">
        <v>2770</v>
      </c>
      <c r="Q119" t="n">
        <v>3360</v>
      </c>
      <c r="R119" t="n">
        <v>3950</v>
      </c>
      <c r="S119" t="n">
        <v>4540</v>
      </c>
      <c r="T119" t="n">
        <v>5130</v>
      </c>
      <c r="U119" t="n">
        <v>5720</v>
      </c>
      <c r="V119" t="n">
        <v>2512</v>
      </c>
      <c r="W119" t="n">
        <v>1472</v>
      </c>
      <c r="X119" t="n">
        <v>1354</v>
      </c>
      <c r="Y119" t="n">
        <v>6900</v>
      </c>
    </row>
    <row r="120">
      <c r="A120" t="n">
        <v>119</v>
      </c>
      <c r="B120" t="n">
        <v>0</v>
      </c>
      <c r="C120" t="n">
        <v>5954</v>
      </c>
      <c r="D120" t="n">
        <v>10569</v>
      </c>
      <c r="E120" t="n">
        <v>33178</v>
      </c>
      <c r="F120" t="n">
        <v>103536</v>
      </c>
      <c r="G120" t="n">
        <v>319301</v>
      </c>
      <c r="H120" t="n">
        <v>976509</v>
      </c>
      <c r="I120" t="n">
        <v>2952230</v>
      </c>
      <c r="J120" t="n">
        <v>2000</v>
      </c>
      <c r="K120" t="n">
        <v>8766</v>
      </c>
      <c r="L120" t="n">
        <v>2190</v>
      </c>
      <c r="M120" t="n">
        <v>1019</v>
      </c>
      <c r="N120" t="n">
        <v>1595</v>
      </c>
      <c r="O120" t="n">
        <v>2190</v>
      </c>
      <c r="P120" t="n">
        <v>2785</v>
      </c>
      <c r="Q120" t="n">
        <v>3380</v>
      </c>
      <c r="R120" t="n">
        <v>3975</v>
      </c>
      <c r="S120" t="n">
        <v>4570</v>
      </c>
      <c r="T120" t="n">
        <v>5165</v>
      </c>
      <c r="U120" t="n">
        <v>5760</v>
      </c>
      <c r="V120" t="n">
        <v>2529</v>
      </c>
      <c r="W120" t="n">
        <v>1476</v>
      </c>
      <c r="X120" t="n">
        <v>1357</v>
      </c>
      <c r="Y120" t="n">
        <v>6950</v>
      </c>
    </row>
    <row r="121">
      <c r="A121" t="n">
        <v>120</v>
      </c>
      <c r="B121" t="n">
        <v>0</v>
      </c>
      <c r="C121" t="n">
        <v>6044</v>
      </c>
      <c r="D121" t="n">
        <v>10781</v>
      </c>
      <c r="E121" t="n">
        <v>34174</v>
      </c>
      <c r="F121" t="n">
        <v>107678</v>
      </c>
      <c r="G121" t="n">
        <v>335267</v>
      </c>
      <c r="H121" t="n">
        <v>1035100</v>
      </c>
      <c r="I121" t="n">
        <v>3158887</v>
      </c>
      <c r="J121" t="n">
        <v>2000</v>
      </c>
      <c r="K121" t="n">
        <v>8854</v>
      </c>
      <c r="L121" t="n">
        <v>2200</v>
      </c>
      <c r="M121" t="n">
        <v>1020</v>
      </c>
      <c r="N121" t="n">
        <v>1600</v>
      </c>
      <c r="O121" t="n">
        <v>2200</v>
      </c>
      <c r="P121" t="n">
        <v>2800</v>
      </c>
      <c r="Q121" t="n">
        <v>3400</v>
      </c>
      <c r="R121" t="n">
        <v>4000</v>
      </c>
      <c r="S121" t="n">
        <v>4600</v>
      </c>
      <c r="T121" t="n">
        <v>5200</v>
      </c>
      <c r="U121" t="n">
        <v>5800</v>
      </c>
      <c r="V121" t="n">
        <v>2546</v>
      </c>
      <c r="W121" t="n">
        <v>1480</v>
      </c>
      <c r="X121" t="n">
        <v>1360</v>
      </c>
      <c r="Y121" t="n">
        <v>7000</v>
      </c>
    </row>
    <row r="122">
      <c r="A122" t="n">
        <v>121</v>
      </c>
      <c r="B122" t="n">
        <v>0</v>
      </c>
      <c r="C122" t="n">
        <v>6135</v>
      </c>
      <c r="D122" t="n">
        <v>10997</v>
      </c>
      <c r="E122" t="n">
        <v>35200</v>
      </c>
      <c r="F122" t="n">
        <v>111986</v>
      </c>
      <c r="G122" t="n">
        <v>352031</v>
      </c>
      <c r="H122" t="n">
        <v>1097206</v>
      </c>
      <c r="I122" t="n">
        <v>3380010</v>
      </c>
      <c r="J122" t="n">
        <v>2000</v>
      </c>
      <c r="K122" t="n">
        <v>8943</v>
      </c>
      <c r="L122" t="n">
        <v>2210</v>
      </c>
      <c r="M122" t="n">
        <v>1021</v>
      </c>
      <c r="N122" t="n">
        <v>1605</v>
      </c>
      <c r="O122" t="n">
        <v>2210</v>
      </c>
      <c r="P122" t="n">
        <v>2815</v>
      </c>
      <c r="Q122" t="n">
        <v>3420</v>
      </c>
      <c r="R122" t="n">
        <v>4025</v>
      </c>
      <c r="S122" t="n">
        <v>4630</v>
      </c>
      <c r="T122" t="n">
        <v>5235</v>
      </c>
      <c r="U122" t="n">
        <v>5840</v>
      </c>
      <c r="V122" t="n">
        <v>2563</v>
      </c>
      <c r="W122" t="n">
        <v>1484</v>
      </c>
      <c r="X122" t="n">
        <v>1363</v>
      </c>
      <c r="Y122" t="n">
        <v>7010</v>
      </c>
    </row>
    <row r="123">
      <c r="A123" t="n">
        <v>122</v>
      </c>
      <c r="B123" t="n">
        <v>0</v>
      </c>
      <c r="C123" t="n">
        <v>6228</v>
      </c>
      <c r="D123" t="n">
        <v>11217</v>
      </c>
      <c r="E123" t="n">
        <v>36256</v>
      </c>
      <c r="F123" t="n">
        <v>116466</v>
      </c>
      <c r="G123" t="n">
        <v>369633</v>
      </c>
      <c r="H123" t="n">
        <v>1163039</v>
      </c>
      <c r="I123" t="n">
        <v>3616611</v>
      </c>
      <c r="J123" t="n">
        <v>2000</v>
      </c>
      <c r="K123" t="n">
        <v>9033</v>
      </c>
      <c r="L123" t="n">
        <v>2220</v>
      </c>
      <c r="M123" t="n">
        <v>1022</v>
      </c>
      <c r="N123" t="n">
        <v>1610</v>
      </c>
      <c r="O123" t="n">
        <v>2220</v>
      </c>
      <c r="P123" t="n">
        <v>2830</v>
      </c>
      <c r="Q123" t="n">
        <v>3440</v>
      </c>
      <c r="R123" t="n">
        <v>4050</v>
      </c>
      <c r="S123" t="n">
        <v>4660</v>
      </c>
      <c r="T123" t="n">
        <v>5270</v>
      </c>
      <c r="U123" t="n">
        <v>5880</v>
      </c>
      <c r="V123" t="n">
        <v>2580</v>
      </c>
      <c r="W123" t="n">
        <v>1488</v>
      </c>
      <c r="X123" t="n">
        <v>1366</v>
      </c>
      <c r="Y123" t="n">
        <v>7020</v>
      </c>
    </row>
    <row r="124">
      <c r="A124" t="n">
        <v>123</v>
      </c>
      <c r="B124" t="n">
        <v>0</v>
      </c>
      <c r="C124" t="n">
        <v>6322</v>
      </c>
      <c r="D124" t="n">
        <v>11442</v>
      </c>
      <c r="E124" t="n">
        <v>37344</v>
      </c>
      <c r="F124" t="n">
        <v>121125</v>
      </c>
      <c r="G124" t="n">
        <v>388115</v>
      </c>
      <c r="H124" t="n">
        <v>1232822</v>
      </c>
      <c r="I124" t="n">
        <v>3869774</v>
      </c>
      <c r="J124" t="n">
        <v>2000</v>
      </c>
      <c r="K124" t="n">
        <v>9124</v>
      </c>
      <c r="L124" t="n">
        <v>2230</v>
      </c>
      <c r="M124" t="n">
        <v>1023</v>
      </c>
      <c r="N124" t="n">
        <v>1615</v>
      </c>
      <c r="O124" t="n">
        <v>2230</v>
      </c>
      <c r="P124" t="n">
        <v>2845</v>
      </c>
      <c r="Q124" t="n">
        <v>3460</v>
      </c>
      <c r="R124" t="n">
        <v>4075</v>
      </c>
      <c r="S124" t="n">
        <v>4690</v>
      </c>
      <c r="T124" t="n">
        <v>5305</v>
      </c>
      <c r="U124" t="n">
        <v>5920</v>
      </c>
      <c r="V124" t="n">
        <v>2597</v>
      </c>
      <c r="W124" t="n">
        <v>1492</v>
      </c>
      <c r="X124" t="n">
        <v>1369</v>
      </c>
      <c r="Y124" t="n">
        <v>7030</v>
      </c>
    </row>
    <row r="125">
      <c r="A125" t="n">
        <v>124</v>
      </c>
      <c r="B125" t="n">
        <v>0</v>
      </c>
      <c r="C125" t="n">
        <v>6417</v>
      </c>
      <c r="D125" t="n">
        <v>11671</v>
      </c>
      <c r="E125" t="n">
        <v>38465</v>
      </c>
      <c r="F125" t="n">
        <v>125970</v>
      </c>
      <c r="G125" t="n">
        <v>407521</v>
      </c>
      <c r="H125" t="n">
        <v>1306792</v>
      </c>
      <c r="I125" t="n">
        <v>4140659</v>
      </c>
      <c r="J125" t="n">
        <v>2000</v>
      </c>
      <c r="K125" t="n">
        <v>9216</v>
      </c>
      <c r="L125" t="n">
        <v>2240</v>
      </c>
      <c r="M125" t="n">
        <v>1024</v>
      </c>
      <c r="N125" t="n">
        <v>1620</v>
      </c>
      <c r="O125" t="n">
        <v>2240</v>
      </c>
      <c r="P125" t="n">
        <v>2860</v>
      </c>
      <c r="Q125" t="n">
        <v>3480</v>
      </c>
      <c r="R125" t="n">
        <v>4100</v>
      </c>
      <c r="S125" t="n">
        <v>4720</v>
      </c>
      <c r="T125" t="n">
        <v>5340</v>
      </c>
      <c r="U125" t="n">
        <v>5960</v>
      </c>
      <c r="V125" t="n">
        <v>2615</v>
      </c>
      <c r="W125" t="n">
        <v>1496</v>
      </c>
      <c r="X125" t="n">
        <v>1372</v>
      </c>
      <c r="Y125" t="n">
        <v>7040</v>
      </c>
    </row>
    <row r="126">
      <c r="A126" t="n">
        <v>125</v>
      </c>
      <c r="B126" t="n">
        <v>0</v>
      </c>
      <c r="C126" t="n">
        <v>6514</v>
      </c>
      <c r="D126" t="n">
        <v>11905</v>
      </c>
      <c r="E126" t="n">
        <v>39619</v>
      </c>
      <c r="F126" t="n">
        <v>131009</v>
      </c>
      <c r="G126" t="n">
        <v>427898</v>
      </c>
      <c r="H126" t="n">
        <v>1385200</v>
      </c>
      <c r="I126" t="n">
        <v>4430506</v>
      </c>
      <c r="J126" t="n">
        <v>2000</v>
      </c>
      <c r="K126" t="n">
        <v>9309</v>
      </c>
      <c r="L126" t="n">
        <v>2250</v>
      </c>
      <c r="M126" t="n">
        <v>1025</v>
      </c>
      <c r="N126" t="n">
        <v>1625</v>
      </c>
      <c r="O126" t="n">
        <v>2250</v>
      </c>
      <c r="P126" t="n">
        <v>2875</v>
      </c>
      <c r="Q126" t="n">
        <v>3500</v>
      </c>
      <c r="R126" t="n">
        <v>4125</v>
      </c>
      <c r="S126" t="n">
        <v>4750</v>
      </c>
      <c r="T126" t="n">
        <v>5375</v>
      </c>
      <c r="U126" t="n">
        <v>6000</v>
      </c>
      <c r="V126" t="n">
        <v>2633</v>
      </c>
      <c r="W126" t="n">
        <v>1500</v>
      </c>
      <c r="X126" t="n">
        <v>1375</v>
      </c>
      <c r="Y126" t="n">
        <v>7050</v>
      </c>
    </row>
    <row r="127">
      <c r="A127" t="n">
        <v>126</v>
      </c>
      <c r="B127" t="n">
        <v>0</v>
      </c>
      <c r="C127" t="n">
        <v>6612</v>
      </c>
      <c r="D127" t="n">
        <v>12144</v>
      </c>
      <c r="E127" t="n">
        <v>40808</v>
      </c>
      <c r="F127" t="n">
        <v>136250</v>
      </c>
      <c r="G127" t="n">
        <v>449293</v>
      </c>
      <c r="H127" t="n">
        <v>1468312</v>
      </c>
      <c r="I127" t="n">
        <v>4740642</v>
      </c>
      <c r="J127" t="n">
        <v>2000</v>
      </c>
      <c r="K127" t="n">
        <v>9403</v>
      </c>
      <c r="L127" t="n">
        <v>2260</v>
      </c>
      <c r="M127" t="n">
        <v>1026</v>
      </c>
      <c r="N127" t="n">
        <v>1630</v>
      </c>
      <c r="O127" t="n">
        <v>2260</v>
      </c>
      <c r="P127" t="n">
        <v>2890</v>
      </c>
      <c r="Q127" t="n">
        <v>3520</v>
      </c>
      <c r="R127" t="n">
        <v>4150</v>
      </c>
      <c r="S127" t="n">
        <v>4780</v>
      </c>
      <c r="T127" t="n">
        <v>5410</v>
      </c>
      <c r="U127" t="n">
        <v>6040</v>
      </c>
      <c r="V127" t="n">
        <v>2651</v>
      </c>
      <c r="W127" t="n">
        <v>1504</v>
      </c>
      <c r="X127" t="n">
        <v>1378</v>
      </c>
      <c r="Y127" t="n">
        <v>7060</v>
      </c>
    </row>
    <row r="128">
      <c r="A128" t="n">
        <v>127</v>
      </c>
      <c r="B128" t="n">
        <v>0</v>
      </c>
      <c r="C128" t="n">
        <v>6712</v>
      </c>
      <c r="D128" t="n">
        <v>12387</v>
      </c>
      <c r="E128" t="n">
        <v>42033</v>
      </c>
      <c r="F128" t="n">
        <v>141700</v>
      </c>
      <c r="G128" t="n">
        <v>471758</v>
      </c>
      <c r="H128" t="n">
        <v>1556411</v>
      </c>
      <c r="I128" t="n">
        <v>5072487</v>
      </c>
      <c r="J128" t="n">
        <v>2000</v>
      </c>
      <c r="K128" t="n">
        <v>9498</v>
      </c>
      <c r="L128" t="n">
        <v>2270</v>
      </c>
      <c r="M128" t="n">
        <v>1027</v>
      </c>
      <c r="N128" t="n">
        <v>1635</v>
      </c>
      <c r="O128" t="n">
        <v>2270</v>
      </c>
      <c r="P128" t="n">
        <v>2905</v>
      </c>
      <c r="Q128" t="n">
        <v>3540</v>
      </c>
      <c r="R128" t="n">
        <v>4175</v>
      </c>
      <c r="S128" t="n">
        <v>4810</v>
      </c>
      <c r="T128" t="n">
        <v>5445</v>
      </c>
      <c r="U128" t="n">
        <v>6080</v>
      </c>
      <c r="V128" t="n">
        <v>2669</v>
      </c>
      <c r="W128" t="n">
        <v>1508</v>
      </c>
      <c r="X128" t="n">
        <v>1381</v>
      </c>
      <c r="Y128" t="n">
        <v>7070</v>
      </c>
    </row>
    <row r="129">
      <c r="A129" t="n">
        <v>128</v>
      </c>
      <c r="B129" t="n">
        <v>0</v>
      </c>
      <c r="C129" t="n">
        <v>6813</v>
      </c>
      <c r="D129" t="n">
        <v>12635</v>
      </c>
      <c r="E129" t="n">
        <v>43294</v>
      </c>
      <c r="F129" t="n">
        <v>147368</v>
      </c>
      <c r="G129" t="n">
        <v>495346</v>
      </c>
      <c r="H129" t="n">
        <v>1649796</v>
      </c>
      <c r="I129" t="n">
        <v>5427562</v>
      </c>
      <c r="J129" t="n">
        <v>2000</v>
      </c>
      <c r="K129" t="n">
        <v>9593</v>
      </c>
      <c r="L129" t="n">
        <v>2280</v>
      </c>
      <c r="M129" t="n">
        <v>1028</v>
      </c>
      <c r="N129" t="n">
        <v>1640</v>
      </c>
      <c r="O129" t="n">
        <v>2280</v>
      </c>
      <c r="P129" t="n">
        <v>2920</v>
      </c>
      <c r="Q129" t="n">
        <v>3560</v>
      </c>
      <c r="R129" t="n">
        <v>4200</v>
      </c>
      <c r="S129" t="n">
        <v>4840</v>
      </c>
      <c r="T129" t="n">
        <v>5480</v>
      </c>
      <c r="U129" t="n">
        <v>6120</v>
      </c>
      <c r="V129" t="n">
        <v>2687</v>
      </c>
      <c r="W129" t="n">
        <v>1512</v>
      </c>
      <c r="X129" t="n">
        <v>1384</v>
      </c>
      <c r="Y129" t="n">
        <v>7080</v>
      </c>
    </row>
    <row r="130">
      <c r="A130" t="n">
        <v>129</v>
      </c>
      <c r="B130" t="n">
        <v>0</v>
      </c>
      <c r="C130" t="n">
        <v>6916</v>
      </c>
      <c r="D130" t="n">
        <v>12888</v>
      </c>
      <c r="E130" t="n">
        <v>44593</v>
      </c>
      <c r="F130" t="n">
        <v>153263</v>
      </c>
      <c r="G130" t="n">
        <v>520114</v>
      </c>
      <c r="H130" t="n">
        <v>1748784</v>
      </c>
      <c r="I130" t="n">
        <v>5807492</v>
      </c>
      <c r="J130" t="n">
        <v>2000</v>
      </c>
      <c r="K130" t="n">
        <v>9689</v>
      </c>
      <c r="L130" t="n">
        <v>2290</v>
      </c>
      <c r="M130" t="n">
        <v>1029</v>
      </c>
      <c r="N130" t="n">
        <v>1645</v>
      </c>
      <c r="O130" t="n">
        <v>2290</v>
      </c>
      <c r="P130" t="n">
        <v>2935</v>
      </c>
      <c r="Q130" t="n">
        <v>3580</v>
      </c>
      <c r="R130" t="n">
        <v>4225</v>
      </c>
      <c r="S130" t="n">
        <v>4870</v>
      </c>
      <c r="T130" t="n">
        <v>5515</v>
      </c>
      <c r="U130" t="n">
        <v>6160</v>
      </c>
      <c r="V130" t="n">
        <v>2705</v>
      </c>
      <c r="W130" t="n">
        <v>1516</v>
      </c>
      <c r="X130" t="n">
        <v>1387</v>
      </c>
      <c r="Y130" t="n">
        <v>7090</v>
      </c>
    </row>
    <row r="131">
      <c r="A131" t="n">
        <v>130</v>
      </c>
      <c r="B131" t="n">
        <v>0</v>
      </c>
      <c r="C131" t="n">
        <v>7020</v>
      </c>
      <c r="D131" t="n">
        <v>13146</v>
      </c>
      <c r="E131" t="n">
        <v>45931</v>
      </c>
      <c r="F131" t="n">
        <v>159394</v>
      </c>
      <c r="G131" t="n">
        <v>546120</v>
      </c>
      <c r="H131" t="n">
        <v>1853712</v>
      </c>
      <c r="I131" t="n">
        <v>6214017</v>
      </c>
      <c r="J131" t="n">
        <v>2000</v>
      </c>
      <c r="K131" t="n">
        <v>9786</v>
      </c>
      <c r="L131" t="n">
        <v>2300</v>
      </c>
      <c r="M131" t="n">
        <v>1030</v>
      </c>
      <c r="N131" t="n">
        <v>1650</v>
      </c>
      <c r="O131" t="n">
        <v>2300</v>
      </c>
      <c r="P131" t="n">
        <v>2950</v>
      </c>
      <c r="Q131" t="n">
        <v>3600</v>
      </c>
      <c r="R131" t="n">
        <v>4250</v>
      </c>
      <c r="S131" t="n">
        <v>4900</v>
      </c>
      <c r="T131" t="n">
        <v>5550</v>
      </c>
      <c r="U131" t="n">
        <v>6200</v>
      </c>
      <c r="V131" t="n">
        <v>2723</v>
      </c>
      <c r="W131" t="n">
        <v>1520</v>
      </c>
      <c r="X131" t="n">
        <v>1390</v>
      </c>
      <c r="Y131" t="n">
        <v>7100</v>
      </c>
    </row>
    <row r="132">
      <c r="A132" t="n">
        <v>131</v>
      </c>
      <c r="B132" t="n">
        <v>0</v>
      </c>
      <c r="C132" t="n">
        <v>7126</v>
      </c>
      <c r="D132" t="n">
        <v>13409</v>
      </c>
      <c r="E132" t="n">
        <v>47309</v>
      </c>
      <c r="F132" t="n">
        <v>165770</v>
      </c>
      <c r="G132" t="n">
        <v>573426</v>
      </c>
      <c r="H132" t="n">
        <v>1964935</v>
      </c>
      <c r="I132" t="n">
        <v>6648999</v>
      </c>
      <c r="J132" t="n">
        <v>2000</v>
      </c>
      <c r="K132" t="n">
        <v>9884</v>
      </c>
      <c r="L132" t="n">
        <v>2310</v>
      </c>
      <c r="M132" t="n">
        <v>1031</v>
      </c>
      <c r="N132" t="n">
        <v>1655</v>
      </c>
      <c r="O132" t="n">
        <v>2310</v>
      </c>
      <c r="P132" t="n">
        <v>2965</v>
      </c>
      <c r="Q132" t="n">
        <v>3620</v>
      </c>
      <c r="R132" t="n">
        <v>4275</v>
      </c>
      <c r="S132" t="n">
        <v>4930</v>
      </c>
      <c r="T132" t="n">
        <v>5585</v>
      </c>
      <c r="U132" t="n">
        <v>6240</v>
      </c>
      <c r="V132" t="n">
        <v>2741</v>
      </c>
      <c r="W132" t="n">
        <v>1524</v>
      </c>
      <c r="X132" t="n">
        <v>1393</v>
      </c>
      <c r="Y132" t="n">
        <v>7110</v>
      </c>
    </row>
    <row r="133">
      <c r="A133" t="n">
        <v>132</v>
      </c>
      <c r="B133" t="n">
        <v>0</v>
      </c>
      <c r="C133" t="n">
        <v>7233</v>
      </c>
      <c r="D133" t="n">
        <v>13678</v>
      </c>
      <c r="E133" t="n">
        <v>48729</v>
      </c>
      <c r="F133" t="n">
        <v>172401</v>
      </c>
      <c r="G133" t="n">
        <v>602098</v>
      </c>
      <c r="H133" t="n">
        <v>2082832</v>
      </c>
      <c r="I133" t="n">
        <v>7114429</v>
      </c>
      <c r="J133" t="n">
        <v>2000</v>
      </c>
      <c r="K133" t="n">
        <v>9983</v>
      </c>
      <c r="L133" t="n">
        <v>2320</v>
      </c>
      <c r="M133" t="n">
        <v>1032</v>
      </c>
      <c r="N133" t="n">
        <v>1660</v>
      </c>
      <c r="O133" t="n">
        <v>2320</v>
      </c>
      <c r="P133" t="n">
        <v>2980</v>
      </c>
      <c r="Q133" t="n">
        <v>3640</v>
      </c>
      <c r="R133" t="n">
        <v>4300</v>
      </c>
      <c r="S133" t="n">
        <v>4960</v>
      </c>
      <c r="T133" t="n">
        <v>5620</v>
      </c>
      <c r="U133" t="n">
        <v>6280</v>
      </c>
      <c r="V133" t="n">
        <v>2759</v>
      </c>
      <c r="W133" t="n">
        <v>1528</v>
      </c>
      <c r="X133" t="n">
        <v>1396</v>
      </c>
      <c r="Y133" t="n">
        <v>7120</v>
      </c>
    </row>
    <row r="134">
      <c r="A134" t="n">
        <v>133</v>
      </c>
      <c r="B134" t="n">
        <v>0</v>
      </c>
      <c r="C134" t="n">
        <v>7342</v>
      </c>
      <c r="D134" t="n">
        <v>13952</v>
      </c>
      <c r="E134" t="n">
        <v>50191</v>
      </c>
      <c r="F134" t="n">
        <v>179298</v>
      </c>
      <c r="G134" t="n">
        <v>632203</v>
      </c>
      <c r="H134" t="n">
        <v>2207802</v>
      </c>
      <c r="I134" t="n">
        <v>7612440</v>
      </c>
      <c r="J134" t="n">
        <v>2000</v>
      </c>
      <c r="K134" t="n">
        <v>10083</v>
      </c>
      <c r="L134" t="n">
        <v>2330</v>
      </c>
      <c r="M134" t="n">
        <v>1033</v>
      </c>
      <c r="N134" t="n">
        <v>1665</v>
      </c>
      <c r="O134" t="n">
        <v>2330</v>
      </c>
      <c r="P134" t="n">
        <v>2995</v>
      </c>
      <c r="Q134" t="n">
        <v>3660</v>
      </c>
      <c r="R134" t="n">
        <v>4325</v>
      </c>
      <c r="S134" t="n">
        <v>4990</v>
      </c>
      <c r="T134" t="n">
        <v>5655</v>
      </c>
      <c r="U134" t="n">
        <v>6320</v>
      </c>
      <c r="V134" t="n">
        <v>2777</v>
      </c>
      <c r="W134" t="n">
        <v>1532</v>
      </c>
      <c r="X134" t="n">
        <v>1399</v>
      </c>
      <c r="Y134" t="n">
        <v>7130</v>
      </c>
    </row>
    <row r="135">
      <c r="A135" t="n">
        <v>134</v>
      </c>
      <c r="B135" t="n">
        <v>0</v>
      </c>
      <c r="C135" t="n">
        <v>7453</v>
      </c>
      <c r="D135" t="n">
        <v>14232</v>
      </c>
      <c r="E135" t="n">
        <v>51697</v>
      </c>
      <c r="F135" t="n">
        <v>186470</v>
      </c>
      <c r="G135" t="n">
        <v>663814</v>
      </c>
      <c r="H135" t="n">
        <v>2340271</v>
      </c>
      <c r="I135" t="n">
        <v>8145311</v>
      </c>
      <c r="J135" t="n">
        <v>2000</v>
      </c>
      <c r="K135" t="n">
        <v>10184</v>
      </c>
      <c r="L135" t="n">
        <v>2340</v>
      </c>
      <c r="M135" t="n">
        <v>1034</v>
      </c>
      <c r="N135" t="n">
        <v>1670</v>
      </c>
      <c r="O135" t="n">
        <v>2340</v>
      </c>
      <c r="P135" t="n">
        <v>3010</v>
      </c>
      <c r="Q135" t="n">
        <v>3680</v>
      </c>
      <c r="R135" t="n">
        <v>4350</v>
      </c>
      <c r="S135" t="n">
        <v>5020</v>
      </c>
      <c r="T135" t="n">
        <v>5690</v>
      </c>
      <c r="U135" t="n">
        <v>6360</v>
      </c>
      <c r="V135" t="n">
        <v>2795</v>
      </c>
      <c r="W135" t="n">
        <v>1536</v>
      </c>
      <c r="X135" t="n">
        <v>1402</v>
      </c>
      <c r="Y135" t="n">
        <v>7140</v>
      </c>
    </row>
    <row r="136">
      <c r="A136" t="n">
        <v>135</v>
      </c>
      <c r="B136" t="n">
        <v>0</v>
      </c>
      <c r="C136" t="n">
        <v>7565</v>
      </c>
      <c r="D136" t="n">
        <v>14517</v>
      </c>
      <c r="E136" t="n">
        <v>53248</v>
      </c>
      <c r="F136" t="n">
        <v>193929</v>
      </c>
      <c r="G136" t="n">
        <v>697005</v>
      </c>
      <c r="H136" t="n">
        <v>2480688</v>
      </c>
      <c r="I136" t="n">
        <v>8715483</v>
      </c>
      <c r="J136" t="n">
        <v>2000</v>
      </c>
      <c r="K136" t="n">
        <v>10286</v>
      </c>
      <c r="L136" t="n">
        <v>2350</v>
      </c>
      <c r="M136" t="n">
        <v>1035</v>
      </c>
      <c r="N136" t="n">
        <v>1675</v>
      </c>
      <c r="O136" t="n">
        <v>2350</v>
      </c>
      <c r="P136" t="n">
        <v>3025</v>
      </c>
      <c r="Q136" t="n">
        <v>3700</v>
      </c>
      <c r="R136" t="n">
        <v>4375</v>
      </c>
      <c r="S136" t="n">
        <v>5050</v>
      </c>
      <c r="T136" t="n">
        <v>5725</v>
      </c>
      <c r="U136" t="n">
        <v>6400</v>
      </c>
      <c r="V136" t="n">
        <v>2813</v>
      </c>
      <c r="W136" t="n">
        <v>1540</v>
      </c>
      <c r="X136" t="n">
        <v>1405</v>
      </c>
      <c r="Y136" t="n">
        <v>7150</v>
      </c>
    </row>
    <row r="137">
      <c r="A137" t="n">
        <v>136</v>
      </c>
      <c r="B137" t="n">
        <v>0</v>
      </c>
      <c r="C137" t="n">
        <v>7679</v>
      </c>
      <c r="D137" t="n">
        <v>14808</v>
      </c>
      <c r="E137" t="n">
        <v>54846</v>
      </c>
      <c r="F137" t="n">
        <v>201687</v>
      </c>
      <c r="G137" t="n">
        <v>731856</v>
      </c>
      <c r="H137" t="n">
        <v>2629530</v>
      </c>
      <c r="I137" t="n">
        <v>9325567</v>
      </c>
      <c r="J137" t="n">
        <v>2000</v>
      </c>
      <c r="K137" t="n">
        <v>10389</v>
      </c>
      <c r="L137" t="n">
        <v>2360</v>
      </c>
      <c r="M137" t="n">
        <v>1036</v>
      </c>
      <c r="N137" t="n">
        <v>1680</v>
      </c>
      <c r="O137" t="n">
        <v>2360</v>
      </c>
      <c r="P137" t="n">
        <v>3040</v>
      </c>
      <c r="Q137" t="n">
        <v>3720</v>
      </c>
      <c r="R137" t="n">
        <v>4400</v>
      </c>
      <c r="S137" t="n">
        <v>5080</v>
      </c>
      <c r="T137" t="n">
        <v>5760</v>
      </c>
      <c r="U137" t="n">
        <v>6440</v>
      </c>
      <c r="V137" t="n">
        <v>2832</v>
      </c>
      <c r="W137" t="n">
        <v>1544</v>
      </c>
      <c r="X137" t="n">
        <v>1408</v>
      </c>
      <c r="Y137" t="n">
        <v>7160</v>
      </c>
    </row>
    <row r="138">
      <c r="A138" t="n">
        <v>137</v>
      </c>
      <c r="B138" t="n">
        <v>0</v>
      </c>
      <c r="C138" t="n">
        <v>7795</v>
      </c>
      <c r="D138" t="n">
        <v>15105</v>
      </c>
      <c r="E138" t="n">
        <v>56492</v>
      </c>
      <c r="F138" t="n">
        <v>209755</v>
      </c>
      <c r="G138" t="n">
        <v>768449</v>
      </c>
      <c r="H138" t="n">
        <v>2787302</v>
      </c>
      <c r="I138" t="n">
        <v>9978357</v>
      </c>
      <c r="J138" t="n">
        <v>2000</v>
      </c>
      <c r="K138" t="n">
        <v>10493</v>
      </c>
      <c r="L138" t="n">
        <v>2370</v>
      </c>
      <c r="M138" t="n">
        <v>1037</v>
      </c>
      <c r="N138" t="n">
        <v>1685</v>
      </c>
      <c r="O138" t="n">
        <v>2370</v>
      </c>
      <c r="P138" t="n">
        <v>3055</v>
      </c>
      <c r="Q138" t="n">
        <v>3740</v>
      </c>
      <c r="R138" t="n">
        <v>4425</v>
      </c>
      <c r="S138" t="n">
        <v>5110</v>
      </c>
      <c r="T138" t="n">
        <v>5795</v>
      </c>
      <c r="U138" t="n">
        <v>6480</v>
      </c>
      <c r="V138" t="n">
        <v>2851</v>
      </c>
      <c r="W138" t="n">
        <v>1548</v>
      </c>
      <c r="X138" t="n">
        <v>1411</v>
      </c>
      <c r="Y138" t="n">
        <v>7170</v>
      </c>
    </row>
    <row r="139">
      <c r="A139" t="n">
        <v>138</v>
      </c>
      <c r="B139" t="n">
        <v>0</v>
      </c>
      <c r="C139" t="n">
        <v>7912</v>
      </c>
      <c r="D139" t="n">
        <v>15408</v>
      </c>
      <c r="E139" t="n">
        <v>58187</v>
      </c>
      <c r="F139" t="n">
        <v>218146</v>
      </c>
      <c r="G139" t="n">
        <v>806872</v>
      </c>
      <c r="H139" t="n">
        <v>2954541</v>
      </c>
      <c r="I139" t="n">
        <v>10676842</v>
      </c>
      <c r="J139" t="n">
        <v>2000</v>
      </c>
      <c r="K139" t="n">
        <v>10598</v>
      </c>
      <c r="L139" t="n">
        <v>2380</v>
      </c>
      <c r="M139" t="n">
        <v>1038</v>
      </c>
      <c r="N139" t="n">
        <v>1690</v>
      </c>
      <c r="O139" t="n">
        <v>2380</v>
      </c>
      <c r="P139" t="n">
        <v>3070</v>
      </c>
      <c r="Q139" t="n">
        <v>3760</v>
      </c>
      <c r="R139" t="n">
        <v>4450</v>
      </c>
      <c r="S139" t="n">
        <v>5140</v>
      </c>
      <c r="T139" t="n">
        <v>5830</v>
      </c>
      <c r="U139" t="n">
        <v>6520</v>
      </c>
      <c r="V139" t="n">
        <v>2870</v>
      </c>
      <c r="W139" t="n">
        <v>1552</v>
      </c>
      <c r="X139" t="n">
        <v>1414</v>
      </c>
      <c r="Y139" t="n">
        <v>7180</v>
      </c>
    </row>
    <row r="140">
      <c r="A140" t="n">
        <v>139</v>
      </c>
      <c r="B140" t="n">
        <v>0</v>
      </c>
      <c r="C140" t="n">
        <v>8031</v>
      </c>
      <c r="D140" t="n">
        <v>15717</v>
      </c>
      <c r="E140" t="n">
        <v>59933</v>
      </c>
      <c r="F140" t="n">
        <v>226872</v>
      </c>
      <c r="G140" t="n">
        <v>847216</v>
      </c>
      <c r="H140" t="n">
        <v>3131814</v>
      </c>
      <c r="I140" t="n">
        <v>11424221</v>
      </c>
      <c r="J140" t="n">
        <v>2000</v>
      </c>
      <c r="K140" t="n">
        <v>10704</v>
      </c>
      <c r="L140" t="n">
        <v>2390</v>
      </c>
      <c r="M140" t="n">
        <v>1039</v>
      </c>
      <c r="N140" t="n">
        <v>1695</v>
      </c>
      <c r="O140" t="n">
        <v>2390</v>
      </c>
      <c r="P140" t="n">
        <v>3085</v>
      </c>
      <c r="Q140" t="n">
        <v>3780</v>
      </c>
      <c r="R140" t="n">
        <v>4475</v>
      </c>
      <c r="S140" t="n">
        <v>5170</v>
      </c>
      <c r="T140" t="n">
        <v>5865</v>
      </c>
      <c r="U140" t="n">
        <v>6560</v>
      </c>
      <c r="V140" t="n">
        <v>2889</v>
      </c>
      <c r="W140" t="n">
        <v>1556</v>
      </c>
      <c r="X140" t="n">
        <v>1417</v>
      </c>
      <c r="Y140" t="n">
        <v>7190</v>
      </c>
    </row>
    <row r="141">
      <c r="A141" t="n">
        <v>140</v>
      </c>
      <c r="B141" t="n">
        <v>0</v>
      </c>
      <c r="C141" t="n">
        <v>8152</v>
      </c>
      <c r="D141" t="n">
        <v>16032</v>
      </c>
      <c r="E141" t="n">
        <v>61731</v>
      </c>
      <c r="F141" t="n">
        <v>235947</v>
      </c>
      <c r="G141" t="n">
        <v>889577</v>
      </c>
      <c r="H141" t="n">
        <v>3319723</v>
      </c>
      <c r="I141" t="n">
        <v>12223917</v>
      </c>
      <c r="J141" t="n">
        <v>2000</v>
      </c>
      <c r="K141" t="n">
        <v>10812</v>
      </c>
      <c r="L141" t="n">
        <v>2400</v>
      </c>
      <c r="M141" t="n">
        <v>1040</v>
      </c>
      <c r="N141" t="n">
        <v>1700</v>
      </c>
      <c r="O141" t="n">
        <v>2400</v>
      </c>
      <c r="P141" t="n">
        <v>3100</v>
      </c>
      <c r="Q141" t="n">
        <v>3800</v>
      </c>
      <c r="R141" t="n">
        <v>4500</v>
      </c>
      <c r="S141" t="n">
        <v>5200</v>
      </c>
      <c r="T141" t="n">
        <v>5900</v>
      </c>
      <c r="U141" t="n">
        <v>6600</v>
      </c>
      <c r="V141" t="n">
        <v>2908</v>
      </c>
      <c r="W141" t="n">
        <v>1560</v>
      </c>
      <c r="X141" t="n">
        <v>1420</v>
      </c>
      <c r="Y141" t="n">
        <v>7200</v>
      </c>
    </row>
    <row r="142">
      <c r="A142" t="n">
        <v>141</v>
      </c>
      <c r="B142" t="n">
        <v>0</v>
      </c>
      <c r="C142" t="n">
        <v>8275</v>
      </c>
      <c r="D142" t="n">
        <v>16353</v>
      </c>
      <c r="E142" t="n">
        <v>63583</v>
      </c>
      <c r="F142" t="n">
        <v>245385</v>
      </c>
      <c r="G142" t="n">
        <v>934056</v>
      </c>
      <c r="H142" t="n">
        <v>3518907</v>
      </c>
      <c r="I142" t="n">
        <v>13079592</v>
      </c>
      <c r="J142" t="n">
        <v>2000</v>
      </c>
      <c r="K142" t="n">
        <v>10921</v>
      </c>
      <c r="L142" t="n">
        <v>2410</v>
      </c>
      <c r="M142" t="n">
        <v>1041</v>
      </c>
      <c r="N142" t="n">
        <v>1705</v>
      </c>
      <c r="O142" t="n">
        <v>2410</v>
      </c>
      <c r="P142" t="n">
        <v>3115</v>
      </c>
      <c r="Q142" t="n">
        <v>3820</v>
      </c>
      <c r="R142" t="n">
        <v>4525</v>
      </c>
      <c r="S142" t="n">
        <v>5230</v>
      </c>
      <c r="T142" t="n">
        <v>5935</v>
      </c>
      <c r="U142" t="n">
        <v>6640</v>
      </c>
      <c r="V142" t="n">
        <v>2927</v>
      </c>
      <c r="W142" t="n">
        <v>1564</v>
      </c>
      <c r="X142" t="n">
        <v>1423</v>
      </c>
      <c r="Y142" t="n">
        <v>7210</v>
      </c>
    </row>
    <row r="143">
      <c r="A143" t="n">
        <v>142</v>
      </c>
      <c r="B143" t="n">
        <v>0</v>
      </c>
      <c r="C143" t="n">
        <v>8400</v>
      </c>
      <c r="D143" t="n">
        <v>16681</v>
      </c>
      <c r="E143" t="n">
        <v>65491</v>
      </c>
      <c r="F143" t="n">
        <v>255201</v>
      </c>
      <c r="G143" t="n">
        <v>980759</v>
      </c>
      <c r="H143" t="n">
        <v>3730042</v>
      </c>
      <c r="I143" t="n">
        <v>13995164</v>
      </c>
      <c r="J143" t="n">
        <v>2000</v>
      </c>
      <c r="K143" t="n">
        <v>11031</v>
      </c>
      <c r="L143" t="n">
        <v>2420</v>
      </c>
      <c r="M143" t="n">
        <v>1042</v>
      </c>
      <c r="N143" t="n">
        <v>1710</v>
      </c>
      <c r="O143" t="n">
        <v>2420</v>
      </c>
      <c r="P143" t="n">
        <v>3130</v>
      </c>
      <c r="Q143" t="n">
        <v>3840</v>
      </c>
      <c r="R143" t="n">
        <v>4550</v>
      </c>
      <c r="S143" t="n">
        <v>5260</v>
      </c>
      <c r="T143" t="n">
        <v>5970</v>
      </c>
      <c r="U143" t="n">
        <v>6680</v>
      </c>
      <c r="V143" t="n">
        <v>2946</v>
      </c>
      <c r="W143" t="n">
        <v>1568</v>
      </c>
      <c r="X143" t="n">
        <v>1426</v>
      </c>
      <c r="Y143" t="n">
        <v>7220</v>
      </c>
    </row>
    <row r="144">
      <c r="A144" t="n">
        <v>143</v>
      </c>
      <c r="B144" t="n">
        <v>0</v>
      </c>
      <c r="C144" t="n">
        <v>8526</v>
      </c>
      <c r="D144" t="n">
        <v>17015</v>
      </c>
      <c r="E144" t="n">
        <v>67456</v>
      </c>
      <c r="F144" t="n">
        <v>265410</v>
      </c>
      <c r="G144" t="n">
        <v>1029797</v>
      </c>
      <c r="H144" t="n">
        <v>3953845</v>
      </c>
      <c r="I144" t="n">
        <v>14974826</v>
      </c>
      <c r="J144" t="n">
        <v>2000</v>
      </c>
      <c r="K144" t="n">
        <v>11142</v>
      </c>
      <c r="L144" t="n">
        <v>2430</v>
      </c>
      <c r="M144" t="n">
        <v>1043</v>
      </c>
      <c r="N144" t="n">
        <v>1715</v>
      </c>
      <c r="O144" t="n">
        <v>2430</v>
      </c>
      <c r="P144" t="n">
        <v>3145</v>
      </c>
      <c r="Q144" t="n">
        <v>3860</v>
      </c>
      <c r="R144" t="n">
        <v>4575</v>
      </c>
      <c r="S144" t="n">
        <v>5290</v>
      </c>
      <c r="T144" t="n">
        <v>6005</v>
      </c>
      <c r="U144" t="n">
        <v>6720</v>
      </c>
      <c r="V144" t="n">
        <v>2965</v>
      </c>
      <c r="W144" t="n">
        <v>1572</v>
      </c>
      <c r="X144" t="n">
        <v>1429</v>
      </c>
      <c r="Y144" t="n">
        <v>7230</v>
      </c>
    </row>
    <row r="145">
      <c r="A145" t="n">
        <v>144</v>
      </c>
      <c r="B145" t="n">
        <v>0</v>
      </c>
      <c r="C145" t="n">
        <v>8654</v>
      </c>
      <c r="D145" t="n">
        <v>17356</v>
      </c>
      <c r="E145" t="n">
        <v>69480</v>
      </c>
      <c r="F145" t="n">
        <v>276027</v>
      </c>
      <c r="G145" t="n">
        <v>1081287</v>
      </c>
      <c r="H145" t="n">
        <v>4191076</v>
      </c>
      <c r="I145" t="n">
        <v>16023064</v>
      </c>
      <c r="J145" t="n">
        <v>2000</v>
      </c>
      <c r="K145" t="n">
        <v>11254</v>
      </c>
      <c r="L145" t="n">
        <v>2440</v>
      </c>
      <c r="M145" t="n">
        <v>1044</v>
      </c>
      <c r="N145" t="n">
        <v>1720</v>
      </c>
      <c r="O145" t="n">
        <v>2440</v>
      </c>
      <c r="P145" t="n">
        <v>3160</v>
      </c>
      <c r="Q145" t="n">
        <v>3880</v>
      </c>
      <c r="R145" t="n">
        <v>4600</v>
      </c>
      <c r="S145" t="n">
        <v>5320</v>
      </c>
      <c r="T145" t="n">
        <v>6040</v>
      </c>
      <c r="U145" t="n">
        <v>6760</v>
      </c>
      <c r="V145" t="n">
        <v>2984</v>
      </c>
      <c r="W145" t="n">
        <v>1576</v>
      </c>
      <c r="X145" t="n">
        <v>1432</v>
      </c>
      <c r="Y145" t="n">
        <v>7240</v>
      </c>
    </row>
    <row r="146">
      <c r="A146" t="n">
        <v>145</v>
      </c>
      <c r="B146" t="n">
        <v>0</v>
      </c>
      <c r="C146" t="n">
        <v>8784</v>
      </c>
      <c r="D146" t="n">
        <v>17704</v>
      </c>
      <c r="E146" t="n">
        <v>71565</v>
      </c>
      <c r="F146" t="n">
        <v>287069</v>
      </c>
      <c r="G146" t="n">
        <v>1135352</v>
      </c>
      <c r="H146" t="n">
        <v>4442541</v>
      </c>
      <c r="I146" t="n">
        <v>17144679</v>
      </c>
      <c r="J146" t="n">
        <v>2000</v>
      </c>
      <c r="K146" t="n">
        <v>11367</v>
      </c>
      <c r="L146" t="n">
        <v>2450</v>
      </c>
      <c r="M146" t="n">
        <v>1045</v>
      </c>
      <c r="N146" t="n">
        <v>1725</v>
      </c>
      <c r="O146" t="n">
        <v>2450</v>
      </c>
      <c r="P146" t="n">
        <v>3175</v>
      </c>
      <c r="Q146" t="n">
        <v>3900</v>
      </c>
      <c r="R146" t="n">
        <v>4625</v>
      </c>
      <c r="S146" t="n">
        <v>5350</v>
      </c>
      <c r="T146" t="n">
        <v>6075</v>
      </c>
      <c r="U146" t="n">
        <v>6800</v>
      </c>
      <c r="V146" t="n">
        <v>3003</v>
      </c>
      <c r="W146" t="n">
        <v>1580</v>
      </c>
      <c r="X146" t="n">
        <v>1435</v>
      </c>
      <c r="Y146" t="n">
        <v>7250</v>
      </c>
    </row>
    <row r="147">
      <c r="A147" t="n">
        <v>146</v>
      </c>
      <c r="B147" t="n">
        <v>0</v>
      </c>
      <c r="C147" t="n">
        <v>8916</v>
      </c>
      <c r="D147" t="n">
        <v>18059</v>
      </c>
      <c r="E147" t="n">
        <v>73712</v>
      </c>
      <c r="F147" t="n">
        <v>298552</v>
      </c>
      <c r="G147" t="n">
        <v>1192120</v>
      </c>
      <c r="H147" t="n">
        <v>4709094</v>
      </c>
      <c r="I147" t="n">
        <v>18344807</v>
      </c>
      <c r="J147" t="n">
        <v>2000</v>
      </c>
      <c r="K147" t="n">
        <v>11481</v>
      </c>
      <c r="L147" t="n">
        <v>2460</v>
      </c>
      <c r="M147" t="n">
        <v>1046</v>
      </c>
      <c r="N147" t="n">
        <v>1730</v>
      </c>
      <c r="O147" t="n">
        <v>2460</v>
      </c>
      <c r="P147" t="n">
        <v>3190</v>
      </c>
      <c r="Q147" t="n">
        <v>3920</v>
      </c>
      <c r="R147" t="n">
        <v>4650</v>
      </c>
      <c r="S147" t="n">
        <v>5380</v>
      </c>
      <c r="T147" t="n">
        <v>6110</v>
      </c>
      <c r="U147" t="n">
        <v>6840</v>
      </c>
      <c r="V147" t="n">
        <v>3023</v>
      </c>
      <c r="W147" t="n">
        <v>1584</v>
      </c>
      <c r="X147" t="n">
        <v>1438</v>
      </c>
      <c r="Y147" t="n">
        <v>7260</v>
      </c>
    </row>
    <row r="148">
      <c r="A148" t="n">
        <v>147</v>
      </c>
      <c r="B148" t="n">
        <v>0</v>
      </c>
      <c r="C148" t="n">
        <v>9050</v>
      </c>
      <c r="D148" t="n">
        <v>18421</v>
      </c>
      <c r="E148" t="n">
        <v>75924</v>
      </c>
      <c r="F148" t="n">
        <v>310495</v>
      </c>
      <c r="G148" t="n">
        <v>1251726</v>
      </c>
      <c r="H148" t="n">
        <v>4991640</v>
      </c>
      <c r="I148" t="n">
        <v>19628944</v>
      </c>
      <c r="J148" t="n">
        <v>2000</v>
      </c>
      <c r="K148" t="n">
        <v>11596</v>
      </c>
      <c r="L148" t="n">
        <v>2470</v>
      </c>
      <c r="M148" t="n">
        <v>1047</v>
      </c>
      <c r="N148" t="n">
        <v>1735</v>
      </c>
      <c r="O148" t="n">
        <v>2470</v>
      </c>
      <c r="P148" t="n">
        <v>3205</v>
      </c>
      <c r="Q148" t="n">
        <v>3940</v>
      </c>
      <c r="R148" t="n">
        <v>4675</v>
      </c>
      <c r="S148" t="n">
        <v>5410</v>
      </c>
      <c r="T148" t="n">
        <v>6145</v>
      </c>
      <c r="U148" t="n">
        <v>6880</v>
      </c>
      <c r="V148" t="n">
        <v>3043</v>
      </c>
      <c r="W148" t="n">
        <v>1588</v>
      </c>
      <c r="X148" t="n">
        <v>1441</v>
      </c>
      <c r="Y148" t="n">
        <v>7270</v>
      </c>
    </row>
    <row r="149">
      <c r="A149" t="n">
        <v>148</v>
      </c>
      <c r="B149" t="n">
        <v>0</v>
      </c>
      <c r="C149" t="n">
        <v>9186</v>
      </c>
      <c r="D149" t="n">
        <v>18790</v>
      </c>
      <c r="E149" t="n">
        <v>78202</v>
      </c>
      <c r="F149" t="n">
        <v>322915</v>
      </c>
      <c r="G149" t="n">
        <v>1314313</v>
      </c>
      <c r="H149" t="n">
        <v>5291139</v>
      </c>
      <c r="I149" t="n">
        <v>21002971</v>
      </c>
      <c r="J149" t="n">
        <v>2000</v>
      </c>
      <c r="K149" t="n">
        <v>11712</v>
      </c>
      <c r="L149" t="n">
        <v>2480</v>
      </c>
      <c r="M149" t="n">
        <v>1048</v>
      </c>
      <c r="N149" t="n">
        <v>1740</v>
      </c>
      <c r="O149" t="n">
        <v>2480</v>
      </c>
      <c r="P149" t="n">
        <v>3220</v>
      </c>
      <c r="Q149" t="n">
        <v>3960</v>
      </c>
      <c r="R149" t="n">
        <v>4700</v>
      </c>
      <c r="S149" t="n">
        <v>5440</v>
      </c>
      <c r="T149" t="n">
        <v>6180</v>
      </c>
      <c r="U149" t="n">
        <v>6920</v>
      </c>
      <c r="V149" t="n">
        <v>3063</v>
      </c>
      <c r="W149" t="n">
        <v>1592</v>
      </c>
      <c r="X149" t="n">
        <v>1444</v>
      </c>
      <c r="Y149" t="n">
        <v>7280</v>
      </c>
    </row>
    <row r="150">
      <c r="A150" t="n">
        <v>149</v>
      </c>
      <c r="B150" t="n">
        <v>0</v>
      </c>
      <c r="C150" t="n">
        <v>9324</v>
      </c>
      <c r="D150" t="n">
        <v>19166</v>
      </c>
      <c r="E150" t="n">
        <v>80549</v>
      </c>
      <c r="F150" t="n">
        <v>335832</v>
      </c>
      <c r="G150" t="n">
        <v>1380029</v>
      </c>
      <c r="H150" t="n">
        <v>5608608</v>
      </c>
      <c r="I150" t="n">
        <v>22473179</v>
      </c>
      <c r="J150" t="n">
        <v>2000</v>
      </c>
      <c r="K150" t="n">
        <v>11830</v>
      </c>
      <c r="L150" t="n">
        <v>2490</v>
      </c>
      <c r="M150" t="n">
        <v>1049</v>
      </c>
      <c r="N150" t="n">
        <v>1745</v>
      </c>
      <c r="O150" t="n">
        <v>2490</v>
      </c>
      <c r="P150" t="n">
        <v>3235</v>
      </c>
      <c r="Q150" t="n">
        <v>3980</v>
      </c>
      <c r="R150" t="n">
        <v>4725</v>
      </c>
      <c r="S150" t="n">
        <v>5470</v>
      </c>
      <c r="T150" t="n">
        <v>6215</v>
      </c>
      <c r="U150" t="n">
        <v>6960</v>
      </c>
      <c r="V150" t="n">
        <v>3083</v>
      </c>
      <c r="W150" t="n">
        <v>1596</v>
      </c>
      <c r="X150" t="n">
        <v>1447</v>
      </c>
      <c r="Y150" t="n">
        <v>7290</v>
      </c>
    </row>
    <row r="151">
      <c r="A151" t="n">
        <v>150</v>
      </c>
      <c r="B151" t="n">
        <v>0</v>
      </c>
      <c r="C151" t="n">
        <v>9464</v>
      </c>
      <c r="D151" t="n">
        <v>19550</v>
      </c>
      <c r="E151" t="n">
        <v>82966</v>
      </c>
      <c r="F151" t="n">
        <v>349266</v>
      </c>
      <c r="G151" t="n">
        <v>1449031</v>
      </c>
      <c r="H151" t="n">
        <v>5945125</v>
      </c>
      <c r="I151" t="n">
        <v>24046302</v>
      </c>
      <c r="J151" t="n">
        <v>2000</v>
      </c>
      <c r="K151" t="n">
        <v>11949</v>
      </c>
      <c r="L151" t="n">
        <v>2500</v>
      </c>
      <c r="M151" t="n">
        <v>1050</v>
      </c>
      <c r="N151" t="n">
        <v>1750</v>
      </c>
      <c r="O151" t="n">
        <v>2500</v>
      </c>
      <c r="P151" t="n">
        <v>3250</v>
      </c>
      <c r="Q151" t="n">
        <v>4000</v>
      </c>
      <c r="R151" t="n">
        <v>4750</v>
      </c>
      <c r="S151" t="n">
        <v>5500</v>
      </c>
      <c r="T151" t="n">
        <v>6250</v>
      </c>
      <c r="U151" t="n">
        <v>7000</v>
      </c>
      <c r="V151" t="n">
        <v>3103</v>
      </c>
      <c r="W151" t="n">
        <v>1600</v>
      </c>
      <c r="X151" t="n">
        <v>1450</v>
      </c>
      <c r="Y151" t="n">
        <v>7300</v>
      </c>
    </row>
    <row r="152">
      <c r="A152" t="n">
        <v>151</v>
      </c>
      <c r="B152" t="n">
        <v>0</v>
      </c>
      <c r="C152" t="n">
        <v>9606</v>
      </c>
      <c r="D152" t="n">
        <v>19941</v>
      </c>
      <c r="E152" t="n">
        <v>85455</v>
      </c>
      <c r="F152" t="n">
        <v>363237</v>
      </c>
      <c r="G152" t="n">
        <v>1521483</v>
      </c>
      <c r="H152" t="n">
        <v>6301833</v>
      </c>
      <c r="I152" t="n">
        <v>25729544</v>
      </c>
      <c r="J152" t="n">
        <v>2000</v>
      </c>
      <c r="K152" t="n">
        <v>12069</v>
      </c>
      <c r="L152" t="n">
        <v>2500</v>
      </c>
      <c r="M152" t="n">
        <v>1051</v>
      </c>
      <c r="N152" t="n">
        <v>1755</v>
      </c>
      <c r="O152" t="n">
        <v>2510</v>
      </c>
      <c r="P152" t="n">
        <v>3265</v>
      </c>
      <c r="Q152" t="n">
        <v>4020</v>
      </c>
      <c r="R152" t="n">
        <v>4775</v>
      </c>
      <c r="S152" t="n">
        <v>5530</v>
      </c>
      <c r="T152" t="n">
        <v>6285</v>
      </c>
      <c r="U152" t="n">
        <v>7040</v>
      </c>
      <c r="V152" t="n">
        <v>3123</v>
      </c>
      <c r="W152" t="n">
        <v>1604</v>
      </c>
      <c r="X152" t="n">
        <v>1453</v>
      </c>
      <c r="Y152" t="n">
        <v>7310</v>
      </c>
    </row>
    <row r="153">
      <c r="A153" t="n">
        <v>152</v>
      </c>
      <c r="B153" t="n">
        <v>0</v>
      </c>
      <c r="C153" t="n">
        <v>9751</v>
      </c>
      <c r="D153" t="n">
        <v>20340</v>
      </c>
      <c r="E153" t="n">
        <v>88019</v>
      </c>
      <c r="F153" t="n">
        <v>377767</v>
      </c>
      <c r="G153" t="n">
        <v>1597558</v>
      </c>
      <c r="H153" t="n">
        <v>6679943</v>
      </c>
      <c r="I153" t="n">
        <v>27530613</v>
      </c>
      <c r="J153" t="n">
        <v>2000</v>
      </c>
      <c r="K153" t="n">
        <v>12190</v>
      </c>
      <c r="L153" t="n">
        <v>2500</v>
      </c>
      <c r="M153" t="n">
        <v>1052</v>
      </c>
      <c r="N153" t="n">
        <v>1760</v>
      </c>
      <c r="O153" t="n">
        <v>2520</v>
      </c>
      <c r="P153" t="n">
        <v>3280</v>
      </c>
      <c r="Q153" t="n">
        <v>4040</v>
      </c>
      <c r="R153" t="n">
        <v>4800</v>
      </c>
      <c r="S153" t="n">
        <v>5560</v>
      </c>
      <c r="T153" t="n">
        <v>6320</v>
      </c>
      <c r="U153" t="n">
        <v>7080</v>
      </c>
      <c r="V153" t="n">
        <v>3143</v>
      </c>
      <c r="W153" t="n">
        <v>1608</v>
      </c>
      <c r="X153" t="n">
        <v>1456</v>
      </c>
      <c r="Y153" t="n">
        <v>7320</v>
      </c>
    </row>
    <row r="154">
      <c r="A154" t="n">
        <v>153</v>
      </c>
      <c r="B154" t="n">
        <v>0</v>
      </c>
      <c r="C154" t="n">
        <v>9898</v>
      </c>
      <c r="D154" t="n">
        <v>20747</v>
      </c>
      <c r="E154" t="n">
        <v>90660</v>
      </c>
      <c r="F154" t="n">
        <v>392878</v>
      </c>
      <c r="G154" t="n">
        <v>1677436</v>
      </c>
      <c r="H154" t="n">
        <v>7080740</v>
      </c>
      <c r="I154" t="n">
        <v>29457756</v>
      </c>
      <c r="J154" t="n">
        <v>2000</v>
      </c>
      <c r="K154" t="n">
        <v>12312</v>
      </c>
      <c r="L154" t="n">
        <v>2500</v>
      </c>
      <c r="M154" t="n">
        <v>1053</v>
      </c>
      <c r="N154" t="n">
        <v>1765</v>
      </c>
      <c r="O154" t="n">
        <v>2530</v>
      </c>
      <c r="P154" t="n">
        <v>3295</v>
      </c>
      <c r="Q154" t="n">
        <v>4060</v>
      </c>
      <c r="R154" t="n">
        <v>4825</v>
      </c>
      <c r="S154" t="n">
        <v>5590</v>
      </c>
      <c r="T154" t="n">
        <v>6355</v>
      </c>
      <c r="U154" t="n">
        <v>7120</v>
      </c>
      <c r="V154" t="n">
        <v>3163</v>
      </c>
      <c r="W154" t="n">
        <v>1612</v>
      </c>
      <c r="X154" t="n">
        <v>1459</v>
      </c>
      <c r="Y154" t="n">
        <v>7330</v>
      </c>
    </row>
    <row r="155">
      <c r="A155" t="n">
        <v>154</v>
      </c>
      <c r="B155" t="n">
        <v>0</v>
      </c>
      <c r="C155" t="n">
        <v>10047</v>
      </c>
      <c r="D155" t="n">
        <v>21162</v>
      </c>
      <c r="E155" t="n">
        <v>93380</v>
      </c>
      <c r="F155" t="n">
        <v>408594</v>
      </c>
      <c r="G155" t="n">
        <v>1761308</v>
      </c>
      <c r="H155" t="n">
        <v>7505585</v>
      </c>
      <c r="I155" t="n">
        <v>31519799</v>
      </c>
      <c r="J155" t="n">
        <v>2000</v>
      </c>
      <c r="K155" t="n">
        <v>12436</v>
      </c>
      <c r="L155" t="n">
        <v>2500</v>
      </c>
      <c r="M155" t="n">
        <v>1054</v>
      </c>
      <c r="N155" t="n">
        <v>1770</v>
      </c>
      <c r="O155" t="n">
        <v>2540</v>
      </c>
      <c r="P155" t="n">
        <v>3310</v>
      </c>
      <c r="Q155" t="n">
        <v>4080</v>
      </c>
      <c r="R155" t="n">
        <v>4850</v>
      </c>
      <c r="S155" t="n">
        <v>5620</v>
      </c>
      <c r="T155" t="n">
        <v>6390</v>
      </c>
      <c r="U155" t="n">
        <v>7160</v>
      </c>
      <c r="V155" t="n">
        <v>3183</v>
      </c>
      <c r="W155" t="n">
        <v>1616</v>
      </c>
      <c r="X155" t="n">
        <v>1462</v>
      </c>
      <c r="Y155" t="n">
        <v>7340</v>
      </c>
    </row>
    <row r="156">
      <c r="A156" t="n">
        <v>155</v>
      </c>
      <c r="B156" t="n">
        <v>0</v>
      </c>
      <c r="C156" t="n">
        <v>10198</v>
      </c>
      <c r="D156" t="n">
        <v>21586</v>
      </c>
      <c r="E156" t="n">
        <v>96182</v>
      </c>
      <c r="F156" t="n">
        <v>424938</v>
      </c>
      <c r="G156" t="n">
        <v>1849374</v>
      </c>
      <c r="H156" t="n">
        <v>7955921</v>
      </c>
      <c r="I156" t="n">
        <v>33726185</v>
      </c>
      <c r="J156" t="n">
        <v>2000</v>
      </c>
      <c r="K156" t="n">
        <v>12561</v>
      </c>
      <c r="L156" t="n">
        <v>2500</v>
      </c>
      <c r="M156" t="n">
        <v>1055</v>
      </c>
      <c r="N156" t="n">
        <v>1775</v>
      </c>
      <c r="O156" t="n">
        <v>2550</v>
      </c>
      <c r="P156" t="n">
        <v>3325</v>
      </c>
      <c r="Q156" t="n">
        <v>4100</v>
      </c>
      <c r="R156" t="n">
        <v>4875</v>
      </c>
      <c r="S156" t="n">
        <v>5650</v>
      </c>
      <c r="T156" t="n">
        <v>6425</v>
      </c>
      <c r="U156" t="n">
        <v>7200</v>
      </c>
      <c r="V156" t="n">
        <v>3203</v>
      </c>
      <c r="W156" t="n">
        <v>1620</v>
      </c>
      <c r="X156" t="n">
        <v>1465</v>
      </c>
      <c r="Y156" t="n">
        <v>7350</v>
      </c>
    </row>
    <row r="157">
      <c r="A157" t="n">
        <v>156</v>
      </c>
      <c r="B157" t="n">
        <v>0</v>
      </c>
      <c r="C157" t="n">
        <v>10351</v>
      </c>
      <c r="D157" t="n">
        <v>22018</v>
      </c>
      <c r="E157" t="n">
        <v>99068</v>
      </c>
      <c r="F157" t="n">
        <v>441936</v>
      </c>
      <c r="G157" t="n">
        <v>1941843</v>
      </c>
      <c r="H157" t="n">
        <v>8433277</v>
      </c>
      <c r="I157" t="n">
        <v>36087018</v>
      </c>
      <c r="J157" t="n">
        <v>2000</v>
      </c>
      <c r="K157" t="n">
        <v>12687</v>
      </c>
      <c r="L157" t="n">
        <v>2500</v>
      </c>
      <c r="M157" t="n">
        <v>1056</v>
      </c>
      <c r="N157" t="n">
        <v>1780</v>
      </c>
      <c r="O157" t="n">
        <v>2560</v>
      </c>
      <c r="P157" t="n">
        <v>3340</v>
      </c>
      <c r="Q157" t="n">
        <v>4120</v>
      </c>
      <c r="R157" t="n">
        <v>4900</v>
      </c>
      <c r="S157" t="n">
        <v>5680</v>
      </c>
      <c r="T157" t="n">
        <v>6460</v>
      </c>
      <c r="U157" t="n">
        <v>7240</v>
      </c>
      <c r="V157" t="n">
        <v>3224</v>
      </c>
      <c r="W157" t="n">
        <v>1624</v>
      </c>
      <c r="X157" t="n">
        <v>1468</v>
      </c>
      <c r="Y157" t="n">
        <v>7360</v>
      </c>
    </row>
    <row r="158">
      <c r="A158" t="n">
        <v>157</v>
      </c>
      <c r="B158" t="n">
        <v>0</v>
      </c>
      <c r="C158" t="n">
        <v>10507</v>
      </c>
      <c r="D158" t="n">
        <v>22459</v>
      </c>
      <c r="E158" t="n">
        <v>102041</v>
      </c>
      <c r="F158" t="n">
        <v>459614</v>
      </c>
      <c r="G158" t="n">
        <v>2038936</v>
      </c>
      <c r="H158" t="n">
        <v>8939274</v>
      </c>
      <c r="I158" t="n">
        <v>38613110</v>
      </c>
      <c r="J158" t="n">
        <v>2000</v>
      </c>
      <c r="K158" t="n">
        <v>12814</v>
      </c>
      <c r="L158" t="n">
        <v>2500</v>
      </c>
      <c r="M158" t="n">
        <v>1057</v>
      </c>
      <c r="N158" t="n">
        <v>1785</v>
      </c>
      <c r="O158" t="n">
        <v>2570</v>
      </c>
      <c r="P158" t="n">
        <v>3355</v>
      </c>
      <c r="Q158" t="n">
        <v>4140</v>
      </c>
      <c r="R158" t="n">
        <v>4925</v>
      </c>
      <c r="S158" t="n">
        <v>5710</v>
      </c>
      <c r="T158" t="n">
        <v>6495</v>
      </c>
      <c r="U158" t="n">
        <v>7280</v>
      </c>
      <c r="V158" t="n">
        <v>3245</v>
      </c>
      <c r="W158" t="n">
        <v>1628</v>
      </c>
      <c r="X158" t="n">
        <v>1471</v>
      </c>
      <c r="Y158" t="n">
        <v>7370</v>
      </c>
    </row>
    <row r="159">
      <c r="A159" t="n">
        <v>158</v>
      </c>
      <c r="B159" t="n">
        <v>0</v>
      </c>
      <c r="C159" t="n">
        <v>10665</v>
      </c>
      <c r="D159" t="n">
        <v>22909</v>
      </c>
      <c r="E159" t="n">
        <v>105103</v>
      </c>
      <c r="F159" t="n">
        <v>477999</v>
      </c>
      <c r="G159" t="n">
        <v>2140883</v>
      </c>
      <c r="H159" t="n">
        <v>9475631</v>
      </c>
      <c r="I159" t="n">
        <v>41316028</v>
      </c>
      <c r="J159" t="n">
        <v>2000</v>
      </c>
      <c r="K159" t="n">
        <v>12943</v>
      </c>
      <c r="L159" t="n">
        <v>2500</v>
      </c>
      <c r="M159" t="n">
        <v>1058</v>
      </c>
      <c r="N159" t="n">
        <v>1790</v>
      </c>
      <c r="O159" t="n">
        <v>2580</v>
      </c>
      <c r="P159" t="n">
        <v>3370</v>
      </c>
      <c r="Q159" t="n">
        <v>4160</v>
      </c>
      <c r="R159" t="n">
        <v>4950</v>
      </c>
      <c r="S159" t="n">
        <v>5740</v>
      </c>
      <c r="T159" t="n">
        <v>6530</v>
      </c>
      <c r="U159" t="n">
        <v>7320</v>
      </c>
      <c r="V159" t="n">
        <v>3266</v>
      </c>
      <c r="W159" t="n">
        <v>1632</v>
      </c>
      <c r="X159" t="n">
        <v>1474</v>
      </c>
      <c r="Y159" t="n">
        <v>7380</v>
      </c>
    </row>
    <row r="160">
      <c r="A160" t="n">
        <v>159</v>
      </c>
      <c r="B160" t="n">
        <v>0</v>
      </c>
      <c r="C160" t="n">
        <v>10825</v>
      </c>
      <c r="D160" t="n">
        <v>23368</v>
      </c>
      <c r="E160" t="n">
        <v>108257</v>
      </c>
      <c r="F160" t="n">
        <v>497119</v>
      </c>
      <c r="G160" t="n">
        <v>2247928</v>
      </c>
      <c r="H160" t="n">
        <v>10044169</v>
      </c>
      <c r="I160" t="n">
        <v>44208150</v>
      </c>
      <c r="J160" t="n">
        <v>2000</v>
      </c>
      <c r="K160" t="n">
        <v>13073</v>
      </c>
      <c r="L160" t="n">
        <v>2500</v>
      </c>
      <c r="M160" t="n">
        <v>1059</v>
      </c>
      <c r="N160" t="n">
        <v>1795</v>
      </c>
      <c r="O160" t="n">
        <v>2590</v>
      </c>
      <c r="P160" t="n">
        <v>3385</v>
      </c>
      <c r="Q160" t="n">
        <v>4180</v>
      </c>
      <c r="R160" t="n">
        <v>4975</v>
      </c>
      <c r="S160" t="n">
        <v>5770</v>
      </c>
      <c r="T160" t="n">
        <v>6565</v>
      </c>
      <c r="U160" t="n">
        <v>7360</v>
      </c>
      <c r="V160" t="n">
        <v>3287</v>
      </c>
      <c r="W160" t="n">
        <v>1636</v>
      </c>
      <c r="X160" t="n">
        <v>1477</v>
      </c>
      <c r="Y160" t="n">
        <v>7390</v>
      </c>
    </row>
    <row r="161">
      <c r="A161" t="n">
        <v>160</v>
      </c>
      <c r="B161" t="n">
        <v>0</v>
      </c>
      <c r="C161" t="n">
        <v>10988</v>
      </c>
      <c r="D161" t="n">
        <v>23836</v>
      </c>
      <c r="E161" t="n">
        <v>111505</v>
      </c>
      <c r="F161" t="n">
        <v>517004</v>
      </c>
      <c r="G161" t="n">
        <v>2360325</v>
      </c>
      <c r="H161" t="n">
        <v>10646820</v>
      </c>
      <c r="I161" t="n">
        <v>47302721</v>
      </c>
      <c r="J161" t="n">
        <v>2000</v>
      </c>
      <c r="K161" t="n">
        <v>13204</v>
      </c>
      <c r="L161" t="n">
        <v>2500</v>
      </c>
      <c r="M161" t="n">
        <v>1060</v>
      </c>
      <c r="N161" t="n">
        <v>1800</v>
      </c>
      <c r="O161" t="n">
        <v>2600</v>
      </c>
      <c r="P161" t="n">
        <v>3400</v>
      </c>
      <c r="Q161" t="n">
        <v>4200</v>
      </c>
      <c r="R161" t="n">
        <v>5000</v>
      </c>
      <c r="S161" t="n">
        <v>5800</v>
      </c>
      <c r="T161" t="n">
        <v>6600</v>
      </c>
      <c r="U161" t="n">
        <v>7400</v>
      </c>
      <c r="V161" t="n">
        <v>3308</v>
      </c>
      <c r="W161" t="n">
        <v>1640</v>
      </c>
      <c r="X161" t="n">
        <v>1480</v>
      </c>
      <c r="Y161" t="n">
        <v>7400</v>
      </c>
    </row>
    <row r="162">
      <c r="A162" t="n">
        <v>161</v>
      </c>
      <c r="B162" t="n">
        <v>0</v>
      </c>
      <c r="C162" t="n">
        <v>11153</v>
      </c>
      <c r="D162" t="n">
        <v>24313</v>
      </c>
      <c r="E162" t="n">
        <v>114851</v>
      </c>
      <c r="F162" t="n">
        <v>537685</v>
      </c>
      <c r="G162" t="n">
        <v>2478342</v>
      </c>
      <c r="H162" t="n">
        <v>11285630</v>
      </c>
      <c r="I162" t="n">
        <v>50613912</v>
      </c>
      <c r="J162" t="n">
        <v>2000</v>
      </c>
      <c r="K162" t="n">
        <v>13337</v>
      </c>
      <c r="L162" t="n">
        <v>2500</v>
      </c>
      <c r="M162" t="n">
        <v>1061</v>
      </c>
      <c r="N162" t="n">
        <v>1805</v>
      </c>
      <c r="O162" t="n">
        <v>2610</v>
      </c>
      <c r="P162" t="n">
        <v>3415</v>
      </c>
      <c r="Q162" t="n">
        <v>4220</v>
      </c>
      <c r="R162" t="n">
        <v>5025</v>
      </c>
      <c r="S162" t="n">
        <v>5830</v>
      </c>
      <c r="T162" t="n">
        <v>6635</v>
      </c>
      <c r="U162" t="n">
        <v>7440</v>
      </c>
      <c r="V162" t="n">
        <v>3329</v>
      </c>
      <c r="W162" t="n">
        <v>1644</v>
      </c>
      <c r="X162" t="n">
        <v>1483</v>
      </c>
      <c r="Y162" t="n">
        <v>7410</v>
      </c>
    </row>
    <row r="163">
      <c r="A163" t="n">
        <v>162</v>
      </c>
      <c r="B163" t="n">
        <v>0</v>
      </c>
      <c r="C163" t="n">
        <v>11321</v>
      </c>
      <c r="D163" t="n">
        <v>24800</v>
      </c>
      <c r="E163" t="n">
        <v>118297</v>
      </c>
      <c r="F163" t="n">
        <v>559193</v>
      </c>
      <c r="G163" t="n">
        <v>2602260</v>
      </c>
      <c r="H163" t="n">
        <v>11962768</v>
      </c>
      <c r="I163" t="n">
        <v>54156886</v>
      </c>
      <c r="J163" t="n">
        <v>2000</v>
      </c>
      <c r="K163" t="n">
        <v>13471</v>
      </c>
      <c r="L163" t="n">
        <v>2500</v>
      </c>
      <c r="M163" t="n">
        <v>1062</v>
      </c>
      <c r="N163" t="n">
        <v>1810</v>
      </c>
      <c r="O163" t="n">
        <v>2620</v>
      </c>
      <c r="P163" t="n">
        <v>3430</v>
      </c>
      <c r="Q163" t="n">
        <v>4240</v>
      </c>
      <c r="R163" t="n">
        <v>5050</v>
      </c>
      <c r="S163" t="n">
        <v>5860</v>
      </c>
      <c r="T163" t="n">
        <v>6670</v>
      </c>
      <c r="U163" t="n">
        <v>7480</v>
      </c>
      <c r="V163" t="n">
        <v>3350</v>
      </c>
      <c r="W163" t="n">
        <v>1648</v>
      </c>
      <c r="X163" t="n">
        <v>1486</v>
      </c>
      <c r="Y163" t="n">
        <v>7420</v>
      </c>
    </row>
    <row r="164">
      <c r="A164" t="n">
        <v>163</v>
      </c>
      <c r="B164" t="n">
        <v>0</v>
      </c>
      <c r="C164" t="n">
        <v>11491</v>
      </c>
      <c r="D164" t="n">
        <v>25296</v>
      </c>
      <c r="E164" t="n">
        <v>121846</v>
      </c>
      <c r="F164" t="n">
        <v>581561</v>
      </c>
      <c r="G164" t="n">
        <v>2732373</v>
      </c>
      <c r="H164" t="n">
        <v>12680535</v>
      </c>
      <c r="I164" t="n">
        <v>57947869</v>
      </c>
      <c r="J164" t="n">
        <v>2000</v>
      </c>
      <c r="K164" t="n">
        <v>13606</v>
      </c>
      <c r="L164" t="n">
        <v>2500</v>
      </c>
      <c r="M164" t="n">
        <v>1063</v>
      </c>
      <c r="N164" t="n">
        <v>1815</v>
      </c>
      <c r="O164" t="n">
        <v>2630</v>
      </c>
      <c r="P164" t="n">
        <v>3445</v>
      </c>
      <c r="Q164" t="n">
        <v>4260</v>
      </c>
      <c r="R164" t="n">
        <v>5075</v>
      </c>
      <c r="S164" t="n">
        <v>5890</v>
      </c>
      <c r="T164" t="n">
        <v>6705</v>
      </c>
      <c r="U164" t="n">
        <v>7520</v>
      </c>
      <c r="V164" t="n">
        <v>3371</v>
      </c>
      <c r="W164" t="n">
        <v>1652</v>
      </c>
      <c r="X164" t="n">
        <v>1489</v>
      </c>
      <c r="Y164" t="n">
        <v>7430</v>
      </c>
    </row>
    <row r="165">
      <c r="A165" t="n">
        <v>164</v>
      </c>
      <c r="B165" t="n">
        <v>0</v>
      </c>
      <c r="C165" t="n">
        <v>11664</v>
      </c>
      <c r="D165" t="n">
        <v>25802</v>
      </c>
      <c r="E165" t="n">
        <v>125502</v>
      </c>
      <c r="F165" t="n">
        <v>604824</v>
      </c>
      <c r="G165" t="n">
        <v>2868992</v>
      </c>
      <c r="H165" t="n">
        <v>13441368</v>
      </c>
      <c r="I165" t="n">
        <v>62004220</v>
      </c>
      <c r="J165" t="n">
        <v>2000</v>
      </c>
      <c r="K165" t="n">
        <v>13743</v>
      </c>
      <c r="L165" t="n">
        <v>2500</v>
      </c>
      <c r="M165" t="n">
        <v>1064</v>
      </c>
      <c r="N165" t="n">
        <v>1820</v>
      </c>
      <c r="O165" t="n">
        <v>2640</v>
      </c>
      <c r="P165" t="n">
        <v>3460</v>
      </c>
      <c r="Q165" t="n">
        <v>4280</v>
      </c>
      <c r="R165" t="n">
        <v>5100</v>
      </c>
      <c r="S165" t="n">
        <v>5920</v>
      </c>
      <c r="T165" t="n">
        <v>6740</v>
      </c>
      <c r="U165" t="n">
        <v>7560</v>
      </c>
      <c r="V165" t="n">
        <v>3392</v>
      </c>
      <c r="W165" t="n">
        <v>1656</v>
      </c>
      <c r="X165" t="n">
        <v>1492</v>
      </c>
      <c r="Y165" t="n">
        <v>7440</v>
      </c>
    </row>
    <row r="166">
      <c r="A166" t="n">
        <v>165</v>
      </c>
      <c r="B166" t="n">
        <v>0</v>
      </c>
      <c r="C166" t="n">
        <v>11839</v>
      </c>
      <c r="D166" t="n">
        <v>26319</v>
      </c>
      <c r="E166" t="n">
        <v>129268</v>
      </c>
      <c r="F166" t="n">
        <v>629017</v>
      </c>
      <c r="G166" t="n">
        <v>3012442</v>
      </c>
      <c r="H166" t="n">
        <v>14247851</v>
      </c>
      <c r="I166" t="n">
        <v>66344516</v>
      </c>
      <c r="J166" t="n">
        <v>2000</v>
      </c>
      <c r="K166" t="n">
        <v>13881</v>
      </c>
      <c r="L166" t="n">
        <v>2500</v>
      </c>
      <c r="M166" t="n">
        <v>1065</v>
      </c>
      <c r="N166" t="n">
        <v>1825</v>
      </c>
      <c r="O166" t="n">
        <v>2650</v>
      </c>
      <c r="P166" t="n">
        <v>3475</v>
      </c>
      <c r="Q166" t="n">
        <v>4300</v>
      </c>
      <c r="R166" t="n">
        <v>5125</v>
      </c>
      <c r="S166" t="n">
        <v>5950</v>
      </c>
      <c r="T166" t="n">
        <v>6775</v>
      </c>
      <c r="U166" t="n">
        <v>7600</v>
      </c>
      <c r="V166" t="n">
        <v>3413</v>
      </c>
      <c r="W166" t="n">
        <v>1660</v>
      </c>
      <c r="X166" t="n">
        <v>1495</v>
      </c>
      <c r="Y166" t="n">
        <v>7450</v>
      </c>
    </row>
    <row r="167">
      <c r="A167" t="n">
        <v>166</v>
      </c>
      <c r="B167" t="n">
        <v>0</v>
      </c>
      <c r="C167" t="n">
        <v>12017</v>
      </c>
      <c r="D167" t="n">
        <v>26846</v>
      </c>
      <c r="E167" t="n">
        <v>133147</v>
      </c>
      <c r="F167" t="n">
        <v>654178</v>
      </c>
      <c r="G167" t="n">
        <v>3163065</v>
      </c>
      <c r="H167" t="n">
        <v>15102723</v>
      </c>
      <c r="I167" t="n">
        <v>70988633</v>
      </c>
      <c r="J167" t="n">
        <v>2000</v>
      </c>
      <c r="K167" t="n">
        <v>14020</v>
      </c>
      <c r="L167" t="n">
        <v>2500</v>
      </c>
      <c r="M167" t="n">
        <v>1066</v>
      </c>
      <c r="N167" t="n">
        <v>1830</v>
      </c>
      <c r="O167" t="n">
        <v>2660</v>
      </c>
      <c r="P167" t="n">
        <v>3490</v>
      </c>
      <c r="Q167" t="n">
        <v>4320</v>
      </c>
      <c r="R167" t="n">
        <v>5150</v>
      </c>
      <c r="S167" t="n">
        <v>5980</v>
      </c>
      <c r="T167" t="n">
        <v>6810</v>
      </c>
      <c r="U167" t="n">
        <v>7640</v>
      </c>
      <c r="V167" t="n">
        <v>3435</v>
      </c>
      <c r="W167" t="n">
        <v>1664</v>
      </c>
      <c r="X167" t="n">
        <v>1498</v>
      </c>
      <c r="Y167" t="n">
        <v>7460</v>
      </c>
    </row>
    <row r="168">
      <c r="A168" t="n">
        <v>167</v>
      </c>
      <c r="B168" t="n">
        <v>0</v>
      </c>
      <c r="C168" t="n">
        <v>12198</v>
      </c>
      <c r="D168" t="n">
        <v>27383</v>
      </c>
      <c r="E168" t="n">
        <v>137142</v>
      </c>
      <c r="F168" t="n">
        <v>680346</v>
      </c>
      <c r="G168" t="n">
        <v>3321219</v>
      </c>
      <c r="H168" t="n">
        <v>16008887</v>
      </c>
      <c r="I168" t="n">
        <v>75957838</v>
      </c>
      <c r="J168" t="n">
        <v>2000</v>
      </c>
      <c r="K168" t="n">
        <v>14161</v>
      </c>
      <c r="L168" t="n">
        <v>2500</v>
      </c>
      <c r="M168" t="n">
        <v>1067</v>
      </c>
      <c r="N168" t="n">
        <v>1835</v>
      </c>
      <c r="O168" t="n">
        <v>2670</v>
      </c>
      <c r="P168" t="n">
        <v>3505</v>
      </c>
      <c r="Q168" t="n">
        <v>4340</v>
      </c>
      <c r="R168" t="n">
        <v>5175</v>
      </c>
      <c r="S168" t="n">
        <v>6010</v>
      </c>
      <c r="T168" t="n">
        <v>6845</v>
      </c>
      <c r="U168" t="n">
        <v>7680</v>
      </c>
      <c r="V168" t="n">
        <v>3457</v>
      </c>
      <c r="W168" t="n">
        <v>1668</v>
      </c>
      <c r="X168" t="n">
        <v>1501</v>
      </c>
      <c r="Y168" t="n">
        <v>7470</v>
      </c>
    </row>
    <row r="169">
      <c r="A169" t="n">
        <v>168</v>
      </c>
      <c r="B169" t="n">
        <v>0</v>
      </c>
      <c r="C169" t="n">
        <v>12381</v>
      </c>
      <c r="D169" t="n">
        <v>27931</v>
      </c>
      <c r="E169" t="n">
        <v>141257</v>
      </c>
      <c r="F169" t="n">
        <v>707560</v>
      </c>
      <c r="G169" t="n">
        <v>3487280</v>
      </c>
      <c r="H169" t="n">
        <v>16969421</v>
      </c>
      <c r="I169" t="n">
        <v>81274887</v>
      </c>
      <c r="J169" t="n">
        <v>2000</v>
      </c>
      <c r="K169" t="n">
        <v>14303</v>
      </c>
      <c r="L169" t="n">
        <v>2500</v>
      </c>
      <c r="M169" t="n">
        <v>1068</v>
      </c>
      <c r="N169" t="n">
        <v>1840</v>
      </c>
      <c r="O169" t="n">
        <v>2680</v>
      </c>
      <c r="P169" t="n">
        <v>3520</v>
      </c>
      <c r="Q169" t="n">
        <v>4360</v>
      </c>
      <c r="R169" t="n">
        <v>5200</v>
      </c>
      <c r="S169" t="n">
        <v>6040</v>
      </c>
      <c r="T169" t="n">
        <v>6880</v>
      </c>
      <c r="U169" t="n">
        <v>7720</v>
      </c>
      <c r="V169" t="n">
        <v>3479</v>
      </c>
      <c r="W169" t="n">
        <v>1672</v>
      </c>
      <c r="X169" t="n">
        <v>1504</v>
      </c>
      <c r="Y169" t="n">
        <v>7480</v>
      </c>
    </row>
    <row r="170">
      <c r="A170" t="n">
        <v>169</v>
      </c>
      <c r="B170" t="n">
        <v>0</v>
      </c>
      <c r="C170" t="n">
        <v>12567</v>
      </c>
      <c r="D170" t="n">
        <v>28490</v>
      </c>
      <c r="E170" t="n">
        <v>145495</v>
      </c>
      <c r="F170" t="n">
        <v>735863</v>
      </c>
      <c r="G170" t="n">
        <v>3661644</v>
      </c>
      <c r="H170" t="n">
        <v>17987587</v>
      </c>
      <c r="I170" t="n">
        <v>86964130</v>
      </c>
      <c r="J170" t="n">
        <v>2000</v>
      </c>
      <c r="K170" t="n">
        <v>14447</v>
      </c>
      <c r="L170" t="n">
        <v>2500</v>
      </c>
      <c r="M170" t="n">
        <v>1069</v>
      </c>
      <c r="N170" t="n">
        <v>1845</v>
      </c>
      <c r="O170" t="n">
        <v>2690</v>
      </c>
      <c r="P170" t="n">
        <v>3535</v>
      </c>
      <c r="Q170" t="n">
        <v>4380</v>
      </c>
      <c r="R170" t="n">
        <v>5225</v>
      </c>
      <c r="S170" t="n">
        <v>6070</v>
      </c>
      <c r="T170" t="n">
        <v>6915</v>
      </c>
      <c r="U170" t="n">
        <v>7760</v>
      </c>
      <c r="V170" t="n">
        <v>3501</v>
      </c>
      <c r="W170" t="n">
        <v>1676</v>
      </c>
      <c r="X170" t="n">
        <v>1507</v>
      </c>
      <c r="Y170" t="n">
        <v>7490</v>
      </c>
    </row>
    <row r="171">
      <c r="A171" t="n">
        <v>170</v>
      </c>
      <c r="B171" t="n">
        <v>0</v>
      </c>
      <c r="C171" t="n">
        <v>12756</v>
      </c>
      <c r="D171" t="n">
        <v>29060</v>
      </c>
      <c r="E171" t="n">
        <v>149860</v>
      </c>
      <c r="F171" t="n">
        <v>765298</v>
      </c>
      <c r="G171" t="n">
        <v>3844727</v>
      </c>
      <c r="H171" t="n">
        <v>19066843</v>
      </c>
      <c r="I171" t="n">
        <v>93051620</v>
      </c>
      <c r="J171" t="n">
        <v>2000</v>
      </c>
      <c r="K171" t="n">
        <v>14592</v>
      </c>
      <c r="L171" t="n">
        <v>2500</v>
      </c>
      <c r="M171" t="n">
        <v>1070</v>
      </c>
      <c r="N171" t="n">
        <v>1850</v>
      </c>
      <c r="O171" t="n">
        <v>2700</v>
      </c>
      <c r="P171" t="n">
        <v>3550</v>
      </c>
      <c r="Q171" t="n">
        <v>4400</v>
      </c>
      <c r="R171" t="n">
        <v>5250</v>
      </c>
      <c r="S171" t="n">
        <v>6100</v>
      </c>
      <c r="T171" t="n">
        <v>6950</v>
      </c>
      <c r="U171" t="n">
        <v>7800</v>
      </c>
      <c r="V171" t="n">
        <v>3523</v>
      </c>
      <c r="W171" t="n">
        <v>1680</v>
      </c>
      <c r="X171" t="n">
        <v>1510</v>
      </c>
      <c r="Y171" t="n">
        <v>7500</v>
      </c>
    </row>
    <row r="172">
      <c r="A172" t="n">
        <v>171</v>
      </c>
      <c r="B172" t="n">
        <v>0</v>
      </c>
      <c r="C172" t="n">
        <v>12948</v>
      </c>
      <c r="D172" t="n">
        <v>29642</v>
      </c>
      <c r="E172" t="n">
        <v>154356</v>
      </c>
      <c r="F172" t="n">
        <v>795910</v>
      </c>
      <c r="G172" t="n">
        <v>4036964</v>
      </c>
      <c r="H172" t="n">
        <v>20210854</v>
      </c>
      <c r="I172" t="n">
        <v>99565234</v>
      </c>
      <c r="J172" t="n">
        <v>2000</v>
      </c>
      <c r="K172" t="n">
        <v>14738</v>
      </c>
      <c r="L172" t="n">
        <v>2500</v>
      </c>
      <c r="M172" t="n">
        <v>1071</v>
      </c>
      <c r="N172" t="n">
        <v>1855</v>
      </c>
      <c r="O172" t="n">
        <v>2710</v>
      </c>
      <c r="P172" t="n">
        <v>3565</v>
      </c>
      <c r="Q172" t="n">
        <v>4420</v>
      </c>
      <c r="R172" t="n">
        <v>5275</v>
      </c>
      <c r="S172" t="n">
        <v>6130</v>
      </c>
      <c r="T172" t="n">
        <v>6985</v>
      </c>
      <c r="U172" t="n">
        <v>7840</v>
      </c>
      <c r="V172" t="n">
        <v>3545</v>
      </c>
      <c r="W172" t="n">
        <v>1684</v>
      </c>
      <c r="X172" t="n">
        <v>1513</v>
      </c>
      <c r="Y172" t="n">
        <v>7510</v>
      </c>
    </row>
    <row r="173">
      <c r="A173" t="n">
        <v>172</v>
      </c>
      <c r="B173" t="n">
        <v>0</v>
      </c>
      <c r="C173" t="n">
        <v>13143</v>
      </c>
      <c r="D173" t="n">
        <v>30235</v>
      </c>
      <c r="E173" t="n">
        <v>158987</v>
      </c>
      <c r="F173" t="n">
        <v>827747</v>
      </c>
      <c r="G173" t="n">
        <v>4238813</v>
      </c>
      <c r="H173" t="n">
        <v>21423506</v>
      </c>
      <c r="I173" t="n">
        <v>106534801</v>
      </c>
      <c r="J173" t="n">
        <v>2000</v>
      </c>
      <c r="K173" t="n">
        <v>14886</v>
      </c>
      <c r="L173" t="n">
        <v>2500</v>
      </c>
      <c r="M173" t="n">
        <v>1072</v>
      </c>
      <c r="N173" t="n">
        <v>1860</v>
      </c>
      <c r="O173" t="n">
        <v>2720</v>
      </c>
      <c r="P173" t="n">
        <v>3580</v>
      </c>
      <c r="Q173" t="n">
        <v>4440</v>
      </c>
      <c r="R173" t="n">
        <v>5300</v>
      </c>
      <c r="S173" t="n">
        <v>6160</v>
      </c>
      <c r="T173" t="n">
        <v>7020</v>
      </c>
      <c r="U173" t="n">
        <v>7880</v>
      </c>
      <c r="V173" t="n">
        <v>3567</v>
      </c>
      <c r="W173" t="n">
        <v>1688</v>
      </c>
      <c r="X173" t="n">
        <v>1516</v>
      </c>
      <c r="Y173" t="n">
        <v>7520</v>
      </c>
    </row>
    <row r="174">
      <c r="A174" t="n">
        <v>173</v>
      </c>
      <c r="B174" t="n">
        <v>0</v>
      </c>
      <c r="C174" t="n">
        <v>13341</v>
      </c>
      <c r="D174" t="n">
        <v>30840</v>
      </c>
      <c r="E174" t="n">
        <v>163757</v>
      </c>
      <c r="F174" t="n">
        <v>860857</v>
      </c>
      <c r="G174" t="n">
        <v>4450754</v>
      </c>
      <c r="H174" t="n">
        <v>22708917</v>
      </c>
      <c r="I174" t="n">
        <v>113992238</v>
      </c>
      <c r="J174" t="n">
        <v>2000</v>
      </c>
      <c r="K174" t="n">
        <v>15035</v>
      </c>
      <c r="L174" t="n">
        <v>2500</v>
      </c>
      <c r="M174" t="n">
        <v>1073</v>
      </c>
      <c r="N174" t="n">
        <v>1865</v>
      </c>
      <c r="O174" t="n">
        <v>2730</v>
      </c>
      <c r="P174" t="n">
        <v>3595</v>
      </c>
      <c r="Q174" t="n">
        <v>4460</v>
      </c>
      <c r="R174" t="n">
        <v>5325</v>
      </c>
      <c r="S174" t="n">
        <v>6190</v>
      </c>
      <c r="T174" t="n">
        <v>7055</v>
      </c>
      <c r="U174" t="n">
        <v>7920</v>
      </c>
      <c r="V174" t="n">
        <v>3589</v>
      </c>
      <c r="W174" t="n">
        <v>1692</v>
      </c>
      <c r="X174" t="n">
        <v>1519</v>
      </c>
      <c r="Y174" t="n">
        <v>7530</v>
      </c>
    </row>
    <row r="175">
      <c r="A175" t="n">
        <v>174</v>
      </c>
      <c r="B175" t="n">
        <v>0</v>
      </c>
      <c r="C175" t="n">
        <v>13542</v>
      </c>
      <c r="D175" t="n">
        <v>31457</v>
      </c>
      <c r="E175" t="n">
        <v>168670</v>
      </c>
      <c r="F175" t="n">
        <v>895292</v>
      </c>
      <c r="G175" t="n">
        <v>4673292</v>
      </c>
      <c r="H175" t="n">
        <v>24071453</v>
      </c>
      <c r="I175" t="n">
        <v>121971695</v>
      </c>
      <c r="J175" t="n">
        <v>2000</v>
      </c>
      <c r="K175" t="n">
        <v>15186</v>
      </c>
      <c r="L175" t="n">
        <v>2500</v>
      </c>
      <c r="M175" t="n">
        <v>1074</v>
      </c>
      <c r="N175" t="n">
        <v>1870</v>
      </c>
      <c r="O175" t="n">
        <v>2740</v>
      </c>
      <c r="P175" t="n">
        <v>3610</v>
      </c>
      <c r="Q175" t="n">
        <v>4480</v>
      </c>
      <c r="R175" t="n">
        <v>5350</v>
      </c>
      <c r="S175" t="n">
        <v>6220</v>
      </c>
      <c r="T175" t="n">
        <v>7090</v>
      </c>
      <c r="U175" t="n">
        <v>7960</v>
      </c>
      <c r="V175" t="n">
        <v>3611</v>
      </c>
      <c r="W175" t="n">
        <v>1696</v>
      </c>
      <c r="X175" t="n">
        <v>1522</v>
      </c>
      <c r="Y175" t="n">
        <v>7540</v>
      </c>
    </row>
    <row r="176">
      <c r="A176" t="n">
        <v>175</v>
      </c>
      <c r="B176" t="n">
        <v>0</v>
      </c>
      <c r="C176" t="n">
        <v>13746</v>
      </c>
      <c r="D176" t="n">
        <v>32087</v>
      </c>
      <c r="E176" t="n">
        <v>173731</v>
      </c>
      <c r="F176" t="n">
        <v>931104</v>
      </c>
      <c r="G176" t="n">
        <v>4906957</v>
      </c>
      <c r="H176" t="n">
        <v>25515741</v>
      </c>
      <c r="I176" t="n">
        <v>130509714</v>
      </c>
      <c r="J176" t="n">
        <v>2000</v>
      </c>
      <c r="K176" t="n">
        <v>15338</v>
      </c>
      <c r="L176" t="n">
        <v>2500</v>
      </c>
      <c r="M176" t="n">
        <v>1075</v>
      </c>
      <c r="N176" t="n">
        <v>1875</v>
      </c>
      <c r="O176" t="n">
        <v>2750</v>
      </c>
      <c r="P176" t="n">
        <v>3625</v>
      </c>
      <c r="Q176" t="n">
        <v>4500</v>
      </c>
      <c r="R176" t="n">
        <v>5375</v>
      </c>
      <c r="S176" t="n">
        <v>6250</v>
      </c>
      <c r="T176" t="n">
        <v>7125</v>
      </c>
      <c r="U176" t="n">
        <v>8000</v>
      </c>
      <c r="V176" t="n">
        <v>3634</v>
      </c>
      <c r="W176" t="n">
        <v>1700</v>
      </c>
      <c r="X176" t="n">
        <v>1525</v>
      </c>
      <c r="Y176" t="n">
        <v>7550</v>
      </c>
    </row>
    <row r="177">
      <c r="A177" t="n">
        <v>176</v>
      </c>
      <c r="B177" t="n">
        <v>0</v>
      </c>
      <c r="C177" t="n">
        <v>13953</v>
      </c>
      <c r="D177" t="n">
        <v>32729</v>
      </c>
      <c r="E177" t="n">
        <v>178943</v>
      </c>
      <c r="F177" t="n">
        <v>968349</v>
      </c>
      <c r="G177" t="n">
        <v>5152305</v>
      </c>
      <c r="H177" t="n">
        <v>27046686</v>
      </c>
      <c r="I177" t="n">
        <v>139645394</v>
      </c>
      <c r="J177" t="n">
        <v>2000</v>
      </c>
      <c r="K177" t="n">
        <v>15492</v>
      </c>
      <c r="L177" t="n">
        <v>2500</v>
      </c>
      <c r="M177" t="n">
        <v>1076</v>
      </c>
      <c r="N177" t="n">
        <v>1880</v>
      </c>
      <c r="O177" t="n">
        <v>2760</v>
      </c>
      <c r="P177" t="n">
        <v>3640</v>
      </c>
      <c r="Q177" t="n">
        <v>4520</v>
      </c>
      <c r="R177" t="n">
        <v>5400</v>
      </c>
      <c r="S177" t="n">
        <v>6280</v>
      </c>
      <c r="T177" t="n">
        <v>7160</v>
      </c>
      <c r="U177" t="n">
        <v>8040</v>
      </c>
      <c r="V177" t="n">
        <v>3657</v>
      </c>
      <c r="W177" t="n">
        <v>1704</v>
      </c>
      <c r="X177" t="n">
        <v>1528</v>
      </c>
      <c r="Y177" t="n">
        <v>7560</v>
      </c>
    </row>
    <row r="178">
      <c r="A178" t="n">
        <v>177</v>
      </c>
      <c r="B178" t="n">
        <v>0</v>
      </c>
      <c r="C178" t="n">
        <v>14163</v>
      </c>
      <c r="D178" t="n">
        <v>33384</v>
      </c>
      <c r="E178" t="n">
        <v>184312</v>
      </c>
      <c r="F178" t="n">
        <v>1007083</v>
      </c>
      <c r="G178" t="n">
        <v>5409921</v>
      </c>
      <c r="H178" t="n">
        <v>28669488</v>
      </c>
      <c r="I178" t="n">
        <v>149420572</v>
      </c>
      <c r="J178" t="n">
        <v>2000</v>
      </c>
      <c r="K178" t="n">
        <v>15647</v>
      </c>
      <c r="L178" t="n">
        <v>2500</v>
      </c>
      <c r="M178" t="n">
        <v>1077</v>
      </c>
      <c r="N178" t="n">
        <v>1885</v>
      </c>
      <c r="O178" t="n">
        <v>2770</v>
      </c>
      <c r="P178" t="n">
        <v>3655</v>
      </c>
      <c r="Q178" t="n">
        <v>4540</v>
      </c>
      <c r="R178" t="n">
        <v>5425</v>
      </c>
      <c r="S178" t="n">
        <v>6310</v>
      </c>
      <c r="T178" t="n">
        <v>7195</v>
      </c>
      <c r="U178" t="n">
        <v>8080</v>
      </c>
      <c r="V178" t="n">
        <v>3680</v>
      </c>
      <c r="W178" t="n">
        <v>1708</v>
      </c>
      <c r="X178" t="n">
        <v>1531</v>
      </c>
      <c r="Y178" t="n">
        <v>7570</v>
      </c>
    </row>
    <row r="179">
      <c r="A179" t="n">
        <v>178</v>
      </c>
      <c r="B179" t="n">
        <v>0</v>
      </c>
      <c r="C179" t="n">
        <v>14376</v>
      </c>
      <c r="D179" t="n">
        <v>34052</v>
      </c>
      <c r="E179" t="n">
        <v>189842</v>
      </c>
      <c r="F179" t="n">
        <v>1047367</v>
      </c>
      <c r="G179" t="n">
        <v>5680418</v>
      </c>
      <c r="H179" t="n">
        <v>30389658</v>
      </c>
      <c r="I179" t="n">
        <v>159880013</v>
      </c>
      <c r="J179" t="n">
        <v>2000</v>
      </c>
      <c r="K179" t="n">
        <v>15804</v>
      </c>
      <c r="L179" t="n">
        <v>2500</v>
      </c>
      <c r="M179" t="n">
        <v>1078</v>
      </c>
      <c r="N179" t="n">
        <v>1890</v>
      </c>
      <c r="O179" t="n">
        <v>2780</v>
      </c>
      <c r="P179" t="n">
        <v>3670</v>
      </c>
      <c r="Q179" t="n">
        <v>4560</v>
      </c>
      <c r="R179" t="n">
        <v>5450</v>
      </c>
      <c r="S179" t="n">
        <v>6340</v>
      </c>
      <c r="T179" t="n">
        <v>7230</v>
      </c>
      <c r="U179" t="n">
        <v>8120</v>
      </c>
      <c r="V179" t="n">
        <v>3703</v>
      </c>
      <c r="W179" t="n">
        <v>1712</v>
      </c>
      <c r="X179" t="n">
        <v>1534</v>
      </c>
      <c r="Y179" t="n">
        <v>7580</v>
      </c>
    </row>
    <row r="180">
      <c r="A180" t="n">
        <v>179</v>
      </c>
      <c r="B180" t="n">
        <v>0</v>
      </c>
      <c r="C180" t="n">
        <v>14592</v>
      </c>
      <c r="D180" t="n">
        <v>34734</v>
      </c>
      <c r="E180" t="n">
        <v>195538</v>
      </c>
      <c r="F180" t="n">
        <v>1089262</v>
      </c>
      <c r="G180" t="n">
        <v>5964439</v>
      </c>
      <c r="H180" t="n">
        <v>32213038</v>
      </c>
      <c r="I180" t="n">
        <v>171071614</v>
      </c>
      <c r="J180" t="n">
        <v>2000</v>
      </c>
      <c r="K180" t="n">
        <v>15963</v>
      </c>
      <c r="L180" t="n">
        <v>2500</v>
      </c>
      <c r="M180" t="n">
        <v>1079</v>
      </c>
      <c r="N180" t="n">
        <v>1895</v>
      </c>
      <c r="O180" t="n">
        <v>2790</v>
      </c>
      <c r="P180" t="n">
        <v>3685</v>
      </c>
      <c r="Q180" t="n">
        <v>4580</v>
      </c>
      <c r="R180" t="n">
        <v>5475</v>
      </c>
      <c r="S180" t="n">
        <v>6370</v>
      </c>
      <c r="T180" t="n">
        <v>7265</v>
      </c>
      <c r="U180" t="n">
        <v>8160</v>
      </c>
      <c r="V180" t="n">
        <v>3726</v>
      </c>
      <c r="W180" t="n">
        <v>1716</v>
      </c>
      <c r="X180" t="n">
        <v>1537</v>
      </c>
      <c r="Y180" t="n">
        <v>7590</v>
      </c>
    </row>
    <row r="181">
      <c r="A181" t="n">
        <v>180</v>
      </c>
      <c r="B181" t="n">
        <v>0</v>
      </c>
      <c r="C181" t="n">
        <v>14811</v>
      </c>
      <c r="D181" t="n">
        <v>35429</v>
      </c>
      <c r="E181" t="n">
        <v>201405</v>
      </c>
      <c r="F181" t="n">
        <v>1132833</v>
      </c>
      <c r="G181" t="n">
        <v>6262661</v>
      </c>
      <c r="H181" t="n">
        <v>34145821</v>
      </c>
      <c r="I181" t="n">
        <v>183046627</v>
      </c>
      <c r="J181" t="n">
        <v>2000</v>
      </c>
      <c r="K181" t="n">
        <v>16123</v>
      </c>
      <c r="L181" t="n">
        <v>2500</v>
      </c>
      <c r="M181" t="n">
        <v>1080</v>
      </c>
      <c r="N181" t="n">
        <v>1900</v>
      </c>
      <c r="O181" t="n">
        <v>2800</v>
      </c>
      <c r="P181" t="n">
        <v>3700</v>
      </c>
      <c r="Q181" t="n">
        <v>4600</v>
      </c>
      <c r="R181" t="n">
        <v>5500</v>
      </c>
      <c r="S181" t="n">
        <v>6400</v>
      </c>
      <c r="T181" t="n">
        <v>7300</v>
      </c>
      <c r="U181" t="n">
        <v>8200</v>
      </c>
      <c r="V181" t="n">
        <v>3749</v>
      </c>
      <c r="W181" t="n">
        <v>1720</v>
      </c>
      <c r="X181" t="n">
        <v>1540</v>
      </c>
      <c r="Y181" t="n">
        <v>7600</v>
      </c>
    </row>
    <row r="182">
      <c r="A182" t="n">
        <v>181</v>
      </c>
      <c r="B182" t="n">
        <v>0</v>
      </c>
      <c r="C182" t="n">
        <v>15034</v>
      </c>
      <c r="D182" t="n">
        <v>36138</v>
      </c>
      <c r="E182" t="n">
        <v>207448</v>
      </c>
      <c r="F182" t="n">
        <v>1178147</v>
      </c>
      <c r="G182" t="n">
        <v>6575795</v>
      </c>
      <c r="H182" t="n">
        <v>36194571</v>
      </c>
      <c r="I182" t="n">
        <v>195859891</v>
      </c>
      <c r="J182" t="n">
        <v>2000</v>
      </c>
      <c r="K182" t="n">
        <v>16285</v>
      </c>
      <c r="L182" t="n">
        <v>2500</v>
      </c>
      <c r="M182" t="n">
        <v>1081</v>
      </c>
      <c r="N182" t="n">
        <v>1905</v>
      </c>
      <c r="O182" t="n">
        <v>2810</v>
      </c>
      <c r="P182" t="n">
        <v>3715</v>
      </c>
      <c r="Q182" t="n">
        <v>4620</v>
      </c>
      <c r="R182" t="n">
        <v>5525</v>
      </c>
      <c r="S182" t="n">
        <v>6430</v>
      </c>
      <c r="T182" t="n">
        <v>7335</v>
      </c>
      <c r="U182" t="n">
        <v>8240</v>
      </c>
      <c r="V182" t="n">
        <v>3772</v>
      </c>
      <c r="W182" t="n">
        <v>1724</v>
      </c>
      <c r="X182" t="n">
        <v>1543</v>
      </c>
      <c r="Y182" t="n">
        <v>7610</v>
      </c>
    </row>
    <row r="183">
      <c r="A183" t="n">
        <v>182</v>
      </c>
      <c r="B183" t="n">
        <v>0</v>
      </c>
      <c r="C183" t="n">
        <v>15260</v>
      </c>
      <c r="D183" t="n">
        <v>36861</v>
      </c>
      <c r="E183" t="n">
        <v>213672</v>
      </c>
      <c r="F183" t="n">
        <v>1225273</v>
      </c>
      <c r="G183" t="n">
        <v>6904585</v>
      </c>
      <c r="H183" t="n">
        <v>38366246</v>
      </c>
      <c r="I183" t="n">
        <v>209570084</v>
      </c>
      <c r="J183" t="n">
        <v>2000</v>
      </c>
      <c r="K183" t="n">
        <v>16448</v>
      </c>
      <c r="L183" t="n">
        <v>2500</v>
      </c>
      <c r="M183" t="n">
        <v>1082</v>
      </c>
      <c r="N183" t="n">
        <v>1910</v>
      </c>
      <c r="O183" t="n">
        <v>2820</v>
      </c>
      <c r="P183" t="n">
        <v>3730</v>
      </c>
      <c r="Q183" t="n">
        <v>4640</v>
      </c>
      <c r="R183" t="n">
        <v>5550</v>
      </c>
      <c r="S183" t="n">
        <v>6460</v>
      </c>
      <c r="T183" t="n">
        <v>7370</v>
      </c>
      <c r="U183" t="n">
        <v>8280</v>
      </c>
      <c r="V183" t="n">
        <v>3795</v>
      </c>
      <c r="W183" t="n">
        <v>1728</v>
      </c>
      <c r="X183" t="n">
        <v>1546</v>
      </c>
      <c r="Y183" t="n">
        <v>7620</v>
      </c>
    </row>
    <row r="184">
      <c r="A184" t="n">
        <v>183</v>
      </c>
      <c r="B184" t="n">
        <v>0</v>
      </c>
      <c r="C184" t="n">
        <v>15489</v>
      </c>
      <c r="D184" t="n">
        <v>37599</v>
      </c>
      <c r="E184" t="n">
        <v>220083</v>
      </c>
      <c r="F184" t="n">
        <v>1274284</v>
      </c>
      <c r="G184" t="n">
        <v>7249815</v>
      </c>
      <c r="H184" t="n">
        <v>40668221</v>
      </c>
      <c r="I184" t="n">
        <v>224239990</v>
      </c>
      <c r="J184" t="n">
        <v>2000</v>
      </c>
      <c r="K184" t="n">
        <v>16613</v>
      </c>
      <c r="L184" t="n">
        <v>2500</v>
      </c>
      <c r="M184" t="n">
        <v>1083</v>
      </c>
      <c r="N184" t="n">
        <v>1915</v>
      </c>
      <c r="O184" t="n">
        <v>2830</v>
      </c>
      <c r="P184" t="n">
        <v>3745</v>
      </c>
      <c r="Q184" t="n">
        <v>4660</v>
      </c>
      <c r="R184" t="n">
        <v>5575</v>
      </c>
      <c r="S184" t="n">
        <v>6490</v>
      </c>
      <c r="T184" t="n">
        <v>7405</v>
      </c>
      <c r="U184" t="n">
        <v>8320</v>
      </c>
      <c r="V184" t="n">
        <v>3818</v>
      </c>
      <c r="W184" t="n">
        <v>1732</v>
      </c>
      <c r="X184" t="n">
        <v>1549</v>
      </c>
      <c r="Y184" t="n">
        <v>7630</v>
      </c>
    </row>
    <row r="185">
      <c r="A185" t="n">
        <v>184</v>
      </c>
      <c r="B185" t="n">
        <v>0</v>
      </c>
      <c r="C185" t="n">
        <v>15722</v>
      </c>
      <c r="D185" t="n">
        <v>38351</v>
      </c>
      <c r="E185" t="n">
        <v>226686</v>
      </c>
      <c r="F185" t="n">
        <v>1325256</v>
      </c>
      <c r="G185" t="n">
        <v>7612306</v>
      </c>
      <c r="H185" t="n">
        <v>43108315</v>
      </c>
      <c r="I185" t="n">
        <v>239936790</v>
      </c>
      <c r="J185" t="n">
        <v>2000</v>
      </c>
      <c r="K185" t="n">
        <v>16780</v>
      </c>
      <c r="L185" t="n">
        <v>2500</v>
      </c>
      <c r="M185" t="n">
        <v>1084</v>
      </c>
      <c r="N185" t="n">
        <v>1920</v>
      </c>
      <c r="O185" t="n">
        <v>2840</v>
      </c>
      <c r="P185" t="n">
        <v>3760</v>
      </c>
      <c r="Q185" t="n">
        <v>4680</v>
      </c>
      <c r="R185" t="n">
        <v>5600</v>
      </c>
      <c r="S185" t="n">
        <v>6520</v>
      </c>
      <c r="T185" t="n">
        <v>7440</v>
      </c>
      <c r="U185" t="n">
        <v>8360</v>
      </c>
      <c r="V185" t="n">
        <v>3842</v>
      </c>
      <c r="W185" t="n">
        <v>1736</v>
      </c>
      <c r="X185" t="n">
        <v>1552</v>
      </c>
      <c r="Y185" t="n">
        <v>7640</v>
      </c>
    </row>
    <row r="186">
      <c r="A186" t="n">
        <v>185</v>
      </c>
      <c r="B186" t="n">
        <v>0</v>
      </c>
      <c r="C186" t="n">
        <v>15958</v>
      </c>
      <c r="D186" t="n">
        <v>39119</v>
      </c>
      <c r="E186" t="n">
        <v>233487</v>
      </c>
      <c r="F186" t="n">
        <v>1378267</v>
      </c>
      <c r="G186" t="n">
        <v>7992922</v>
      </c>
      <c r="H186" t="n">
        <v>45694814</v>
      </c>
      <c r="I186" t="n">
        <v>256732366</v>
      </c>
      <c r="J186" t="n">
        <v>2000</v>
      </c>
      <c r="K186" t="n">
        <v>16948</v>
      </c>
      <c r="L186" t="n">
        <v>2500</v>
      </c>
      <c r="M186" t="n">
        <v>1085</v>
      </c>
      <c r="N186" t="n">
        <v>1925</v>
      </c>
      <c r="O186" t="n">
        <v>2850</v>
      </c>
      <c r="P186" t="n">
        <v>3775</v>
      </c>
      <c r="Q186" t="n">
        <v>4700</v>
      </c>
      <c r="R186" t="n">
        <v>5625</v>
      </c>
      <c r="S186" t="n">
        <v>6550</v>
      </c>
      <c r="T186" t="n">
        <v>7475</v>
      </c>
      <c r="U186" t="n">
        <v>8400</v>
      </c>
      <c r="V186" t="n">
        <v>3866</v>
      </c>
      <c r="W186" t="n">
        <v>1740</v>
      </c>
      <c r="X186" t="n">
        <v>1555</v>
      </c>
      <c r="Y186" t="n">
        <v>7650</v>
      </c>
    </row>
    <row r="187">
      <c r="A187" t="n">
        <v>186</v>
      </c>
      <c r="B187" t="n">
        <v>0</v>
      </c>
      <c r="C187" t="n">
        <v>16198</v>
      </c>
      <c r="D187" t="n">
        <v>39902</v>
      </c>
      <c r="E187" t="n">
        <v>240492</v>
      </c>
      <c r="F187" t="n">
        <v>1433398</v>
      </c>
      <c r="G187" t="n">
        <v>8392569</v>
      </c>
      <c r="H187" t="n">
        <v>48436503</v>
      </c>
      <c r="I187" t="n">
        <v>274703632</v>
      </c>
      <c r="J187" t="n">
        <v>2000</v>
      </c>
      <c r="K187" t="n">
        <v>17118</v>
      </c>
      <c r="L187" t="n">
        <v>2500</v>
      </c>
      <c r="M187" t="n">
        <v>1086</v>
      </c>
      <c r="N187" t="n">
        <v>1930</v>
      </c>
      <c r="O187" t="n">
        <v>2860</v>
      </c>
      <c r="P187" t="n">
        <v>3790</v>
      </c>
      <c r="Q187" t="n">
        <v>4720</v>
      </c>
      <c r="R187" t="n">
        <v>5650</v>
      </c>
      <c r="S187" t="n">
        <v>6580</v>
      </c>
      <c r="T187" t="n">
        <v>7510</v>
      </c>
      <c r="U187" t="n">
        <v>8440</v>
      </c>
      <c r="V187" t="n">
        <v>3890</v>
      </c>
      <c r="W187" t="n">
        <v>1744</v>
      </c>
      <c r="X187" t="n">
        <v>1558</v>
      </c>
      <c r="Y187" t="n">
        <v>7660</v>
      </c>
    </row>
    <row r="188">
      <c r="A188" t="n">
        <v>187</v>
      </c>
      <c r="B188" t="n">
        <v>0</v>
      </c>
      <c r="C188" t="n">
        <v>16441</v>
      </c>
      <c r="D188" t="n">
        <v>40701</v>
      </c>
      <c r="E188" t="n">
        <v>247707</v>
      </c>
      <c r="F188" t="n">
        <v>1490734</v>
      </c>
      <c r="G188" t="n">
        <v>8812198</v>
      </c>
      <c r="H188" t="n">
        <v>51342694</v>
      </c>
      <c r="I188" t="n">
        <v>293932887</v>
      </c>
      <c r="J188" t="n">
        <v>2000</v>
      </c>
      <c r="K188" t="n">
        <v>17290</v>
      </c>
      <c r="L188" t="n">
        <v>2500</v>
      </c>
      <c r="M188" t="n">
        <v>1087</v>
      </c>
      <c r="N188" t="n">
        <v>1935</v>
      </c>
      <c r="O188" t="n">
        <v>2870</v>
      </c>
      <c r="P188" t="n">
        <v>3805</v>
      </c>
      <c r="Q188" t="n">
        <v>4740</v>
      </c>
      <c r="R188" t="n">
        <v>5675</v>
      </c>
      <c r="S188" t="n">
        <v>6610</v>
      </c>
      <c r="T188" t="n">
        <v>7545</v>
      </c>
      <c r="U188" t="n">
        <v>8480</v>
      </c>
      <c r="V188" t="n">
        <v>3914</v>
      </c>
      <c r="W188" t="n">
        <v>1748</v>
      </c>
      <c r="X188" t="n">
        <v>1561</v>
      </c>
      <c r="Y188" t="n">
        <v>7670</v>
      </c>
    </row>
    <row r="189">
      <c r="A189" t="n">
        <v>188</v>
      </c>
      <c r="B189" t="n">
        <v>0</v>
      </c>
      <c r="C189" t="n">
        <v>16688</v>
      </c>
      <c r="D189" t="n">
        <v>41516</v>
      </c>
      <c r="E189" t="n">
        <v>255139</v>
      </c>
      <c r="F189" t="n">
        <v>1550364</v>
      </c>
      <c r="G189" t="n">
        <v>9252808</v>
      </c>
      <c r="H189" t="n">
        <v>54423256</v>
      </c>
      <c r="I189" t="n">
        <v>314508190</v>
      </c>
      <c r="J189" t="n">
        <v>2000</v>
      </c>
      <c r="K189" t="n">
        <v>17463</v>
      </c>
      <c r="L189" t="n">
        <v>2500</v>
      </c>
      <c r="M189" t="n">
        <v>1088</v>
      </c>
      <c r="N189" t="n">
        <v>1940</v>
      </c>
      <c r="O189" t="n">
        <v>2880</v>
      </c>
      <c r="P189" t="n">
        <v>3820</v>
      </c>
      <c r="Q189" t="n">
        <v>4760</v>
      </c>
      <c r="R189" t="n">
        <v>5700</v>
      </c>
      <c r="S189" t="n">
        <v>6640</v>
      </c>
      <c r="T189" t="n">
        <v>7580</v>
      </c>
      <c r="U189" t="n">
        <v>8520</v>
      </c>
      <c r="V189" t="n">
        <v>3938</v>
      </c>
      <c r="W189" t="n">
        <v>1752</v>
      </c>
      <c r="X189" t="n">
        <v>1564</v>
      </c>
      <c r="Y189" t="n">
        <v>7680</v>
      </c>
    </row>
    <row r="190">
      <c r="A190" t="n">
        <v>189</v>
      </c>
      <c r="B190" t="n">
        <v>0</v>
      </c>
      <c r="C190" t="n">
        <v>16939</v>
      </c>
      <c r="D190" t="n">
        <v>42347</v>
      </c>
      <c r="E190" t="n">
        <v>262794</v>
      </c>
      <c r="F190" t="n">
        <v>1612379</v>
      </c>
      <c r="G190" t="n">
        <v>9715449</v>
      </c>
      <c r="H190" t="n">
        <v>57688652</v>
      </c>
      <c r="I190" t="n">
        <v>336523764</v>
      </c>
      <c r="J190" t="n">
        <v>2000</v>
      </c>
      <c r="K190" t="n">
        <v>17638</v>
      </c>
      <c r="L190" t="n">
        <v>2500</v>
      </c>
      <c r="M190" t="n">
        <v>1089</v>
      </c>
      <c r="N190" t="n">
        <v>1945</v>
      </c>
      <c r="O190" t="n">
        <v>2890</v>
      </c>
      <c r="P190" t="n">
        <v>3835</v>
      </c>
      <c r="Q190" t="n">
        <v>4780</v>
      </c>
      <c r="R190" t="n">
        <v>5725</v>
      </c>
      <c r="S190" t="n">
        <v>6670</v>
      </c>
      <c r="T190" t="n">
        <v>7615</v>
      </c>
      <c r="U190" t="n">
        <v>8560</v>
      </c>
      <c r="V190" t="n">
        <v>3962</v>
      </c>
      <c r="W190" t="n">
        <v>1756</v>
      </c>
      <c r="X190" t="n">
        <v>1567</v>
      </c>
      <c r="Y190" t="n">
        <v>7690</v>
      </c>
    </row>
    <row r="191">
      <c r="A191" t="n">
        <v>190</v>
      </c>
      <c r="B191" t="n">
        <v>0</v>
      </c>
      <c r="C191" t="n">
        <v>17194</v>
      </c>
      <c r="D191" t="n">
        <v>43194</v>
      </c>
      <c r="E191" t="n">
        <v>270678</v>
      </c>
      <c r="F191" t="n">
        <v>1676875</v>
      </c>
      <c r="G191" t="n">
        <v>10201222</v>
      </c>
      <c r="H191" t="n">
        <v>61149972</v>
      </c>
      <c r="I191" t="n">
        <v>360080428</v>
      </c>
      <c r="J191" t="n">
        <v>2000</v>
      </c>
      <c r="K191" t="n">
        <v>17815</v>
      </c>
      <c r="L191" t="n">
        <v>2500</v>
      </c>
      <c r="M191" t="n">
        <v>1090</v>
      </c>
      <c r="N191" t="n">
        <v>1950</v>
      </c>
      <c r="O191" t="n">
        <v>2900</v>
      </c>
      <c r="P191" t="n">
        <v>3850</v>
      </c>
      <c r="Q191" t="n">
        <v>4800</v>
      </c>
      <c r="R191" t="n">
        <v>5750</v>
      </c>
      <c r="S191" t="n">
        <v>6700</v>
      </c>
      <c r="T191" t="n">
        <v>7650</v>
      </c>
      <c r="U191" t="n">
        <v>8600</v>
      </c>
      <c r="V191" t="n">
        <v>3986</v>
      </c>
      <c r="W191" t="n">
        <v>1760</v>
      </c>
      <c r="X191" t="n">
        <v>1570</v>
      </c>
      <c r="Y191" t="n">
        <v>7700</v>
      </c>
    </row>
    <row r="192">
      <c r="A192" t="n">
        <v>191</v>
      </c>
      <c r="B192" t="n">
        <v>0</v>
      </c>
      <c r="C192" t="n">
        <v>17452</v>
      </c>
      <c r="D192" t="n">
        <v>44058</v>
      </c>
      <c r="E192" t="n">
        <v>278799</v>
      </c>
      <c r="F192" t="n">
        <v>1743950</v>
      </c>
      <c r="G192" t="n">
        <v>10711284</v>
      </c>
      <c r="H192" t="n">
        <v>64818971</v>
      </c>
      <c r="I192" t="n">
        <v>385286058</v>
      </c>
      <c r="J192" t="n">
        <v>2000</v>
      </c>
      <c r="K192" t="n">
        <v>17994</v>
      </c>
      <c r="L192" t="n">
        <v>2500</v>
      </c>
      <c r="M192" t="n">
        <v>1091</v>
      </c>
      <c r="N192" t="n">
        <v>1955</v>
      </c>
      <c r="O192" t="n">
        <v>2910</v>
      </c>
      <c r="P192" t="n">
        <v>3865</v>
      </c>
      <c r="Q192" t="n">
        <v>4820</v>
      </c>
      <c r="R192" t="n">
        <v>5775</v>
      </c>
      <c r="S192" t="n">
        <v>6730</v>
      </c>
      <c r="T192" t="n">
        <v>7685</v>
      </c>
      <c r="U192" t="n">
        <v>8640</v>
      </c>
      <c r="V192" t="n">
        <v>4010</v>
      </c>
      <c r="W192" t="n">
        <v>1764</v>
      </c>
      <c r="X192" t="n">
        <v>1573</v>
      </c>
      <c r="Y192" t="n">
        <v>7710</v>
      </c>
    </row>
    <row r="193">
      <c r="A193" t="n">
        <v>192</v>
      </c>
      <c r="B193" t="n">
        <v>0</v>
      </c>
      <c r="C193" t="n">
        <v>17714</v>
      </c>
      <c r="D193" t="n">
        <v>44940</v>
      </c>
      <c r="E193" t="n">
        <v>287163</v>
      </c>
      <c r="F193" t="n">
        <v>1813708</v>
      </c>
      <c r="G193" t="n">
        <v>11246849</v>
      </c>
      <c r="H193" t="n">
        <v>68708110</v>
      </c>
      <c r="I193" t="n">
        <v>412256083</v>
      </c>
      <c r="J193" t="n">
        <v>2000</v>
      </c>
      <c r="K193" t="n">
        <v>18174</v>
      </c>
      <c r="L193" t="n">
        <v>2500</v>
      </c>
      <c r="M193" t="n">
        <v>1092</v>
      </c>
      <c r="N193" t="n">
        <v>1960</v>
      </c>
      <c r="O193" t="n">
        <v>2920</v>
      </c>
      <c r="P193" t="n">
        <v>3880</v>
      </c>
      <c r="Q193" t="n">
        <v>4840</v>
      </c>
      <c r="R193" t="n">
        <v>5800</v>
      </c>
      <c r="S193" t="n">
        <v>6760</v>
      </c>
      <c r="T193" t="n">
        <v>7720</v>
      </c>
      <c r="U193" t="n">
        <v>8680</v>
      </c>
      <c r="V193" t="n">
        <v>4035</v>
      </c>
      <c r="W193" t="n">
        <v>1768</v>
      </c>
      <c r="X193" t="n">
        <v>1576</v>
      </c>
      <c r="Y193" t="n">
        <v>7720</v>
      </c>
    </row>
    <row r="194">
      <c r="A194" t="n">
        <v>193</v>
      </c>
      <c r="B194" t="n">
        <v>0</v>
      </c>
      <c r="C194" t="n">
        <v>17980</v>
      </c>
      <c r="D194" t="n">
        <v>45839</v>
      </c>
      <c r="E194" t="n">
        <v>295778</v>
      </c>
      <c r="F194" t="n">
        <v>1886257</v>
      </c>
      <c r="G194" t="n">
        <v>11809192</v>
      </c>
      <c r="H194" t="n">
        <v>72830597</v>
      </c>
      <c r="I194" t="n">
        <v>441114009</v>
      </c>
      <c r="J194" t="n">
        <v>2000</v>
      </c>
      <c r="K194" t="n">
        <v>18356</v>
      </c>
      <c r="L194" t="n">
        <v>2500</v>
      </c>
      <c r="M194" t="n">
        <v>1093</v>
      </c>
      <c r="N194" t="n">
        <v>1965</v>
      </c>
      <c r="O194" t="n">
        <v>2930</v>
      </c>
      <c r="P194" t="n">
        <v>3895</v>
      </c>
      <c r="Q194" t="n">
        <v>4860</v>
      </c>
      <c r="R194" t="n">
        <v>5825</v>
      </c>
      <c r="S194" t="n">
        <v>6790</v>
      </c>
      <c r="T194" t="n">
        <v>7755</v>
      </c>
      <c r="U194" t="n">
        <v>8720</v>
      </c>
      <c r="V194" t="n">
        <v>4060</v>
      </c>
      <c r="W194" t="n">
        <v>1772</v>
      </c>
      <c r="X194" t="n">
        <v>1579</v>
      </c>
      <c r="Y194" t="n">
        <v>7730</v>
      </c>
    </row>
    <row r="195">
      <c r="A195" t="n">
        <v>194</v>
      </c>
      <c r="B195" t="n">
        <v>0</v>
      </c>
      <c r="C195" t="n">
        <v>18250</v>
      </c>
      <c r="D195" t="n">
        <v>46756</v>
      </c>
      <c r="E195" t="n">
        <v>304652</v>
      </c>
      <c r="F195" t="n">
        <v>1961708</v>
      </c>
      <c r="G195" t="n">
        <v>12399652</v>
      </c>
      <c r="H195" t="n">
        <v>77200433</v>
      </c>
      <c r="I195" t="n">
        <v>471991990</v>
      </c>
      <c r="J195" t="n">
        <v>2000</v>
      </c>
      <c r="K195" t="n">
        <v>18540</v>
      </c>
      <c r="L195" t="n">
        <v>2500</v>
      </c>
      <c r="M195" t="n">
        <v>1094</v>
      </c>
      <c r="N195" t="n">
        <v>1970</v>
      </c>
      <c r="O195" t="n">
        <v>2940</v>
      </c>
      <c r="P195" t="n">
        <v>3910</v>
      </c>
      <c r="Q195" t="n">
        <v>4880</v>
      </c>
      <c r="R195" t="n">
        <v>5850</v>
      </c>
      <c r="S195" t="n">
        <v>6820</v>
      </c>
      <c r="T195" t="n">
        <v>7790</v>
      </c>
      <c r="U195" t="n">
        <v>8760</v>
      </c>
      <c r="V195" t="n">
        <v>4085</v>
      </c>
      <c r="W195" t="n">
        <v>1776</v>
      </c>
      <c r="X195" t="n">
        <v>1582</v>
      </c>
      <c r="Y195" t="n">
        <v>7740</v>
      </c>
    </row>
    <row r="196">
      <c r="A196" t="n">
        <v>195</v>
      </c>
      <c r="B196" t="n">
        <v>0</v>
      </c>
      <c r="C196" t="n">
        <v>18524</v>
      </c>
      <c r="D196" t="n">
        <v>47692</v>
      </c>
      <c r="E196" t="n">
        <v>313792</v>
      </c>
      <c r="F196" t="n">
        <v>2040177</v>
      </c>
      <c r="G196" t="n">
        <v>13019635</v>
      </c>
      <c r="H196" t="n">
        <v>81832459</v>
      </c>
      <c r="I196" t="n">
        <v>505031430</v>
      </c>
      <c r="J196" t="n">
        <v>2000</v>
      </c>
      <c r="K196" t="n">
        <v>18726</v>
      </c>
      <c r="L196" t="n">
        <v>2500</v>
      </c>
      <c r="M196" t="n">
        <v>1095</v>
      </c>
      <c r="N196" t="n">
        <v>1975</v>
      </c>
      <c r="O196" t="n">
        <v>2950</v>
      </c>
      <c r="P196" t="n">
        <v>3925</v>
      </c>
      <c r="Q196" t="n">
        <v>4900</v>
      </c>
      <c r="R196" t="n">
        <v>5875</v>
      </c>
      <c r="S196" t="n">
        <v>6850</v>
      </c>
      <c r="T196" t="n">
        <v>7825</v>
      </c>
      <c r="U196" t="n">
        <v>8800</v>
      </c>
      <c r="V196" t="n">
        <v>4110</v>
      </c>
      <c r="W196" t="n">
        <v>1780</v>
      </c>
      <c r="X196" t="n">
        <v>1585</v>
      </c>
      <c r="Y196" t="n">
        <v>7750</v>
      </c>
    </row>
    <row r="197">
      <c r="A197" t="n">
        <v>196</v>
      </c>
      <c r="B197" t="n">
        <v>0</v>
      </c>
      <c r="C197" t="n">
        <v>18802</v>
      </c>
      <c r="D197" t="n">
        <v>48646</v>
      </c>
      <c r="E197" t="n">
        <v>323206</v>
      </c>
      <c r="F197" t="n">
        <v>2121785</v>
      </c>
      <c r="G197" t="n">
        <v>13670617</v>
      </c>
      <c r="H197" t="n">
        <v>86742407</v>
      </c>
      <c r="I197" t="n">
        <v>540383631</v>
      </c>
      <c r="J197" t="n">
        <v>2000</v>
      </c>
      <c r="K197" t="n">
        <v>18914</v>
      </c>
      <c r="L197" t="n">
        <v>2500</v>
      </c>
      <c r="M197" t="n">
        <v>1096</v>
      </c>
      <c r="N197" t="n">
        <v>1980</v>
      </c>
      <c r="O197" t="n">
        <v>2960</v>
      </c>
      <c r="P197" t="n">
        <v>3940</v>
      </c>
      <c r="Q197" t="n">
        <v>4920</v>
      </c>
      <c r="R197" t="n">
        <v>5900</v>
      </c>
      <c r="S197" t="n">
        <v>6880</v>
      </c>
      <c r="T197" t="n">
        <v>7860</v>
      </c>
      <c r="U197" t="n">
        <v>8840</v>
      </c>
      <c r="V197" t="n">
        <v>4135</v>
      </c>
      <c r="W197" t="n">
        <v>1784</v>
      </c>
      <c r="X197" t="n">
        <v>1588</v>
      </c>
      <c r="Y197" t="n">
        <v>7760</v>
      </c>
    </row>
    <row r="198">
      <c r="A198" t="n">
        <v>197</v>
      </c>
      <c r="B198" t="n">
        <v>0</v>
      </c>
      <c r="C198" t="n">
        <v>19085</v>
      </c>
      <c r="D198" t="n">
        <v>49619</v>
      </c>
      <c r="E198" t="n">
        <v>332903</v>
      </c>
      <c r="F198" t="n">
        <v>2206657</v>
      </c>
      <c r="G198" t="n">
        <v>14354148</v>
      </c>
      <c r="H198" t="n">
        <v>91946952</v>
      </c>
      <c r="I198" t="n">
        <v>578210486</v>
      </c>
      <c r="J198" t="n">
        <v>2000</v>
      </c>
      <c r="K198" t="n">
        <v>19104</v>
      </c>
      <c r="L198" t="n">
        <v>2500</v>
      </c>
      <c r="M198" t="n">
        <v>1097</v>
      </c>
      <c r="N198" t="n">
        <v>1985</v>
      </c>
      <c r="O198" t="n">
        <v>2970</v>
      </c>
      <c r="P198" t="n">
        <v>3955</v>
      </c>
      <c r="Q198" t="n">
        <v>4940</v>
      </c>
      <c r="R198" t="n">
        <v>5925</v>
      </c>
      <c r="S198" t="n">
        <v>6910</v>
      </c>
      <c r="T198" t="n">
        <v>7895</v>
      </c>
      <c r="U198" t="n">
        <v>8880</v>
      </c>
      <c r="V198" t="n">
        <v>4160</v>
      </c>
      <c r="W198" t="n">
        <v>1788</v>
      </c>
      <c r="X198" t="n">
        <v>1591</v>
      </c>
      <c r="Y198" t="n">
        <v>7770</v>
      </c>
    </row>
    <row r="199">
      <c r="A199" t="n">
        <v>198</v>
      </c>
      <c r="B199" t="n">
        <v>0</v>
      </c>
      <c r="C199" t="n">
        <v>19372</v>
      </c>
      <c r="D199" t="n">
        <v>50612</v>
      </c>
      <c r="E199" t="n">
        <v>342891</v>
      </c>
      <c r="F199" t="n">
        <v>2294924</v>
      </c>
      <c r="G199" t="n">
        <v>15071856</v>
      </c>
      <c r="H199" t="n">
        <v>97463770</v>
      </c>
      <c r="I199" t="n">
        <v>618685221</v>
      </c>
      <c r="J199" t="n">
        <v>2000</v>
      </c>
      <c r="K199" t="n">
        <v>19296</v>
      </c>
      <c r="L199" t="n">
        <v>2500</v>
      </c>
      <c r="M199" t="n">
        <v>1098</v>
      </c>
      <c r="N199" t="n">
        <v>1990</v>
      </c>
      <c r="O199" t="n">
        <v>2980</v>
      </c>
      <c r="P199" t="n">
        <v>3970</v>
      </c>
      <c r="Q199" t="n">
        <v>4960</v>
      </c>
      <c r="R199" t="n">
        <v>5950</v>
      </c>
      <c r="S199" t="n">
        <v>6940</v>
      </c>
      <c r="T199" t="n">
        <v>7930</v>
      </c>
      <c r="U199" t="n">
        <v>8920</v>
      </c>
      <c r="V199" t="n">
        <v>4185</v>
      </c>
      <c r="W199" t="n">
        <v>1792</v>
      </c>
      <c r="X199" t="n">
        <v>1594</v>
      </c>
      <c r="Y199" t="n">
        <v>7780</v>
      </c>
    </row>
    <row r="200">
      <c r="A200" t="n">
        <v>199</v>
      </c>
      <c r="B200" t="n">
        <v>0</v>
      </c>
      <c r="C200" t="n">
        <v>19663</v>
      </c>
      <c r="D200" t="n">
        <v>51625</v>
      </c>
      <c r="E200" t="n">
        <v>353178</v>
      </c>
      <c r="F200" t="n">
        <v>2386721</v>
      </c>
      <c r="G200" t="n">
        <v>15825449</v>
      </c>
      <c r="H200" t="n">
        <v>103311597</v>
      </c>
      <c r="I200" t="n">
        <v>661993187</v>
      </c>
      <c r="J200" t="n">
        <v>2000</v>
      </c>
      <c r="K200" t="n">
        <v>19489</v>
      </c>
      <c r="L200" t="n">
        <v>2500</v>
      </c>
      <c r="M200" t="n">
        <v>1099</v>
      </c>
      <c r="N200" t="n">
        <v>1995</v>
      </c>
      <c r="O200" t="n">
        <v>2990</v>
      </c>
      <c r="P200" t="n">
        <v>3985</v>
      </c>
      <c r="Q200" t="n">
        <v>4980</v>
      </c>
      <c r="R200" t="n">
        <v>5975</v>
      </c>
      <c r="S200" t="n">
        <v>6970</v>
      </c>
      <c r="T200" t="n">
        <v>7965</v>
      </c>
      <c r="U200" t="n">
        <v>8960</v>
      </c>
      <c r="V200" t="n">
        <v>4210</v>
      </c>
      <c r="W200" t="n">
        <v>1796</v>
      </c>
      <c r="X200" t="n">
        <v>1597</v>
      </c>
      <c r="Y200" t="n">
        <v>7790</v>
      </c>
    </row>
    <row r="201">
      <c r="A201" t="n">
        <v>200</v>
      </c>
      <c r="B201" t="n">
        <v>0</v>
      </c>
      <c r="C201" t="n">
        <v>19958</v>
      </c>
      <c r="D201" t="n">
        <v>52658</v>
      </c>
      <c r="E201" t="n">
        <v>363774</v>
      </c>
      <c r="F201" t="n">
        <v>2482190</v>
      </c>
      <c r="G201" t="n">
        <v>16616722</v>
      </c>
      <c r="H201" t="n">
        <v>109510293</v>
      </c>
      <c r="I201" t="n">
        <v>708332711</v>
      </c>
      <c r="J201" t="n">
        <v>2000</v>
      </c>
      <c r="K201" t="n">
        <v>19684</v>
      </c>
      <c r="L201" t="n">
        <v>2500</v>
      </c>
      <c r="M201" t="n">
        <v>1100</v>
      </c>
      <c r="N201" t="n">
        <v>2000</v>
      </c>
      <c r="O201" t="n">
        <v>3000</v>
      </c>
      <c r="P201" t="n">
        <v>4000</v>
      </c>
      <c r="Q201" t="n">
        <v>5000</v>
      </c>
      <c r="R201" t="n">
        <v>6000</v>
      </c>
      <c r="S201" t="n">
        <v>7000</v>
      </c>
      <c r="T201" t="n">
        <v>8000</v>
      </c>
      <c r="U201" t="n">
        <v>9000</v>
      </c>
      <c r="V201" t="n">
        <v>4236</v>
      </c>
      <c r="W201" t="n">
        <v>1800</v>
      </c>
      <c r="X201" t="n">
        <v>1600</v>
      </c>
      <c r="Y201" t="n">
        <v>7800</v>
      </c>
    </row>
    <row r="202">
      <c r="A202" t="n">
        <v>201</v>
      </c>
      <c r="B202" t="n">
        <v>0</v>
      </c>
      <c r="C202" t="n">
        <v>20258</v>
      </c>
      <c r="D202" t="n">
        <v>53712</v>
      </c>
      <c r="E202" t="n">
        <v>374688</v>
      </c>
      <c r="F202" t="n">
        <v>2581478</v>
      </c>
      <c r="G202" t="n">
        <v>17447559</v>
      </c>
      <c r="H202" t="n">
        <v>116080911</v>
      </c>
      <c r="I202" t="n">
        <v>757916001</v>
      </c>
      <c r="J202" t="n">
        <v>2000</v>
      </c>
      <c r="K202" t="n">
        <v>19881</v>
      </c>
      <c r="L202" t="n">
        <v>2500</v>
      </c>
      <c r="M202" t="n">
        <v>1100</v>
      </c>
      <c r="N202" t="n">
        <v>2005</v>
      </c>
      <c r="O202" t="n">
        <v>3010</v>
      </c>
      <c r="P202" t="n">
        <v>4015</v>
      </c>
      <c r="Q202" t="n">
        <v>5020</v>
      </c>
      <c r="R202" t="n">
        <v>6025</v>
      </c>
      <c r="S202" t="n">
        <v>7030</v>
      </c>
      <c r="T202" t="n">
        <v>8035</v>
      </c>
      <c r="U202" t="n">
        <v>9040</v>
      </c>
      <c r="V202" t="n">
        <v>4262</v>
      </c>
      <c r="W202" t="n">
        <v>1804</v>
      </c>
      <c r="X202" t="n">
        <v>1603</v>
      </c>
      <c r="Y202" t="n">
        <v>7810</v>
      </c>
    </row>
    <row r="203">
      <c r="A203" t="n">
        <v>202</v>
      </c>
      <c r="B203" t="n">
        <v>0</v>
      </c>
      <c r="C203" t="n">
        <v>20562</v>
      </c>
      <c r="D203" t="n">
        <v>54787</v>
      </c>
      <c r="E203" t="n">
        <v>385929</v>
      </c>
      <c r="F203" t="n">
        <v>2684738</v>
      </c>
      <c r="G203" t="n">
        <v>18319937</v>
      </c>
      <c r="H203" t="n">
        <v>123045766</v>
      </c>
      <c r="I203" t="n">
        <v>810970122</v>
      </c>
      <c r="J203" t="n">
        <v>2000</v>
      </c>
      <c r="K203" t="n">
        <v>20080</v>
      </c>
      <c r="L203" t="n">
        <v>2500</v>
      </c>
      <c r="M203" t="n">
        <v>1100</v>
      </c>
      <c r="N203" t="n">
        <v>2010</v>
      </c>
      <c r="O203" t="n">
        <v>3020</v>
      </c>
      <c r="P203" t="n">
        <v>4030</v>
      </c>
      <c r="Q203" t="n">
        <v>5040</v>
      </c>
      <c r="R203" t="n">
        <v>6050</v>
      </c>
      <c r="S203" t="n">
        <v>7060</v>
      </c>
      <c r="T203" t="n">
        <v>8070</v>
      </c>
      <c r="U203" t="n">
        <v>9080</v>
      </c>
      <c r="V203" t="n">
        <v>4288</v>
      </c>
      <c r="W203" t="n">
        <v>1808</v>
      </c>
      <c r="X203" t="n">
        <v>1606</v>
      </c>
      <c r="Y203" t="n">
        <v>7820</v>
      </c>
    </row>
    <row r="204">
      <c r="A204" t="n">
        <v>203</v>
      </c>
      <c r="B204" t="n">
        <v>0</v>
      </c>
      <c r="C204" t="n">
        <v>20871</v>
      </c>
      <c r="D204" t="n">
        <v>55883</v>
      </c>
      <c r="E204" t="n">
        <v>397507</v>
      </c>
      <c r="F204" t="n">
        <v>2792128</v>
      </c>
      <c r="G204" t="n">
        <v>19235934</v>
      </c>
      <c r="H204" t="n">
        <v>130428512</v>
      </c>
      <c r="I204" t="n">
        <v>867738031</v>
      </c>
      <c r="J204" t="n">
        <v>2000</v>
      </c>
      <c r="K204" t="n">
        <v>20281</v>
      </c>
      <c r="L204" t="n">
        <v>2500</v>
      </c>
      <c r="M204" t="n">
        <v>1100</v>
      </c>
      <c r="N204" t="n">
        <v>2015</v>
      </c>
      <c r="O204" t="n">
        <v>3030</v>
      </c>
      <c r="P204" t="n">
        <v>4045</v>
      </c>
      <c r="Q204" t="n">
        <v>5060</v>
      </c>
      <c r="R204" t="n">
        <v>6075</v>
      </c>
      <c r="S204" t="n">
        <v>7090</v>
      </c>
      <c r="T204" t="n">
        <v>8105</v>
      </c>
      <c r="U204" t="n">
        <v>9120</v>
      </c>
      <c r="V204" t="n">
        <v>4314</v>
      </c>
      <c r="W204" t="n">
        <v>1812</v>
      </c>
      <c r="X204" t="n">
        <v>1609</v>
      </c>
      <c r="Y204" t="n">
        <v>7830</v>
      </c>
    </row>
    <row r="205">
      <c r="A205" t="n">
        <v>204</v>
      </c>
      <c r="B205" t="n">
        <v>0</v>
      </c>
      <c r="C205" t="n">
        <v>21185</v>
      </c>
      <c r="D205" t="n">
        <v>57001</v>
      </c>
      <c r="E205" t="n">
        <v>409433</v>
      </c>
      <c r="F205" t="n">
        <v>2903814</v>
      </c>
      <c r="G205" t="n">
        <v>20197731</v>
      </c>
      <c r="H205" t="n">
        <v>138254223</v>
      </c>
      <c r="I205" t="n">
        <v>928479694</v>
      </c>
      <c r="J205" t="n">
        <v>2000</v>
      </c>
      <c r="K205" t="n">
        <v>20484</v>
      </c>
      <c r="L205" t="n">
        <v>2500</v>
      </c>
      <c r="M205" t="n">
        <v>1100</v>
      </c>
      <c r="N205" t="n">
        <v>2020</v>
      </c>
      <c r="O205" t="n">
        <v>3040</v>
      </c>
      <c r="P205" t="n">
        <v>4060</v>
      </c>
      <c r="Q205" t="n">
        <v>5080</v>
      </c>
      <c r="R205" t="n">
        <v>6100</v>
      </c>
      <c r="S205" t="n">
        <v>7120</v>
      </c>
      <c r="T205" t="n">
        <v>8140</v>
      </c>
      <c r="U205" t="n">
        <v>9160</v>
      </c>
      <c r="V205" t="n">
        <v>4340</v>
      </c>
      <c r="W205" t="n">
        <v>1816</v>
      </c>
      <c r="X205" t="n">
        <v>1612</v>
      </c>
      <c r="Y205" t="n">
        <v>7840</v>
      </c>
    </row>
    <row r="206">
      <c r="A206" t="n">
        <v>205</v>
      </c>
      <c r="B206" t="n">
        <v>0</v>
      </c>
      <c r="C206" t="n">
        <v>21503</v>
      </c>
      <c r="D206" t="n">
        <v>58142</v>
      </c>
      <c r="E206" t="n">
        <v>421716</v>
      </c>
      <c r="F206" t="n">
        <v>3019967</v>
      </c>
      <c r="G206" t="n">
        <v>21207618</v>
      </c>
      <c r="H206" t="n">
        <v>146549477</v>
      </c>
      <c r="I206" t="n">
        <v>993473273</v>
      </c>
      <c r="J206" t="n">
        <v>2000</v>
      </c>
      <c r="K206" t="n">
        <v>20689</v>
      </c>
      <c r="L206" t="n">
        <v>2500</v>
      </c>
      <c r="M206" t="n">
        <v>1100</v>
      </c>
      <c r="N206" t="n">
        <v>2025</v>
      </c>
      <c r="O206" t="n">
        <v>3050</v>
      </c>
      <c r="P206" t="n">
        <v>4075</v>
      </c>
      <c r="Q206" t="n">
        <v>5100</v>
      </c>
      <c r="R206" t="n">
        <v>6125</v>
      </c>
      <c r="S206" t="n">
        <v>7150</v>
      </c>
      <c r="T206" t="n">
        <v>8175</v>
      </c>
      <c r="U206" t="n">
        <v>9200</v>
      </c>
      <c r="V206" t="n">
        <v>4366</v>
      </c>
      <c r="W206" t="n">
        <v>1820</v>
      </c>
      <c r="X206" t="n">
        <v>1615</v>
      </c>
      <c r="Y206" t="n">
        <v>7850</v>
      </c>
    </row>
    <row r="207">
      <c r="A207" t="n">
        <v>206</v>
      </c>
      <c r="B207" t="n">
        <v>0</v>
      </c>
      <c r="C207" t="n">
        <v>21826</v>
      </c>
      <c r="D207" t="n">
        <v>59305</v>
      </c>
      <c r="E207" t="n">
        <v>434368</v>
      </c>
      <c r="F207" t="n">
        <v>3140766</v>
      </c>
      <c r="G207" t="n">
        <v>22267999</v>
      </c>
      <c r="H207" t="n">
        <v>155342446</v>
      </c>
      <c r="I207" t="n">
        <v>1063016403</v>
      </c>
      <c r="J207" t="n">
        <v>2000</v>
      </c>
      <c r="K207" t="n">
        <v>20896</v>
      </c>
      <c r="L207" t="n">
        <v>2500</v>
      </c>
      <c r="M207" t="n">
        <v>1100</v>
      </c>
      <c r="N207" t="n">
        <v>2030</v>
      </c>
      <c r="O207" t="n">
        <v>3060</v>
      </c>
      <c r="P207" t="n">
        <v>4090</v>
      </c>
      <c r="Q207" t="n">
        <v>5120</v>
      </c>
      <c r="R207" t="n">
        <v>6150</v>
      </c>
      <c r="S207" t="n">
        <v>7180</v>
      </c>
      <c r="T207" t="n">
        <v>8210</v>
      </c>
      <c r="U207" t="n">
        <v>9240</v>
      </c>
      <c r="V207" t="n">
        <v>4392</v>
      </c>
      <c r="W207" t="n">
        <v>1824</v>
      </c>
      <c r="X207" t="n">
        <v>1618</v>
      </c>
      <c r="Y207" t="n">
        <v>7860</v>
      </c>
    </row>
    <row r="208">
      <c r="A208" t="n">
        <v>207</v>
      </c>
      <c r="B208" t="n">
        <v>0</v>
      </c>
      <c r="C208" t="n">
        <v>22154</v>
      </c>
      <c r="D208" t="n">
        <v>60492</v>
      </c>
      <c r="E208" t="n">
        <v>447400</v>
      </c>
      <c r="F208" t="n">
        <v>3266397</v>
      </c>
      <c r="G208" t="n">
        <v>23381399</v>
      </c>
      <c r="H208" t="n">
        <v>164662993</v>
      </c>
      <c r="I208" t="n">
        <v>1137427552</v>
      </c>
      <c r="J208" t="n">
        <v>2000</v>
      </c>
      <c r="K208" t="n">
        <v>21105</v>
      </c>
      <c r="L208" t="n">
        <v>2500</v>
      </c>
      <c r="M208" t="n">
        <v>1100</v>
      </c>
      <c r="N208" t="n">
        <v>2035</v>
      </c>
      <c r="O208" t="n">
        <v>3070</v>
      </c>
      <c r="P208" t="n">
        <v>4105</v>
      </c>
      <c r="Q208" t="n">
        <v>5140</v>
      </c>
      <c r="R208" t="n">
        <v>6175</v>
      </c>
      <c r="S208" t="n">
        <v>7210</v>
      </c>
      <c r="T208" t="n">
        <v>8245</v>
      </c>
      <c r="U208" t="n">
        <v>9280</v>
      </c>
      <c r="V208" t="n">
        <v>4418</v>
      </c>
      <c r="W208" t="n">
        <v>1828</v>
      </c>
      <c r="X208" t="n">
        <v>1621</v>
      </c>
      <c r="Y208" t="n">
        <v>7870</v>
      </c>
    </row>
    <row r="209">
      <c r="A209" t="n">
        <v>208</v>
      </c>
      <c r="B209" t="n">
        <v>0</v>
      </c>
      <c r="C209" t="n">
        <v>22487</v>
      </c>
      <c r="D209" t="n">
        <v>61702</v>
      </c>
      <c r="E209" t="n">
        <v>460822</v>
      </c>
      <c r="F209" t="n">
        <v>3397053</v>
      </c>
      <c r="G209" t="n">
        <v>24550469</v>
      </c>
      <c r="H209" t="n">
        <v>174542773</v>
      </c>
      <c r="I209" t="n">
        <v>1217047481</v>
      </c>
      <c r="J209" t="n">
        <v>2000</v>
      </c>
      <c r="K209" t="n">
        <v>21317</v>
      </c>
      <c r="L209" t="n">
        <v>2500</v>
      </c>
      <c r="M209" t="n">
        <v>1100</v>
      </c>
      <c r="N209" t="n">
        <v>2040</v>
      </c>
      <c r="O209" t="n">
        <v>3080</v>
      </c>
      <c r="P209" t="n">
        <v>4120</v>
      </c>
      <c r="Q209" t="n">
        <v>5160</v>
      </c>
      <c r="R209" t="n">
        <v>6200</v>
      </c>
      <c r="S209" t="n">
        <v>7240</v>
      </c>
      <c r="T209" t="n">
        <v>8280</v>
      </c>
      <c r="U209" t="n">
        <v>9320</v>
      </c>
      <c r="V209" t="n">
        <v>4445</v>
      </c>
      <c r="W209" t="n">
        <v>1832</v>
      </c>
      <c r="X209" t="n">
        <v>1624</v>
      </c>
      <c r="Y209" t="n">
        <v>7880</v>
      </c>
    </row>
    <row r="210">
      <c r="A210" t="n">
        <v>209</v>
      </c>
      <c r="B210" t="n">
        <v>0</v>
      </c>
      <c r="C210" t="n">
        <v>22825</v>
      </c>
      <c r="D210" t="n">
        <v>62937</v>
      </c>
      <c r="E210" t="n">
        <v>474647</v>
      </c>
      <c r="F210" t="n">
        <v>3532936</v>
      </c>
      <c r="G210" t="n">
        <v>25777993</v>
      </c>
      <c r="H210" t="n">
        <v>185015340</v>
      </c>
      <c r="I210" t="n">
        <v>1302240805</v>
      </c>
      <c r="J210" t="n">
        <v>2000</v>
      </c>
      <c r="K210" t="n">
        <v>21531</v>
      </c>
      <c r="L210" t="n">
        <v>2500</v>
      </c>
      <c r="M210" t="n">
        <v>1100</v>
      </c>
      <c r="N210" t="n">
        <v>2045</v>
      </c>
      <c r="O210" t="n">
        <v>3090</v>
      </c>
      <c r="P210" t="n">
        <v>4135</v>
      </c>
      <c r="Q210" t="n">
        <v>5180</v>
      </c>
      <c r="R210" t="n">
        <v>6225</v>
      </c>
      <c r="S210" t="n">
        <v>7270</v>
      </c>
      <c r="T210" t="n">
        <v>8315</v>
      </c>
      <c r="U210" t="n">
        <v>9360</v>
      </c>
      <c r="V210" t="n">
        <v>4472</v>
      </c>
      <c r="W210" t="n">
        <v>1836</v>
      </c>
      <c r="X210" t="n">
        <v>1627</v>
      </c>
      <c r="Y210" t="n">
        <v>7890</v>
      </c>
    </row>
    <row r="211">
      <c r="A211" t="n">
        <v>210</v>
      </c>
      <c r="B211" t="n">
        <v>0</v>
      </c>
      <c r="C211" t="n">
        <v>23168</v>
      </c>
      <c r="D211" t="n">
        <v>64196</v>
      </c>
      <c r="E211" t="n">
        <v>488887</v>
      </c>
      <c r="F211" t="n">
        <v>3674254</v>
      </c>
      <c r="G211" t="n">
        <v>27066893</v>
      </c>
      <c r="H211" t="n">
        <v>196116261</v>
      </c>
      <c r="I211" t="n">
        <v>1393397662</v>
      </c>
      <c r="J211" t="n">
        <v>2000</v>
      </c>
      <c r="K211" t="n">
        <v>21747</v>
      </c>
      <c r="L211" t="n">
        <v>2500</v>
      </c>
      <c r="M211" t="n">
        <v>1100</v>
      </c>
      <c r="N211" t="n">
        <v>2050</v>
      </c>
      <c r="O211" t="n">
        <v>3100</v>
      </c>
      <c r="P211" t="n">
        <v>4150</v>
      </c>
      <c r="Q211" t="n">
        <v>5200</v>
      </c>
      <c r="R211" t="n">
        <v>6250</v>
      </c>
      <c r="S211" t="n">
        <v>7300</v>
      </c>
      <c r="T211" t="n">
        <v>8350</v>
      </c>
      <c r="U211" t="n">
        <v>9400</v>
      </c>
      <c r="V211" t="n">
        <v>4499</v>
      </c>
      <c r="W211" t="n">
        <v>1840</v>
      </c>
      <c r="X211" t="n">
        <v>1630</v>
      </c>
      <c r="Y211" t="n">
        <v>7900</v>
      </c>
    </row>
    <row r="212">
      <c r="A212" t="n">
        <v>211</v>
      </c>
      <c r="B212" t="n">
        <v>0</v>
      </c>
      <c r="C212" t="n">
        <v>23516</v>
      </c>
      <c r="D212" t="n">
        <v>65480</v>
      </c>
      <c r="E212" t="n">
        <v>503554</v>
      </c>
      <c r="F212" t="n">
        <v>3821225</v>
      </c>
      <c r="G212" t="n">
        <v>28420238</v>
      </c>
      <c r="H212" t="n">
        <v>207883237</v>
      </c>
      <c r="I212" t="n">
        <v>1490935499</v>
      </c>
      <c r="J212" t="n">
        <v>2000</v>
      </c>
      <c r="K212" t="n">
        <v>21965</v>
      </c>
      <c r="L212" t="n">
        <v>2500</v>
      </c>
      <c r="M212" t="n">
        <v>1100</v>
      </c>
      <c r="N212" t="n">
        <v>2055</v>
      </c>
      <c r="O212" t="n">
        <v>3110</v>
      </c>
      <c r="P212" t="n">
        <v>4165</v>
      </c>
      <c r="Q212" t="n">
        <v>5220</v>
      </c>
      <c r="R212" t="n">
        <v>6275</v>
      </c>
      <c r="S212" t="n">
        <v>7330</v>
      </c>
      <c r="T212" t="n">
        <v>8385</v>
      </c>
      <c r="U212" t="n">
        <v>9440</v>
      </c>
      <c r="V212" t="n">
        <v>4526</v>
      </c>
      <c r="W212" t="n">
        <v>1844</v>
      </c>
      <c r="X212" t="n">
        <v>1633</v>
      </c>
      <c r="Y212" t="n">
        <v>7910</v>
      </c>
    </row>
    <row r="213">
      <c r="A213" t="n">
        <v>212</v>
      </c>
      <c r="B213" t="n">
        <v>0</v>
      </c>
      <c r="C213" t="n">
        <v>23869</v>
      </c>
      <c r="D213" t="n">
        <v>66790</v>
      </c>
      <c r="E213" t="n">
        <v>518661</v>
      </c>
      <c r="F213" t="n">
        <v>3974074</v>
      </c>
      <c r="G213" t="n">
        <v>29841250</v>
      </c>
      <c r="H213" t="n">
        <v>220356232</v>
      </c>
      <c r="I213" t="n">
        <v>1595300984</v>
      </c>
      <c r="J213" t="n">
        <v>2000</v>
      </c>
      <c r="K213" t="n">
        <v>22185</v>
      </c>
      <c r="L213" t="n">
        <v>2500</v>
      </c>
      <c r="M213" t="n">
        <v>1100</v>
      </c>
      <c r="N213" t="n">
        <v>2060</v>
      </c>
      <c r="O213" t="n">
        <v>3120</v>
      </c>
      <c r="P213" t="n">
        <v>4180</v>
      </c>
      <c r="Q213" t="n">
        <v>5240</v>
      </c>
      <c r="R213" t="n">
        <v>6300</v>
      </c>
      <c r="S213" t="n">
        <v>7360</v>
      </c>
      <c r="T213" t="n">
        <v>8420</v>
      </c>
      <c r="U213" t="n">
        <v>9480</v>
      </c>
      <c r="V213" t="n">
        <v>4553</v>
      </c>
      <c r="W213" t="n">
        <v>1848</v>
      </c>
      <c r="X213" t="n">
        <v>1636</v>
      </c>
      <c r="Y213" t="n">
        <v>7920</v>
      </c>
    </row>
    <row r="214">
      <c r="A214" t="n">
        <v>213</v>
      </c>
      <c r="B214" t="n">
        <v>0</v>
      </c>
      <c r="C214" t="n">
        <v>24228</v>
      </c>
      <c r="D214" t="n">
        <v>68126</v>
      </c>
      <c r="E214" t="n">
        <v>534221</v>
      </c>
      <c r="F214" t="n">
        <v>4133037</v>
      </c>
      <c r="G214" t="n">
        <v>31333313</v>
      </c>
      <c r="H214" t="n">
        <v>233577606</v>
      </c>
      <c r="I214" t="n">
        <v>1706972053</v>
      </c>
      <c r="J214" t="n">
        <v>2000</v>
      </c>
      <c r="K214" t="n">
        <v>22407</v>
      </c>
      <c r="L214" t="n">
        <v>2500</v>
      </c>
      <c r="M214" t="n">
        <v>1100</v>
      </c>
      <c r="N214" t="n">
        <v>2065</v>
      </c>
      <c r="O214" t="n">
        <v>3130</v>
      </c>
      <c r="P214" t="n">
        <v>4195</v>
      </c>
      <c r="Q214" t="n">
        <v>5260</v>
      </c>
      <c r="R214" t="n">
        <v>6325</v>
      </c>
      <c r="S214" t="n">
        <v>7390</v>
      </c>
      <c r="T214" t="n">
        <v>8455</v>
      </c>
      <c r="U214" t="n">
        <v>9520</v>
      </c>
      <c r="V214" t="n">
        <v>4580</v>
      </c>
      <c r="W214" t="n">
        <v>1852</v>
      </c>
      <c r="X214" t="n">
        <v>1639</v>
      </c>
      <c r="Y214" t="n">
        <v>7930</v>
      </c>
    </row>
    <row r="215">
      <c r="A215" t="n">
        <v>214</v>
      </c>
      <c r="B215" t="n">
        <v>0</v>
      </c>
      <c r="C215" t="n">
        <v>24592</v>
      </c>
      <c r="D215" t="n">
        <v>69489</v>
      </c>
      <c r="E215" t="n">
        <v>550248</v>
      </c>
      <c r="F215" t="n">
        <v>4298359</v>
      </c>
      <c r="G215" t="n">
        <v>32899979</v>
      </c>
      <c r="H215" t="n">
        <v>247592263</v>
      </c>
      <c r="I215" t="n">
        <v>1826460097</v>
      </c>
      <c r="J215" t="n">
        <v>2000</v>
      </c>
      <c r="K215" t="n">
        <v>22632</v>
      </c>
      <c r="L215" t="n">
        <v>2500</v>
      </c>
      <c r="M215" t="n">
        <v>1100</v>
      </c>
      <c r="N215" t="n">
        <v>2070</v>
      </c>
      <c r="O215" t="n">
        <v>3140</v>
      </c>
      <c r="P215" t="n">
        <v>4210</v>
      </c>
      <c r="Q215" t="n">
        <v>5280</v>
      </c>
      <c r="R215" t="n">
        <v>6350</v>
      </c>
      <c r="S215" t="n">
        <v>7420</v>
      </c>
      <c r="T215" t="n">
        <v>8490</v>
      </c>
      <c r="U215" t="n">
        <v>9560</v>
      </c>
      <c r="V215" t="n">
        <v>4607</v>
      </c>
      <c r="W215" t="n">
        <v>1856</v>
      </c>
      <c r="X215" t="n">
        <v>1642</v>
      </c>
      <c r="Y215" t="n">
        <v>7940</v>
      </c>
    </row>
    <row r="216">
      <c r="A216" t="n">
        <v>215</v>
      </c>
      <c r="B216" t="n">
        <v>0</v>
      </c>
      <c r="C216" t="n">
        <v>24961</v>
      </c>
      <c r="D216" t="n">
        <v>70879</v>
      </c>
      <c r="E216" t="n">
        <v>566756</v>
      </c>
      <c r="F216" t="n">
        <v>4470294</v>
      </c>
      <c r="G216" t="n">
        <v>34544978</v>
      </c>
      <c r="H216" t="n">
        <v>262447799</v>
      </c>
      <c r="I216" t="n">
        <v>1954312304</v>
      </c>
      <c r="J216" t="n">
        <v>2000</v>
      </c>
      <c r="K216" t="n">
        <v>22859</v>
      </c>
      <c r="L216" t="n">
        <v>2500</v>
      </c>
      <c r="M216" t="n">
        <v>1100</v>
      </c>
      <c r="N216" t="n">
        <v>2075</v>
      </c>
      <c r="O216" t="n">
        <v>3150</v>
      </c>
      <c r="P216" t="n">
        <v>4225</v>
      </c>
      <c r="Q216" t="n">
        <v>5300</v>
      </c>
      <c r="R216" t="n">
        <v>6375</v>
      </c>
      <c r="S216" t="n">
        <v>7450</v>
      </c>
      <c r="T216" t="n">
        <v>8525</v>
      </c>
      <c r="U216" t="n">
        <v>9600</v>
      </c>
      <c r="V216" t="n">
        <v>4635</v>
      </c>
      <c r="W216" t="n">
        <v>1860</v>
      </c>
      <c r="X216" t="n">
        <v>1645</v>
      </c>
      <c r="Y216" t="n">
        <v>7950</v>
      </c>
    </row>
    <row r="217">
      <c r="A217" t="n">
        <v>216</v>
      </c>
      <c r="B217" t="n">
        <v>0</v>
      </c>
      <c r="C217" t="n">
        <v>25336</v>
      </c>
      <c r="D217" t="n">
        <v>72297</v>
      </c>
      <c r="E217" t="n">
        <v>583759</v>
      </c>
      <c r="F217" t="n">
        <v>4649106</v>
      </c>
      <c r="G217" t="n">
        <v>36272227</v>
      </c>
      <c r="H217" t="n">
        <v>278194667</v>
      </c>
      <c r="I217" t="n">
        <v>2091114166</v>
      </c>
      <c r="J217" t="n">
        <v>2000</v>
      </c>
      <c r="K217" t="n">
        <v>23088</v>
      </c>
      <c r="L217" t="n">
        <v>2500</v>
      </c>
      <c r="M217" t="n">
        <v>1100</v>
      </c>
      <c r="N217" t="n">
        <v>2080</v>
      </c>
      <c r="O217" t="n">
        <v>3160</v>
      </c>
      <c r="P217" t="n">
        <v>4240</v>
      </c>
      <c r="Q217" t="n">
        <v>5320</v>
      </c>
      <c r="R217" t="n">
        <v>6400</v>
      </c>
      <c r="S217" t="n">
        <v>7480</v>
      </c>
      <c r="T217" t="n">
        <v>8560</v>
      </c>
      <c r="U217" t="n">
        <v>9640</v>
      </c>
      <c r="V217" t="n">
        <v>4663</v>
      </c>
      <c r="W217" t="n">
        <v>1864</v>
      </c>
      <c r="X217" t="n">
        <v>1648</v>
      </c>
      <c r="Y217" t="n">
        <v>7960</v>
      </c>
    </row>
    <row r="218">
      <c r="A218" t="n">
        <v>217</v>
      </c>
      <c r="B218" t="n">
        <v>0</v>
      </c>
      <c r="C218" t="n">
        <v>25717</v>
      </c>
      <c r="D218" t="n">
        <v>73743</v>
      </c>
      <c r="E218" t="n">
        <v>601272</v>
      </c>
      <c r="F218" t="n">
        <v>4835071</v>
      </c>
      <c r="G218" t="n">
        <v>38085839</v>
      </c>
      <c r="H218" t="n">
        <v>294886348</v>
      </c>
      <c r="I218" t="n">
        <v>2237492158</v>
      </c>
      <c r="J218" t="n">
        <v>2000</v>
      </c>
      <c r="K218" t="n">
        <v>23319</v>
      </c>
      <c r="L218" t="n">
        <v>2500</v>
      </c>
      <c r="M218" t="n">
        <v>1100</v>
      </c>
      <c r="N218" t="n">
        <v>2085</v>
      </c>
      <c r="O218" t="n">
        <v>3170</v>
      </c>
      <c r="P218" t="n">
        <v>4255</v>
      </c>
      <c r="Q218" t="n">
        <v>5340</v>
      </c>
      <c r="R218" t="n">
        <v>6425</v>
      </c>
      <c r="S218" t="n">
        <v>7510</v>
      </c>
      <c r="T218" t="n">
        <v>8595</v>
      </c>
      <c r="U218" t="n">
        <v>9680</v>
      </c>
      <c r="V218" t="n">
        <v>4691</v>
      </c>
      <c r="W218" t="n">
        <v>1868</v>
      </c>
      <c r="X218" t="n">
        <v>1651</v>
      </c>
      <c r="Y218" t="n">
        <v>7970</v>
      </c>
    </row>
    <row r="219">
      <c r="A219" t="n">
        <v>218</v>
      </c>
      <c r="B219" t="n">
        <v>0</v>
      </c>
      <c r="C219" t="n">
        <v>26103</v>
      </c>
      <c r="D219" t="n">
        <v>75218</v>
      </c>
      <c r="E219" t="n">
        <v>619311</v>
      </c>
      <c r="F219" t="n">
        <v>5028474</v>
      </c>
      <c r="G219" t="n">
        <v>39990131</v>
      </c>
      <c r="H219" t="n">
        <v>312579529</v>
      </c>
      <c r="I219" t="n">
        <v>2394116610</v>
      </c>
      <c r="J219" t="n">
        <v>2000</v>
      </c>
      <c r="K219" t="n">
        <v>23553</v>
      </c>
      <c r="L219" t="n">
        <v>2500</v>
      </c>
      <c r="M219" t="n">
        <v>1100</v>
      </c>
      <c r="N219" t="n">
        <v>2090</v>
      </c>
      <c r="O219" t="n">
        <v>3180</v>
      </c>
      <c r="P219" t="n">
        <v>4270</v>
      </c>
      <c r="Q219" t="n">
        <v>5360</v>
      </c>
      <c r="R219" t="n">
        <v>6450</v>
      </c>
      <c r="S219" t="n">
        <v>7540</v>
      </c>
      <c r="T219" t="n">
        <v>8630</v>
      </c>
      <c r="U219" t="n">
        <v>9720</v>
      </c>
      <c r="V219" t="n">
        <v>4719</v>
      </c>
      <c r="W219" t="n">
        <v>1872</v>
      </c>
      <c r="X219" t="n">
        <v>1654</v>
      </c>
      <c r="Y219" t="n">
        <v>7980</v>
      </c>
    </row>
    <row r="220">
      <c r="A220" t="n">
        <v>219</v>
      </c>
      <c r="B220" t="n">
        <v>0</v>
      </c>
      <c r="C220" t="n">
        <v>26495</v>
      </c>
      <c r="D220" t="n">
        <v>76723</v>
      </c>
      <c r="E220" t="n">
        <v>637891</v>
      </c>
      <c r="F220" t="n">
        <v>5229613</v>
      </c>
      <c r="G220" t="n">
        <v>41989638</v>
      </c>
      <c r="H220" t="n">
        <v>331334301</v>
      </c>
      <c r="I220" t="n">
        <v>2561704773</v>
      </c>
      <c r="J220" t="n">
        <v>2000</v>
      </c>
      <c r="K220" t="n">
        <v>23789</v>
      </c>
      <c r="L220" t="n">
        <v>2500</v>
      </c>
      <c r="M220" t="n">
        <v>1100</v>
      </c>
      <c r="N220" t="n">
        <v>2095</v>
      </c>
      <c r="O220" t="n">
        <v>3190</v>
      </c>
      <c r="P220" t="n">
        <v>4285</v>
      </c>
      <c r="Q220" t="n">
        <v>5380</v>
      </c>
      <c r="R220" t="n">
        <v>6475</v>
      </c>
      <c r="S220" t="n">
        <v>7570</v>
      </c>
      <c r="T220" t="n">
        <v>8665</v>
      </c>
      <c r="U220" t="n">
        <v>9760</v>
      </c>
      <c r="V220" t="n">
        <v>4747</v>
      </c>
      <c r="W220" t="n">
        <v>1876</v>
      </c>
      <c r="X220" t="n">
        <v>1657</v>
      </c>
      <c r="Y220" t="n">
        <v>7990</v>
      </c>
    </row>
    <row r="221">
      <c r="A221" t="n">
        <v>220</v>
      </c>
      <c r="B221" t="n">
        <v>0</v>
      </c>
      <c r="C221" t="n">
        <v>26893</v>
      </c>
      <c r="D221" t="n">
        <v>78258</v>
      </c>
      <c r="E221" t="n">
        <v>657028</v>
      </c>
      <c r="F221" t="n">
        <v>5438798</v>
      </c>
      <c r="G221" t="n">
        <v>44089120</v>
      </c>
      <c r="H221" t="n">
        <v>351214360</v>
      </c>
      <c r="I221" t="n">
        <v>2741024108</v>
      </c>
      <c r="J221" t="n">
        <v>2000</v>
      </c>
      <c r="K221" t="n">
        <v>24027</v>
      </c>
      <c r="L221" t="n">
        <v>2500</v>
      </c>
      <c r="M221" t="n">
        <v>1100</v>
      </c>
      <c r="N221" t="n">
        <v>2100</v>
      </c>
      <c r="O221" t="n">
        <v>3200</v>
      </c>
      <c r="P221" t="n">
        <v>4300</v>
      </c>
      <c r="Q221" t="n">
        <v>5400</v>
      </c>
      <c r="R221" t="n">
        <v>6500</v>
      </c>
      <c r="S221" t="n">
        <v>7600</v>
      </c>
      <c r="T221" t="n">
        <v>8700</v>
      </c>
      <c r="U221" t="n">
        <v>9800</v>
      </c>
      <c r="V221" t="n">
        <v>4775</v>
      </c>
      <c r="W221" t="n">
        <v>1880</v>
      </c>
      <c r="X221" t="n">
        <v>1660</v>
      </c>
      <c r="Y221" t="n">
        <v>8000</v>
      </c>
    </row>
    <row r="222">
      <c r="A222" t="n">
        <v>221</v>
      </c>
      <c r="B222" t="n">
        <v>0</v>
      </c>
      <c r="C222" t="n">
        <v>27297</v>
      </c>
      <c r="D222" t="n">
        <v>79824</v>
      </c>
      <c r="E222" t="n">
        <v>676739</v>
      </c>
      <c r="F222" t="n">
        <v>5656350</v>
      </c>
      <c r="G222" t="n">
        <v>46293576</v>
      </c>
      <c r="H222" t="n">
        <v>372287222</v>
      </c>
      <c r="I222" t="n">
        <v>2932895796</v>
      </c>
      <c r="J222" t="n">
        <v>2000</v>
      </c>
      <c r="K222" t="n">
        <v>24268</v>
      </c>
      <c r="L222" t="n">
        <v>2500</v>
      </c>
      <c r="M222" t="n">
        <v>1100</v>
      </c>
      <c r="N222" t="n">
        <v>2105</v>
      </c>
      <c r="O222" t="n">
        <v>3210</v>
      </c>
      <c r="P222" t="n">
        <v>4315</v>
      </c>
      <c r="Q222" t="n">
        <v>5420</v>
      </c>
      <c r="R222" t="n">
        <v>6525</v>
      </c>
      <c r="S222" t="n">
        <v>7630</v>
      </c>
      <c r="T222" t="n">
        <v>8735</v>
      </c>
      <c r="U222" t="n">
        <v>9840</v>
      </c>
      <c r="V222" t="n">
        <v>4803</v>
      </c>
      <c r="W222" t="n">
        <v>1884</v>
      </c>
      <c r="X222" t="n">
        <v>1663</v>
      </c>
      <c r="Y222" t="n">
        <v>8010</v>
      </c>
    </row>
    <row r="223">
      <c r="A223" t="n">
        <v>222</v>
      </c>
      <c r="B223" t="n">
        <v>0</v>
      </c>
      <c r="C223" t="n">
        <v>27707</v>
      </c>
      <c r="D223" t="n">
        <v>81421</v>
      </c>
      <c r="E223" t="n">
        <v>697042</v>
      </c>
      <c r="F223" t="n">
        <v>5882604</v>
      </c>
      <c r="G223" t="n">
        <v>48608255</v>
      </c>
      <c r="H223" t="n">
        <v>394624456</v>
      </c>
      <c r="I223" t="n">
        <v>3138198502</v>
      </c>
      <c r="J223" t="n">
        <v>2000</v>
      </c>
      <c r="K223" t="n">
        <v>24511</v>
      </c>
      <c r="L223" t="n">
        <v>2500</v>
      </c>
      <c r="M223" t="n">
        <v>1100</v>
      </c>
      <c r="N223" t="n">
        <v>2110</v>
      </c>
      <c r="O223" t="n">
        <v>3220</v>
      </c>
      <c r="P223" t="n">
        <v>4330</v>
      </c>
      <c r="Q223" t="n">
        <v>5440</v>
      </c>
      <c r="R223" t="n">
        <v>6550</v>
      </c>
      <c r="S223" t="n">
        <v>7660</v>
      </c>
      <c r="T223" t="n">
        <v>8770</v>
      </c>
      <c r="U223" t="n">
        <v>9880</v>
      </c>
      <c r="V223" t="n">
        <v>4832</v>
      </c>
      <c r="W223" t="n">
        <v>1888</v>
      </c>
      <c r="X223" t="n">
        <v>1666</v>
      </c>
      <c r="Y223" t="n">
        <v>8020</v>
      </c>
    </row>
    <row r="224">
      <c r="A224" t="n">
        <v>223</v>
      </c>
      <c r="B224" t="n">
        <v>0</v>
      </c>
      <c r="C224" t="n">
        <v>28123</v>
      </c>
      <c r="D224" t="n">
        <v>83050</v>
      </c>
      <c r="E224" t="n">
        <v>717954</v>
      </c>
      <c r="F224" t="n">
        <v>6117909</v>
      </c>
      <c r="G224" t="n">
        <v>51038668</v>
      </c>
      <c r="H224" t="n">
        <v>418301924</v>
      </c>
      <c r="I224" t="n">
        <v>3357872398</v>
      </c>
      <c r="J224" t="n">
        <v>2000</v>
      </c>
      <c r="K224" t="n">
        <v>24757</v>
      </c>
      <c r="L224" t="n">
        <v>2500</v>
      </c>
      <c r="M224" t="n">
        <v>1100</v>
      </c>
      <c r="N224" t="n">
        <v>2115</v>
      </c>
      <c r="O224" t="n">
        <v>3230</v>
      </c>
      <c r="P224" t="n">
        <v>4345</v>
      </c>
      <c r="Q224" t="n">
        <v>5460</v>
      </c>
      <c r="R224" t="n">
        <v>6575</v>
      </c>
      <c r="S224" t="n">
        <v>7690</v>
      </c>
      <c r="T224" t="n">
        <v>8805</v>
      </c>
      <c r="U224" t="n">
        <v>9920</v>
      </c>
      <c r="V224" t="n">
        <v>4861</v>
      </c>
      <c r="W224" t="n">
        <v>1892</v>
      </c>
      <c r="X224" t="n">
        <v>1669</v>
      </c>
      <c r="Y224" t="n">
        <v>8030</v>
      </c>
    </row>
    <row r="225">
      <c r="A225" t="n">
        <v>224</v>
      </c>
      <c r="B225" t="n">
        <v>0</v>
      </c>
      <c r="C225" t="n">
        <v>28545</v>
      </c>
      <c r="D225" t="n">
        <v>84711</v>
      </c>
      <c r="E225" t="n">
        <v>739493</v>
      </c>
      <c r="F225" t="n">
        <v>6362626</v>
      </c>
      <c r="G225" t="n">
        <v>53590602</v>
      </c>
      <c r="H225" t="n">
        <v>443400040</v>
      </c>
      <c r="I225" t="n">
        <v>3592923466</v>
      </c>
      <c r="J225" t="n">
        <v>2000</v>
      </c>
      <c r="K225" t="n">
        <v>25005</v>
      </c>
      <c r="L225" t="n">
        <v>2500</v>
      </c>
      <c r="M225" t="n">
        <v>1100</v>
      </c>
      <c r="N225" t="n">
        <v>2120</v>
      </c>
      <c r="O225" t="n">
        <v>3240</v>
      </c>
      <c r="P225" t="n">
        <v>4360</v>
      </c>
      <c r="Q225" t="n">
        <v>5480</v>
      </c>
      <c r="R225" t="n">
        <v>6600</v>
      </c>
      <c r="S225" t="n">
        <v>7720</v>
      </c>
      <c r="T225" t="n">
        <v>8840</v>
      </c>
      <c r="U225" t="n">
        <v>9960</v>
      </c>
      <c r="V225" t="n">
        <v>4890</v>
      </c>
      <c r="W225" t="n">
        <v>1896</v>
      </c>
      <c r="X225" t="n">
        <v>1672</v>
      </c>
      <c r="Y225" t="n">
        <v>8040</v>
      </c>
    </row>
    <row r="226">
      <c r="A226" t="n">
        <v>225</v>
      </c>
      <c r="B226" t="n">
        <v>0</v>
      </c>
      <c r="C226" t="n">
        <v>28974</v>
      </c>
      <c r="D226" t="n">
        <v>86406</v>
      </c>
      <c r="E226" t="n">
        <v>761678</v>
      </c>
      <c r="F226" t="n">
        <v>6617132</v>
      </c>
      <c r="G226" t="n">
        <v>56270133</v>
      </c>
      <c r="H226" t="n">
        <v>470004043</v>
      </c>
      <c r="I226" t="n">
        <v>3844428109</v>
      </c>
      <c r="J226" t="n">
        <v>2000</v>
      </c>
      <c r="K226" t="n">
        <v>25256</v>
      </c>
      <c r="L226" t="n">
        <v>2500</v>
      </c>
      <c r="M226" t="n">
        <v>1100</v>
      </c>
      <c r="N226" t="n">
        <v>2125</v>
      </c>
      <c r="O226" t="n">
        <v>3250</v>
      </c>
      <c r="P226" t="n">
        <v>4375</v>
      </c>
      <c r="Q226" t="n">
        <v>5500</v>
      </c>
      <c r="R226" t="n">
        <v>6625</v>
      </c>
      <c r="S226" t="n">
        <v>7750</v>
      </c>
      <c r="T226" t="n">
        <v>8875</v>
      </c>
      <c r="U226" t="n">
        <v>10000</v>
      </c>
      <c r="V226" t="n">
        <v>4919</v>
      </c>
      <c r="W226" t="n">
        <v>1900</v>
      </c>
      <c r="X226" t="n">
        <v>1675</v>
      </c>
      <c r="Y226" t="n">
        <v>8050</v>
      </c>
    </row>
    <row r="227">
      <c r="A227" t="n">
        <v>226</v>
      </c>
      <c r="B227" t="n">
        <v>0</v>
      </c>
      <c r="C227" t="n">
        <v>29409</v>
      </c>
      <c r="D227" t="n">
        <v>88135</v>
      </c>
      <c r="E227" t="n">
        <v>784529</v>
      </c>
      <c r="F227" t="n">
        <v>6881818</v>
      </c>
      <c r="G227" t="n">
        <v>59083640</v>
      </c>
      <c r="H227" t="n">
        <v>498204286</v>
      </c>
      <c r="I227" t="n">
        <v>4113538077</v>
      </c>
      <c r="J227" t="n">
        <v>2000</v>
      </c>
      <c r="K227" t="n">
        <v>25509</v>
      </c>
      <c r="L227" t="n">
        <v>2500</v>
      </c>
      <c r="M227" t="n">
        <v>1100</v>
      </c>
      <c r="N227" t="n">
        <v>2130</v>
      </c>
      <c r="O227" t="n">
        <v>3260</v>
      </c>
      <c r="P227" t="n">
        <v>4390</v>
      </c>
      <c r="Q227" t="n">
        <v>5520</v>
      </c>
      <c r="R227" t="n">
        <v>6650</v>
      </c>
      <c r="S227" t="n">
        <v>7780</v>
      </c>
      <c r="T227" t="n">
        <v>8910</v>
      </c>
      <c r="U227" t="n">
        <v>10040</v>
      </c>
      <c r="V227" t="n">
        <v>4948</v>
      </c>
      <c r="W227" t="n">
        <v>1904</v>
      </c>
      <c r="X227" t="n">
        <v>1678</v>
      </c>
      <c r="Y227" t="n">
        <v>8060</v>
      </c>
    </row>
    <row r="228">
      <c r="A228" t="n">
        <v>227</v>
      </c>
      <c r="B228" t="n">
        <v>0</v>
      </c>
      <c r="C228" t="n">
        <v>29851</v>
      </c>
      <c r="D228" t="n">
        <v>89898</v>
      </c>
      <c r="E228" t="n">
        <v>808065</v>
      </c>
      <c r="F228" t="n">
        <v>7157091</v>
      </c>
      <c r="G228" t="n">
        <v>62037822</v>
      </c>
      <c r="H228" t="n">
        <v>528096544</v>
      </c>
      <c r="I228" t="n">
        <v>4401485743</v>
      </c>
      <c r="J228" t="n">
        <v>2000</v>
      </c>
      <c r="K228" t="n">
        <v>25765</v>
      </c>
      <c r="L228" t="n">
        <v>2500</v>
      </c>
      <c r="M228" t="n">
        <v>1100</v>
      </c>
      <c r="N228" t="n">
        <v>2135</v>
      </c>
      <c r="O228" t="n">
        <v>3270</v>
      </c>
      <c r="P228" t="n">
        <v>4405</v>
      </c>
      <c r="Q228" t="n">
        <v>5540</v>
      </c>
      <c r="R228" t="n">
        <v>6675</v>
      </c>
      <c r="S228" t="n">
        <v>7810</v>
      </c>
      <c r="T228" t="n">
        <v>8945</v>
      </c>
      <c r="U228" t="n">
        <v>10080</v>
      </c>
      <c r="V228" t="n">
        <v>4977</v>
      </c>
      <c r="W228" t="n">
        <v>1908</v>
      </c>
      <c r="X228" t="n">
        <v>1681</v>
      </c>
      <c r="Y228" t="n">
        <v>8070</v>
      </c>
    </row>
    <row r="229">
      <c r="A229" t="n">
        <v>228</v>
      </c>
      <c r="B229" t="n">
        <v>0</v>
      </c>
      <c r="C229" t="n">
        <v>30299</v>
      </c>
      <c r="D229" t="n">
        <v>91696</v>
      </c>
      <c r="E229" t="n">
        <v>832307</v>
      </c>
      <c r="F229" t="n">
        <v>7443375</v>
      </c>
      <c r="G229" t="n">
        <v>65139714</v>
      </c>
      <c r="H229" t="n">
        <v>559782337</v>
      </c>
      <c r="I229" t="n">
        <v>4709589746</v>
      </c>
      <c r="J229" t="n">
        <v>2000</v>
      </c>
      <c r="K229" t="n">
        <v>26023</v>
      </c>
      <c r="L229" t="n">
        <v>2500</v>
      </c>
      <c r="M229" t="n">
        <v>1100</v>
      </c>
      <c r="N229" t="n">
        <v>2140</v>
      </c>
      <c r="O229" t="n">
        <v>3280</v>
      </c>
      <c r="P229" t="n">
        <v>4420</v>
      </c>
      <c r="Q229" t="n">
        <v>5560</v>
      </c>
      <c r="R229" t="n">
        <v>6700</v>
      </c>
      <c r="S229" t="n">
        <v>7840</v>
      </c>
      <c r="T229" t="n">
        <v>8980</v>
      </c>
      <c r="U229" t="n">
        <v>10120</v>
      </c>
      <c r="V229" t="n">
        <v>5006</v>
      </c>
      <c r="W229" t="n">
        <v>1912</v>
      </c>
      <c r="X229" t="n">
        <v>1684</v>
      </c>
      <c r="Y229" t="n">
        <v>8080</v>
      </c>
    </row>
    <row r="230">
      <c r="A230" t="n">
        <v>229</v>
      </c>
      <c r="B230" t="n">
        <v>0</v>
      </c>
      <c r="C230" t="n">
        <v>30754</v>
      </c>
      <c r="D230" t="n">
        <v>93530</v>
      </c>
      <c r="E230" t="n">
        <v>857277</v>
      </c>
      <c r="F230" t="n">
        <v>7741110</v>
      </c>
      <c r="G230" t="n">
        <v>68396700</v>
      </c>
      <c r="H230" t="n">
        <v>593369278</v>
      </c>
      <c r="I230" t="n">
        <v>5039261029</v>
      </c>
      <c r="J230" t="n">
        <v>2000</v>
      </c>
      <c r="K230" t="n">
        <v>26284</v>
      </c>
      <c r="L230" t="n">
        <v>2500</v>
      </c>
      <c r="M230" t="n">
        <v>1100</v>
      </c>
      <c r="N230" t="n">
        <v>2145</v>
      </c>
      <c r="O230" t="n">
        <v>3290</v>
      </c>
      <c r="P230" t="n">
        <v>4435</v>
      </c>
      <c r="Q230" t="n">
        <v>5580</v>
      </c>
      <c r="R230" t="n">
        <v>6725</v>
      </c>
      <c r="S230" t="n">
        <v>7870</v>
      </c>
      <c r="T230" t="n">
        <v>9015</v>
      </c>
      <c r="U230" t="n">
        <v>10160</v>
      </c>
      <c r="V230" t="n">
        <v>5036</v>
      </c>
      <c r="W230" t="n">
        <v>1916</v>
      </c>
      <c r="X230" t="n">
        <v>1687</v>
      </c>
      <c r="Y230" t="n">
        <v>8090</v>
      </c>
    </row>
    <row r="231">
      <c r="A231" t="n">
        <v>230</v>
      </c>
      <c r="B231" t="n">
        <v>0</v>
      </c>
      <c r="C231" t="n">
        <v>31216</v>
      </c>
      <c r="D231" t="n">
        <v>95401</v>
      </c>
      <c r="E231" t="n">
        <v>882996</v>
      </c>
      <c r="F231" t="n">
        <v>8050755</v>
      </c>
      <c r="G231" t="n">
        <v>71816535</v>
      </c>
      <c r="H231" t="n">
        <v>628971435</v>
      </c>
      <c r="I231" t="n">
        <v>5392009302</v>
      </c>
      <c r="J231" t="n">
        <v>2000</v>
      </c>
      <c r="K231" t="n">
        <v>26547</v>
      </c>
      <c r="L231" t="n">
        <v>2500</v>
      </c>
      <c r="M231" t="n">
        <v>1100</v>
      </c>
      <c r="N231" t="n">
        <v>2150</v>
      </c>
      <c r="O231" t="n">
        <v>3300</v>
      </c>
      <c r="P231" t="n">
        <v>4450</v>
      </c>
      <c r="Q231" t="n">
        <v>5600</v>
      </c>
      <c r="R231" t="n">
        <v>6750</v>
      </c>
      <c r="S231" t="n">
        <v>7900</v>
      </c>
      <c r="T231" t="n">
        <v>9050</v>
      </c>
      <c r="U231" t="n">
        <v>10200</v>
      </c>
      <c r="V231" t="n">
        <v>5066</v>
      </c>
      <c r="W231" t="n">
        <v>1920</v>
      </c>
      <c r="X231" t="n">
        <v>1690</v>
      </c>
      <c r="Y231" t="n">
        <v>8100</v>
      </c>
    </row>
    <row r="232">
      <c r="A232" t="n">
        <v>231</v>
      </c>
      <c r="B232" t="n">
        <v>0</v>
      </c>
      <c r="C232" t="n">
        <v>31685</v>
      </c>
      <c r="D232" t="n">
        <v>97310</v>
      </c>
      <c r="E232" t="n">
        <v>909486</v>
      </c>
      <c r="F232" t="n">
        <v>8372786</v>
      </c>
      <c r="G232" t="n">
        <v>75407362</v>
      </c>
      <c r="H232" t="n">
        <v>666709722</v>
      </c>
      <c r="I232" t="n">
        <v>5769449954</v>
      </c>
      <c r="J232" t="n">
        <v>2000</v>
      </c>
      <c r="K232" t="n">
        <v>26813</v>
      </c>
      <c r="L232" t="n">
        <v>2500</v>
      </c>
      <c r="M232" t="n">
        <v>1100</v>
      </c>
      <c r="N232" t="n">
        <v>2155</v>
      </c>
      <c r="O232" t="n">
        <v>3310</v>
      </c>
      <c r="P232" t="n">
        <v>4465</v>
      </c>
      <c r="Q232" t="n">
        <v>5620</v>
      </c>
      <c r="R232" t="n">
        <v>6775</v>
      </c>
      <c r="S232" t="n">
        <v>7930</v>
      </c>
      <c r="T232" t="n">
        <v>9085</v>
      </c>
      <c r="U232" t="n">
        <v>10240</v>
      </c>
      <c r="V232" t="n">
        <v>5096</v>
      </c>
      <c r="W232" t="n">
        <v>1924</v>
      </c>
      <c r="X232" t="n">
        <v>1693</v>
      </c>
      <c r="Y232" t="n">
        <v>8110</v>
      </c>
    </row>
    <row r="233">
      <c r="A233" t="n">
        <v>232</v>
      </c>
      <c r="B233" t="n">
        <v>0</v>
      </c>
      <c r="C233" t="n">
        <v>32161</v>
      </c>
      <c r="D233" t="n">
        <v>99257</v>
      </c>
      <c r="E233" t="n">
        <v>936771</v>
      </c>
      <c r="F233" t="n">
        <v>8707698</v>
      </c>
      <c r="G233" t="n">
        <v>79177731</v>
      </c>
      <c r="H233" t="n">
        <v>706712306</v>
      </c>
      <c r="I233" t="n">
        <v>6173311451</v>
      </c>
      <c r="J233" t="n">
        <v>2000</v>
      </c>
      <c r="K233" t="n">
        <v>27082</v>
      </c>
      <c r="L233" t="n">
        <v>2500</v>
      </c>
      <c r="M233" t="n">
        <v>1100</v>
      </c>
      <c r="N233" t="n">
        <v>2160</v>
      </c>
      <c r="O233" t="n">
        <v>3320</v>
      </c>
      <c r="P233" t="n">
        <v>4480</v>
      </c>
      <c r="Q233" t="n">
        <v>5640</v>
      </c>
      <c r="R233" t="n">
        <v>6800</v>
      </c>
      <c r="S233" t="n">
        <v>7960</v>
      </c>
      <c r="T233" t="n">
        <v>9120</v>
      </c>
      <c r="U233" t="n">
        <v>10280</v>
      </c>
      <c r="V233" t="n">
        <v>5126</v>
      </c>
      <c r="W233" t="n">
        <v>1928</v>
      </c>
      <c r="X233" t="n">
        <v>1696</v>
      </c>
      <c r="Y233" t="n">
        <v>8120</v>
      </c>
    </row>
    <row r="234">
      <c r="A234" t="n">
        <v>233</v>
      </c>
      <c r="B234" t="n">
        <v>0</v>
      </c>
      <c r="C234" t="n">
        <v>32644</v>
      </c>
      <c r="D234" t="n">
        <v>101243</v>
      </c>
      <c r="E234" t="n">
        <v>964875</v>
      </c>
      <c r="F234" t="n">
        <v>9056006</v>
      </c>
      <c r="G234" t="n">
        <v>83136618</v>
      </c>
      <c r="H234" t="n">
        <v>749115045</v>
      </c>
      <c r="I234" t="n">
        <v>6605443253</v>
      </c>
      <c r="J234" t="n">
        <v>2000</v>
      </c>
      <c r="K234" t="n">
        <v>27353</v>
      </c>
      <c r="L234" t="n">
        <v>2500</v>
      </c>
      <c r="M234" t="n">
        <v>1100</v>
      </c>
      <c r="N234" t="n">
        <v>2165</v>
      </c>
      <c r="O234" t="n">
        <v>3330</v>
      </c>
      <c r="P234" t="n">
        <v>4495</v>
      </c>
      <c r="Q234" t="n">
        <v>5660</v>
      </c>
      <c r="R234" t="n">
        <v>6825</v>
      </c>
      <c r="S234" t="n">
        <v>7990</v>
      </c>
      <c r="T234" t="n">
        <v>9155</v>
      </c>
      <c r="U234" t="n">
        <v>10320</v>
      </c>
      <c r="V234" t="n">
        <v>5156</v>
      </c>
      <c r="W234" t="n">
        <v>1932</v>
      </c>
      <c r="X234" t="n">
        <v>1699</v>
      </c>
      <c r="Y234" t="n">
        <v>8130</v>
      </c>
    </row>
    <row r="235">
      <c r="A235" t="n">
        <v>234</v>
      </c>
      <c r="B235" t="n">
        <v>0</v>
      </c>
      <c r="C235" t="n">
        <v>33134</v>
      </c>
      <c r="D235" t="n">
        <v>103268</v>
      </c>
      <c r="E235" t="n">
        <v>993822</v>
      </c>
      <c r="F235" t="n">
        <v>9418247</v>
      </c>
      <c r="G235" t="n">
        <v>87293449</v>
      </c>
      <c r="H235" t="n">
        <v>794061948</v>
      </c>
      <c r="I235" t="n">
        <v>7067824281</v>
      </c>
      <c r="J235" t="n">
        <v>2000</v>
      </c>
      <c r="K235" t="n">
        <v>27627</v>
      </c>
      <c r="L235" t="n">
        <v>2500</v>
      </c>
      <c r="M235" t="n">
        <v>1100</v>
      </c>
      <c r="N235" t="n">
        <v>2170</v>
      </c>
      <c r="O235" t="n">
        <v>3340</v>
      </c>
      <c r="P235" t="n">
        <v>4510</v>
      </c>
      <c r="Q235" t="n">
        <v>5680</v>
      </c>
      <c r="R235" t="n">
        <v>6850</v>
      </c>
      <c r="S235" t="n">
        <v>8020</v>
      </c>
      <c r="T235" t="n">
        <v>9190</v>
      </c>
      <c r="U235" t="n">
        <v>10360</v>
      </c>
      <c r="V235" t="n">
        <v>5186</v>
      </c>
      <c r="W235" t="n">
        <v>1936</v>
      </c>
      <c r="X235" t="n">
        <v>1702</v>
      </c>
      <c r="Y235" t="n">
        <v>8140</v>
      </c>
    </row>
    <row r="236">
      <c r="A236" t="n">
        <v>235</v>
      </c>
      <c r="B236" t="n">
        <v>0</v>
      </c>
      <c r="C236" t="n">
        <v>33632</v>
      </c>
      <c r="D236" t="n">
        <v>105334</v>
      </c>
      <c r="E236" t="n">
        <v>1023637</v>
      </c>
      <c r="F236" t="n">
        <v>9794977</v>
      </c>
      <c r="G236" t="n">
        <v>91658122</v>
      </c>
      <c r="H236" t="n">
        <v>841705665</v>
      </c>
      <c r="I236" t="n">
        <v>7562571981</v>
      </c>
      <c r="J236" t="n">
        <v>2000</v>
      </c>
      <c r="K236" t="n">
        <v>27904</v>
      </c>
      <c r="L236" t="n">
        <v>2500</v>
      </c>
      <c r="M236" t="n">
        <v>1100</v>
      </c>
      <c r="N236" t="n">
        <v>2175</v>
      </c>
      <c r="O236" t="n">
        <v>3350</v>
      </c>
      <c r="P236" t="n">
        <v>4525</v>
      </c>
      <c r="Q236" t="n">
        <v>5700</v>
      </c>
      <c r="R236" t="n">
        <v>6875</v>
      </c>
      <c r="S236" t="n">
        <v>8050</v>
      </c>
      <c r="T236" t="n">
        <v>9225</v>
      </c>
      <c r="U236" t="n">
        <v>10400</v>
      </c>
      <c r="V236" t="n">
        <v>5216</v>
      </c>
      <c r="W236" t="n">
        <v>1940</v>
      </c>
      <c r="X236" t="n">
        <v>1705</v>
      </c>
      <c r="Y236" t="n">
        <v>8150</v>
      </c>
    </row>
    <row r="237">
      <c r="A237" t="n">
        <v>236</v>
      </c>
      <c r="B237" t="n">
        <v>0</v>
      </c>
      <c r="C237" t="n">
        <v>34137</v>
      </c>
      <c r="D237" t="n">
        <v>107441</v>
      </c>
      <c r="E237" t="n">
        <v>1054347</v>
      </c>
      <c r="F237" t="n">
        <v>10186777</v>
      </c>
      <c r="G237" t="n">
        <v>96241029</v>
      </c>
      <c r="H237" t="n">
        <v>892208005</v>
      </c>
      <c r="I237" t="n">
        <v>8091952020</v>
      </c>
      <c r="J237" t="n">
        <v>2000</v>
      </c>
      <c r="K237" t="n">
        <v>28184</v>
      </c>
      <c r="L237" t="n">
        <v>2500</v>
      </c>
      <c r="M237" t="n">
        <v>1100</v>
      </c>
      <c r="N237" t="n">
        <v>2180</v>
      </c>
      <c r="O237" t="n">
        <v>3360</v>
      </c>
      <c r="P237" t="n">
        <v>4540</v>
      </c>
      <c r="Q237" t="n">
        <v>5720</v>
      </c>
      <c r="R237" t="n">
        <v>6900</v>
      </c>
      <c r="S237" t="n">
        <v>8080</v>
      </c>
      <c r="T237" t="n">
        <v>9260</v>
      </c>
      <c r="U237" t="n">
        <v>10440</v>
      </c>
      <c r="V237" t="n">
        <v>5247</v>
      </c>
      <c r="W237" t="n">
        <v>1944</v>
      </c>
      <c r="X237" t="n">
        <v>1708</v>
      </c>
      <c r="Y237" t="n">
        <v>8160</v>
      </c>
    </row>
    <row r="238">
      <c r="A238" t="n">
        <v>237</v>
      </c>
      <c r="B238" t="n">
        <v>0</v>
      </c>
      <c r="C238" t="n">
        <v>34650</v>
      </c>
      <c r="D238" t="n">
        <v>109590</v>
      </c>
      <c r="E238" t="n">
        <v>1085978</v>
      </c>
      <c r="F238" t="n">
        <v>10594249</v>
      </c>
      <c r="G238" t="n">
        <v>101053081</v>
      </c>
      <c r="H238" t="n">
        <v>945740486</v>
      </c>
      <c r="I238" t="n">
        <v>8658388662</v>
      </c>
      <c r="J238" t="n">
        <v>2000</v>
      </c>
      <c r="K238" t="n">
        <v>28466</v>
      </c>
      <c r="L238" t="n">
        <v>2500</v>
      </c>
      <c r="M238" t="n">
        <v>1100</v>
      </c>
      <c r="N238" t="n">
        <v>2185</v>
      </c>
      <c r="O238" t="n">
        <v>3370</v>
      </c>
      <c r="P238" t="n">
        <v>4555</v>
      </c>
      <c r="Q238" t="n">
        <v>5740</v>
      </c>
      <c r="R238" t="n">
        <v>6925</v>
      </c>
      <c r="S238" t="n">
        <v>8110</v>
      </c>
      <c r="T238" t="n">
        <v>9295</v>
      </c>
      <c r="U238" t="n">
        <v>10480</v>
      </c>
      <c r="V238" t="n">
        <v>5278</v>
      </c>
      <c r="W238" t="n">
        <v>1948</v>
      </c>
      <c r="X238" t="n">
        <v>1711</v>
      </c>
      <c r="Y238" t="n">
        <v>8170</v>
      </c>
    </row>
    <row r="239">
      <c r="A239" t="n">
        <v>238</v>
      </c>
      <c r="B239" t="n">
        <v>0</v>
      </c>
      <c r="C239" t="n">
        <v>35170</v>
      </c>
      <c r="D239" t="n">
        <v>111782</v>
      </c>
      <c r="E239" t="n">
        <v>1118558</v>
      </c>
      <c r="F239" t="n">
        <v>11018019</v>
      </c>
      <c r="G239" t="n">
        <v>106105736</v>
      </c>
      <c r="H239" t="n">
        <v>1002484916</v>
      </c>
      <c r="I239" t="n">
        <v>9264475869</v>
      </c>
      <c r="J239" t="n">
        <v>2000</v>
      </c>
      <c r="K239" t="n">
        <v>28751</v>
      </c>
      <c r="L239" t="n">
        <v>2500</v>
      </c>
      <c r="M239" t="n">
        <v>1100</v>
      </c>
      <c r="N239" t="n">
        <v>2190</v>
      </c>
      <c r="O239" t="n">
        <v>3380</v>
      </c>
      <c r="P239" t="n">
        <v>4570</v>
      </c>
      <c r="Q239" t="n">
        <v>5760</v>
      </c>
      <c r="R239" t="n">
        <v>6950</v>
      </c>
      <c r="S239" t="n">
        <v>8140</v>
      </c>
      <c r="T239" t="n">
        <v>9330</v>
      </c>
      <c r="U239" t="n">
        <v>10520</v>
      </c>
      <c r="V239" t="n">
        <v>5309</v>
      </c>
      <c r="W239" t="n">
        <v>1952</v>
      </c>
      <c r="X239" t="n">
        <v>1714</v>
      </c>
      <c r="Y239" t="n">
        <v>8180</v>
      </c>
    </row>
    <row r="240">
      <c r="A240" t="n">
        <v>239</v>
      </c>
      <c r="B240" t="n">
        <v>0</v>
      </c>
      <c r="C240" t="n">
        <v>35698</v>
      </c>
      <c r="D240" t="n">
        <v>114018</v>
      </c>
      <c r="E240" t="n">
        <v>1152115</v>
      </c>
      <c r="F240" t="n">
        <v>11458740</v>
      </c>
      <c r="G240" t="n">
        <v>111411023</v>
      </c>
      <c r="H240" t="n">
        <v>1062634011</v>
      </c>
      <c r="I240" t="n">
        <v>9912989180</v>
      </c>
      <c r="J240" t="n">
        <v>2000</v>
      </c>
      <c r="K240" t="n">
        <v>29039</v>
      </c>
      <c r="L240" t="n">
        <v>2500</v>
      </c>
      <c r="M240" t="n">
        <v>1100</v>
      </c>
      <c r="N240" t="n">
        <v>2195</v>
      </c>
      <c r="O240" t="n">
        <v>3390</v>
      </c>
      <c r="P240" t="n">
        <v>4585</v>
      </c>
      <c r="Q240" t="n">
        <v>5780</v>
      </c>
      <c r="R240" t="n">
        <v>6975</v>
      </c>
      <c r="S240" t="n">
        <v>8170</v>
      </c>
      <c r="T240" t="n">
        <v>9365</v>
      </c>
      <c r="U240" t="n">
        <v>10560</v>
      </c>
      <c r="V240" t="n">
        <v>5340</v>
      </c>
      <c r="W240" t="n">
        <v>1956</v>
      </c>
      <c r="X240" t="n">
        <v>1717</v>
      </c>
      <c r="Y240" t="n">
        <v>8190</v>
      </c>
    </row>
    <row r="241">
      <c r="A241" t="n">
        <v>240</v>
      </c>
      <c r="B241" t="n">
        <v>0</v>
      </c>
      <c r="C241" t="n">
        <v>36234</v>
      </c>
      <c r="D241" t="n">
        <v>116299</v>
      </c>
      <c r="E241" t="n">
        <v>1186679</v>
      </c>
      <c r="F241" t="n">
        <v>11917090</v>
      </c>
      <c r="G241" t="n">
        <v>116981575</v>
      </c>
      <c r="H241" t="n">
        <v>1126392052</v>
      </c>
      <c r="I241" t="n">
        <v>10606898423</v>
      </c>
      <c r="J241" t="n">
        <v>2000</v>
      </c>
      <c r="K241" t="n">
        <v>29330</v>
      </c>
      <c r="L241" t="n">
        <v>2500</v>
      </c>
      <c r="M241" t="n">
        <v>1100</v>
      </c>
      <c r="N241" t="n">
        <v>2200</v>
      </c>
      <c r="O241" t="n">
        <v>3400</v>
      </c>
      <c r="P241" t="n">
        <v>4600</v>
      </c>
      <c r="Q241" t="n">
        <v>5800</v>
      </c>
      <c r="R241" t="n">
        <v>7000</v>
      </c>
      <c r="S241" t="n">
        <v>8200</v>
      </c>
      <c r="T241" t="n">
        <v>9400</v>
      </c>
      <c r="U241" t="n">
        <v>10600</v>
      </c>
      <c r="V241" t="n">
        <v>5371</v>
      </c>
      <c r="W241" t="n">
        <v>1960</v>
      </c>
      <c r="X241" t="n">
        <v>1720</v>
      </c>
      <c r="Y241" t="n">
        <v>8200</v>
      </c>
    </row>
    <row r="242">
      <c r="A242" t="n">
        <v>241</v>
      </c>
      <c r="B242" t="n">
        <v>0</v>
      </c>
      <c r="C242" t="n">
        <v>36778</v>
      </c>
      <c r="D242" t="n">
        <v>118625</v>
      </c>
      <c r="E242" t="n">
        <v>1222280</v>
      </c>
      <c r="F242" t="n">
        <v>12393774</v>
      </c>
      <c r="G242" t="n">
        <v>122830654</v>
      </c>
      <c r="H242" t="n">
        <v>1193975576</v>
      </c>
      <c r="I242" t="n">
        <v>11349381313</v>
      </c>
      <c r="J242" t="n">
        <v>2000</v>
      </c>
      <c r="K242" t="n">
        <v>29624</v>
      </c>
      <c r="L242" t="n">
        <v>2500</v>
      </c>
      <c r="M242" t="n">
        <v>1100</v>
      </c>
      <c r="N242" t="n">
        <v>2205</v>
      </c>
      <c r="O242" t="n">
        <v>3410</v>
      </c>
      <c r="P242" t="n">
        <v>4615</v>
      </c>
      <c r="Q242" t="n">
        <v>5820</v>
      </c>
      <c r="R242" t="n">
        <v>7025</v>
      </c>
      <c r="S242" t="n">
        <v>8230</v>
      </c>
      <c r="T242" t="n">
        <v>9435</v>
      </c>
      <c r="U242" t="n">
        <v>10640</v>
      </c>
      <c r="V242" t="n">
        <v>5402</v>
      </c>
      <c r="W242" t="n">
        <v>1964</v>
      </c>
      <c r="X242" t="n">
        <v>1723</v>
      </c>
      <c r="Y242" t="n">
        <v>8210</v>
      </c>
    </row>
    <row r="243">
      <c r="A243" t="n">
        <v>242</v>
      </c>
      <c r="B243" t="n">
        <v>0</v>
      </c>
      <c r="C243" t="n">
        <v>37330</v>
      </c>
      <c r="D243" t="n">
        <v>120998</v>
      </c>
      <c r="E243" t="n">
        <v>1258949</v>
      </c>
      <c r="F243" t="n">
        <v>12889525</v>
      </c>
      <c r="G243" t="n">
        <v>128972187</v>
      </c>
      <c r="H243" t="n">
        <v>1265614111</v>
      </c>
      <c r="I243" t="n">
        <v>12143838005</v>
      </c>
      <c r="J243" t="n">
        <v>2000</v>
      </c>
      <c r="K243" t="n">
        <v>29921</v>
      </c>
      <c r="L243" t="n">
        <v>2500</v>
      </c>
      <c r="M243" t="n">
        <v>1100</v>
      </c>
      <c r="N243" t="n">
        <v>2210</v>
      </c>
      <c r="O243" t="n">
        <v>3420</v>
      </c>
      <c r="P243" t="n">
        <v>4630</v>
      </c>
      <c r="Q243" t="n">
        <v>5840</v>
      </c>
      <c r="R243" t="n">
        <v>7050</v>
      </c>
      <c r="S243" t="n">
        <v>8260</v>
      </c>
      <c r="T243" t="n">
        <v>9470</v>
      </c>
      <c r="U243" t="n">
        <v>10680</v>
      </c>
      <c r="V243" t="n">
        <v>5434</v>
      </c>
      <c r="W243" t="n">
        <v>1968</v>
      </c>
      <c r="X243" t="n">
        <v>1726</v>
      </c>
      <c r="Y243" t="n">
        <v>8220</v>
      </c>
    </row>
    <row r="244">
      <c r="A244" t="n">
        <v>243</v>
      </c>
      <c r="B244" t="n">
        <v>0</v>
      </c>
      <c r="C244" t="n">
        <v>37890</v>
      </c>
      <c r="D244" t="n">
        <v>123418</v>
      </c>
      <c r="E244" t="n">
        <v>1296718</v>
      </c>
      <c r="F244" t="n">
        <v>13405106</v>
      </c>
      <c r="G244" t="n">
        <v>135420797</v>
      </c>
      <c r="H244" t="n">
        <v>1341550958</v>
      </c>
      <c r="I244" t="n">
        <v>12993906666</v>
      </c>
      <c r="J244" t="n">
        <v>2000</v>
      </c>
      <c r="K244" t="n">
        <v>30221</v>
      </c>
      <c r="L244" t="n">
        <v>2500</v>
      </c>
      <c r="M244" t="n">
        <v>1100</v>
      </c>
      <c r="N244" t="n">
        <v>2215</v>
      </c>
      <c r="O244" t="n">
        <v>3430</v>
      </c>
      <c r="P244" t="n">
        <v>4645</v>
      </c>
      <c r="Q244" t="n">
        <v>5860</v>
      </c>
      <c r="R244" t="n">
        <v>7075</v>
      </c>
      <c r="S244" t="n">
        <v>8290</v>
      </c>
      <c r="T244" t="n">
        <v>9505</v>
      </c>
      <c r="U244" t="n">
        <v>10720</v>
      </c>
      <c r="V244" t="n">
        <v>5466</v>
      </c>
      <c r="W244" t="n">
        <v>1972</v>
      </c>
      <c r="X244" t="n">
        <v>1729</v>
      </c>
      <c r="Y244" t="n">
        <v>8230</v>
      </c>
    </row>
    <row r="245">
      <c r="A245" t="n">
        <v>244</v>
      </c>
      <c r="B245" t="n">
        <v>0</v>
      </c>
      <c r="C245" t="n">
        <v>38459</v>
      </c>
      <c r="D245" t="n">
        <v>125887</v>
      </c>
      <c r="E245" t="n">
        <v>1335620</v>
      </c>
      <c r="F245" t="n">
        <v>13941311</v>
      </c>
      <c r="G245" t="n">
        <v>142191837</v>
      </c>
      <c r="H245" t="n">
        <v>1422044016</v>
      </c>
      <c r="I245" t="n">
        <v>13903480133</v>
      </c>
      <c r="J245" t="n">
        <v>2000</v>
      </c>
      <c r="K245" t="n">
        <v>30524</v>
      </c>
      <c r="L245" t="n">
        <v>2500</v>
      </c>
      <c r="M245" t="n">
        <v>1100</v>
      </c>
      <c r="N245" t="n">
        <v>2220</v>
      </c>
      <c r="O245" t="n">
        <v>3440</v>
      </c>
      <c r="P245" t="n">
        <v>4660</v>
      </c>
      <c r="Q245" t="n">
        <v>5880</v>
      </c>
      <c r="R245" t="n">
        <v>7100</v>
      </c>
      <c r="S245" t="n">
        <v>8320</v>
      </c>
      <c r="T245" t="n">
        <v>9540</v>
      </c>
      <c r="U245" t="n">
        <v>10760</v>
      </c>
      <c r="V245" t="n">
        <v>5498</v>
      </c>
      <c r="W245" t="n">
        <v>1976</v>
      </c>
      <c r="X245" t="n">
        <v>1732</v>
      </c>
      <c r="Y245" t="n">
        <v>8240</v>
      </c>
    </row>
    <row r="246">
      <c r="A246" t="n">
        <v>245</v>
      </c>
      <c r="B246" t="n">
        <v>0</v>
      </c>
      <c r="C246" t="n">
        <v>39036</v>
      </c>
      <c r="D246" t="n">
        <v>128405</v>
      </c>
      <c r="E246" t="n">
        <v>1375689</v>
      </c>
      <c r="F246" t="n">
        <v>14498964</v>
      </c>
      <c r="G246" t="n">
        <v>149301429</v>
      </c>
      <c r="H246" t="n">
        <v>1507366657</v>
      </c>
      <c r="I246" t="n">
        <v>14876723743</v>
      </c>
      <c r="J246" t="n">
        <v>2000</v>
      </c>
      <c r="K246" t="n">
        <v>30830</v>
      </c>
      <c r="L246" t="n">
        <v>2500</v>
      </c>
      <c r="M246" t="n">
        <v>1100</v>
      </c>
      <c r="N246" t="n">
        <v>2225</v>
      </c>
      <c r="O246" t="n">
        <v>3450</v>
      </c>
      <c r="P246" t="n">
        <v>4675</v>
      </c>
      <c r="Q246" t="n">
        <v>5900</v>
      </c>
      <c r="R246" t="n">
        <v>7125</v>
      </c>
      <c r="S246" t="n">
        <v>8350</v>
      </c>
      <c r="T246" t="n">
        <v>9575</v>
      </c>
      <c r="U246" t="n">
        <v>10800</v>
      </c>
      <c r="V246" t="n">
        <v>5530</v>
      </c>
      <c r="W246" t="n">
        <v>1980</v>
      </c>
      <c r="X246" t="n">
        <v>1735</v>
      </c>
      <c r="Y246" t="n">
        <v>8250</v>
      </c>
    </row>
    <row r="247">
      <c r="A247" t="n">
        <v>246</v>
      </c>
      <c r="B247" t="n">
        <v>0</v>
      </c>
      <c r="C247" t="n">
        <v>39622</v>
      </c>
      <c r="D247" t="n">
        <v>130974</v>
      </c>
      <c r="E247" t="n">
        <v>1416960</v>
      </c>
      <c r="F247" t="n">
        <v>15078923</v>
      </c>
      <c r="G247" t="n">
        <v>156766501</v>
      </c>
      <c r="H247" t="n">
        <v>1597808657</v>
      </c>
      <c r="I247" t="n">
        <v>15918094406</v>
      </c>
      <c r="J247" t="n">
        <v>2000</v>
      </c>
      <c r="K247" t="n">
        <v>31139</v>
      </c>
      <c r="L247" t="n">
        <v>2500</v>
      </c>
      <c r="M247" t="n">
        <v>1100</v>
      </c>
      <c r="N247" t="n">
        <v>2230</v>
      </c>
      <c r="O247" t="n">
        <v>3460</v>
      </c>
      <c r="P247" t="n">
        <v>4690</v>
      </c>
      <c r="Q247" t="n">
        <v>5920</v>
      </c>
      <c r="R247" t="n">
        <v>7150</v>
      </c>
      <c r="S247" t="n">
        <v>8380</v>
      </c>
      <c r="T247" t="n">
        <v>9610</v>
      </c>
      <c r="U247" t="n">
        <v>10840</v>
      </c>
      <c r="V247" t="n">
        <v>5562</v>
      </c>
      <c r="W247" t="n">
        <v>1984</v>
      </c>
      <c r="X247" t="n">
        <v>1738</v>
      </c>
      <c r="Y247" t="n">
        <v>8260</v>
      </c>
    </row>
    <row r="248">
      <c r="A248" t="n">
        <v>247</v>
      </c>
      <c r="B248" t="n">
        <v>0</v>
      </c>
      <c r="C248" t="n">
        <v>40217</v>
      </c>
      <c r="D248" t="n">
        <v>133594</v>
      </c>
      <c r="E248" t="n">
        <v>1459469</v>
      </c>
      <c r="F248" t="n">
        <v>15682080</v>
      </c>
      <c r="G248" t="n">
        <v>164604827</v>
      </c>
      <c r="H248" t="n">
        <v>1693677177</v>
      </c>
      <c r="I248" t="n">
        <v>17032361015</v>
      </c>
      <c r="J248" t="n">
        <v>2000</v>
      </c>
      <c r="K248" t="n">
        <v>31451</v>
      </c>
      <c r="L248" t="n">
        <v>2500</v>
      </c>
      <c r="M248" t="n">
        <v>1100</v>
      </c>
      <c r="N248" t="n">
        <v>2235</v>
      </c>
      <c r="O248" t="n">
        <v>3470</v>
      </c>
      <c r="P248" t="n">
        <v>4705</v>
      </c>
      <c r="Q248" t="n">
        <v>5940</v>
      </c>
      <c r="R248" t="n">
        <v>7175</v>
      </c>
      <c r="S248" t="n">
        <v>8410</v>
      </c>
      <c r="T248" t="n">
        <v>9645</v>
      </c>
      <c r="U248" t="n">
        <v>10880</v>
      </c>
      <c r="V248" t="n">
        <v>5594</v>
      </c>
      <c r="W248" t="n">
        <v>1988</v>
      </c>
      <c r="X248" t="n">
        <v>1741</v>
      </c>
      <c r="Y248" t="n">
        <v>8270</v>
      </c>
    </row>
    <row r="249">
      <c r="A249" t="n">
        <v>248</v>
      </c>
      <c r="B249" t="n">
        <v>0</v>
      </c>
      <c r="C249" t="n">
        <v>40821</v>
      </c>
      <c r="D249" t="n">
        <v>136266</v>
      </c>
      <c r="E249" t="n">
        <v>1503254</v>
      </c>
      <c r="F249" t="n">
        <v>16309364</v>
      </c>
      <c r="G249" t="n">
        <v>172835069</v>
      </c>
      <c r="H249" t="n">
        <v>1795297808</v>
      </c>
      <c r="I249" t="n">
        <v>18224626287</v>
      </c>
      <c r="J249" t="n">
        <v>2000</v>
      </c>
      <c r="K249" t="n">
        <v>31766</v>
      </c>
      <c r="L249" t="n">
        <v>2500</v>
      </c>
      <c r="M249" t="n">
        <v>1100</v>
      </c>
      <c r="N249" t="n">
        <v>2240</v>
      </c>
      <c r="O249" t="n">
        <v>3480</v>
      </c>
      <c r="P249" t="n">
        <v>4720</v>
      </c>
      <c r="Q249" t="n">
        <v>5960</v>
      </c>
      <c r="R249" t="n">
        <v>7200</v>
      </c>
      <c r="S249" t="n">
        <v>8440</v>
      </c>
      <c r="T249" t="n">
        <v>9680</v>
      </c>
      <c r="U249" t="n">
        <v>10920</v>
      </c>
      <c r="V249" t="n">
        <v>5626</v>
      </c>
      <c r="W249" t="n">
        <v>1992</v>
      </c>
      <c r="X249" t="n">
        <v>1744</v>
      </c>
      <c r="Y249" t="n">
        <v>8280</v>
      </c>
    </row>
    <row r="250">
      <c r="A250" t="n">
        <v>249</v>
      </c>
      <c r="B250" t="n">
        <v>0</v>
      </c>
      <c r="C250" t="n">
        <v>41434</v>
      </c>
      <c r="D250" t="n">
        <v>138992</v>
      </c>
      <c r="E250" t="n">
        <v>1548352</v>
      </c>
      <c r="F250" t="n">
        <v>16961739</v>
      </c>
      <c r="G250" t="n">
        <v>181476823</v>
      </c>
      <c r="H250" t="n">
        <v>1903015677</v>
      </c>
      <c r="I250" t="n">
        <v>19500350128</v>
      </c>
      <c r="J250" t="n">
        <v>2000</v>
      </c>
      <c r="K250" t="n">
        <v>32084</v>
      </c>
      <c r="L250" t="n">
        <v>2500</v>
      </c>
      <c r="M250" t="n">
        <v>1100</v>
      </c>
      <c r="N250" t="n">
        <v>2245</v>
      </c>
      <c r="O250" t="n">
        <v>3490</v>
      </c>
      <c r="P250" t="n">
        <v>4735</v>
      </c>
      <c r="Q250" t="n">
        <v>5980</v>
      </c>
      <c r="R250" t="n">
        <v>7225</v>
      </c>
      <c r="S250" t="n">
        <v>8470</v>
      </c>
      <c r="T250" t="n">
        <v>9715</v>
      </c>
      <c r="U250" t="n">
        <v>10960</v>
      </c>
      <c r="V250" t="n">
        <v>5659</v>
      </c>
      <c r="W250" t="n">
        <v>1996</v>
      </c>
      <c r="X250" t="n">
        <v>1747</v>
      </c>
      <c r="Y250" t="n">
        <v>8290</v>
      </c>
    </row>
    <row r="251">
      <c r="A251" t="n">
        <v>250</v>
      </c>
      <c r="B251" t="n">
        <v>0</v>
      </c>
      <c r="C251" t="n">
        <v>42056</v>
      </c>
      <c r="D251" t="n">
        <v>141772</v>
      </c>
      <c r="E251" t="n">
        <v>1594803</v>
      </c>
      <c r="F251" t="n">
        <v>17640209</v>
      </c>
      <c r="G251" t="n">
        <v>190550665</v>
      </c>
      <c r="H251" t="n">
        <v>2017196618</v>
      </c>
      <c r="I251" t="n">
        <v>20865374637</v>
      </c>
      <c r="J251" t="n">
        <v>2000</v>
      </c>
      <c r="K251" t="n">
        <v>32405</v>
      </c>
      <c r="L251" t="n">
        <v>2500</v>
      </c>
      <c r="M251" t="n">
        <v>1100</v>
      </c>
      <c r="N251" t="n">
        <v>2250</v>
      </c>
      <c r="O251" t="n">
        <v>3500</v>
      </c>
      <c r="P251" t="n">
        <v>4750</v>
      </c>
      <c r="Q251" t="n">
        <v>6000</v>
      </c>
      <c r="R251" t="n">
        <v>7250</v>
      </c>
      <c r="S251" t="n">
        <v>8500</v>
      </c>
      <c r="T251" t="n">
        <v>9750</v>
      </c>
      <c r="U251" t="n">
        <v>11000</v>
      </c>
      <c r="V251" t="n">
        <v>5692</v>
      </c>
      <c r="W251" t="n">
        <v>2000</v>
      </c>
      <c r="X251" t="n">
        <v>1750</v>
      </c>
      <c r="Y251" t="n">
        <v>8300</v>
      </c>
    </row>
    <row r="252">
      <c r="A252" t="n">
        <v>251</v>
      </c>
      <c r="B252" t="n">
        <v>0</v>
      </c>
      <c r="C252" t="n">
        <v>42687</v>
      </c>
      <c r="D252" t="n">
        <v>144608</v>
      </c>
      <c r="E252" t="n">
        <v>1642648</v>
      </c>
      <c r="F252" t="n">
        <v>18345818</v>
      </c>
      <c r="G252" t="n">
        <v>200078199</v>
      </c>
      <c r="H252" t="n">
        <v>2138228416</v>
      </c>
      <c r="I252" t="n">
        <v>22325950862</v>
      </c>
      <c r="J252" t="n">
        <v>2000</v>
      </c>
      <c r="K252" t="n">
        <v>32730</v>
      </c>
      <c r="L252" t="n">
        <v>2500</v>
      </c>
      <c r="M252" t="n">
        <v>1100</v>
      </c>
      <c r="N252" t="n">
        <v>2255</v>
      </c>
      <c r="O252" t="n">
        <v>3510</v>
      </c>
      <c r="P252" t="n">
        <v>4765</v>
      </c>
      <c r="Q252" t="n">
        <v>6020</v>
      </c>
      <c r="R252" t="n">
        <v>7275</v>
      </c>
      <c r="S252" t="n">
        <v>8530</v>
      </c>
      <c r="T252" t="n">
        <v>9785</v>
      </c>
      <c r="U252" t="n">
        <v>11040</v>
      </c>
      <c r="V252" t="n">
        <v>5725</v>
      </c>
      <c r="W252" t="n">
        <v>2004</v>
      </c>
      <c r="X252" t="n">
        <v>1753</v>
      </c>
      <c r="Y252" t="n">
        <v>8310</v>
      </c>
    </row>
    <row r="253">
      <c r="A253" t="n">
        <v>252</v>
      </c>
      <c r="B253" t="n">
        <v>0</v>
      </c>
      <c r="C253" t="n">
        <v>43328</v>
      </c>
      <c r="D253" t="n">
        <v>147501</v>
      </c>
      <c r="E253" t="n">
        <v>1691928</v>
      </c>
      <c r="F253" t="n">
        <v>19079651</v>
      </c>
      <c r="G253" t="n">
        <v>210082109</v>
      </c>
      <c r="H253" t="n">
        <v>2266522121</v>
      </c>
      <c r="I253" t="n">
        <v>23888767423</v>
      </c>
      <c r="J253" t="n">
        <v>2000</v>
      </c>
      <c r="K253" t="n">
        <v>33058</v>
      </c>
      <c r="L253" t="n">
        <v>2500</v>
      </c>
      <c r="M253" t="n">
        <v>1100</v>
      </c>
      <c r="N253" t="n">
        <v>2260</v>
      </c>
      <c r="O253" t="n">
        <v>3520</v>
      </c>
      <c r="P253" t="n">
        <v>4780</v>
      </c>
      <c r="Q253" t="n">
        <v>6040</v>
      </c>
      <c r="R253" t="n">
        <v>7300</v>
      </c>
      <c r="S253" t="n">
        <v>8560</v>
      </c>
      <c r="T253" t="n">
        <v>9820</v>
      </c>
      <c r="U253" t="n">
        <v>11080</v>
      </c>
      <c r="V253" t="n">
        <v>5758</v>
      </c>
      <c r="W253" t="n">
        <v>2008</v>
      </c>
      <c r="X253" t="n">
        <v>1756</v>
      </c>
      <c r="Y253" t="n">
        <v>8320</v>
      </c>
    </row>
    <row r="254">
      <c r="A254" t="n">
        <v>253</v>
      </c>
      <c r="B254" t="n">
        <v>0</v>
      </c>
      <c r="C254" t="n">
        <v>43978</v>
      </c>
      <c r="D254" t="n">
        <v>150452</v>
      </c>
      <c r="E254" t="n">
        <v>1742686</v>
      </c>
      <c r="F254" t="n">
        <v>19842838</v>
      </c>
      <c r="G254" t="n">
        <v>220586215</v>
      </c>
      <c r="H254" t="n">
        <v>2402513449</v>
      </c>
      <c r="I254" t="n">
        <v>25560981143</v>
      </c>
      <c r="J254" t="n">
        <v>2000</v>
      </c>
      <c r="K254" t="n">
        <v>33389</v>
      </c>
      <c r="L254" t="n">
        <v>2500</v>
      </c>
      <c r="M254" t="n">
        <v>1100</v>
      </c>
      <c r="N254" t="n">
        <v>2265</v>
      </c>
      <c r="O254" t="n">
        <v>3530</v>
      </c>
      <c r="P254" t="n">
        <v>4795</v>
      </c>
      <c r="Q254" t="n">
        <v>6060</v>
      </c>
      <c r="R254" t="n">
        <v>7325</v>
      </c>
      <c r="S254" t="n">
        <v>8590</v>
      </c>
      <c r="T254" t="n">
        <v>9855</v>
      </c>
      <c r="U254" t="n">
        <v>11120</v>
      </c>
      <c r="V254" t="n">
        <v>5791</v>
      </c>
      <c r="W254" t="n">
        <v>2012</v>
      </c>
      <c r="X254" t="n">
        <v>1759</v>
      </c>
      <c r="Y254" t="n">
        <v>8330</v>
      </c>
    </row>
    <row r="255">
      <c r="A255" t="n">
        <v>254</v>
      </c>
      <c r="B255" t="n">
        <v>0</v>
      </c>
      <c r="C255" t="n">
        <v>44638</v>
      </c>
      <c r="D255" t="n">
        <v>153462</v>
      </c>
      <c r="E255" t="n">
        <v>1794967</v>
      </c>
      <c r="F255" t="n">
        <v>20636552</v>
      </c>
      <c r="G255" t="n">
        <v>231615526</v>
      </c>
      <c r="H255" t="n">
        <v>2546664256</v>
      </c>
      <c r="I255" t="n">
        <v>27350249824</v>
      </c>
      <c r="J255" t="n">
        <v>2000</v>
      </c>
      <c r="K255" t="n">
        <v>33723</v>
      </c>
      <c r="L255" t="n">
        <v>2500</v>
      </c>
      <c r="M255" t="n">
        <v>1100</v>
      </c>
      <c r="N255" t="n">
        <v>2270</v>
      </c>
      <c r="O255" t="n">
        <v>3540</v>
      </c>
      <c r="P255" t="n">
        <v>4810</v>
      </c>
      <c r="Q255" t="n">
        <v>6080</v>
      </c>
      <c r="R255" t="n">
        <v>7350</v>
      </c>
      <c r="S255" t="n">
        <v>8620</v>
      </c>
      <c r="T255" t="n">
        <v>9890</v>
      </c>
      <c r="U255" t="n">
        <v>11160</v>
      </c>
      <c r="V255" t="n">
        <v>5824</v>
      </c>
      <c r="W255" t="n">
        <v>2016</v>
      </c>
      <c r="X255" t="n">
        <v>1762</v>
      </c>
      <c r="Y255" t="n">
        <v>8340</v>
      </c>
    </row>
    <row r="256">
      <c r="A256" t="n">
        <v>255</v>
      </c>
      <c r="B256" t="n">
        <v>0</v>
      </c>
      <c r="C256" t="n">
        <v>45308</v>
      </c>
      <c r="D256" t="n">
        <v>156532</v>
      </c>
      <c r="E256" t="n">
        <v>1848817</v>
      </c>
      <c r="F256" t="n">
        <v>21462015</v>
      </c>
      <c r="G256" t="n">
        <v>243196303</v>
      </c>
      <c r="H256" t="n">
        <v>2699464112</v>
      </c>
      <c r="I256" t="n">
        <v>29264767312</v>
      </c>
      <c r="J256" t="n">
        <v>2000</v>
      </c>
      <c r="K256" t="n">
        <v>34061</v>
      </c>
      <c r="L256" t="n">
        <v>2500</v>
      </c>
      <c r="M256" t="n">
        <v>1100</v>
      </c>
      <c r="N256" t="n">
        <v>2275</v>
      </c>
      <c r="O256" t="n">
        <v>3550</v>
      </c>
      <c r="P256" t="n">
        <v>4825</v>
      </c>
      <c r="Q256" t="n">
        <v>6100</v>
      </c>
      <c r="R256" t="n">
        <v>7375</v>
      </c>
      <c r="S256" t="n">
        <v>8650</v>
      </c>
      <c r="T256" t="n">
        <v>9925</v>
      </c>
      <c r="U256" t="n">
        <v>11200</v>
      </c>
      <c r="V256" t="n">
        <v>5858</v>
      </c>
      <c r="W256" t="n">
        <v>2020</v>
      </c>
      <c r="X256" t="n">
        <v>1765</v>
      </c>
      <c r="Y256" t="n">
        <v>8350</v>
      </c>
    </row>
    <row r="257">
      <c r="A257" t="n">
        <v>256</v>
      </c>
      <c r="B257" t="n">
        <v>0</v>
      </c>
      <c r="C257" t="n">
        <v>45988</v>
      </c>
      <c r="D257" t="n">
        <v>159663</v>
      </c>
      <c r="E257" t="n">
        <v>1904282</v>
      </c>
      <c r="F257" t="n">
        <v>22320496</v>
      </c>
      <c r="G257" t="n">
        <v>255356119</v>
      </c>
      <c r="H257" t="n">
        <v>2861431959</v>
      </c>
      <c r="I257" t="n">
        <v>31313301024</v>
      </c>
      <c r="J257" t="n">
        <v>2000</v>
      </c>
      <c r="K257" t="n">
        <v>34402</v>
      </c>
      <c r="L257" t="n">
        <v>2500</v>
      </c>
      <c r="M257" t="n">
        <v>1100</v>
      </c>
      <c r="N257" t="n">
        <v>2280</v>
      </c>
      <c r="O257" t="n">
        <v>3560</v>
      </c>
      <c r="P257" t="n">
        <v>4840</v>
      </c>
      <c r="Q257" t="n">
        <v>6120</v>
      </c>
      <c r="R257" t="n">
        <v>7400</v>
      </c>
      <c r="S257" t="n">
        <v>8680</v>
      </c>
      <c r="T257" t="n">
        <v>9960</v>
      </c>
      <c r="U257" t="n">
        <v>11240</v>
      </c>
      <c r="V257" t="n">
        <v>5892</v>
      </c>
      <c r="W257" t="n">
        <v>2024</v>
      </c>
      <c r="X257" t="n">
        <v>1768</v>
      </c>
      <c r="Y257" t="n">
        <v>8360</v>
      </c>
    </row>
    <row r="258">
      <c r="A258" t="n">
        <v>257</v>
      </c>
      <c r="B258" t="n">
        <v>0</v>
      </c>
      <c r="C258" t="n">
        <v>46678</v>
      </c>
      <c r="D258" t="n">
        <v>162857</v>
      </c>
      <c r="E258" t="n">
        <v>1961411</v>
      </c>
      <c r="F258" t="n">
        <v>23213316</v>
      </c>
      <c r="G258" t="n">
        <v>268123925</v>
      </c>
      <c r="H258" t="n">
        <v>3033117877</v>
      </c>
      <c r="I258" t="n">
        <v>33505232096</v>
      </c>
      <c r="J258" t="n">
        <v>2000</v>
      </c>
      <c r="K258" t="n">
        <v>34747</v>
      </c>
      <c r="L258" t="n">
        <v>2500</v>
      </c>
      <c r="M258" t="n">
        <v>1100</v>
      </c>
      <c r="N258" t="n">
        <v>2285</v>
      </c>
      <c r="O258" t="n">
        <v>3570</v>
      </c>
      <c r="P258" t="n">
        <v>4855</v>
      </c>
      <c r="Q258" t="n">
        <v>6140</v>
      </c>
      <c r="R258" t="n">
        <v>7425</v>
      </c>
      <c r="S258" t="n">
        <v>8710</v>
      </c>
      <c r="T258" t="n">
        <v>9995</v>
      </c>
      <c r="U258" t="n">
        <v>11280</v>
      </c>
      <c r="V258" t="n">
        <v>5926</v>
      </c>
      <c r="W258" t="n">
        <v>2028</v>
      </c>
      <c r="X258" t="n">
        <v>1771</v>
      </c>
      <c r="Y258" t="n">
        <v>8370</v>
      </c>
    </row>
    <row r="259">
      <c r="A259" t="n">
        <v>258</v>
      </c>
      <c r="B259" t="n">
        <v>0</v>
      </c>
      <c r="C259" t="n">
        <v>47379</v>
      </c>
      <c r="D259" t="n">
        <v>166115</v>
      </c>
      <c r="E259" t="n">
        <v>2020254</v>
      </c>
      <c r="F259" t="n">
        <v>24141849</v>
      </c>
      <c r="G259" t="n">
        <v>281530122</v>
      </c>
      <c r="H259" t="n">
        <v>3215104950</v>
      </c>
      <c r="I259" t="n">
        <v>35850598343</v>
      </c>
      <c r="J259" t="n">
        <v>2000</v>
      </c>
      <c r="K259" t="n">
        <v>35095</v>
      </c>
      <c r="L259" t="n">
        <v>2500</v>
      </c>
      <c r="M259" t="n">
        <v>1100</v>
      </c>
      <c r="N259" t="n">
        <v>2290</v>
      </c>
      <c r="O259" t="n">
        <v>3580</v>
      </c>
      <c r="P259" t="n">
        <v>4870</v>
      </c>
      <c r="Q259" t="n">
        <v>6160</v>
      </c>
      <c r="R259" t="n">
        <v>7450</v>
      </c>
      <c r="S259" t="n">
        <v>8740</v>
      </c>
      <c r="T259" t="n">
        <v>10030</v>
      </c>
      <c r="U259" t="n">
        <v>11320</v>
      </c>
      <c r="V259" t="n">
        <v>5960</v>
      </c>
      <c r="W259" t="n">
        <v>2032</v>
      </c>
      <c r="X259" t="n">
        <v>1774</v>
      </c>
      <c r="Y259" t="n">
        <v>8380</v>
      </c>
    </row>
    <row r="260">
      <c r="A260" t="n">
        <v>259</v>
      </c>
      <c r="B260" t="n">
        <v>0</v>
      </c>
      <c r="C260" t="n">
        <v>48090</v>
      </c>
      <c r="D260" t="n">
        <v>169438</v>
      </c>
      <c r="E260" t="n">
        <v>2080862</v>
      </c>
      <c r="F260" t="n">
        <v>25107523</v>
      </c>
      <c r="G260" t="n">
        <v>295606629</v>
      </c>
      <c r="H260" t="n">
        <v>3408011247</v>
      </c>
      <c r="I260" t="n">
        <v>38360140228</v>
      </c>
      <c r="J260" t="n">
        <v>2000</v>
      </c>
      <c r="K260" t="n">
        <v>35446</v>
      </c>
      <c r="L260" t="n">
        <v>2500</v>
      </c>
      <c r="M260" t="n">
        <v>1100</v>
      </c>
      <c r="N260" t="n">
        <v>2295</v>
      </c>
      <c r="O260" t="n">
        <v>3590</v>
      </c>
      <c r="P260" t="n">
        <v>4885</v>
      </c>
      <c r="Q260" t="n">
        <v>6180</v>
      </c>
      <c r="R260" t="n">
        <v>7475</v>
      </c>
      <c r="S260" t="n">
        <v>8770</v>
      </c>
      <c r="T260" t="n">
        <v>10065</v>
      </c>
      <c r="U260" t="n">
        <v>11360</v>
      </c>
      <c r="V260" t="n">
        <v>5994</v>
      </c>
      <c r="W260" t="n">
        <v>2036</v>
      </c>
      <c r="X260" t="n">
        <v>1777</v>
      </c>
      <c r="Y260" t="n">
        <v>8390</v>
      </c>
    </row>
    <row r="261">
      <c r="A261" t="n">
        <v>260</v>
      </c>
      <c r="B261" t="n">
        <v>0</v>
      </c>
      <c r="C261" t="n">
        <v>48812</v>
      </c>
      <c r="D261" t="n">
        <v>172827</v>
      </c>
      <c r="E261" t="n">
        <v>2143288</v>
      </c>
      <c r="F261" t="n">
        <v>26111824</v>
      </c>
      <c r="G261" t="n">
        <v>310386961</v>
      </c>
      <c r="H261" t="n">
        <v>3612491922</v>
      </c>
      <c r="I261" t="n">
        <v>41045350044</v>
      </c>
      <c r="J261" t="n">
        <v>2000</v>
      </c>
      <c r="K261" t="n">
        <v>35801</v>
      </c>
      <c r="L261" t="n">
        <v>2500</v>
      </c>
      <c r="M261" t="n">
        <v>1100</v>
      </c>
      <c r="N261" t="n">
        <v>2300</v>
      </c>
      <c r="O261" t="n">
        <v>3600</v>
      </c>
      <c r="P261" t="n">
        <v>4900</v>
      </c>
      <c r="Q261" t="n">
        <v>6200</v>
      </c>
      <c r="R261" t="n">
        <v>7500</v>
      </c>
      <c r="S261" t="n">
        <v>8800</v>
      </c>
      <c r="T261" t="n">
        <v>10100</v>
      </c>
      <c r="U261" t="n">
        <v>11400</v>
      </c>
      <c r="V261" t="n">
        <v>6028</v>
      </c>
      <c r="W261" t="n">
        <v>2040</v>
      </c>
      <c r="X261" t="n">
        <v>1780</v>
      </c>
      <c r="Y261" t="n">
        <v>8400</v>
      </c>
    </row>
    <row r="262">
      <c r="A262" t="n">
        <v>261</v>
      </c>
      <c r="B262" t="n">
        <v>0</v>
      </c>
      <c r="C262" t="n">
        <v>49545</v>
      </c>
      <c r="D262" t="n">
        <v>176284</v>
      </c>
      <c r="E262" t="n">
        <v>2207587</v>
      </c>
      <c r="F262" t="n">
        <v>27156297</v>
      </c>
      <c r="G262" t="n">
        <v>325906310</v>
      </c>
      <c r="H262" t="n">
        <v>3829241438</v>
      </c>
      <c r="I262" t="n">
        <v>43918524548</v>
      </c>
      <c r="J262" t="n">
        <v>2000</v>
      </c>
      <c r="K262" t="n">
        <v>36160</v>
      </c>
      <c r="L262" t="n">
        <v>2500</v>
      </c>
      <c r="M262" t="n">
        <v>1100</v>
      </c>
      <c r="N262" t="n">
        <v>2305</v>
      </c>
      <c r="O262" t="n">
        <v>3610</v>
      </c>
      <c r="P262" t="n">
        <v>4915</v>
      </c>
      <c r="Q262" t="n">
        <v>6220</v>
      </c>
      <c r="R262" t="n">
        <v>7525</v>
      </c>
      <c r="S262" t="n">
        <v>8830</v>
      </c>
      <c r="T262" t="n">
        <v>10135</v>
      </c>
      <c r="U262" t="n">
        <v>11440</v>
      </c>
      <c r="V262" t="n">
        <v>6063</v>
      </c>
      <c r="W262" t="n">
        <v>2044</v>
      </c>
      <c r="X262" t="n">
        <v>1783</v>
      </c>
      <c r="Y262" t="n">
        <v>8410</v>
      </c>
    </row>
    <row r="263">
      <c r="A263" t="n">
        <v>262</v>
      </c>
      <c r="B263" t="n">
        <v>0</v>
      </c>
      <c r="C263" t="n">
        <v>50289</v>
      </c>
      <c r="D263" t="n">
        <v>179810</v>
      </c>
      <c r="E263" t="n">
        <v>2273815</v>
      </c>
      <c r="F263" t="n">
        <v>28242549</v>
      </c>
      <c r="G263" t="n">
        <v>342201626</v>
      </c>
      <c r="H263" t="n">
        <v>4058995925</v>
      </c>
      <c r="I263" t="n">
        <v>46992821267</v>
      </c>
      <c r="J263" t="n">
        <v>2000</v>
      </c>
      <c r="K263" t="n">
        <v>36522</v>
      </c>
      <c r="L263" t="n">
        <v>2500</v>
      </c>
      <c r="M263" t="n">
        <v>1100</v>
      </c>
      <c r="N263" t="n">
        <v>2310</v>
      </c>
      <c r="O263" t="n">
        <v>3620</v>
      </c>
      <c r="P263" t="n">
        <v>4930</v>
      </c>
      <c r="Q263" t="n">
        <v>6240</v>
      </c>
      <c r="R263" t="n">
        <v>7550</v>
      </c>
      <c r="S263" t="n">
        <v>8860</v>
      </c>
      <c r="T263" t="n">
        <v>10170</v>
      </c>
      <c r="U263" t="n">
        <v>11480</v>
      </c>
      <c r="V263" t="n">
        <v>6098</v>
      </c>
      <c r="W263" t="n">
        <v>2048</v>
      </c>
      <c r="X263" t="n">
        <v>1786</v>
      </c>
      <c r="Y263" t="n">
        <v>8420</v>
      </c>
    </row>
    <row r="264">
      <c r="A264" t="n">
        <v>263</v>
      </c>
      <c r="B264" t="n">
        <v>0</v>
      </c>
      <c r="C264" t="n">
        <v>51044</v>
      </c>
      <c r="D264" t="n">
        <v>183407</v>
      </c>
      <c r="E264" t="n">
        <v>2342030</v>
      </c>
      <c r="F264" t="n">
        <v>29372251</v>
      </c>
      <c r="G264" t="n">
        <v>359311708</v>
      </c>
      <c r="H264" t="n">
        <v>4302535681</v>
      </c>
      <c r="I264" t="n">
        <v>50282318756</v>
      </c>
      <c r="J264" t="n">
        <v>2000</v>
      </c>
      <c r="K264" t="n">
        <v>36888</v>
      </c>
      <c r="L264" t="n">
        <v>2500</v>
      </c>
      <c r="M264" t="n">
        <v>1100</v>
      </c>
      <c r="N264" t="n">
        <v>2315</v>
      </c>
      <c r="O264" t="n">
        <v>3630</v>
      </c>
      <c r="P264" t="n">
        <v>4945</v>
      </c>
      <c r="Q264" t="n">
        <v>6260</v>
      </c>
      <c r="R264" t="n">
        <v>7575</v>
      </c>
      <c r="S264" t="n">
        <v>8890</v>
      </c>
      <c r="T264" t="n">
        <v>10205</v>
      </c>
      <c r="U264" t="n">
        <v>11520</v>
      </c>
      <c r="V264" t="n">
        <v>6133</v>
      </c>
      <c r="W264" t="n">
        <v>2052</v>
      </c>
      <c r="X264" t="n">
        <v>1789</v>
      </c>
      <c r="Y264" t="n">
        <v>8430</v>
      </c>
    </row>
    <row r="265">
      <c r="A265" t="n">
        <v>264</v>
      </c>
      <c r="B265" t="n">
        <v>0</v>
      </c>
      <c r="C265" t="n">
        <v>51810</v>
      </c>
      <c r="D265" t="n">
        <v>187076</v>
      </c>
      <c r="E265" t="n">
        <v>2412291</v>
      </c>
      <c r="F265" t="n">
        <v>30547142</v>
      </c>
      <c r="G265" t="n">
        <v>377277294</v>
      </c>
      <c r="H265" t="n">
        <v>4560687822</v>
      </c>
      <c r="I265" t="n">
        <v>53802081069</v>
      </c>
      <c r="J265" t="n">
        <v>2000</v>
      </c>
      <c r="K265" t="n">
        <v>37257</v>
      </c>
      <c r="L265" t="n">
        <v>2500</v>
      </c>
      <c r="M265" t="n">
        <v>1100</v>
      </c>
      <c r="N265" t="n">
        <v>2320</v>
      </c>
      <c r="O265" t="n">
        <v>3640</v>
      </c>
      <c r="P265" t="n">
        <v>4960</v>
      </c>
      <c r="Q265" t="n">
        <v>6280</v>
      </c>
      <c r="R265" t="n">
        <v>7600</v>
      </c>
      <c r="S265" t="n">
        <v>8920</v>
      </c>
      <c r="T265" t="n">
        <v>10240</v>
      </c>
      <c r="U265" t="n">
        <v>11560</v>
      </c>
      <c r="V265" t="n">
        <v>6168</v>
      </c>
      <c r="W265" t="n">
        <v>2056</v>
      </c>
      <c r="X265" t="n">
        <v>1792</v>
      </c>
      <c r="Y265" t="n">
        <v>8440</v>
      </c>
    </row>
    <row r="266">
      <c r="A266" t="n">
        <v>265</v>
      </c>
      <c r="B266" t="n">
        <v>0</v>
      </c>
      <c r="C266" t="n">
        <v>52588</v>
      </c>
      <c r="D266" t="n">
        <v>190818</v>
      </c>
      <c r="E266" t="n">
        <v>2484660</v>
      </c>
      <c r="F266" t="n">
        <v>31769028</v>
      </c>
      <c r="G266" t="n">
        <v>396141159</v>
      </c>
      <c r="H266" t="n">
        <v>4834329092</v>
      </c>
      <c r="I266" t="n">
        <v>57568226744</v>
      </c>
      <c r="J266" t="n">
        <v>2000</v>
      </c>
      <c r="K266" t="n">
        <v>37630</v>
      </c>
      <c r="L266" t="n">
        <v>2500</v>
      </c>
      <c r="M266" t="n">
        <v>1100</v>
      </c>
      <c r="N266" t="n">
        <v>2325</v>
      </c>
      <c r="O266" t="n">
        <v>3650</v>
      </c>
      <c r="P266" t="n">
        <v>4975</v>
      </c>
      <c r="Q266" t="n">
        <v>6300</v>
      </c>
      <c r="R266" t="n">
        <v>7625</v>
      </c>
      <c r="S266" t="n">
        <v>8950</v>
      </c>
      <c r="T266" t="n">
        <v>10275</v>
      </c>
      <c r="U266" t="n">
        <v>11600</v>
      </c>
      <c r="V266" t="n">
        <v>6203</v>
      </c>
      <c r="W266" t="n">
        <v>2060</v>
      </c>
      <c r="X266" t="n">
        <v>1795</v>
      </c>
      <c r="Y266" t="n">
        <v>8450</v>
      </c>
    </row>
    <row r="267">
      <c r="A267" t="n">
        <v>266</v>
      </c>
      <c r="B267" t="n">
        <v>0</v>
      </c>
      <c r="C267" t="n">
        <v>53377</v>
      </c>
      <c r="D267" t="n">
        <v>194635</v>
      </c>
      <c r="E267" t="n">
        <v>2559200</v>
      </c>
      <c r="F267" t="n">
        <v>33039790</v>
      </c>
      <c r="G267" t="n">
        <v>415948217</v>
      </c>
      <c r="H267" t="n">
        <v>5124388838</v>
      </c>
      <c r="I267" t="n">
        <v>61598002617</v>
      </c>
      <c r="J267" t="n">
        <v>2000</v>
      </c>
      <c r="K267" t="n">
        <v>38007</v>
      </c>
      <c r="L267" t="n">
        <v>2500</v>
      </c>
      <c r="M267" t="n">
        <v>1100</v>
      </c>
      <c r="N267" t="n">
        <v>2330</v>
      </c>
      <c r="O267" t="n">
        <v>3660</v>
      </c>
      <c r="P267" t="n">
        <v>4990</v>
      </c>
      <c r="Q267" t="n">
        <v>6320</v>
      </c>
      <c r="R267" t="n">
        <v>7650</v>
      </c>
      <c r="S267" t="n">
        <v>8980</v>
      </c>
      <c r="T267" t="n">
        <v>10310</v>
      </c>
      <c r="U267" t="n">
        <v>11640</v>
      </c>
      <c r="V267" t="n">
        <v>6239</v>
      </c>
      <c r="W267" t="n">
        <v>2064</v>
      </c>
      <c r="X267" t="n">
        <v>1798</v>
      </c>
      <c r="Y267" t="n">
        <v>8460</v>
      </c>
    </row>
    <row r="268">
      <c r="A268" t="n">
        <v>267</v>
      </c>
      <c r="B268" t="n">
        <v>0</v>
      </c>
      <c r="C268" t="n">
        <v>54178</v>
      </c>
      <c r="D268" t="n">
        <v>198528</v>
      </c>
      <c r="E268" t="n">
        <v>2635976</v>
      </c>
      <c r="F268" t="n">
        <v>34361382</v>
      </c>
      <c r="G268" t="n">
        <v>436745628</v>
      </c>
      <c r="H268" t="n">
        <v>5431852169</v>
      </c>
      <c r="I268" t="n">
        <v>65909862801</v>
      </c>
      <c r="J268" t="n">
        <v>2000</v>
      </c>
      <c r="K268" t="n">
        <v>38388</v>
      </c>
      <c r="L268" t="n">
        <v>2500</v>
      </c>
      <c r="M268" t="n">
        <v>1100</v>
      </c>
      <c r="N268" t="n">
        <v>2335</v>
      </c>
      <c r="O268" t="n">
        <v>3670</v>
      </c>
      <c r="P268" t="n">
        <v>5005</v>
      </c>
      <c r="Q268" t="n">
        <v>6340</v>
      </c>
      <c r="R268" t="n">
        <v>7675</v>
      </c>
      <c r="S268" t="n">
        <v>9010</v>
      </c>
      <c r="T268" t="n">
        <v>10345</v>
      </c>
      <c r="U268" t="n">
        <v>11680</v>
      </c>
      <c r="V268" t="n">
        <v>6275</v>
      </c>
      <c r="W268" t="n">
        <v>2068</v>
      </c>
      <c r="X268" t="n">
        <v>1801</v>
      </c>
      <c r="Y268" t="n">
        <v>8470</v>
      </c>
    </row>
    <row r="269">
      <c r="A269" t="n">
        <v>268</v>
      </c>
      <c r="B269" t="n">
        <v>0</v>
      </c>
      <c r="C269" t="n">
        <v>54991</v>
      </c>
      <c r="D269" t="n">
        <v>202499</v>
      </c>
      <c r="E269" t="n">
        <v>2715056</v>
      </c>
      <c r="F269" t="n">
        <v>35735838</v>
      </c>
      <c r="G269" t="n">
        <v>458582910</v>
      </c>
      <c r="H269" t="n">
        <v>5757763300</v>
      </c>
      <c r="I269" t="n">
        <v>70523553198</v>
      </c>
      <c r="J269" t="n">
        <v>2000</v>
      </c>
      <c r="K269" t="n">
        <v>38772</v>
      </c>
      <c r="L269" t="n">
        <v>2500</v>
      </c>
      <c r="M269" t="n">
        <v>1100</v>
      </c>
      <c r="N269" t="n">
        <v>2340</v>
      </c>
      <c r="O269" t="n">
        <v>3680</v>
      </c>
      <c r="P269" t="n">
        <v>5020</v>
      </c>
      <c r="Q269" t="n">
        <v>6360</v>
      </c>
      <c r="R269" t="n">
        <v>7700</v>
      </c>
      <c r="S269" t="n">
        <v>9040</v>
      </c>
      <c r="T269" t="n">
        <v>10380</v>
      </c>
      <c r="U269" t="n">
        <v>11720</v>
      </c>
      <c r="V269" t="n">
        <v>6311</v>
      </c>
      <c r="W269" t="n">
        <v>2072</v>
      </c>
      <c r="X269" t="n">
        <v>1804</v>
      </c>
      <c r="Y269" t="n">
        <v>8480</v>
      </c>
    </row>
    <row r="270">
      <c r="A270" t="n">
        <v>269</v>
      </c>
      <c r="B270" t="n">
        <v>0</v>
      </c>
      <c r="C270" t="n">
        <v>55816</v>
      </c>
      <c r="D270" t="n">
        <v>206549</v>
      </c>
      <c r="E270" t="n">
        <v>2796508</v>
      </c>
      <c r="F270" t="n">
        <v>37165272</v>
      </c>
      <c r="G270" t="n">
        <v>481512056</v>
      </c>
      <c r="H270" t="n">
        <v>6103229098</v>
      </c>
      <c r="I270" t="n">
        <v>75460201922</v>
      </c>
      <c r="J270" t="n">
        <v>2000</v>
      </c>
      <c r="K270" t="n">
        <v>39160</v>
      </c>
      <c r="L270" t="n">
        <v>2500</v>
      </c>
      <c r="M270" t="n">
        <v>1100</v>
      </c>
      <c r="N270" t="n">
        <v>2345</v>
      </c>
      <c r="O270" t="n">
        <v>3690</v>
      </c>
      <c r="P270" t="n">
        <v>5035</v>
      </c>
      <c r="Q270" t="n">
        <v>6380</v>
      </c>
      <c r="R270" t="n">
        <v>7725</v>
      </c>
      <c r="S270" t="n">
        <v>9070</v>
      </c>
      <c r="T270" t="n">
        <v>10415</v>
      </c>
      <c r="U270" t="n">
        <v>11760</v>
      </c>
      <c r="V270" t="n">
        <v>6347</v>
      </c>
      <c r="W270" t="n">
        <v>2076</v>
      </c>
      <c r="X270" t="n">
        <v>1807</v>
      </c>
      <c r="Y270" t="n">
        <v>8490</v>
      </c>
    </row>
    <row r="271">
      <c r="A271" t="n">
        <v>270</v>
      </c>
      <c r="B271" t="n">
        <v>0</v>
      </c>
      <c r="C271" t="n">
        <v>56654</v>
      </c>
      <c r="D271" t="n">
        <v>210680</v>
      </c>
      <c r="E271" t="n">
        <v>2880404</v>
      </c>
      <c r="F271" t="n">
        <v>38651883</v>
      </c>
      <c r="G271" t="n">
        <v>505587659</v>
      </c>
      <c r="H271" t="n">
        <v>6469422844</v>
      </c>
      <c r="I271" t="n">
        <v>80742416057</v>
      </c>
      <c r="J271" t="n">
        <v>2000</v>
      </c>
      <c r="K271" t="n">
        <v>39552</v>
      </c>
      <c r="L271" t="n">
        <v>2500</v>
      </c>
      <c r="M271" t="n">
        <v>1100</v>
      </c>
      <c r="N271" t="n">
        <v>2350</v>
      </c>
      <c r="O271" t="n">
        <v>3700</v>
      </c>
      <c r="P271" t="n">
        <v>5050</v>
      </c>
      <c r="Q271" t="n">
        <v>6400</v>
      </c>
      <c r="R271" t="n">
        <v>7750</v>
      </c>
      <c r="S271" t="n">
        <v>9100</v>
      </c>
      <c r="T271" t="n">
        <v>10450</v>
      </c>
      <c r="U271" t="n">
        <v>11800</v>
      </c>
      <c r="V271" t="n">
        <v>6383</v>
      </c>
      <c r="W271" t="n">
        <v>2080</v>
      </c>
      <c r="X271" t="n">
        <v>1810</v>
      </c>
      <c r="Y271" t="n">
        <v>8500</v>
      </c>
    </row>
    <row r="272">
      <c r="A272" t="n">
        <v>271</v>
      </c>
      <c r="B272" t="n">
        <v>0</v>
      </c>
      <c r="C272" t="n">
        <v>57504</v>
      </c>
      <c r="D272" t="n">
        <v>214894</v>
      </c>
      <c r="E272" t="n">
        <v>2966817</v>
      </c>
      <c r="F272" t="n">
        <v>40197959</v>
      </c>
      <c r="G272" t="n">
        <v>530867042</v>
      </c>
      <c r="H272" t="n">
        <v>6857588215</v>
      </c>
      <c r="I272" t="n">
        <v>86394385181</v>
      </c>
      <c r="J272" t="n">
        <v>2000</v>
      </c>
      <c r="K272" t="n">
        <v>39948</v>
      </c>
      <c r="L272" t="n">
        <v>2500</v>
      </c>
      <c r="M272" t="n">
        <v>1100</v>
      </c>
      <c r="N272" t="n">
        <v>2355</v>
      </c>
      <c r="O272" t="n">
        <v>3710</v>
      </c>
      <c r="P272" t="n">
        <v>5065</v>
      </c>
      <c r="Q272" t="n">
        <v>6420</v>
      </c>
      <c r="R272" t="n">
        <v>7775</v>
      </c>
      <c r="S272" t="n">
        <v>9130</v>
      </c>
      <c r="T272" t="n">
        <v>10485</v>
      </c>
      <c r="U272" t="n">
        <v>11840</v>
      </c>
      <c r="V272" t="n">
        <v>6419</v>
      </c>
      <c r="W272" t="n">
        <v>2084</v>
      </c>
      <c r="X272" t="n">
        <v>1813</v>
      </c>
      <c r="Y272" t="n">
        <v>8510</v>
      </c>
    </row>
    <row r="273">
      <c r="A273" t="n">
        <v>272</v>
      </c>
      <c r="B273" t="n">
        <v>0</v>
      </c>
      <c r="C273" t="n">
        <v>58367</v>
      </c>
      <c r="D273" t="n">
        <v>219192</v>
      </c>
      <c r="E273" t="n">
        <v>3055822</v>
      </c>
      <c r="F273" t="n">
        <v>41805878</v>
      </c>
      <c r="G273" t="n">
        <v>557410395</v>
      </c>
      <c r="H273" t="n">
        <v>7269043508</v>
      </c>
      <c r="I273" t="n">
        <v>92441992144</v>
      </c>
      <c r="J273" t="n">
        <v>2000</v>
      </c>
      <c r="K273" t="n">
        <v>40348</v>
      </c>
      <c r="L273" t="n">
        <v>2500</v>
      </c>
      <c r="M273" t="n">
        <v>1100</v>
      </c>
      <c r="N273" t="n">
        <v>2360</v>
      </c>
      <c r="O273" t="n">
        <v>3720</v>
      </c>
      <c r="P273" t="n">
        <v>5080</v>
      </c>
      <c r="Q273" t="n">
        <v>6440</v>
      </c>
      <c r="R273" t="n">
        <v>7800</v>
      </c>
      <c r="S273" t="n">
        <v>9160</v>
      </c>
      <c r="T273" t="n">
        <v>10520</v>
      </c>
      <c r="U273" t="n">
        <v>11880</v>
      </c>
      <c r="V273" t="n">
        <v>6456</v>
      </c>
      <c r="W273" t="n">
        <v>2088</v>
      </c>
      <c r="X273" t="n">
        <v>1816</v>
      </c>
      <c r="Y273" t="n">
        <v>8520</v>
      </c>
    </row>
    <row r="274">
      <c r="A274" t="n">
        <v>273</v>
      </c>
      <c r="B274" t="n">
        <v>0</v>
      </c>
      <c r="C274" t="n">
        <v>59243</v>
      </c>
      <c r="D274" t="n">
        <v>223576</v>
      </c>
      <c r="E274" t="n">
        <v>3147497</v>
      </c>
      <c r="F274" t="n">
        <v>43478114</v>
      </c>
      <c r="G274" t="n">
        <v>585280915</v>
      </c>
      <c r="H274" t="n">
        <v>7705186119</v>
      </c>
      <c r="I274" t="n">
        <v>98912931595</v>
      </c>
      <c r="J274" t="n">
        <v>2000</v>
      </c>
      <c r="K274" t="n">
        <v>40752</v>
      </c>
      <c r="L274" t="n">
        <v>2500</v>
      </c>
      <c r="M274" t="n">
        <v>1100</v>
      </c>
      <c r="N274" t="n">
        <v>2365</v>
      </c>
      <c r="O274" t="n">
        <v>3730</v>
      </c>
      <c r="P274" t="n">
        <v>5095</v>
      </c>
      <c r="Q274" t="n">
        <v>6460</v>
      </c>
      <c r="R274" t="n">
        <v>7825</v>
      </c>
      <c r="S274" t="n">
        <v>9190</v>
      </c>
      <c r="T274" t="n">
        <v>10555</v>
      </c>
      <c r="U274" t="n">
        <v>11920</v>
      </c>
      <c r="V274" t="n">
        <v>6493</v>
      </c>
      <c r="W274" t="n">
        <v>2092</v>
      </c>
      <c r="X274" t="n">
        <v>1819</v>
      </c>
      <c r="Y274" t="n">
        <v>8530</v>
      </c>
    </row>
    <row r="275">
      <c r="A275" t="n">
        <v>274</v>
      </c>
      <c r="B275" t="n">
        <v>0</v>
      </c>
      <c r="C275" t="n">
        <v>60132</v>
      </c>
      <c r="D275" t="n">
        <v>228048</v>
      </c>
      <c r="E275" t="n">
        <v>3241922</v>
      </c>
      <c r="F275" t="n">
        <v>45217239</v>
      </c>
      <c r="G275" t="n">
        <v>614544961</v>
      </c>
      <c r="H275" t="n">
        <v>8167497287</v>
      </c>
      <c r="I275" t="n">
        <v>105836836807</v>
      </c>
      <c r="J275" t="n">
        <v>2000</v>
      </c>
      <c r="K275" t="n">
        <v>41160</v>
      </c>
      <c r="L275" t="n">
        <v>2500</v>
      </c>
      <c r="M275" t="n">
        <v>1100</v>
      </c>
      <c r="N275" t="n">
        <v>2370</v>
      </c>
      <c r="O275" t="n">
        <v>3740</v>
      </c>
      <c r="P275" t="n">
        <v>5110</v>
      </c>
      <c r="Q275" t="n">
        <v>6480</v>
      </c>
      <c r="R275" t="n">
        <v>7850</v>
      </c>
      <c r="S275" t="n">
        <v>9220</v>
      </c>
      <c r="T275" t="n">
        <v>10590</v>
      </c>
      <c r="U275" t="n">
        <v>11960</v>
      </c>
      <c r="V275" t="n">
        <v>6530</v>
      </c>
      <c r="W275" t="n">
        <v>2096</v>
      </c>
      <c r="X275" t="n">
        <v>1822</v>
      </c>
      <c r="Y275" t="n">
        <v>8540</v>
      </c>
    </row>
    <row r="276">
      <c r="A276" t="n">
        <v>275</v>
      </c>
      <c r="B276" t="n">
        <v>0</v>
      </c>
      <c r="C276" t="n">
        <v>61034</v>
      </c>
      <c r="D276" t="n">
        <v>232609</v>
      </c>
      <c r="E276" t="n">
        <v>3339180</v>
      </c>
      <c r="F276" t="n">
        <v>47025929</v>
      </c>
      <c r="G276" t="n">
        <v>645272210</v>
      </c>
      <c r="H276" t="n">
        <v>8657547125</v>
      </c>
      <c r="I276" t="n">
        <v>113245415384</v>
      </c>
      <c r="J276" t="n">
        <v>2000</v>
      </c>
      <c r="K276" t="n">
        <v>41572</v>
      </c>
      <c r="L276" t="n">
        <v>2500</v>
      </c>
      <c r="M276" t="n">
        <v>1100</v>
      </c>
      <c r="N276" t="n">
        <v>2375</v>
      </c>
      <c r="O276" t="n">
        <v>3750</v>
      </c>
      <c r="P276" t="n">
        <v>5125</v>
      </c>
      <c r="Q276" t="n">
        <v>6500</v>
      </c>
      <c r="R276" t="n">
        <v>7875</v>
      </c>
      <c r="S276" t="n">
        <v>9250</v>
      </c>
      <c r="T276" t="n">
        <v>10625</v>
      </c>
      <c r="U276" t="n">
        <v>12000</v>
      </c>
      <c r="V276" t="n">
        <v>6567</v>
      </c>
      <c r="W276" t="n">
        <v>2100</v>
      </c>
      <c r="X276" t="n">
        <v>1825</v>
      </c>
      <c r="Y276" t="n">
        <v>8550</v>
      </c>
    </row>
    <row r="277">
      <c r="A277" t="n">
        <v>276</v>
      </c>
      <c r="B277" t="n">
        <v>0</v>
      </c>
      <c r="C277" t="n">
        <v>61950</v>
      </c>
      <c r="D277" t="n">
        <v>237262</v>
      </c>
      <c r="E277" t="n">
        <v>3439356</v>
      </c>
      <c r="F277" t="n">
        <v>48906967</v>
      </c>
      <c r="G277" t="n">
        <v>677535821</v>
      </c>
      <c r="H277" t="n">
        <v>9176999953</v>
      </c>
      <c r="I277" t="n">
        <v>121172594461</v>
      </c>
      <c r="J277" t="n">
        <v>2000</v>
      </c>
      <c r="K277" t="n">
        <v>41988</v>
      </c>
      <c r="L277" t="n">
        <v>2500</v>
      </c>
      <c r="M277" t="n">
        <v>1100</v>
      </c>
      <c r="N277" t="n">
        <v>2380</v>
      </c>
      <c r="O277" t="n">
        <v>3760</v>
      </c>
      <c r="P277" t="n">
        <v>5140</v>
      </c>
      <c r="Q277" t="n">
        <v>6520</v>
      </c>
      <c r="R277" t="n">
        <v>7900</v>
      </c>
      <c r="S277" t="n">
        <v>9280</v>
      </c>
      <c r="T277" t="n">
        <v>10660</v>
      </c>
      <c r="U277" t="n">
        <v>12040</v>
      </c>
      <c r="V277" t="n">
        <v>6604</v>
      </c>
      <c r="W277" t="n">
        <v>2104</v>
      </c>
      <c r="X277" t="n">
        <v>1828</v>
      </c>
      <c r="Y277" t="n">
        <v>8560</v>
      </c>
    </row>
    <row r="278">
      <c r="A278" t="n">
        <v>277</v>
      </c>
      <c r="B278" t="n">
        <v>0</v>
      </c>
      <c r="C278" t="n">
        <v>62880</v>
      </c>
      <c r="D278" t="n">
        <v>242008</v>
      </c>
      <c r="E278" t="n">
        <v>3542537</v>
      </c>
      <c r="F278" t="n">
        <v>50863246</v>
      </c>
      <c r="G278" t="n">
        <v>711412613</v>
      </c>
      <c r="H278" t="n">
        <v>9727619951</v>
      </c>
      <c r="I278" t="n">
        <v>129654676074</v>
      </c>
      <c r="J278" t="n">
        <v>2000</v>
      </c>
      <c r="K278" t="n">
        <v>42408</v>
      </c>
      <c r="L278" t="n">
        <v>2500</v>
      </c>
      <c r="M278" t="n">
        <v>1100</v>
      </c>
      <c r="N278" t="n">
        <v>2385</v>
      </c>
      <c r="O278" t="n">
        <v>3770</v>
      </c>
      <c r="P278" t="n">
        <v>5155</v>
      </c>
      <c r="Q278" t="n">
        <v>6540</v>
      </c>
      <c r="R278" t="n">
        <v>7925</v>
      </c>
      <c r="S278" t="n">
        <v>9310</v>
      </c>
      <c r="T278" t="n">
        <v>10695</v>
      </c>
      <c r="U278" t="n">
        <v>12080</v>
      </c>
      <c r="V278" t="n">
        <v>6642</v>
      </c>
      <c r="W278" t="n">
        <v>2108</v>
      </c>
      <c r="X278" t="n">
        <v>1831</v>
      </c>
      <c r="Y278" t="n">
        <v>8570</v>
      </c>
    </row>
    <row r="279">
      <c r="A279" t="n">
        <v>278</v>
      </c>
      <c r="B279" t="n">
        <v>0</v>
      </c>
      <c r="C279" t="n">
        <v>63824</v>
      </c>
      <c r="D279" t="n">
        <v>246849</v>
      </c>
      <c r="E279" t="n">
        <v>3648814</v>
      </c>
      <c r="F279" t="n">
        <v>52897776</v>
      </c>
      <c r="G279" t="n">
        <v>746983244</v>
      </c>
      <c r="H279" t="n">
        <v>10311277149</v>
      </c>
      <c r="I279" t="n">
        <v>138730503400</v>
      </c>
      <c r="J279" t="n">
        <v>2000</v>
      </c>
      <c r="K279" t="n">
        <v>42833</v>
      </c>
      <c r="L279" t="n">
        <v>2500</v>
      </c>
      <c r="M279" t="n">
        <v>1100</v>
      </c>
      <c r="N279" t="n">
        <v>2390</v>
      </c>
      <c r="O279" t="n">
        <v>3780</v>
      </c>
      <c r="P279" t="n">
        <v>5170</v>
      </c>
      <c r="Q279" t="n">
        <v>6560</v>
      </c>
      <c r="R279" t="n">
        <v>7950</v>
      </c>
      <c r="S279" t="n">
        <v>9340</v>
      </c>
      <c r="T279" t="n">
        <v>10730</v>
      </c>
      <c r="U279" t="n">
        <v>12120</v>
      </c>
      <c r="V279" t="n">
        <v>6680</v>
      </c>
      <c r="W279" t="n">
        <v>2112</v>
      </c>
      <c r="X279" t="n">
        <v>1834</v>
      </c>
      <c r="Y279" t="n">
        <v>8580</v>
      </c>
    </row>
    <row r="280">
      <c r="A280" t="n">
        <v>279</v>
      </c>
      <c r="B280" t="n">
        <v>0</v>
      </c>
      <c r="C280" t="n">
        <v>64782</v>
      </c>
      <c r="D280" t="n">
        <v>251786</v>
      </c>
      <c r="E280" t="n">
        <v>3758279</v>
      </c>
      <c r="F280" t="n">
        <v>55013688</v>
      </c>
      <c r="G280" t="n">
        <v>784332407</v>
      </c>
      <c r="H280" t="n">
        <v>10929953778</v>
      </c>
      <c r="I280" t="n">
        <v>148441638638</v>
      </c>
      <c r="J280" t="n">
        <v>2000</v>
      </c>
      <c r="K280" t="n">
        <v>43262</v>
      </c>
      <c r="L280" t="n">
        <v>2500</v>
      </c>
      <c r="M280" t="n">
        <v>1100</v>
      </c>
      <c r="N280" t="n">
        <v>2395</v>
      </c>
      <c r="O280" t="n">
        <v>3790</v>
      </c>
      <c r="P280" t="n">
        <v>5185</v>
      </c>
      <c r="Q280" t="n">
        <v>6580</v>
      </c>
      <c r="R280" t="n">
        <v>7975</v>
      </c>
      <c r="S280" t="n">
        <v>9370</v>
      </c>
      <c r="T280" t="n">
        <v>10765</v>
      </c>
      <c r="U280" t="n">
        <v>12160</v>
      </c>
      <c r="V280" t="n">
        <v>6718</v>
      </c>
      <c r="W280" t="n">
        <v>2116</v>
      </c>
      <c r="X280" t="n">
        <v>1837</v>
      </c>
      <c r="Y280" t="n">
        <v>8590</v>
      </c>
    </row>
    <row r="281">
      <c r="A281" t="n">
        <v>280</v>
      </c>
      <c r="B281" t="n">
        <v>0</v>
      </c>
      <c r="C281" t="n">
        <v>65754</v>
      </c>
      <c r="D281" t="n">
        <v>256822</v>
      </c>
      <c r="E281" t="n">
        <v>3871028</v>
      </c>
      <c r="F281" t="n">
        <v>57214236</v>
      </c>
      <c r="G281" t="n">
        <v>823549028</v>
      </c>
      <c r="H281" t="n">
        <v>11585751005</v>
      </c>
      <c r="I281" t="n">
        <v>158832553343</v>
      </c>
      <c r="J281" t="n">
        <v>2000</v>
      </c>
      <c r="K281" t="n">
        <v>43695</v>
      </c>
      <c r="L281" t="n">
        <v>2500</v>
      </c>
      <c r="M281" t="n">
        <v>1100</v>
      </c>
      <c r="N281" t="n">
        <v>2400</v>
      </c>
      <c r="O281" t="n">
        <v>3800</v>
      </c>
      <c r="P281" t="n">
        <v>5200</v>
      </c>
      <c r="Q281" t="n">
        <v>6600</v>
      </c>
      <c r="R281" t="n">
        <v>8000</v>
      </c>
      <c r="S281" t="n">
        <v>9400</v>
      </c>
      <c r="T281" t="n">
        <v>10800</v>
      </c>
      <c r="U281" t="n">
        <v>12200</v>
      </c>
      <c r="V281" t="n">
        <v>6756</v>
      </c>
      <c r="W281" t="n">
        <v>2120</v>
      </c>
      <c r="X281" t="n">
        <v>1840</v>
      </c>
      <c r="Y281" t="n">
        <v>8600</v>
      </c>
    </row>
    <row r="282">
      <c r="A282" t="n">
        <v>281</v>
      </c>
      <c r="B282" t="n">
        <v>0</v>
      </c>
      <c r="C282" t="n">
        <v>66741</v>
      </c>
      <c r="D282" t="n">
        <v>261959</v>
      </c>
      <c r="E282" t="n">
        <v>3987159</v>
      </c>
      <c r="F282" t="n">
        <v>59502806</v>
      </c>
      <c r="G282" t="n">
        <v>864726480</v>
      </c>
      <c r="H282" t="n">
        <v>12280896066</v>
      </c>
      <c r="I282" t="n">
        <v>169950832078</v>
      </c>
      <c r="J282" t="n">
        <v>2000</v>
      </c>
      <c r="K282" t="n">
        <v>44132</v>
      </c>
      <c r="L282" t="n">
        <v>2500</v>
      </c>
      <c r="M282" t="n">
        <v>1100</v>
      </c>
      <c r="N282" t="n">
        <v>2405</v>
      </c>
      <c r="O282" t="n">
        <v>3810</v>
      </c>
      <c r="P282" t="n">
        <v>5215</v>
      </c>
      <c r="Q282" t="n">
        <v>6620</v>
      </c>
      <c r="R282" t="n">
        <v>8025</v>
      </c>
      <c r="S282" t="n">
        <v>9430</v>
      </c>
      <c r="T282" t="n">
        <v>10835</v>
      </c>
      <c r="U282" t="n">
        <v>12240</v>
      </c>
      <c r="V282" t="n">
        <v>6794</v>
      </c>
      <c r="W282" t="n">
        <v>2124</v>
      </c>
      <c r="X282" t="n">
        <v>1843</v>
      </c>
      <c r="Y282" t="n">
        <v>8610</v>
      </c>
    </row>
    <row r="283">
      <c r="A283" t="n">
        <v>282</v>
      </c>
      <c r="B283" t="n">
        <v>0</v>
      </c>
      <c r="C283" t="n">
        <v>67743</v>
      </c>
      <c r="D283" t="n">
        <v>267199</v>
      </c>
      <c r="E283" t="n">
        <v>4106774</v>
      </c>
      <c r="F283" t="n">
        <v>61882919</v>
      </c>
      <c r="G283" t="n">
        <v>907962804</v>
      </c>
      <c r="H283" t="n">
        <v>13017749830</v>
      </c>
      <c r="I283" t="n">
        <v>181847390324</v>
      </c>
      <c r="J283" t="n">
        <v>2000</v>
      </c>
      <c r="K283" t="n">
        <v>44574</v>
      </c>
      <c r="L283" t="n">
        <v>2500</v>
      </c>
      <c r="M283" t="n">
        <v>1100</v>
      </c>
      <c r="N283" t="n">
        <v>2410</v>
      </c>
      <c r="O283" t="n">
        <v>3820</v>
      </c>
      <c r="P283" t="n">
        <v>5230</v>
      </c>
      <c r="Q283" t="n">
        <v>6640</v>
      </c>
      <c r="R283" t="n">
        <v>8050</v>
      </c>
      <c r="S283" t="n">
        <v>9460</v>
      </c>
      <c r="T283" t="n">
        <v>10870</v>
      </c>
      <c r="U283" t="n">
        <v>12280</v>
      </c>
      <c r="V283" t="n">
        <v>6832</v>
      </c>
      <c r="W283" t="n">
        <v>2128</v>
      </c>
      <c r="X283" t="n">
        <v>1846</v>
      </c>
      <c r="Y283" t="n">
        <v>8620</v>
      </c>
    </row>
    <row r="284">
      <c r="A284" t="n">
        <v>283</v>
      </c>
      <c r="B284" t="n">
        <v>0</v>
      </c>
      <c r="C284" t="n">
        <v>68760</v>
      </c>
      <c r="D284" t="n">
        <v>272543</v>
      </c>
      <c r="E284" t="n">
        <v>4229978</v>
      </c>
      <c r="F284" t="n">
        <v>64358236</v>
      </c>
      <c r="G284" t="n">
        <v>953360945</v>
      </c>
      <c r="H284" t="n">
        <v>13798814820</v>
      </c>
      <c r="I284" t="n">
        <v>194576707647</v>
      </c>
      <c r="J284" t="n">
        <v>2000</v>
      </c>
      <c r="K284" t="n">
        <v>45020</v>
      </c>
      <c r="L284" t="n">
        <v>2500</v>
      </c>
      <c r="M284" t="n">
        <v>1100</v>
      </c>
      <c r="N284" t="n">
        <v>2415</v>
      </c>
      <c r="O284" t="n">
        <v>3830</v>
      </c>
      <c r="P284" t="n">
        <v>5245</v>
      </c>
      <c r="Q284" t="n">
        <v>6660</v>
      </c>
      <c r="R284" t="n">
        <v>8075</v>
      </c>
      <c r="S284" t="n">
        <v>9490</v>
      </c>
      <c r="T284" t="n">
        <v>10905</v>
      </c>
      <c r="U284" t="n">
        <v>12320</v>
      </c>
      <c r="V284" t="n">
        <v>6871</v>
      </c>
      <c r="W284" t="n">
        <v>2132</v>
      </c>
      <c r="X284" t="n">
        <v>1849</v>
      </c>
      <c r="Y284" t="n">
        <v>8630</v>
      </c>
    </row>
    <row r="285">
      <c r="A285" t="n">
        <v>284</v>
      </c>
      <c r="B285" t="n">
        <v>0</v>
      </c>
      <c r="C285" t="n">
        <v>69792</v>
      </c>
      <c r="D285" t="n">
        <v>277994</v>
      </c>
      <c r="E285" t="n">
        <v>4356878</v>
      </c>
      <c r="F285" t="n">
        <v>66932566</v>
      </c>
      <c r="G285" t="n">
        <v>1001028993</v>
      </c>
      <c r="H285" t="n">
        <v>14626743710</v>
      </c>
      <c r="I285" t="n">
        <v>208197077183</v>
      </c>
      <c r="J285" t="n">
        <v>2000</v>
      </c>
      <c r="K285" t="n">
        <v>45471</v>
      </c>
      <c r="L285" t="n">
        <v>2500</v>
      </c>
      <c r="M285" t="n">
        <v>1100</v>
      </c>
      <c r="N285" t="n">
        <v>2420</v>
      </c>
      <c r="O285" t="n">
        <v>3840</v>
      </c>
      <c r="P285" t="n">
        <v>5260</v>
      </c>
      <c r="Q285" t="n">
        <v>6680</v>
      </c>
      <c r="R285" t="n">
        <v>8100</v>
      </c>
      <c r="S285" t="n">
        <v>9520</v>
      </c>
      <c r="T285" t="n">
        <v>10940</v>
      </c>
      <c r="U285" t="n">
        <v>12360</v>
      </c>
      <c r="V285" t="n">
        <v>6910</v>
      </c>
      <c r="W285" t="n">
        <v>2136</v>
      </c>
      <c r="X285" t="n">
        <v>1852</v>
      </c>
      <c r="Y285" t="n">
        <v>8640</v>
      </c>
    </row>
    <row r="286">
      <c r="A286" t="n">
        <v>285</v>
      </c>
      <c r="B286" t="n">
        <v>0</v>
      </c>
      <c r="C286" t="n">
        <v>70839</v>
      </c>
      <c r="D286" t="n">
        <v>283554</v>
      </c>
      <c r="E286" t="n">
        <v>4487585</v>
      </c>
      <c r="F286" t="n">
        <v>69609869</v>
      </c>
      <c r="G286" t="n">
        <v>1051080443</v>
      </c>
      <c r="H286" t="n">
        <v>15504348333</v>
      </c>
      <c r="I286" t="n">
        <v>222770872586</v>
      </c>
      <c r="J286" t="n">
        <v>2000</v>
      </c>
      <c r="K286" t="n">
        <v>45926</v>
      </c>
      <c r="L286" t="n">
        <v>2500</v>
      </c>
      <c r="M286" t="n">
        <v>1100</v>
      </c>
      <c r="N286" t="n">
        <v>2425</v>
      </c>
      <c r="O286" t="n">
        <v>3850</v>
      </c>
      <c r="P286" t="n">
        <v>5275</v>
      </c>
      <c r="Q286" t="n">
        <v>6700</v>
      </c>
      <c r="R286" t="n">
        <v>8125</v>
      </c>
      <c r="S286" t="n">
        <v>9550</v>
      </c>
      <c r="T286" t="n">
        <v>10975</v>
      </c>
      <c r="U286" t="n">
        <v>12400</v>
      </c>
      <c r="V286" t="n">
        <v>6949</v>
      </c>
      <c r="W286" t="n">
        <v>2140</v>
      </c>
      <c r="X286" t="n">
        <v>1855</v>
      </c>
      <c r="Y286" t="n">
        <v>8650</v>
      </c>
    </row>
    <row r="287">
      <c r="A287" t="n">
        <v>286</v>
      </c>
      <c r="B287" t="n">
        <v>0</v>
      </c>
      <c r="C287" t="n">
        <v>71902</v>
      </c>
      <c r="D287" t="n">
        <v>289226</v>
      </c>
      <c r="E287" t="n">
        <v>4622213</v>
      </c>
      <c r="F287" t="n">
        <v>72394264</v>
      </c>
      <c r="G287" t="n">
        <v>1103634466</v>
      </c>
      <c r="H287" t="n">
        <v>16434609233</v>
      </c>
      <c r="I287" t="n">
        <v>238364833668</v>
      </c>
      <c r="J287" t="n">
        <v>2000</v>
      </c>
      <c r="K287" t="n">
        <v>46386</v>
      </c>
      <c r="L287" t="n">
        <v>2500</v>
      </c>
      <c r="M287" t="n">
        <v>1100</v>
      </c>
      <c r="N287" t="n">
        <v>2430</v>
      </c>
      <c r="O287" t="n">
        <v>3860</v>
      </c>
      <c r="P287" t="n">
        <v>5290</v>
      </c>
      <c r="Q287" t="n">
        <v>6720</v>
      </c>
      <c r="R287" t="n">
        <v>8150</v>
      </c>
      <c r="S287" t="n">
        <v>9580</v>
      </c>
      <c r="T287" t="n">
        <v>11010</v>
      </c>
      <c r="U287" t="n">
        <v>12440</v>
      </c>
      <c r="V287" t="n">
        <v>6988</v>
      </c>
      <c r="W287" t="n">
        <v>2144</v>
      </c>
      <c r="X287" t="n">
        <v>1858</v>
      </c>
      <c r="Y287" t="n">
        <v>8660</v>
      </c>
    </row>
    <row r="288">
      <c r="A288" t="n">
        <v>287</v>
      </c>
      <c r="B288" t="n">
        <v>0</v>
      </c>
      <c r="C288" t="n">
        <v>72981</v>
      </c>
      <c r="D288" t="n">
        <v>295011</v>
      </c>
      <c r="E288" t="n">
        <v>4760880</v>
      </c>
      <c r="F288" t="n">
        <v>75290035</v>
      </c>
      <c r="G288" t="n">
        <v>1158816190</v>
      </c>
      <c r="H288" t="n">
        <v>17420685787</v>
      </c>
      <c r="I288" t="n">
        <v>255050372025</v>
      </c>
      <c r="J288" t="n">
        <v>2000</v>
      </c>
      <c r="K288" t="n">
        <v>46850</v>
      </c>
      <c r="L288" t="n">
        <v>2500</v>
      </c>
      <c r="M288" t="n">
        <v>1100</v>
      </c>
      <c r="N288" t="n">
        <v>2435</v>
      </c>
      <c r="O288" t="n">
        <v>3870</v>
      </c>
      <c r="P288" t="n">
        <v>5305</v>
      </c>
      <c r="Q288" t="n">
        <v>6740</v>
      </c>
      <c r="R288" t="n">
        <v>8175</v>
      </c>
      <c r="S288" t="n">
        <v>9610</v>
      </c>
      <c r="T288" t="n">
        <v>11045</v>
      </c>
      <c r="U288" t="n">
        <v>12480</v>
      </c>
      <c r="V288" t="n">
        <v>7027</v>
      </c>
      <c r="W288" t="n">
        <v>2148</v>
      </c>
      <c r="X288" t="n">
        <v>1861</v>
      </c>
      <c r="Y288" t="n">
        <v>8670</v>
      </c>
    </row>
    <row r="289">
      <c r="A289" t="n">
        <v>288</v>
      </c>
      <c r="B289" t="n">
        <v>0</v>
      </c>
      <c r="C289" t="n">
        <v>74076</v>
      </c>
      <c r="D289" t="n">
        <v>300912</v>
      </c>
      <c r="E289" t="n">
        <v>4903707</v>
      </c>
      <c r="F289" t="n">
        <v>78301637</v>
      </c>
      <c r="G289" t="n">
        <v>1216757000</v>
      </c>
      <c r="H289" t="n">
        <v>18465926935</v>
      </c>
      <c r="I289" t="n">
        <v>272903898067</v>
      </c>
      <c r="J289" t="n">
        <v>2000</v>
      </c>
      <c r="K289" t="n">
        <v>47319</v>
      </c>
      <c r="L289" t="n">
        <v>2500</v>
      </c>
      <c r="M289" t="n">
        <v>1100</v>
      </c>
      <c r="N289" t="n">
        <v>2440</v>
      </c>
      <c r="O289" t="n">
        <v>3880</v>
      </c>
      <c r="P289" t="n">
        <v>5320</v>
      </c>
      <c r="Q289" t="n">
        <v>6760</v>
      </c>
      <c r="R289" t="n">
        <v>8200</v>
      </c>
      <c r="S289" t="n">
        <v>9640</v>
      </c>
      <c r="T289" t="n">
        <v>11080</v>
      </c>
      <c r="U289" t="n">
        <v>12520</v>
      </c>
      <c r="V289" t="n">
        <v>7067</v>
      </c>
      <c r="W289" t="n">
        <v>2152</v>
      </c>
      <c r="X289" t="n">
        <v>1864</v>
      </c>
      <c r="Y289" t="n">
        <v>8680</v>
      </c>
    </row>
    <row r="290">
      <c r="A290" t="n">
        <v>289</v>
      </c>
      <c r="B290" t="n">
        <v>0</v>
      </c>
      <c r="C290" t="n">
        <v>75188</v>
      </c>
      <c r="D290" t="n">
        <v>306931</v>
      </c>
      <c r="E290" t="n">
        <v>5050819</v>
      </c>
      <c r="F290" t="n">
        <v>81433703</v>
      </c>
      <c r="G290" t="n">
        <v>1277594850</v>
      </c>
      <c r="H290" t="n">
        <v>19573882552</v>
      </c>
      <c r="I290" t="n">
        <v>292007170932</v>
      </c>
      <c r="J290" t="n">
        <v>2000</v>
      </c>
      <c r="K290" t="n">
        <v>47793</v>
      </c>
      <c r="L290" t="n">
        <v>2500</v>
      </c>
      <c r="M290" t="n">
        <v>1100</v>
      </c>
      <c r="N290" t="n">
        <v>2445</v>
      </c>
      <c r="O290" t="n">
        <v>3890</v>
      </c>
      <c r="P290" t="n">
        <v>5335</v>
      </c>
      <c r="Q290" t="n">
        <v>6780</v>
      </c>
      <c r="R290" t="n">
        <v>8225</v>
      </c>
      <c r="S290" t="n">
        <v>9670</v>
      </c>
      <c r="T290" t="n">
        <v>11115</v>
      </c>
      <c r="U290" t="n">
        <v>12560</v>
      </c>
      <c r="V290" t="n">
        <v>7107</v>
      </c>
      <c r="W290" t="n">
        <v>2156</v>
      </c>
      <c r="X290" t="n">
        <v>1867</v>
      </c>
      <c r="Y290" t="n">
        <v>8690</v>
      </c>
    </row>
    <row r="291">
      <c r="A291" t="n">
        <v>290</v>
      </c>
      <c r="B291" t="n">
        <v>0</v>
      </c>
      <c r="C291" t="n">
        <v>76316</v>
      </c>
      <c r="D291" t="n">
        <v>313070</v>
      </c>
      <c r="E291" t="n">
        <v>5202344</v>
      </c>
      <c r="F291" t="n">
        <v>84691052</v>
      </c>
      <c r="G291" t="n">
        <v>1341474593</v>
      </c>
      <c r="H291" t="n">
        <v>20748315506</v>
      </c>
      <c r="I291" t="n">
        <v>312447672898</v>
      </c>
      <c r="J291" t="n">
        <v>2000</v>
      </c>
      <c r="K291" t="n">
        <v>48271</v>
      </c>
      <c r="L291" t="n">
        <v>2500</v>
      </c>
      <c r="M291" t="n">
        <v>1100</v>
      </c>
      <c r="N291" t="n">
        <v>2450</v>
      </c>
      <c r="O291" t="n">
        <v>3900</v>
      </c>
      <c r="P291" t="n">
        <v>5350</v>
      </c>
      <c r="Q291" t="n">
        <v>6800</v>
      </c>
      <c r="R291" t="n">
        <v>8250</v>
      </c>
      <c r="S291" t="n">
        <v>9700</v>
      </c>
      <c r="T291" t="n">
        <v>11150</v>
      </c>
      <c r="U291" t="n">
        <v>12600</v>
      </c>
      <c r="V291" t="n">
        <v>7147</v>
      </c>
      <c r="W291" t="n">
        <v>2160</v>
      </c>
      <c r="X291" t="n">
        <v>1870</v>
      </c>
      <c r="Y291" t="n">
        <v>8700</v>
      </c>
    </row>
    <row r="292">
      <c r="A292" t="n">
        <v>291</v>
      </c>
      <c r="B292" t="n">
        <v>0</v>
      </c>
      <c r="C292" t="n">
        <v>77461</v>
      </c>
      <c r="D292" t="n">
        <v>319332</v>
      </c>
      <c r="E292" t="n">
        <v>5358415</v>
      </c>
      <c r="F292" t="n">
        <v>88078695</v>
      </c>
      <c r="G292" t="n">
        <v>1408548323</v>
      </c>
      <c r="H292" t="n">
        <v>21993214437</v>
      </c>
      <c r="I292" t="n">
        <v>334319010001</v>
      </c>
      <c r="J292" t="n">
        <v>2000</v>
      </c>
      <c r="K292" t="n">
        <v>48754</v>
      </c>
      <c r="L292" t="n">
        <v>2500</v>
      </c>
      <c r="M292" t="n">
        <v>1100</v>
      </c>
      <c r="N292" t="n">
        <v>2455</v>
      </c>
      <c r="O292" t="n">
        <v>3910</v>
      </c>
      <c r="P292" t="n">
        <v>5365</v>
      </c>
      <c r="Q292" t="n">
        <v>6820</v>
      </c>
      <c r="R292" t="n">
        <v>8275</v>
      </c>
      <c r="S292" t="n">
        <v>9730</v>
      </c>
      <c r="T292" t="n">
        <v>11185</v>
      </c>
      <c r="U292" t="n">
        <v>12640</v>
      </c>
      <c r="V292" t="n">
        <v>7187</v>
      </c>
      <c r="W292" t="n">
        <v>2164</v>
      </c>
      <c r="X292" t="n">
        <v>1873</v>
      </c>
      <c r="Y292" t="n">
        <v>8710</v>
      </c>
    </row>
    <row r="293">
      <c r="A293" t="n">
        <v>292</v>
      </c>
      <c r="B293" t="n">
        <v>0</v>
      </c>
      <c r="C293" t="n">
        <v>78623</v>
      </c>
      <c r="D293" t="n">
        <v>325719</v>
      </c>
      <c r="E293" t="n">
        <v>5519168</v>
      </c>
      <c r="F293" t="n">
        <v>91601843</v>
      </c>
      <c r="G293" t="n">
        <v>1478975740</v>
      </c>
      <c r="H293" t="n">
        <v>23312807304</v>
      </c>
      <c r="I293" t="n">
        <v>357721340702</v>
      </c>
      <c r="J293" t="n">
        <v>2000</v>
      </c>
      <c r="K293" t="n">
        <v>49242</v>
      </c>
      <c r="L293" t="n">
        <v>2500</v>
      </c>
      <c r="M293" t="n">
        <v>1100</v>
      </c>
      <c r="N293" t="n">
        <v>2460</v>
      </c>
      <c r="O293" t="n">
        <v>3920</v>
      </c>
      <c r="P293" t="n">
        <v>5380</v>
      </c>
      <c r="Q293" t="n">
        <v>6840</v>
      </c>
      <c r="R293" t="n">
        <v>8300</v>
      </c>
      <c r="S293" t="n">
        <v>9760</v>
      </c>
      <c r="T293" t="n">
        <v>11220</v>
      </c>
      <c r="U293" t="n">
        <v>12680</v>
      </c>
      <c r="V293" t="n">
        <v>7227</v>
      </c>
      <c r="W293" t="n">
        <v>2168</v>
      </c>
      <c r="X293" t="n">
        <v>1876</v>
      </c>
      <c r="Y293" t="n">
        <v>8720</v>
      </c>
    </row>
    <row r="294">
      <c r="A294" t="n">
        <v>293</v>
      </c>
      <c r="B294" t="n">
        <v>0</v>
      </c>
      <c r="C294" t="n">
        <v>79803</v>
      </c>
      <c r="D294" t="n">
        <v>332234</v>
      </c>
      <c r="E294" t="n">
        <v>5684744</v>
      </c>
      <c r="F294" t="n">
        <v>95265917</v>
      </c>
      <c r="G294" t="n">
        <v>1552924527</v>
      </c>
      <c r="H294" t="n">
        <v>24711575743</v>
      </c>
      <c r="I294" t="n">
        <v>382761834552</v>
      </c>
      <c r="J294" t="n">
        <v>2000</v>
      </c>
      <c r="K294" t="n">
        <v>49735</v>
      </c>
      <c r="L294" t="n">
        <v>2500</v>
      </c>
      <c r="M294" t="n">
        <v>1100</v>
      </c>
      <c r="N294" t="n">
        <v>2465</v>
      </c>
      <c r="O294" t="n">
        <v>3930</v>
      </c>
      <c r="P294" t="n">
        <v>5395</v>
      </c>
      <c r="Q294" t="n">
        <v>6860</v>
      </c>
      <c r="R294" t="n">
        <v>8325</v>
      </c>
      <c r="S294" t="n">
        <v>9790</v>
      </c>
      <c r="T294" t="n">
        <v>11255</v>
      </c>
      <c r="U294" t="n">
        <v>12720</v>
      </c>
      <c r="V294" t="n">
        <v>7268</v>
      </c>
      <c r="W294" t="n">
        <v>2172</v>
      </c>
      <c r="X294" t="n">
        <v>1879</v>
      </c>
      <c r="Y294" t="n">
        <v>8730</v>
      </c>
    </row>
    <row r="295">
      <c r="A295" t="n">
        <v>294</v>
      </c>
      <c r="B295" t="n">
        <v>0</v>
      </c>
      <c r="C295" t="n">
        <v>81001</v>
      </c>
      <c r="D295" t="n">
        <v>338879</v>
      </c>
      <c r="E295" t="n">
        <v>5855287</v>
      </c>
      <c r="F295" t="n">
        <v>99076554</v>
      </c>
      <c r="G295" t="n">
        <v>1630570754</v>
      </c>
      <c r="H295" t="n">
        <v>26194270288</v>
      </c>
      <c r="I295" t="n">
        <v>409555162971</v>
      </c>
      <c r="J295" t="n">
        <v>2000</v>
      </c>
      <c r="K295" t="n">
        <v>50233</v>
      </c>
      <c r="L295" t="n">
        <v>2500</v>
      </c>
      <c r="M295" t="n">
        <v>1100</v>
      </c>
      <c r="N295" t="n">
        <v>2470</v>
      </c>
      <c r="O295" t="n">
        <v>3940</v>
      </c>
      <c r="P295" t="n">
        <v>5410</v>
      </c>
      <c r="Q295" t="n">
        <v>6880</v>
      </c>
      <c r="R295" t="n">
        <v>8350</v>
      </c>
      <c r="S295" t="n">
        <v>9820</v>
      </c>
      <c r="T295" t="n">
        <v>11290</v>
      </c>
      <c r="U295" t="n">
        <v>12760</v>
      </c>
      <c r="V295" t="n">
        <v>7309</v>
      </c>
      <c r="W295" t="n">
        <v>2176</v>
      </c>
      <c r="X295" t="n">
        <v>1882</v>
      </c>
      <c r="Y295" t="n">
        <v>8740</v>
      </c>
    </row>
    <row r="296">
      <c r="A296" t="n">
        <v>295</v>
      </c>
      <c r="B296" t="n">
        <v>0</v>
      </c>
      <c r="C296" t="n">
        <v>82217</v>
      </c>
      <c r="D296" t="n">
        <v>345657</v>
      </c>
      <c r="E296" t="n">
        <v>6030946</v>
      </c>
      <c r="F296" t="n">
        <v>103039617</v>
      </c>
      <c r="G296" t="n">
        <v>1712099292</v>
      </c>
      <c r="H296" t="n">
        <v>27765926506</v>
      </c>
      <c r="I296" t="n">
        <v>438224024379</v>
      </c>
      <c r="J296" t="n">
        <v>2000</v>
      </c>
      <c r="K296" t="n">
        <v>50736</v>
      </c>
      <c r="L296" t="n">
        <v>2500</v>
      </c>
      <c r="M296" t="n">
        <v>1100</v>
      </c>
      <c r="N296" t="n">
        <v>2475</v>
      </c>
      <c r="O296" t="n">
        <v>3950</v>
      </c>
      <c r="P296" t="n">
        <v>5425</v>
      </c>
      <c r="Q296" t="n">
        <v>6900</v>
      </c>
      <c r="R296" t="n">
        <v>8375</v>
      </c>
      <c r="S296" t="n">
        <v>9850</v>
      </c>
      <c r="T296" t="n">
        <v>11325</v>
      </c>
      <c r="U296" t="n">
        <v>12800</v>
      </c>
      <c r="V296" t="n">
        <v>7350</v>
      </c>
      <c r="W296" t="n">
        <v>2180</v>
      </c>
      <c r="X296" t="n">
        <v>1885</v>
      </c>
      <c r="Y296" t="n">
        <v>8750</v>
      </c>
    </row>
    <row r="297">
      <c r="A297" t="n">
        <v>296</v>
      </c>
      <c r="B297" t="n">
        <v>0</v>
      </c>
      <c r="C297" t="n">
        <v>83451</v>
      </c>
      <c r="D297" t="n">
        <v>352571</v>
      </c>
      <c r="E297" t="n">
        <v>6211875</v>
      </c>
      <c r="F297" t="n">
        <v>107161202</v>
      </c>
      <c r="G297" t="n">
        <v>1797704257</v>
      </c>
      <c r="H297" t="n">
        <v>29431882097</v>
      </c>
      <c r="I297" t="n">
        <v>468899706086</v>
      </c>
      <c r="J297" t="n">
        <v>2000</v>
      </c>
      <c r="K297" t="n">
        <v>51244</v>
      </c>
      <c r="L297" t="n">
        <v>2500</v>
      </c>
      <c r="M297" t="n">
        <v>1100</v>
      </c>
      <c r="N297" t="n">
        <v>2480</v>
      </c>
      <c r="O297" t="n">
        <v>3960</v>
      </c>
      <c r="P297" t="n">
        <v>5440</v>
      </c>
      <c r="Q297" t="n">
        <v>6920</v>
      </c>
      <c r="R297" t="n">
        <v>8400</v>
      </c>
      <c r="S297" t="n">
        <v>9880</v>
      </c>
      <c r="T297" t="n">
        <v>11360</v>
      </c>
      <c r="U297" t="n">
        <v>12840</v>
      </c>
      <c r="V297" t="n">
        <v>7391</v>
      </c>
      <c r="W297" t="n">
        <v>2184</v>
      </c>
      <c r="X297" t="n">
        <v>1888</v>
      </c>
      <c r="Y297" t="n">
        <v>8760</v>
      </c>
    </row>
    <row r="298">
      <c r="A298" t="n">
        <v>297</v>
      </c>
      <c r="B298" t="n">
        <v>0</v>
      </c>
      <c r="C298" t="n">
        <v>84703</v>
      </c>
      <c r="D298" t="n">
        <v>359623</v>
      </c>
      <c r="E298" t="n">
        <v>6398232</v>
      </c>
      <c r="F298" t="n">
        <v>111447651</v>
      </c>
      <c r="G298" t="n">
        <v>1887589470</v>
      </c>
      <c r="H298" t="n">
        <v>31197795023</v>
      </c>
      <c r="I298" t="n">
        <v>501722685513</v>
      </c>
      <c r="J298" t="n">
        <v>2000</v>
      </c>
      <c r="K298" t="n">
        <v>51757</v>
      </c>
      <c r="L298" t="n">
        <v>2500</v>
      </c>
      <c r="M298" t="n">
        <v>1100</v>
      </c>
      <c r="N298" t="n">
        <v>2485</v>
      </c>
      <c r="O298" t="n">
        <v>3970</v>
      </c>
      <c r="P298" t="n">
        <v>5455</v>
      </c>
      <c r="Q298" t="n">
        <v>6940</v>
      </c>
      <c r="R298" t="n">
        <v>8425</v>
      </c>
      <c r="S298" t="n">
        <v>9910</v>
      </c>
      <c r="T298" t="n">
        <v>11395</v>
      </c>
      <c r="U298" t="n">
        <v>12880</v>
      </c>
      <c r="V298" t="n">
        <v>7432</v>
      </c>
      <c r="W298" t="n">
        <v>2188</v>
      </c>
      <c r="X298" t="n">
        <v>1891</v>
      </c>
      <c r="Y298" t="n">
        <v>8770</v>
      </c>
    </row>
    <row r="299">
      <c r="A299" t="n">
        <v>298</v>
      </c>
      <c r="B299" t="n">
        <v>0</v>
      </c>
      <c r="C299" t="n">
        <v>85974</v>
      </c>
      <c r="D299" t="n">
        <v>366816</v>
      </c>
      <c r="E299" t="n">
        <v>6590179</v>
      </c>
      <c r="F299" t="n">
        <v>115905558</v>
      </c>
      <c r="G299" t="n">
        <v>1981968944</v>
      </c>
      <c r="H299" t="n">
        <v>33069662725</v>
      </c>
      <c r="I299" t="n">
        <v>536843273499</v>
      </c>
      <c r="J299" t="n">
        <v>2000</v>
      </c>
      <c r="K299" t="n">
        <v>52275</v>
      </c>
      <c r="L299" t="n">
        <v>2500</v>
      </c>
      <c r="M299" t="n">
        <v>1100</v>
      </c>
      <c r="N299" t="n">
        <v>2490</v>
      </c>
      <c r="O299" t="n">
        <v>3980</v>
      </c>
      <c r="P299" t="n">
        <v>5470</v>
      </c>
      <c r="Q299" t="n">
        <v>6960</v>
      </c>
      <c r="R299" t="n">
        <v>8450</v>
      </c>
      <c r="S299" t="n">
        <v>9940</v>
      </c>
      <c r="T299" t="n">
        <v>11430</v>
      </c>
      <c r="U299" t="n">
        <v>12920</v>
      </c>
      <c r="V299" t="n">
        <v>7474</v>
      </c>
      <c r="W299" t="n">
        <v>2192</v>
      </c>
      <c r="X299" t="n">
        <v>1894</v>
      </c>
      <c r="Y299" t="n">
        <v>8780</v>
      </c>
    </row>
    <row r="300">
      <c r="A300" t="n">
        <v>299</v>
      </c>
      <c r="B300" t="n">
        <v>0</v>
      </c>
      <c r="C300" t="n">
        <v>87264</v>
      </c>
      <c r="D300" t="n">
        <v>374153</v>
      </c>
      <c r="E300" t="n">
        <v>6787885</v>
      </c>
      <c r="F300" t="n">
        <v>120541781</v>
      </c>
      <c r="G300" t="n">
        <v>2081067392</v>
      </c>
      <c r="H300" t="n">
        <v>35053842489</v>
      </c>
      <c r="I300" t="n">
        <v>574422302644</v>
      </c>
      <c r="J300" t="n">
        <v>2000</v>
      </c>
      <c r="K300" t="n">
        <v>52798</v>
      </c>
      <c r="L300" t="n">
        <v>2500</v>
      </c>
      <c r="M300" t="n">
        <v>1100</v>
      </c>
      <c r="N300" t="n">
        <v>2495</v>
      </c>
      <c r="O300" t="n">
        <v>3990</v>
      </c>
      <c r="P300" t="n">
        <v>5485</v>
      </c>
      <c r="Q300" t="n">
        <v>6980</v>
      </c>
      <c r="R300" t="n">
        <v>8475</v>
      </c>
      <c r="S300" t="n">
        <v>9970</v>
      </c>
      <c r="T300" t="n">
        <v>11465</v>
      </c>
      <c r="U300" t="n">
        <v>12960</v>
      </c>
      <c r="V300" t="n">
        <v>7516</v>
      </c>
      <c r="W300" t="n">
        <v>2196</v>
      </c>
      <c r="X300" t="n">
        <v>1897</v>
      </c>
      <c r="Y300" t="n">
        <v>8790</v>
      </c>
    </row>
    <row r="301">
      <c r="A301" t="n">
        <v>300</v>
      </c>
      <c r="B301" t="n">
        <v>0</v>
      </c>
      <c r="C301" t="n">
        <v>88573</v>
      </c>
      <c r="D301" t="n">
        <v>381637</v>
      </c>
      <c r="E301" t="n">
        <v>6991522</v>
      </c>
      <c r="F301" t="n">
        <v>125363453</v>
      </c>
      <c r="G301" t="n">
        <v>2185120762</v>
      </c>
      <c r="H301" t="n">
        <v>37157073039</v>
      </c>
      <c r="I301" t="n">
        <v>614631863830</v>
      </c>
      <c r="J301" t="n">
        <v>2000</v>
      </c>
      <c r="K301" t="n">
        <v>53326</v>
      </c>
      <c r="L301" t="n">
        <v>2500</v>
      </c>
      <c r="M301" t="n">
        <v>1100</v>
      </c>
      <c r="N301" t="n">
        <v>2500</v>
      </c>
      <c r="O301" t="n">
        <v>4000</v>
      </c>
      <c r="P301" t="n">
        <v>5500</v>
      </c>
      <c r="Q301" t="n">
        <v>7000</v>
      </c>
      <c r="R301" t="n">
        <v>8500</v>
      </c>
      <c r="S301" t="n">
        <v>10000</v>
      </c>
      <c r="T301" t="n">
        <v>11500</v>
      </c>
      <c r="U301" t="n">
        <v>13000</v>
      </c>
      <c r="V301" t="n">
        <v>7558</v>
      </c>
      <c r="W301" t="n">
        <v>2200</v>
      </c>
      <c r="X301" t="n">
        <v>1900</v>
      </c>
      <c r="Y301" t="n">
        <v>8800</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30"/>
  <sheetViews>
    <sheetView workbookViewId="0">
      <pane ySplit="1" topLeftCell="A2" activePane="bottomLeft" state="frozen"/>
      <selection pane="bottomLeft" activeCell="A1" sqref="A1"/>
    </sheetView>
  </sheetViews>
  <sheetFormatPr baseColWidth="8" defaultRowHeight="15"/>
  <cols>
    <col width="26" customWidth="1" min="1" max="1"/>
    <col width="30" customWidth="1" min="2" max="2"/>
    <col width="8" customWidth="1" min="3" max="3"/>
    <col width="11" customWidth="1" min="4" max="4"/>
    <col width="15" customWidth="1" min="5" max="5"/>
    <col width="13" customWidth="1" min="6" max="6"/>
    <col width="11" customWidth="1" min="7" max="7"/>
    <col width="8" customWidth="1" min="8" max="8"/>
    <col width="13" customWidth="1" min="9" max="9"/>
    <col width="11" customWidth="1" min="10" max="10"/>
    <col width="12" customWidth="1" min="11" max="11"/>
    <col width="18" customWidth="1" min="12" max="12"/>
    <col width="11" customWidth="1" min="13" max="13"/>
    <col width="14" customWidth="1" min="14" max="14"/>
    <col width="17" customWidth="1" min="15" max="15"/>
    <col width="16" customWidth="1" min="16" max="16"/>
    <col width="18" customWidth="1" min="17" max="17"/>
    <col width="17" customWidth="1" min="18" max="18"/>
    <col width="16" customWidth="1" min="19" max="19"/>
    <col width="16" customWidth="1" min="20" max="20"/>
    <col width="17" customWidth="1" min="21" max="21"/>
    <col width="20" customWidth="1" min="22" max="22"/>
    <col width="18" customWidth="1" min="23" max="23"/>
    <col width="15" customWidth="1" min="24" max="24"/>
    <col width="14" customWidth="1" min="25" max="25"/>
    <col width="16" customWidth="1" min="26" max="26"/>
    <col width="20" customWidth="1" min="27" max="27"/>
    <col width="20" customWidth="1" min="28" max="28"/>
    <col width="8" customWidth="1" min="29" max="29"/>
    <col width="60" customWidth="1" min="30" max="30"/>
  </cols>
  <sheetData>
    <row r="1">
      <c r="A1" s="9" t="inlineStr">
        <is>
          <t>Key</t>
        </is>
      </c>
      <c r="B1" s="9" t="inlineStr">
        <is>
          <t>Name</t>
        </is>
      </c>
      <c r="C1" s="9" t="inlineStr">
        <is>
          <t>JobStep</t>
        </is>
      </c>
      <c r="D1" s="9" t="inlineStr">
        <is>
          <t>Cooldown(s)</t>
        </is>
      </c>
      <c r="E1" s="9" t="inlineStr">
        <is>
          <t>CostsActionSlot</t>
        </is>
      </c>
      <c r="F1" s="9" t="inlineStr">
        <is>
          <t>ActionsPerCast</t>
        </is>
      </c>
      <c r="G1" s="9" t="inlineStr">
        <is>
          <t>HitsPerCast</t>
        </is>
      </c>
      <c r="H1" s="9" t="inlineStr">
        <is>
          <t>ICD(s)</t>
        </is>
      </c>
      <c r="I1" s="9" t="inlineStr">
        <is>
          <t>ActiveWindow(s)</t>
        </is>
      </c>
      <c r="J1" s="9" t="inlineStr">
        <is>
          <t>ProcChance%</t>
        </is>
      </c>
      <c r="K1" s="9" t="inlineStr">
        <is>
          <t>RollsPerCast</t>
        </is>
      </c>
      <c r="L1" s="9" t="inlineStr">
        <is>
          <t>BaseDamage(tenths%)</t>
        </is>
      </c>
      <c r="M1" s="9" t="inlineStr">
        <is>
          <t>FactorIndex</t>
        </is>
      </c>
      <c r="N1" s="9" t="inlineStr">
        <is>
          <t>ScalesWithLevel</t>
        </is>
      </c>
      <c r="O1" s="9" t="inlineStr">
        <is>
          <t>SkillMasteryBonus%</t>
        </is>
      </c>
      <c r="P1" s="9" t="inlineStr">
        <is>
          <t>MasteryBossDamage%</t>
        </is>
      </c>
      <c r="Q1" s="9" t="inlineStr">
        <is>
          <t>MasteryNormalDamage%</t>
        </is>
      </c>
      <c r="R1" s="9" t="inlineStr">
        <is>
          <t>MasteryFinalDamage%</t>
        </is>
      </c>
      <c r="S1" s="9" t="inlineStr">
        <is>
          <t>MasteryMaxDamage%</t>
        </is>
      </c>
      <c r="T1" s="9" t="inlineStr">
        <is>
          <t>MasteryMinDamage%</t>
        </is>
      </c>
      <c r="U1" s="9" t="inlineStr">
        <is>
          <t>MasteryCooldownPct</t>
        </is>
      </c>
      <c r="V1" s="9" t="inlineStr">
        <is>
          <t>MasteryTargetIncrease</t>
        </is>
      </c>
      <c r="W1" s="9" t="inlineStr">
        <is>
          <t>NormalMonsterTargets</t>
        </is>
      </c>
      <c r="X1" s="9" t="inlineStr">
        <is>
          <t>BuffTargetStat</t>
        </is>
      </c>
      <c r="Y1" s="9" t="inlineStr">
        <is>
          <t>BuffDuration(s)</t>
        </is>
      </c>
      <c r="Z1" s="9" t="inlineStr">
        <is>
          <t>TriggersToxicVenom</t>
        </is>
      </c>
      <c r="AA1" s="9" t="inlineStr">
        <is>
          <t>MapleHeroBase(tenths%)</t>
        </is>
      </c>
      <c r="AB1" s="9" t="inlineStr">
        <is>
          <t>MapleHeroFactorIndex</t>
        </is>
      </c>
      <c r="AC1" s="9" t="inlineStr">
        <is>
          <t>Stacks</t>
        </is>
      </c>
      <c r="AD1" s="9" t="inlineStr">
        <is>
          <t>Note</t>
        </is>
      </c>
    </row>
    <row r="2">
      <c r="A2" t="inlineStr">
        <is>
          <t>CRUEL_STAB</t>
        </is>
      </c>
      <c r="B2" t="inlineStr">
        <is>
          <t>Cruel Stab</t>
        </is>
      </c>
      <c r="C2" t="n">
        <v>4</v>
      </c>
      <c r="D2" t="inlineStr"/>
      <c r="E2" t="b">
        <v>0</v>
      </c>
      <c r="F2" t="n">
        <v>1</v>
      </c>
      <c r="G2">
        <f>IF(Inputs!$B$3&gt;=136,6,5)</f>
        <v/>
      </c>
      <c r="H2" t="n">
        <v>0</v>
      </c>
      <c r="I2" t="n">
        <v>0</v>
      </c>
      <c r="J2" t="n">
        <v>100</v>
      </c>
      <c r="K2" t="n">
        <v>1</v>
      </c>
      <c r="L2" t="inlineStr"/>
      <c r="M2" t="inlineStr"/>
      <c r="N2" t="b">
        <v>1</v>
      </c>
      <c r="O2">
        <f>SUMPRODUCT((Inputs!$B$3&gt;={102,106,116,120,128,132})*{10,1,1,1,1,1})</f>
        <v/>
      </c>
      <c r="P2">
        <f>SUMPRODUCT((Inputs!$B$3&gt;={111,124})*{10,10})</f>
        <v/>
      </c>
      <c r="Q2" t="n">
        <v>0</v>
      </c>
      <c r="R2" t="n">
        <v>0</v>
      </c>
      <c r="S2" t="n">
        <v>0</v>
      </c>
      <c r="T2" t="n">
        <v>0</v>
      </c>
      <c r="U2" t="n">
        <v>0</v>
      </c>
      <c r="V2" t="n">
        <v>0</v>
      </c>
      <c r="W2">
        <f>6+Inputs!$B$33</f>
        <v/>
      </c>
      <c r="X2" t="inlineStr"/>
      <c r="Y2" t="n">
        <v>0</v>
      </c>
      <c r="Z2" t="b">
        <v>1</v>
      </c>
      <c r="AA2" t="inlineStr"/>
      <c r="AB2" t="inlineStr"/>
      <c r="AC2" t="inlineStr"/>
      <c r="AD2" t="inlineStr">
        <is>
          <t>4th-job basic-attack effect (supersedes Double Stab/Savage Blow/Midnight Carnival). HIGH-CONFIDENCE REUSE of the universal 4th-job basic-attack constant confirmed identical across every class built so far (Showdown/Chain Lightning/Big Bang/Cruel Stab all share this exact wiki-documented 290%-&gt;522% curve) — factorIndex 21, baseDamage 2900 tenths%, matching Inputs!skill_coefficient exactly. SkillMasteryBonus% is the 6-tier 'Cruel Stab - Damage' mastery chain (102-132, cumulative totals 10%-&gt;15%, DELTA increments). MasteryBossDamage% is the 2-tier 'Cruel Stab - Boss Monster Damage' chain (111/124, +20% total). HitsPerCast 5-&gt;6 once the level-136 'Strike' mastery unlocks. Triggers Toxic Venom.</t>
        </is>
      </c>
    </row>
    <row r="3">
      <c r="A3" t="inlineStr">
        <is>
          <t>STEAL</t>
        </is>
      </c>
      <c r="B3" t="inlineStr">
        <is>
          <t>Steal (self Attack%)</t>
        </is>
      </c>
      <c r="C3" t="n">
        <v>2</v>
      </c>
      <c r="D3" t="inlineStr"/>
      <c r="E3" t="b">
        <v>0</v>
      </c>
      <c r="F3" t="n">
        <v>1</v>
      </c>
      <c r="G3" t="n">
        <v>1</v>
      </c>
      <c r="H3" t="n">
        <v>0</v>
      </c>
      <c r="I3" t="n">
        <v>0</v>
      </c>
      <c r="J3" t="n">
        <v>100</v>
      </c>
      <c r="K3" t="n">
        <v>1</v>
      </c>
      <c r="L3" t="n">
        <v>50</v>
      </c>
      <c r="M3" t="n">
        <v>22</v>
      </c>
      <c r="N3" t="b">
        <v>1</v>
      </c>
      <c r="O3" t="n">
        <v>0</v>
      </c>
      <c r="P3" t="n">
        <v>0</v>
      </c>
      <c r="Q3" t="n">
        <v>0</v>
      </c>
      <c r="R3" t="n">
        <v>0</v>
      </c>
      <c r="S3" t="n">
        <v>0</v>
      </c>
      <c r="T3" t="n">
        <v>0</v>
      </c>
      <c r="U3" t="n">
        <v>0</v>
      </c>
      <c r="V3" t="n">
        <v>0</v>
      </c>
      <c r="W3" t="n">
        <v>1</v>
      </c>
      <c r="X3" t="inlineStr">
        <is>
          <t>ATTACK</t>
        </is>
      </c>
      <c r="Y3" t="n">
        <v>0</v>
      </c>
      <c r="Z3" t="b">
        <v>0</v>
      </c>
      <c r="AA3" t="inlineStr"/>
      <c r="AB3" t="inlineStr"/>
      <c r="AC3" t="inlineStr"/>
      <c r="AD3" t="inlineStr">
        <is>
          <t>Own self-Attack-buff component only (target-debuff component out of scope — not the caster's own damage). 5%-&gt;6.5% Attack per stack (levels 1-100), stacks up to 3 — modeled at steady-state max stacks (mirrors Elemental Drain's always-max-stacks convention), so this row's own contribution is 3x its own F-value, always-on once unlocked (no uptime averaging — see build_summary_sheet). factorIndex 22, baseDamage 50 tenths%. Mastery Lv.39 '+5%p activation chance' (10%-&gt;15%) has zero DPS effect under the always-max-stacks assumption (same no-op tier as Bishop's own Elemental-Reset-chance-doubling mastery). Mastery Lv.54 '+50% Attack reduction on target' is a target-debuff, out of scope.</t>
        </is>
      </c>
    </row>
    <row r="4">
      <c r="A4" t="inlineStr">
        <is>
          <t>MESO_EXPLOSION</t>
        </is>
      </c>
      <c r="B4" t="inlineStr">
        <is>
          <t>Meso Explosion</t>
        </is>
      </c>
      <c r="C4" t="n">
        <v>3</v>
      </c>
      <c r="D4" t="n">
        <v>11</v>
      </c>
      <c r="E4" t="b">
        <v>1</v>
      </c>
      <c r="F4" t="n">
        <v>1</v>
      </c>
      <c r="G4" t="n">
        <v>3</v>
      </c>
      <c r="H4" t="n">
        <v>0</v>
      </c>
      <c r="I4" t="n">
        <v>0</v>
      </c>
      <c r="J4" t="n">
        <v>100</v>
      </c>
      <c r="K4" t="n">
        <v>1</v>
      </c>
      <c r="L4" t="n">
        <v>2700</v>
      </c>
      <c r="M4" t="n">
        <v>12</v>
      </c>
      <c r="N4" t="b">
        <v>1</v>
      </c>
      <c r="O4">
        <f>SUMPRODUCT((Inputs!$B$3&gt;={90})*{100})</f>
        <v/>
      </c>
      <c r="P4" t="n">
        <v>0</v>
      </c>
      <c r="Q4" t="n">
        <v>0</v>
      </c>
      <c r="R4" t="n">
        <v>0</v>
      </c>
      <c r="S4" t="n">
        <v>0</v>
      </c>
      <c r="T4" t="n">
        <v>0</v>
      </c>
      <c r="U4" t="n">
        <v>0</v>
      </c>
      <c r="V4" t="n">
        <v>0</v>
      </c>
      <c r="W4" t="inlineStr"/>
      <c r="X4" t="inlineStr"/>
      <c r="Y4" t="n">
        <v>0</v>
      </c>
      <c r="Z4" t="b">
        <v>1</v>
      </c>
      <c r="AA4" t="inlineStr"/>
      <c r="AB4" t="inlineStr"/>
      <c r="AC4" t="inlineStr"/>
      <c r="AD4" t="inlineStr">
        <is>
          <t>Resource-gated activated skill: 50% chance per attack to generate a Meso stack (max 10); own cast (this row's own 11s cooldown) deals damage to (stack count) targets. Modeled at steady state: average stack count at cast time = MIN(10, 0.5*attack_rate*cooldown), computed as a bespoke NormalMonsterTargets-equivalent formula in build_calc_sheet (left blank here, NOT a Skills-sheet literal, since it depends on the live Summary attack-rate cell) — same 'assume steady accumulation' simplification tier as Frost stacks/Elemental Drain elsewhere. factorIndex 12, baseDamage 2700 tenths% (270% level-1). SkillMasteryBonus% is Mastery Lv.90 'Meso Explosion damage +100%' (content-based — the wiki mislabels this row 'Meso Explosion - Strike', ignore the label, the description is unambiguous). Triggers Toxic Venom.</t>
        </is>
      </c>
    </row>
    <row r="5">
      <c r="A5" t="inlineStr">
        <is>
          <t>PHASE_DASH</t>
        </is>
      </c>
      <c r="B5" t="inlineStr">
        <is>
          <t>Phase Dash</t>
        </is>
      </c>
      <c r="C5" t="n">
        <v>3</v>
      </c>
      <c r="D5" t="n">
        <v>23</v>
      </c>
      <c r="E5" t="b">
        <v>1</v>
      </c>
      <c r="F5" t="n">
        <v>1</v>
      </c>
      <c r="G5" t="n">
        <v>2</v>
      </c>
      <c r="H5" t="n">
        <v>0</v>
      </c>
      <c r="I5" t="n">
        <v>0</v>
      </c>
      <c r="J5" t="n">
        <v>100</v>
      </c>
      <c r="K5" t="n">
        <v>1</v>
      </c>
      <c r="L5" t="n">
        <v>4500</v>
      </c>
      <c r="M5" t="n">
        <v>12</v>
      </c>
      <c r="N5" t="b">
        <v>1</v>
      </c>
      <c r="O5">
        <f>SUMPRODUCT((Inputs!$B$3&gt;={73})*{80})</f>
        <v/>
      </c>
      <c r="P5" t="n">
        <v>0</v>
      </c>
      <c r="Q5" t="n">
        <v>0</v>
      </c>
      <c r="R5" t="n">
        <v>0</v>
      </c>
      <c r="S5" t="n">
        <v>0</v>
      </c>
      <c r="T5" t="n">
        <v>0</v>
      </c>
      <c r="U5" t="n">
        <v>0</v>
      </c>
      <c r="V5" t="n">
        <v>0</v>
      </c>
      <c r="W5" t="n">
        <v>9</v>
      </c>
      <c r="X5" t="inlineStr"/>
      <c r="Y5" t="n">
        <v>0</v>
      </c>
      <c r="Z5" t="b">
        <v>1</v>
      </c>
      <c r="AA5" t="inlineStr"/>
      <c r="AB5" t="inlineStr"/>
      <c r="AC5" t="inlineStr"/>
      <c r="AD5" t="inlineStr">
        <is>
          <t>450%-&gt;... to 7 target(s) (patched Aug 13 2026 -&gt; 9, confirmed no tick/interval mechanic exists on this skill's own wiki page to change, despite an initially-mis-paired patch-note line — see the plan's Context section), 2 hits, cooldown 23s, stun not modeled. factorIndex 12, baseDamage 4500 tenths%. Mastery Lv.73 'Phase Dash - Damage' +80% (real SkillMasteryBonus%). Triggers Toxic Venom.</t>
        </is>
      </c>
    </row>
    <row r="6">
      <c r="A6" t="inlineStr">
        <is>
          <t>DARK_FLARE</t>
        </is>
      </c>
      <c r="B6" t="inlineStr">
        <is>
          <t>Dark Flare</t>
        </is>
      </c>
      <c r="C6" t="n">
        <v>3</v>
      </c>
      <c r="D6">
        <f>IF(Inputs!$B$3&gt;=92,45*0.7,45)</f>
        <v/>
      </c>
      <c r="E6" t="b">
        <v>1</v>
      </c>
      <c r="F6" t="n">
        <v>1</v>
      </c>
      <c r="G6">
        <f>IF(Inputs!$B$3&gt;=76,3,2)</f>
        <v/>
      </c>
      <c r="H6">
        <f>IF(Inputs!$B$3&gt;=104,2*0.75,2)</f>
        <v/>
      </c>
      <c r="I6" t="n">
        <v>20</v>
      </c>
      <c r="J6" t="n">
        <v>100</v>
      </c>
      <c r="K6" t="n">
        <v>1</v>
      </c>
      <c r="L6" t="n">
        <v>3300</v>
      </c>
      <c r="M6" t="n">
        <v>12</v>
      </c>
      <c r="N6" t="b">
        <v>1</v>
      </c>
      <c r="O6" t="n">
        <v>0</v>
      </c>
      <c r="P6" t="n">
        <v>0</v>
      </c>
      <c r="Q6" t="n">
        <v>0</v>
      </c>
      <c r="R6" t="n">
        <v>0</v>
      </c>
      <c r="S6" t="n">
        <v>0</v>
      </c>
      <c r="T6" t="n">
        <v>0</v>
      </c>
      <c r="U6">
        <f>IF(Inputs!$B$3&gt;=92,30,0)</f>
        <v/>
      </c>
      <c r="V6" t="n">
        <v>0</v>
      </c>
      <c r="W6" t="n">
        <v>8</v>
      </c>
      <c r="X6" t="inlineStr"/>
      <c r="Y6" t="n">
        <v>0</v>
      </c>
      <c r="Z6" t="b">
        <v>1</v>
      </c>
      <c r="AA6" t="inlineStr"/>
      <c r="AB6" t="inlineStr"/>
      <c r="AC6" t="inlineStr"/>
      <c r="AD6" t="inlineStr">
        <is>
          <t>Shared verbatim w/ Night Lord (identical wiki wording AND identical patch corrections: hit interval 5s-&gt;2s, targets 5-&gt;8, damage 400%-&gt;330%). factorIndex 12, baseDamage 3300 tenths%. Mastery Lv.104 (Shadower's own 'Dark Flare - Strike Interval', -25%, matches Night Lord's own mastery of the same name exactly) baked into the ICD(s) formula; Lv.92 -30% cooldown baked into Cooldown(s). Maple Hero (Shadower) target — see MAPLE_HERO_SHADOWER_RATIOS, NOT the generic MapleHeroBase mechanism (unlike Night Lord's own copy of this row, which uses the generic 'additional damage%' mechanism instead — the two classes' Maple Hero effects are structurally different even though the base skill is identical). Triggers Toxic Venom.</t>
        </is>
      </c>
    </row>
    <row r="7">
      <c r="A7" t="inlineStr">
        <is>
          <t>SHADOW_PARTNER</t>
        </is>
      </c>
      <c r="B7" t="inlineStr">
        <is>
          <t>Shadow Partner</t>
        </is>
      </c>
      <c r="C7" t="n">
        <v>3</v>
      </c>
      <c r="D7" t="inlineStr"/>
      <c r="E7" t="b">
        <v>0</v>
      </c>
      <c r="F7" t="n">
        <v>1</v>
      </c>
      <c r="G7" t="n">
        <v>1</v>
      </c>
      <c r="H7" t="n">
        <v>0</v>
      </c>
      <c r="I7" t="n">
        <v>0</v>
      </c>
      <c r="J7" t="n">
        <v>25</v>
      </c>
      <c r="K7" t="n">
        <v>1</v>
      </c>
      <c r="L7" t="n">
        <v>840</v>
      </c>
      <c r="M7" t="n">
        <v>21</v>
      </c>
      <c r="N7" t="b">
        <v>1</v>
      </c>
      <c r="O7">
        <f>SUMPRODUCT((Inputs!$B$3&gt;={68})*{100})</f>
        <v/>
      </c>
      <c r="P7" t="n">
        <v>0</v>
      </c>
      <c r="Q7" t="n">
        <v>0</v>
      </c>
      <c r="R7" t="n">
        <v>0</v>
      </c>
      <c r="S7" t="n">
        <v>0</v>
      </c>
      <c r="T7" t="n">
        <v>0</v>
      </c>
      <c r="U7" t="n">
        <v>0</v>
      </c>
      <c r="V7" t="n">
        <v>0</v>
      </c>
      <c r="W7" t="n">
        <v>1</v>
      </c>
      <c r="X7" t="inlineStr"/>
      <c r="Y7" t="n">
        <v>0</v>
      </c>
      <c r="Z7" t="b">
        <v>0</v>
      </c>
      <c r="AA7" t="inlineStr"/>
      <c r="AB7" t="inlineStr"/>
      <c r="AC7" t="inlineStr"/>
      <c r="AD7" t="inlineStr">
        <is>
          <t>Shared verbatim w/ Night Lord. Hybrid row: Calc columns D-I computed like a normal damage row but Calc!O forced to 0 — not an independent hit; Summary reads this row's Calc!F directly and folds into the shared extra_mult chain. factorIndex 21, baseDamage 840 tenths%. ProcChance% is the real 25% proc rate. SkillMasteryBonus% is Mastery Lv.68 'Shadow Partner - Damage' +100%. Maple Hero (Shadower) target — see MAPLE_HERO_SHADOWER_RATIOS (structurally different from Night Lord's own copy, same caveat as Dark Flare above).</t>
        </is>
      </c>
    </row>
    <row r="8">
      <c r="A8" t="inlineStr">
        <is>
          <t>VENOM</t>
        </is>
      </c>
      <c r="B8" t="inlineStr">
        <is>
          <t>Venom</t>
        </is>
      </c>
      <c r="C8" t="n">
        <v>3</v>
      </c>
      <c r="D8" t="n">
        <v>1</v>
      </c>
      <c r="E8" t="b">
        <v>0</v>
      </c>
      <c r="F8" t="n">
        <v>1</v>
      </c>
      <c r="G8" t="n">
        <v>1</v>
      </c>
      <c r="H8" t="n">
        <v>0</v>
      </c>
      <c r="I8" t="n">
        <v>0</v>
      </c>
      <c r="J8" t="n">
        <v>100</v>
      </c>
      <c r="K8" t="n">
        <v>1</v>
      </c>
      <c r="L8" t="n">
        <v>450</v>
      </c>
      <c r="M8" t="n">
        <v>21</v>
      </c>
      <c r="N8" t="b">
        <v>1</v>
      </c>
      <c r="O8" t="n">
        <v>0</v>
      </c>
      <c r="P8" t="n">
        <v>0</v>
      </c>
      <c r="Q8" t="n">
        <v>0</v>
      </c>
      <c r="R8" t="n">
        <v>0</v>
      </c>
      <c r="S8" t="n">
        <v>0</v>
      </c>
      <c r="T8" t="n">
        <v>0</v>
      </c>
      <c r="U8" t="n">
        <v>0</v>
      </c>
      <c r="V8" t="n">
        <v>0</v>
      </c>
      <c r="W8" t="n">
        <v>1</v>
      </c>
      <c r="X8" t="inlineStr"/>
      <c r="Y8" t="n">
        <v>0</v>
      </c>
      <c r="Z8" t="b">
        <v>0</v>
      </c>
      <c r="AA8" t="inlineStr"/>
      <c r="AB8" t="inlineStr"/>
      <c r="AC8" t="inlineStr"/>
      <c r="AD8" t="inlineStr">
        <is>
          <t>Shared verbatim w/ Night Lord (patched poison chance 30%-&gt;50%, modeled always-active at steady state — matches Night Lord's own treatment exactly, including the Cooldown=1 'always-on tick' trick). factorIndex 21, baseDamage 450 tenths% (45%-&gt;81%, levels 1-200) — reverse-engineered fresh this session and confirmed to resolve to the EXACT same tuple Night Lord already uses, cross-validating the shared-skill-reuse premise. Mastery Lv.82 Weaken (+15%p Damage Taken while poisoned, patched from 12% — matches Night Lord's own Venom - Weaken mastery exactly, confirmed via the patch note despite the wiki mastery table mislabeling this row 'Meso Explosion - Damage') is a GLOBAL always-on monster-damage-taken bonus, not a per-row Mastery column — see build_summary_sheet. Maple Hero (Shadower) target — see MAPLE_HERO_SHADOWER_RATIOS (structurally different from Night Lord's own copy, same caveat as Dark Flare above).</t>
        </is>
      </c>
    </row>
    <row r="9">
      <c r="A9" t="inlineStr">
        <is>
          <t>TOXIC_VENOM</t>
        </is>
      </c>
      <c r="B9" t="inlineStr">
        <is>
          <t>Toxic Venom</t>
        </is>
      </c>
      <c r="C9" t="n">
        <v>4</v>
      </c>
      <c r="D9" t="inlineStr"/>
      <c r="E9" t="b">
        <v>0</v>
      </c>
      <c r="F9" t="n">
        <v>1</v>
      </c>
      <c r="G9" t="n">
        <v>1</v>
      </c>
      <c r="H9" t="n">
        <v>0</v>
      </c>
      <c r="I9" t="n">
        <v>0</v>
      </c>
      <c r="J9" t="n">
        <v>20</v>
      </c>
      <c r="K9" t="n">
        <v>1</v>
      </c>
      <c r="L9" t="n">
        <v>6000</v>
      </c>
      <c r="M9" t="n">
        <v>21</v>
      </c>
      <c r="N9" t="b">
        <v>1</v>
      </c>
      <c r="O9">
        <f>SUMPRODUCT((Inputs!$B$3&gt;={130})*{100})</f>
        <v/>
      </c>
      <c r="P9" t="n">
        <v>0</v>
      </c>
      <c r="Q9" t="n">
        <v>0</v>
      </c>
      <c r="R9" t="n">
        <v>0</v>
      </c>
      <c r="S9" t="n">
        <v>0</v>
      </c>
      <c r="T9" t="n">
        <v>0</v>
      </c>
      <c r="U9" t="n">
        <v>0</v>
      </c>
      <c r="V9" t="n">
        <v>0</v>
      </c>
      <c r="W9" t="n">
        <v>1</v>
      </c>
      <c r="X9" t="inlineStr"/>
      <c r="Y9" t="n">
        <v>0</v>
      </c>
      <c r="Z9" t="b">
        <v>0</v>
      </c>
      <c r="AA9" t="inlineStr"/>
      <c r="AB9" t="inlineStr"/>
      <c r="AC9" t="inlineStr"/>
      <c r="AD9" t="inlineStr">
        <is>
          <t>Shared verbatim w/ Night Lord. No ICD — every attack against a (permanently poisoned) target independently rolls the 20% chance. Trigger rate = the combined per-second hit rate of every row with TriggersToxicVenom=TRUE. factorIndex 21, baseDamage 6000 tenths% (600%-&gt;1080%, levels 1-200). SkillMasteryBonus% is Mastery Lv.130 'Toxic Venom - Damage' +100% (Shadower's own tier — same mastery name/effect as Night Lord's own Lv.128 tier, just at a different level in this class's own mastery table).</t>
        </is>
      </c>
    </row>
    <row r="10">
      <c r="A10" t="inlineStr">
        <is>
          <t>INTO_DARKNESS</t>
        </is>
      </c>
      <c r="B10" t="inlineStr">
        <is>
          <t>Into Darkness</t>
        </is>
      </c>
      <c r="C10" t="n">
        <v>3</v>
      </c>
      <c r="D10" t="n">
        <v>40</v>
      </c>
      <c r="E10" t="b">
        <v>1</v>
      </c>
      <c r="F10" t="n">
        <v>1</v>
      </c>
      <c r="G10" t="n">
        <v>1</v>
      </c>
      <c r="H10" t="n">
        <v>0</v>
      </c>
      <c r="I10" t="n">
        <v>0</v>
      </c>
      <c r="J10" t="n">
        <v>100</v>
      </c>
      <c r="K10" t="n">
        <v>1</v>
      </c>
      <c r="L10" t="n">
        <v>200</v>
      </c>
      <c r="M10" t="n">
        <v>21</v>
      </c>
      <c r="N10" t="b">
        <v>1</v>
      </c>
      <c r="O10" t="n">
        <v>0</v>
      </c>
      <c r="P10" t="n">
        <v>0</v>
      </c>
      <c r="Q10" t="n">
        <v>0</v>
      </c>
      <c r="R10" t="n">
        <v>0</v>
      </c>
      <c r="S10" t="n">
        <v>0</v>
      </c>
      <c r="T10" t="n">
        <v>0</v>
      </c>
      <c r="U10" t="n">
        <v>0</v>
      </c>
      <c r="V10" t="n">
        <v>0</v>
      </c>
      <c r="W10" t="n">
        <v>1</v>
      </c>
      <c r="X10" t="inlineStr">
        <is>
          <t>FINAL_DAMAGE</t>
        </is>
      </c>
      <c r="Y10" t="n">
        <v>13</v>
      </c>
      <c r="Z10" t="b">
        <v>0</v>
      </c>
      <c r="AA10" t="inlineStr"/>
      <c r="AB10" t="inlineStr"/>
      <c r="AC10" t="inlineStr"/>
      <c r="AD10" t="inlineStr">
        <is>
          <t>FLAGGED (full curve exists, but a genuinely new skill with no cross-class precedent to sanity-check against): +20%-&gt;28% Final Damage for 13s, cooldown 40s. Basic-attack-damage immunity component (defensive) not modeled. factorIndex 21, baseDamage 200 tenths%.</t>
        </is>
      </c>
    </row>
    <row r="11">
      <c r="A11" t="inlineStr">
        <is>
          <t>ASSASSINATE</t>
        </is>
      </c>
      <c r="B11" t="inlineStr">
        <is>
          <t>Assassinate</t>
        </is>
      </c>
      <c r="C11" t="n">
        <v>4</v>
      </c>
      <c r="D11" t="n">
        <v>13</v>
      </c>
      <c r="E11" t="b">
        <v>1</v>
      </c>
      <c r="F11" t="n">
        <v>1</v>
      </c>
      <c r="G11" t="n">
        <v>2</v>
      </c>
      <c r="H11" t="n">
        <v>0</v>
      </c>
      <c r="I11" t="n">
        <v>0</v>
      </c>
      <c r="J11" t="n">
        <v>100</v>
      </c>
      <c r="K11" t="n">
        <v>1</v>
      </c>
      <c r="L11" t="n">
        <v>14000</v>
      </c>
      <c r="M11" t="n">
        <v>21</v>
      </c>
      <c r="N11" t="b">
        <v>1</v>
      </c>
      <c r="O11" t="n">
        <v>0</v>
      </c>
      <c r="P11" t="n">
        <v>0</v>
      </c>
      <c r="Q11" t="n">
        <v>0</v>
      </c>
      <c r="R11" t="n">
        <v>0</v>
      </c>
      <c r="S11" t="n">
        <v>0</v>
      </c>
      <c r="T11" t="n">
        <v>0</v>
      </c>
      <c r="U11" t="n">
        <v>0</v>
      </c>
      <c r="V11" t="n">
        <v>0</v>
      </c>
      <c r="W11" t="n">
        <v>1</v>
      </c>
      <c r="X11" t="inlineStr"/>
      <c r="Y11" t="n">
        <v>0</v>
      </c>
      <c r="Z11" t="b">
        <v>1</v>
      </c>
      <c r="AA11" t="inlineStr"/>
      <c r="AB11" t="inlineStr"/>
      <c r="AC11" t="inlineStr"/>
      <c r="AD11" t="inlineStr">
        <is>
          <t>2-part damage structure: base 1400%-&gt;1680%(lvl50, curve continues) x2 hits (factorIndex 21, baseDamage 14000 tenths%), PLUS a periodic finishing blow (+3000%-&gt;3750%(lvl50) additional damage, factorIndex 12, baseDamage 30000 tenths% — see FINISHER constants below) landing on average every 2nd cast (modeled as a flat 50% average multiplier, not an exact odd/even cast counter). This row needs a BESPOKE Calc!F formula (two independent FactorTable lookups combined additively, the finisher term halved for its average-every-2nd-cast frequency) — see build_calc_sheet. Mastery Lv.108 'Murderous Intent' doubles the NEXT finishing blow after a Blood Money attack — modeled as a steady-state average multiplier on the finisher term (probability = MIN(1, Blood-Money's own cast rate / Assassinate's own finisher rate)), not an exact alternating-state machine. Mastery Lv.134 'Assassinate - Damage' +50% (real, applies to the base-hit term only, matching the wiki's own 'Assassinate damage' wording which doesn't call out the finisher specifically). Curve confidence note: the patch's own qualitative text ('base hit damage now increases more significantly with skill level') has no numeric override — using the wiki's own current curve as the best available data. Triggers Toxic Venom (a genuine independent attack, unlike Venom/Shadow Partner/Shadow Shifter's own deliberate exclusions).</t>
        </is>
      </c>
    </row>
    <row r="12">
      <c r="A12" t="inlineStr">
        <is>
          <t>SUDDEN_RAID_BURST</t>
        </is>
      </c>
      <c r="B12" t="inlineStr">
        <is>
          <t>Sudden Raid (burst)</t>
        </is>
      </c>
      <c r="C12" t="n">
        <v>4</v>
      </c>
      <c r="D12" t="n">
        <v>19</v>
      </c>
      <c r="E12" t="b">
        <v>1</v>
      </c>
      <c r="F12" t="n">
        <v>1</v>
      </c>
      <c r="G12" t="n">
        <v>3</v>
      </c>
      <c r="H12" t="n">
        <v>0</v>
      </c>
      <c r="I12" t="n">
        <v>0</v>
      </c>
      <c r="J12" t="n">
        <v>100</v>
      </c>
      <c r="K12" t="n">
        <v>1</v>
      </c>
      <c r="L12" t="n">
        <v>14000</v>
      </c>
      <c r="M12" t="n">
        <v>12</v>
      </c>
      <c r="N12" t="b">
        <v>1</v>
      </c>
      <c r="O12">
        <f>SUMPRODUCT((Inputs!$B$3&gt;={126})*{50})</f>
        <v/>
      </c>
      <c r="P12" t="n">
        <v>0</v>
      </c>
      <c r="Q12" t="n">
        <v>0</v>
      </c>
      <c r="R12" t="n">
        <v>0</v>
      </c>
      <c r="S12" t="n">
        <v>0</v>
      </c>
      <c r="T12" t="n">
        <v>0</v>
      </c>
      <c r="U12" t="n">
        <v>0</v>
      </c>
      <c r="V12" t="n">
        <v>0</v>
      </c>
      <c r="W12" t="n">
        <v>8</v>
      </c>
      <c r="X12" t="inlineStr"/>
      <c r="Y12" t="n">
        <v>0</v>
      </c>
      <c r="Z12" t="b">
        <v>1</v>
      </c>
      <c r="AA12" t="inlineStr"/>
      <c r="AB12" t="inlineStr"/>
      <c r="AC12" t="inlineStr"/>
      <c r="AD12" t="inlineStr">
        <is>
          <t>Shared verbatim w/ Night Lord. factorIndex 12, baseDamage 14000 tenths% (1400%-&gt;2800%, levels 1-200). Mastery Lv.126 'Sudden Raid - Damage' +50% (Shadower's own tier, at a different level than Night Lord's own Lv.124 tier for the same mastery name — each class's mastery TABLE assigns its own level to a shared base skill's mastery, confirmed not an error). Does not apply to the DoT row below.</t>
        </is>
      </c>
    </row>
    <row r="13">
      <c r="A13" t="inlineStr">
        <is>
          <t>SUDDEN_RAID_DOT</t>
        </is>
      </c>
      <c r="B13" t="inlineStr">
        <is>
          <t>Sudden Raid (DoT)</t>
        </is>
      </c>
      <c r="C13" t="n">
        <v>4</v>
      </c>
      <c r="D13">
        <f>Skills!D12</f>
        <v/>
      </c>
      <c r="E13" t="b">
        <v>0</v>
      </c>
      <c r="F13" t="n">
        <v>1</v>
      </c>
      <c r="G13" t="n">
        <v>1</v>
      </c>
      <c r="H13" t="n">
        <v>1</v>
      </c>
      <c r="I13" t="n">
        <v>5</v>
      </c>
      <c r="J13" t="n">
        <v>100</v>
      </c>
      <c r="K13" t="n">
        <v>1</v>
      </c>
      <c r="L13" t="n">
        <v>3600</v>
      </c>
      <c r="M13" t="n">
        <v>12</v>
      </c>
      <c r="N13" t="b">
        <v>1</v>
      </c>
      <c r="O13" t="n">
        <v>0</v>
      </c>
      <c r="P13" t="n">
        <v>0</v>
      </c>
      <c r="Q13" t="n">
        <v>0</v>
      </c>
      <c r="R13" t="n">
        <v>0</v>
      </c>
      <c r="S13" t="n">
        <v>0</v>
      </c>
      <c r="T13" t="n">
        <v>0</v>
      </c>
      <c r="U13" t="n">
        <v>0</v>
      </c>
      <c r="V13" t="n">
        <v>0</v>
      </c>
      <c r="W13" t="n">
        <v>8</v>
      </c>
      <c r="X13" t="inlineStr"/>
      <c r="Y13" t="n">
        <v>0</v>
      </c>
      <c r="Z13" t="b">
        <v>1</v>
      </c>
      <c r="AA13" t="inlineStr"/>
      <c r="AB13" t="inlineStr"/>
      <c r="AC13" t="inlineStr"/>
      <c r="AD13" t="inlineStr">
        <is>
          <t>Shared verbatim w/ Night Lord. Shares Sudden Raid (burst)'s live Cooldown(s) cell. factorIndex 12, baseDamage 3600 tenths% (360%-&gt;720%, levels 1-200), 5s window / 1s ICD = 5 EffectiveHits per cast.</t>
        </is>
      </c>
    </row>
    <row r="14">
      <c r="A14" t="inlineStr">
        <is>
          <t>BLOOD_MONEY</t>
        </is>
      </c>
      <c r="B14" t="inlineStr">
        <is>
          <t>Blood Money</t>
        </is>
      </c>
      <c r="C14" t="n">
        <v>4</v>
      </c>
      <c r="D14">
        <f>Skills!D4</f>
        <v/>
      </c>
      <c r="E14" t="b">
        <v>0</v>
      </c>
      <c r="F14" t="n">
        <v>1</v>
      </c>
      <c r="G14" t="n">
        <v>3</v>
      </c>
      <c r="H14" t="n">
        <v>0</v>
      </c>
      <c r="I14" t="n">
        <v>0</v>
      </c>
      <c r="J14" t="n">
        <v>100</v>
      </c>
      <c r="K14" t="n">
        <v>1</v>
      </c>
      <c r="L14" t="n">
        <v>36000</v>
      </c>
      <c r="M14" t="n">
        <v>12</v>
      </c>
      <c r="N14" t="b">
        <v>1</v>
      </c>
      <c r="O14">
        <f>SUMPRODUCT((Inputs!$B$3&gt;={122,138})*{50,50})</f>
        <v/>
      </c>
      <c r="P14" t="n">
        <v>0</v>
      </c>
      <c r="Q14" t="n">
        <v>0</v>
      </c>
      <c r="R14" t="n">
        <v>0</v>
      </c>
      <c r="S14" t="n">
        <v>0</v>
      </c>
      <c r="T14" t="n">
        <v>0</v>
      </c>
      <c r="U14" t="n">
        <v>0</v>
      </c>
      <c r="V14">
        <f>IF(Inputs!$B$3&gt;=138,3,IF(Inputs!$B$3&gt;=122,2,1))</f>
        <v/>
      </c>
      <c r="W14" t="inlineStr"/>
      <c r="X14" t="inlineStr"/>
      <c r="Y14" t="n">
        <v>0</v>
      </c>
      <c r="Z14" t="b">
        <v>1</v>
      </c>
      <c r="AA14" t="inlineStr"/>
      <c r="AB14" t="inlineStr"/>
      <c r="AC14" t="inlineStr"/>
      <c r="AD14" t="inlineStr">
        <is>
          <t>PATCHED (Aug 13 2026): base damage 2800%-&gt;3600% (curve rescaled 1.2857x before reverse-engineering — factorIndex 12, baseDamage 36000 tenths% already reflects the patched value), single-target +5%/stack bonus REMOVED. Triggers alongside Meso Explosion's own cast (shares its live Cooldown(s) cell, no independent cooldown) — 50% chance PER meso-generation-roll to also create a Blood Money stack (max 5), modeled at steady state: MIN(5, 0.25*attack_rate*11) (0.5 meso-chance x 0.5 blood-money-chance), a bespoke NormalMonsterTargets-equivalent formula in build_calc_sheet (left blank here, same treatment as Meso Explosion's own targets formula). MasteryTargetIncrease field repurposed here as the stack-to-targets MULTIPLIER (1x pre-122, 2x at 122, 3x at 138 — both Lv.122 and Lv.138 masteries renamed 'Damage &amp; Target' by the patch, see the plan's Context section for the full before/after reconciliation). SkillMasteryBonus% is the combined +50%(122)+50%(138) = +100% total once both unlock. Triggers Toxic Venom.</t>
        </is>
      </c>
    </row>
    <row r="15">
      <c r="A15" t="inlineStr">
        <is>
          <t>SMOKESCREEN</t>
        </is>
      </c>
      <c r="B15" t="inlineStr">
        <is>
          <t>Smokescreen</t>
        </is>
      </c>
      <c r="C15" t="n">
        <v>4</v>
      </c>
      <c r="D15" t="n">
        <v>45</v>
      </c>
      <c r="E15" t="b">
        <v>1</v>
      </c>
      <c r="F15" t="n">
        <v>1</v>
      </c>
      <c r="G15" t="n">
        <v>1</v>
      </c>
      <c r="H15" t="n">
        <v>0</v>
      </c>
      <c r="I15" t="n">
        <v>0</v>
      </c>
      <c r="J15" t="n">
        <v>100</v>
      </c>
      <c r="K15" t="n">
        <v>1</v>
      </c>
      <c r="L15" t="n">
        <v>130</v>
      </c>
      <c r="M15" t="n">
        <v>22</v>
      </c>
      <c r="N15" t="b">
        <v>1</v>
      </c>
      <c r="O15" t="n">
        <v>0</v>
      </c>
      <c r="P15" t="n">
        <v>0</v>
      </c>
      <c r="Q15" t="n">
        <v>0</v>
      </c>
      <c r="R15" t="n">
        <v>0</v>
      </c>
      <c r="S15" t="n">
        <v>0</v>
      </c>
      <c r="T15" t="n">
        <v>0</v>
      </c>
      <c r="U15" t="n">
        <v>0</v>
      </c>
      <c r="V15" t="n">
        <v>0</v>
      </c>
      <c r="W15" t="n">
        <v>1</v>
      </c>
      <c r="X15" t="inlineStr">
        <is>
          <t>FINAL_DAMAGE</t>
        </is>
      </c>
      <c r="Y15" t="n">
        <v>20</v>
      </c>
      <c r="Z15" t="b">
        <v>0</v>
      </c>
      <c r="AA15" t="inlineStr"/>
      <c r="AB15" t="inlineStr"/>
      <c r="AC15" t="inlineStr"/>
      <c r="AD15" t="inlineStr">
        <is>
          <t>Enemy-debuff components (Accuracy/Evasion/Defense reduction) and ally-damage-taken-reduction not modeled (no such mechanics exist anywhere in this calculator). Self Final Damage component only: +13%-&gt;14.9%(lvl50, curve continues) for 20s, cooldown 45s. factorIndex 22, baseDamage 130 tenths% — confirmed via exact-floor curve matching (the naive mean-based resolver initially suggested 129, off by one due to this being a small-magnitude curve, same class of rounding issue flagged in this project's own memory notes for FP-Mage — resolved by checking which integer base reproduces every sampled level's value exactly under floor-to-1-decimal rounding, not just within a loose tolerance). Mastery Lv.113 'Smokescreen - Critical': -10% enemy Critical Resistance in range (not modeled) + allies' Critical Damage +30% (self-inclusive, feeds a Crit-Damage-bonus accumulator in build_summary_sheet, duty-cycle-averaged off this row's own uptime).</t>
        </is>
      </c>
    </row>
    <row r="16">
      <c r="A16" t="inlineStr">
        <is>
          <t>SHADOW_SHIFTER</t>
        </is>
      </c>
      <c r="B16" t="inlineStr">
        <is>
          <t>Shadow Shifter (counterattack)</t>
        </is>
      </c>
      <c r="C16" t="n">
        <v>4</v>
      </c>
      <c r="D16" t="inlineStr"/>
      <c r="E16" t="b">
        <v>0</v>
      </c>
      <c r="F16" t="n">
        <v>1</v>
      </c>
      <c r="G16" t="n">
        <v>1</v>
      </c>
      <c r="H16" t="n">
        <v>0</v>
      </c>
      <c r="I16" t="n">
        <v>0</v>
      </c>
      <c r="J16" t="n">
        <v>100</v>
      </c>
      <c r="K16" t="n">
        <v>1</v>
      </c>
      <c r="L16" t="n">
        <v>25000</v>
      </c>
      <c r="M16" t="n">
        <v>21</v>
      </c>
      <c r="N16" t="b">
        <v>1</v>
      </c>
      <c r="O16" t="n">
        <v>0</v>
      </c>
      <c r="P16" t="n">
        <v>0</v>
      </c>
      <c r="Q16" t="n">
        <v>0</v>
      </c>
      <c r="R16" t="n">
        <v>0</v>
      </c>
      <c r="S16" t="n">
        <v>0</v>
      </c>
      <c r="T16" t="n">
        <v>0</v>
      </c>
      <c r="U16" t="n">
        <v>0</v>
      </c>
      <c r="V16" t="n">
        <v>0</v>
      </c>
      <c r="W16" t="n">
        <v>1</v>
      </c>
      <c r="X16" t="inlineStr"/>
      <c r="Y16" t="n">
        <v>0</v>
      </c>
      <c r="Z16" t="b">
        <v>0</v>
      </c>
      <c r="AA16" t="inlineStr"/>
      <c r="AB16" t="inlineStr"/>
      <c r="AC16" t="inlineStr"/>
      <c r="AD16" t="inlineStr">
        <is>
          <t>Shared verbatim w/ Night Lord. Counterattack DPS = Inputs!incoming_hit_rate * 20% * ExpectedDamage(counterHit) — bespoke O-column branch, no Cooldown(s)/rate machinery of its own. factorIndex 21, baseDamage 25000 tenths% (2500%-&gt;4500%, levels 1-200).</t>
        </is>
      </c>
    </row>
    <row r="17">
      <c r="A17" t="inlineStr">
        <is>
          <t>SHADOW_SHIFTER_SELF_ATK</t>
        </is>
      </c>
      <c r="B17" t="inlineStr">
        <is>
          <t>Shadow Shifter (self Attack%)</t>
        </is>
      </c>
      <c r="C17" t="n">
        <v>4</v>
      </c>
      <c r="D17" t="inlineStr"/>
      <c r="E17" t="b">
        <v>0</v>
      </c>
      <c r="F17" t="n">
        <v>1</v>
      </c>
      <c r="G17" t="n">
        <v>1</v>
      </c>
      <c r="H17" t="n">
        <v>0</v>
      </c>
      <c r="I17" t="n">
        <v>0</v>
      </c>
      <c r="J17" t="n">
        <v>100</v>
      </c>
      <c r="K17" t="n">
        <v>1</v>
      </c>
      <c r="L17" t="n">
        <v>100</v>
      </c>
      <c r="M17" t="n">
        <v>22</v>
      </c>
      <c r="N17" t="b">
        <v>1</v>
      </c>
      <c r="O17" t="n">
        <v>0</v>
      </c>
      <c r="P17" t="n">
        <v>0</v>
      </c>
      <c r="Q17" t="n">
        <v>0</v>
      </c>
      <c r="R17" t="n">
        <v>0</v>
      </c>
      <c r="S17" t="n">
        <v>0</v>
      </c>
      <c r="T17" t="n">
        <v>0</v>
      </c>
      <c r="U17" t="n">
        <v>0</v>
      </c>
      <c r="V17" t="n">
        <v>0</v>
      </c>
      <c r="W17" t="n">
        <v>1</v>
      </c>
      <c r="X17" t="inlineStr">
        <is>
          <t>ATTACK</t>
        </is>
      </c>
      <c r="Y17" t="n">
        <v>0</v>
      </c>
      <c r="Z17" t="b">
        <v>0</v>
      </c>
      <c r="AA17" t="inlineStr"/>
      <c r="AB17" t="inlineStr"/>
      <c r="AC17" t="inlineStr"/>
      <c r="AD17" t="inlineStr">
        <is>
          <t>Shared verbatim w/ Night Lord. Passive-mult delta-tracking row (10%-&gt;16% self Attack) — assumed already baked into Inputs!ATTACK_PCT (Magic Critical pattern). factorIndex 22, baseDamage 100 tenths%.</t>
        </is>
      </c>
    </row>
    <row r="18">
      <c r="A18" t="inlineStr">
        <is>
          <t>MAPLE_HERO_SHADOWER</t>
        </is>
      </c>
      <c r="B18" t="inlineStr">
        <is>
          <t>Maple Hero</t>
        </is>
      </c>
      <c r="C18" t="n">
        <v>4</v>
      </c>
      <c r="D18" t="inlineStr"/>
      <c r="E18" t="b">
        <v>0</v>
      </c>
      <c r="F18" t="n">
        <v>1</v>
      </c>
      <c r="G18" t="n">
        <v>1</v>
      </c>
      <c r="H18" t="n">
        <v>0</v>
      </c>
      <c r="I18" t="n">
        <v>0</v>
      </c>
      <c r="J18" t="n">
        <v>100</v>
      </c>
      <c r="K18" t="n">
        <v>1</v>
      </c>
      <c r="L18" t="n">
        <v>150</v>
      </c>
      <c r="M18" t="n">
        <v>23</v>
      </c>
      <c r="N18" t="b">
        <v>1</v>
      </c>
      <c r="O18" t="n">
        <v>0</v>
      </c>
      <c r="P18" t="n">
        <v>0</v>
      </c>
      <c r="Q18" t="n">
        <v>0</v>
      </c>
      <c r="R18" t="n">
        <v>0</v>
      </c>
      <c r="S18" t="n">
        <v>0</v>
      </c>
      <c r="T18" t="n">
        <v>0</v>
      </c>
      <c r="U18" t="n">
        <v>0</v>
      </c>
      <c r="V18" t="n">
        <v>0</v>
      </c>
      <c r="W18" t="n">
        <v>1</v>
      </c>
      <c r="X18" t="inlineStr"/>
      <c r="Y18" t="n">
        <v>0</v>
      </c>
      <c r="Z18" t="b">
        <v>0</v>
      </c>
      <c r="AA18" t="inlineStr"/>
      <c r="AB18" t="inlineStr"/>
      <c r="AC18" t="inlineStr"/>
      <c r="AD18" t="inlineStr">
        <is>
          <t>Shared curve feeding Dark Flare/Venom/Shadow Partner/Phase Dash's own Final Damage chains (see MAPLE_HERO_SHADOWER_RATIOS) — confirmed via reverse-engineering that all 4 target values scale proportionally across the full level range (factorIndex 23, baseDamage 150 tenths%, representing Dark Flare's own 1x share; Venom/Shadow Partner are 3.3333x, Phase Dash is 2.6667x). No independent DPS row of its own (Calc columns J-N stay blank/0, same 'no independent row' pattern as Night Lord's own Night Lord's Mark) — only D/E/F are computed, read directly by each target row's own K-column formula.</t>
        </is>
      </c>
    </row>
    <row r="19">
      <c r="A19" t="inlineStr">
        <is>
          <t>NIMBLE_FEET</t>
        </is>
      </c>
      <c r="B19" t="inlineStr">
        <is>
          <t>Nimble Feet</t>
        </is>
      </c>
      <c r="C19" t="n">
        <v>1</v>
      </c>
      <c r="D19" t="n">
        <v>60</v>
      </c>
      <c r="E19" t="b">
        <v>1</v>
      </c>
      <c r="F19" t="n">
        <v>1</v>
      </c>
      <c r="G19" t="n">
        <v>1</v>
      </c>
      <c r="H19" t="n">
        <v>0</v>
      </c>
      <c r="I19" t="n">
        <v>0</v>
      </c>
      <c r="J19" t="n">
        <v>100</v>
      </c>
      <c r="K19" t="n">
        <v>1</v>
      </c>
      <c r="L19" t="n">
        <v>150</v>
      </c>
      <c r="M19" t="n">
        <v>0</v>
      </c>
      <c r="N19" t="b">
        <v>0</v>
      </c>
      <c r="O19" t="n">
        <v>0</v>
      </c>
      <c r="P19" t="n">
        <v>0</v>
      </c>
      <c r="Q19" t="n">
        <v>0</v>
      </c>
      <c r="R19" t="n">
        <v>0</v>
      </c>
      <c r="S19" t="n">
        <v>0</v>
      </c>
      <c r="T19" t="n">
        <v>0</v>
      </c>
      <c r="U19" t="n">
        <v>0</v>
      </c>
      <c r="V19" t="n">
        <v>0</v>
      </c>
      <c r="W19" t="n">
        <v>1</v>
      </c>
      <c r="X19" t="inlineStr">
        <is>
          <t>ATTACK_SPEED</t>
        </is>
      </c>
      <c r="Y19" t="n">
        <v>15</v>
      </c>
      <c r="Z19" t="b">
        <v>0</v>
      </c>
      <c r="AA19" t="inlineStr"/>
      <c r="AB19" t="inlineStr"/>
      <c r="AC19" t="inlineStr"/>
      <c r="AD19" t="inlineStr">
        <is>
          <t>Shared verbatim w/ Night Lord/FP-Mage. Flat +15% Attack Speed / +10% Speed for 15s, 60s cooldown, non-scaling. FactorIndex unused placeholder.</t>
        </is>
      </c>
    </row>
    <row r="20">
      <c r="A20" t="inlineStr">
        <is>
          <t>DARK_SIGHT_CRIT</t>
        </is>
      </c>
      <c r="B20" t="inlineStr">
        <is>
          <t>Dark Sight (Crit Rate)</t>
        </is>
      </c>
      <c r="C20" t="n">
        <v>1</v>
      </c>
      <c r="D20" t="n">
        <v>25</v>
      </c>
      <c r="E20" t="b">
        <v>0</v>
      </c>
      <c r="F20" t="n">
        <v>1</v>
      </c>
      <c r="G20" t="n">
        <v>1</v>
      </c>
      <c r="H20" t="n">
        <v>0</v>
      </c>
      <c r="I20" t="n">
        <v>0</v>
      </c>
      <c r="J20" t="n">
        <v>100</v>
      </c>
      <c r="K20" t="n">
        <v>1</v>
      </c>
      <c r="L20" t="n">
        <v>60</v>
      </c>
      <c r="M20" t="n">
        <v>21</v>
      </c>
      <c r="N20" t="b">
        <v>1</v>
      </c>
      <c r="O20" t="n">
        <v>0</v>
      </c>
      <c r="P20" t="n">
        <v>0</v>
      </c>
      <c r="Q20" t="n">
        <v>0</v>
      </c>
      <c r="R20" t="n">
        <v>0</v>
      </c>
      <c r="S20" t="n">
        <v>0</v>
      </c>
      <c r="T20" t="n">
        <v>0</v>
      </c>
      <c r="U20" t="n">
        <v>0</v>
      </c>
      <c r="V20" t="n">
        <v>0</v>
      </c>
      <c r="W20" t="n">
        <v>1</v>
      </c>
      <c r="X20" t="inlineStr">
        <is>
          <t>CRIT_RATE</t>
        </is>
      </c>
      <c r="Y20">
        <f>IF(Inputs!$B$3&gt;=24,12,8)</f>
        <v/>
      </c>
      <c r="Z20" t="b">
        <v>0</v>
      </c>
      <c r="AA20" t="inlineStr"/>
      <c r="AB20" t="inlineStr"/>
      <c r="AC20" t="inlineStr"/>
      <c r="AD20" t="inlineStr">
        <is>
          <t>Shared verbatim w/ Night Lord (identical wording). Two-stage activation grants +6%-&gt;8.4% Crit Rate for 8s (-&gt;12s once Mastery Lv.24 'Dark Sight - Persistence' unlocks). factorIndex 21, baseDamage 60 tenths%. Passenger row (CostsActionSlot=False).</t>
        </is>
      </c>
    </row>
    <row r="21">
      <c r="A21" t="inlineStr">
        <is>
          <t>DARK_SIGHT_ATK</t>
        </is>
      </c>
      <c r="B21" t="inlineStr">
        <is>
          <t>Dark Sight (Attack)</t>
        </is>
      </c>
      <c r="C21" t="n">
        <v>1</v>
      </c>
      <c r="D21" t="n">
        <v>25</v>
      </c>
      <c r="E21" t="b">
        <v>1</v>
      </c>
      <c r="F21" t="n">
        <v>2</v>
      </c>
      <c r="G21" t="n">
        <v>1</v>
      </c>
      <c r="H21" t="n">
        <v>0</v>
      </c>
      <c r="I21" t="n">
        <v>0</v>
      </c>
      <c r="J21" t="n">
        <v>100</v>
      </c>
      <c r="K21" t="n">
        <v>1</v>
      </c>
      <c r="L21" t="n">
        <v>100</v>
      </c>
      <c r="M21" t="n">
        <v>21</v>
      </c>
      <c r="N21" t="b">
        <v>1</v>
      </c>
      <c r="O21" t="n">
        <v>0</v>
      </c>
      <c r="P21" t="n">
        <v>0</v>
      </c>
      <c r="Q21" t="n">
        <v>0</v>
      </c>
      <c r="R21" t="n">
        <v>0</v>
      </c>
      <c r="S21" t="n">
        <v>0</v>
      </c>
      <c r="T21" t="n">
        <v>0</v>
      </c>
      <c r="U21" t="n">
        <v>0</v>
      </c>
      <c r="V21" t="n">
        <v>0</v>
      </c>
      <c r="W21" t="n">
        <v>1</v>
      </c>
      <c r="X21" t="inlineStr">
        <is>
          <t>ATTACK</t>
        </is>
      </c>
      <c r="Y21">
        <f>IF(Inputs!$B$3&gt;=24,12,8)</f>
        <v/>
      </c>
      <c r="Z21" t="b">
        <v>0</v>
      </c>
      <c r="AA21" t="inlineStr"/>
      <c r="AB21" t="inlineStr"/>
      <c r="AC21" t="inlineStr"/>
      <c r="AD21" t="inlineStr">
        <is>
          <t>Shared verbatim w/ Night Lord. Same 2-stage activation, +10%-&gt;14% Attack for 8s (-&gt;12s at Mastery Lv.24). factorIndex 21, baseDamage 100 tenths%. ActionsPerCast=2.</t>
        </is>
      </c>
    </row>
    <row r="22">
      <c r="A22" t="inlineStr">
        <is>
          <t>AGILE_DAGGERS</t>
        </is>
      </c>
      <c r="B22" t="inlineStr">
        <is>
          <t>Agile Daggers</t>
        </is>
      </c>
      <c r="C22" t="n">
        <v>2</v>
      </c>
      <c r="D22" t="inlineStr"/>
      <c r="E22" t="b">
        <v>0</v>
      </c>
      <c r="F22" t="n">
        <v>1</v>
      </c>
      <c r="G22" t="n">
        <v>1</v>
      </c>
      <c r="H22" t="n">
        <v>0</v>
      </c>
      <c r="I22" t="n">
        <v>0</v>
      </c>
      <c r="J22" t="n">
        <v>100</v>
      </c>
      <c r="K22" t="n">
        <v>1</v>
      </c>
      <c r="L22" t="n">
        <v>50</v>
      </c>
      <c r="M22" t="n">
        <v>22</v>
      </c>
      <c r="N22" t="b">
        <v>1</v>
      </c>
      <c r="O22" t="n">
        <v>0</v>
      </c>
      <c r="P22" t="n">
        <v>0</v>
      </c>
      <c r="Q22" t="n">
        <v>0</v>
      </c>
      <c r="R22" t="n">
        <v>0</v>
      </c>
      <c r="S22" t="n">
        <v>0</v>
      </c>
      <c r="T22" t="n">
        <v>0</v>
      </c>
      <c r="U22" t="n">
        <v>0</v>
      </c>
      <c r="V22" t="n">
        <v>0</v>
      </c>
      <c r="W22" t="n">
        <v>1</v>
      </c>
      <c r="X22" t="inlineStr">
        <is>
          <t>ATTACK_SPEED</t>
        </is>
      </c>
      <c r="Y22" t="n">
        <v>0</v>
      </c>
      <c r="Z22" t="b">
        <v>0</v>
      </c>
      <c r="AA22" t="inlineStr"/>
      <c r="AB22" t="inlineStr"/>
      <c r="AC22" t="inlineStr"/>
      <c r="AD22" t="inlineStr">
        <is>
          <t>HIGH-CONFIDENCE REUSE (no individual wiki page exists for this specific skill, but its level-1 text '+5% Attack Speed' is word-for-word identical to Night Lord's own Agile Claws): reuses that exact factorIndex 22/baseDamage 50 tenths% pair. Magic Critical pattern — already baked into Inputs!ATTACK_SPEED%; feeds the 2nd-Job Skill Level Bonus Sensitivity delta only.</t>
        </is>
      </c>
    </row>
    <row r="23">
      <c r="A23" t="inlineStr">
        <is>
          <t>CHANNEL_KARMA</t>
        </is>
      </c>
      <c r="B23" t="inlineStr">
        <is>
          <t>Channel Karma (self Attack%)</t>
        </is>
      </c>
      <c r="C23" t="n">
        <v>2</v>
      </c>
      <c r="D23" t="inlineStr"/>
      <c r="E23" t="b">
        <v>0</v>
      </c>
      <c r="F23" t="n">
        <v>1</v>
      </c>
      <c r="G23" t="n">
        <v>1</v>
      </c>
      <c r="H23" t="n">
        <v>0</v>
      </c>
      <c r="I23" t="n">
        <v>0</v>
      </c>
      <c r="J23" t="n">
        <v>100</v>
      </c>
      <c r="K23" t="n">
        <v>1</v>
      </c>
      <c r="L23" t="n">
        <v>80</v>
      </c>
      <c r="M23" t="n">
        <v>22</v>
      </c>
      <c r="N23" t="b">
        <v>1</v>
      </c>
      <c r="O23" t="n">
        <v>0</v>
      </c>
      <c r="P23" t="n">
        <v>0</v>
      </c>
      <c r="Q23" t="n">
        <v>0</v>
      </c>
      <c r="R23" t="n">
        <v>0</v>
      </c>
      <c r="S23" t="n">
        <v>0</v>
      </c>
      <c r="T23" t="n">
        <v>0</v>
      </c>
      <c r="U23" t="n">
        <v>0</v>
      </c>
      <c r="V23" t="n">
        <v>0</v>
      </c>
      <c r="W23" t="n">
        <v>1</v>
      </c>
      <c r="X23" t="inlineStr">
        <is>
          <t>ATTACK</t>
        </is>
      </c>
      <c r="Y23" t="n">
        <v>0</v>
      </c>
      <c r="Z23" t="b">
        <v>0</v>
      </c>
      <c r="AA23" t="inlineStr"/>
      <c r="AB23" t="inlineStr"/>
      <c r="AC23" t="inlineStr"/>
      <c r="AD23" t="inlineStr">
        <is>
          <t>FLAGGED ASSUMPTION (no individual wiki page exists): factorIndex 22 (convention), baseDamage 80 tenths% (8% level-1 Attack component). Critical Resistance component not modeled (no such mechanic exists). Magic Critical pattern — already baked into Inputs!ATTACK_PCT; feeds the 2nd-Job Skill Level Bonus delta only.</t>
        </is>
      </c>
    </row>
    <row r="24">
      <c r="A24" t="inlineStr">
        <is>
          <t>DAGGER_MASTERY</t>
        </is>
      </c>
      <c r="B24" t="inlineStr">
        <is>
          <t>Dagger Mastery</t>
        </is>
      </c>
      <c r="C24" t="n">
        <v>2</v>
      </c>
      <c r="D24" t="inlineStr"/>
      <c r="E24" t="b">
        <v>0</v>
      </c>
      <c r="F24" t="n">
        <v>1</v>
      </c>
      <c r="G24" t="n">
        <v>1</v>
      </c>
      <c r="H24" t="n">
        <v>0</v>
      </c>
      <c r="I24" t="n">
        <v>0</v>
      </c>
      <c r="J24" t="n">
        <v>100</v>
      </c>
      <c r="K24" t="n">
        <v>1</v>
      </c>
      <c r="L24" t="n">
        <v>150</v>
      </c>
      <c r="M24" t="n">
        <v>22</v>
      </c>
      <c r="N24" t="b">
        <v>1</v>
      </c>
      <c r="O24" t="n">
        <v>0</v>
      </c>
      <c r="P24" t="n">
        <v>0</v>
      </c>
      <c r="Q24" t="n">
        <v>0</v>
      </c>
      <c r="R24" t="n">
        <v>0</v>
      </c>
      <c r="S24" t="n">
        <v>0</v>
      </c>
      <c r="T24" t="n">
        <v>0</v>
      </c>
      <c r="U24" t="n">
        <v>0</v>
      </c>
      <c r="V24" t="n">
        <v>0</v>
      </c>
      <c r="W24" t="n">
        <v>1</v>
      </c>
      <c r="X24" t="inlineStr">
        <is>
          <t>MIN_DAMAGE</t>
        </is>
      </c>
      <c r="Y24" t="n">
        <v>0</v>
      </c>
      <c r="Z24" t="b">
        <v>0</v>
      </c>
      <c r="AA24" t="inlineStr"/>
      <c r="AB24" t="inlineStr"/>
      <c r="AC24" t="inlineStr"/>
      <c r="AD24" t="inlineStr">
        <is>
          <t>Magic Critical pattern — already baked into Inputs!MIN_DAMAGE%; feeds the 2nd-Job Skill Level Bonus delta. factorIndex 22, baseDamage 150 tenths%.</t>
        </is>
      </c>
    </row>
    <row r="25">
      <c r="A25" t="inlineStr">
        <is>
          <t>CRITICAL_EDGE_RATE</t>
        </is>
      </c>
      <c r="B25" t="inlineStr">
        <is>
          <t>Critical Edge (Crit Rate)</t>
        </is>
      </c>
      <c r="C25" t="n">
        <v>2</v>
      </c>
      <c r="D25" t="inlineStr"/>
      <c r="E25" t="b">
        <v>0</v>
      </c>
      <c r="F25" t="n">
        <v>1</v>
      </c>
      <c r="G25" t="n">
        <v>1</v>
      </c>
      <c r="H25" t="n">
        <v>0</v>
      </c>
      <c r="I25" t="n">
        <v>0</v>
      </c>
      <c r="J25" t="n">
        <v>100</v>
      </c>
      <c r="K25" t="n">
        <v>1</v>
      </c>
      <c r="L25" t="n">
        <v>60</v>
      </c>
      <c r="M25" t="n">
        <v>22</v>
      </c>
      <c r="N25" t="b">
        <v>1</v>
      </c>
      <c r="O25" t="n">
        <v>0</v>
      </c>
      <c r="P25" t="n">
        <v>0</v>
      </c>
      <c r="Q25" t="n">
        <v>0</v>
      </c>
      <c r="R25" t="n">
        <v>0</v>
      </c>
      <c r="S25" t="n">
        <v>0</v>
      </c>
      <c r="T25" t="n">
        <v>0</v>
      </c>
      <c r="U25" t="n">
        <v>0</v>
      </c>
      <c r="V25" t="n">
        <v>0</v>
      </c>
      <c r="W25" t="n">
        <v>1</v>
      </c>
      <c r="X25" t="inlineStr">
        <is>
          <t>CRIT_RATE</t>
        </is>
      </c>
      <c r="Y25" t="n">
        <v>0</v>
      </c>
      <c r="Z25" t="b">
        <v>0</v>
      </c>
      <c r="AA25" t="inlineStr"/>
      <c r="AB25" t="inlineStr"/>
      <c r="AC25" t="inlineStr"/>
      <c r="AD25" t="inlineStr">
        <is>
          <t>Magic Critical pattern — already baked into Inputs!CRIT_RATE%; feeds the 2nd-Job Skill Level Bonus delta. factorIndex 22, baseDamage 60 tenths%.</t>
        </is>
      </c>
    </row>
    <row r="26">
      <c r="A26" t="inlineStr">
        <is>
          <t>CRITICAL_EDGE_DMG</t>
        </is>
      </c>
      <c r="B26" t="inlineStr">
        <is>
          <t>Critical Edge (Crit Damage)</t>
        </is>
      </c>
      <c r="C26" t="n">
        <v>2</v>
      </c>
      <c r="D26" t="inlineStr"/>
      <c r="E26" t="b">
        <v>0</v>
      </c>
      <c r="F26" t="n">
        <v>1</v>
      </c>
      <c r="G26" t="n">
        <v>1</v>
      </c>
      <c r="H26" t="n">
        <v>0</v>
      </c>
      <c r="I26" t="n">
        <v>0</v>
      </c>
      <c r="J26" t="n">
        <v>100</v>
      </c>
      <c r="K26" t="n">
        <v>1</v>
      </c>
      <c r="L26" t="n">
        <v>100</v>
      </c>
      <c r="M26" t="n">
        <v>22</v>
      </c>
      <c r="N26" t="b">
        <v>1</v>
      </c>
      <c r="O26" t="n">
        <v>0</v>
      </c>
      <c r="P26" t="n">
        <v>0</v>
      </c>
      <c r="Q26" t="n">
        <v>0</v>
      </c>
      <c r="R26" t="n">
        <v>0</v>
      </c>
      <c r="S26" t="n">
        <v>0</v>
      </c>
      <c r="T26" t="n">
        <v>0</v>
      </c>
      <c r="U26" t="n">
        <v>0</v>
      </c>
      <c r="V26" t="n">
        <v>0</v>
      </c>
      <c r="W26" t="n">
        <v>1</v>
      </c>
      <c r="X26" t="inlineStr">
        <is>
          <t>CRIT_DAMAGE</t>
        </is>
      </c>
      <c r="Y26" t="n">
        <v>0</v>
      </c>
      <c r="Z26" t="b">
        <v>0</v>
      </c>
      <c r="AA26" t="inlineStr"/>
      <c r="AB26" t="inlineStr"/>
      <c r="AC26" t="inlineStr"/>
      <c r="AD26" t="inlineStr">
        <is>
          <t>Same skill as Critical Edge (Crit Rate) above. Magic Critical pattern — already baked into Inputs!CRIT_DAMAGE%; feeds the 2nd-Job Skill Level Bonus delta. factorIndex 22, baseDamage 100 tenths%.</t>
        </is>
      </c>
    </row>
    <row r="27">
      <c r="A27" t="inlineStr">
        <is>
          <t>PHYSICAL_TRAINING</t>
        </is>
      </c>
      <c r="B27" t="inlineStr">
        <is>
          <t>Physical Training</t>
        </is>
      </c>
      <c r="C27" t="n">
        <v>2</v>
      </c>
      <c r="D27" t="inlineStr"/>
      <c r="E27" t="b">
        <v>0</v>
      </c>
      <c r="F27" t="n">
        <v>1</v>
      </c>
      <c r="G27" t="n">
        <v>1</v>
      </c>
      <c r="H27" t="n">
        <v>0</v>
      </c>
      <c r="I27" t="n">
        <v>0</v>
      </c>
      <c r="J27" t="n">
        <v>100</v>
      </c>
      <c r="K27" t="n">
        <v>1</v>
      </c>
      <c r="L27" t="n">
        <v>100</v>
      </c>
      <c r="M27" t="n">
        <v>22</v>
      </c>
      <c r="N27" t="b">
        <v>1</v>
      </c>
      <c r="O27" t="n">
        <v>0</v>
      </c>
      <c r="P27" t="n">
        <v>0</v>
      </c>
      <c r="Q27" t="n">
        <v>0</v>
      </c>
      <c r="R27" t="n">
        <v>0</v>
      </c>
      <c r="S27" t="n">
        <v>0</v>
      </c>
      <c r="T27" t="n">
        <v>0</v>
      </c>
      <c r="U27" t="n">
        <v>0</v>
      </c>
      <c r="V27" t="n">
        <v>0</v>
      </c>
      <c r="W27" t="n">
        <v>1</v>
      </c>
      <c r="X27" t="inlineStr">
        <is>
          <t>BASIC_ATTACK_DAMAGE</t>
        </is>
      </c>
      <c r="Y27" t="n">
        <v>0</v>
      </c>
      <c r="Z27" t="b">
        <v>0</v>
      </c>
      <c r="AA27" t="inlineStr"/>
      <c r="AB27" t="inlineStr"/>
      <c r="AC27" t="inlineStr"/>
      <c r="AD27" t="inlineStr">
        <is>
          <t>Magic Critical pattern — already baked into Inputs!BASIC_ATTACK_DAMAGE%; feeds the 2nd-Job Skill Level Bonus delta. factorIndex 22, baseDamage 100 tenths%.</t>
        </is>
      </c>
    </row>
    <row r="28">
      <c r="A28" t="inlineStr">
        <is>
          <t>DAGGER_EXPERT_SKILL</t>
        </is>
      </c>
      <c r="B28" t="inlineStr">
        <is>
          <t>Dagger Expert (Skill Damage)</t>
        </is>
      </c>
      <c r="C28" t="n">
        <v>4</v>
      </c>
      <c r="D28" t="inlineStr"/>
      <c r="E28" t="b">
        <v>0</v>
      </c>
      <c r="F28" t="n">
        <v>1</v>
      </c>
      <c r="G28" t="n">
        <v>1</v>
      </c>
      <c r="H28" t="n">
        <v>0</v>
      </c>
      <c r="I28" t="n">
        <v>0</v>
      </c>
      <c r="J28" t="n">
        <v>100</v>
      </c>
      <c r="K28" t="n">
        <v>1</v>
      </c>
      <c r="L28" t="n">
        <v>150</v>
      </c>
      <c r="M28" t="n">
        <v>22</v>
      </c>
      <c r="N28" t="b">
        <v>1</v>
      </c>
      <c r="O28" t="n">
        <v>0</v>
      </c>
      <c r="P28" t="n">
        <v>0</v>
      </c>
      <c r="Q28" t="n">
        <v>0</v>
      </c>
      <c r="R28" t="n">
        <v>0</v>
      </c>
      <c r="S28" t="n">
        <v>0</v>
      </c>
      <c r="T28" t="n">
        <v>0</v>
      </c>
      <c r="U28" t="n">
        <v>0</v>
      </c>
      <c r="V28" t="n">
        <v>0</v>
      </c>
      <c r="W28" t="n">
        <v>1</v>
      </c>
      <c r="X28" t="inlineStr">
        <is>
          <t>SKILL_DAMAGE</t>
        </is>
      </c>
      <c r="Y28" t="n">
        <v>0</v>
      </c>
      <c r="Z28" t="b">
        <v>0</v>
      </c>
      <c r="AA28" t="inlineStr"/>
      <c r="AB28" t="inlineStr"/>
      <c r="AC28" t="inlineStr"/>
      <c r="AD28" t="inlineStr">
        <is>
          <t>Magic Critical pattern — already baked into Inputs!SKILL_DAMAGE%; feeds the 4th-Job Skill Level Bonus delta (Skill Damage side). factorIndex 22, baseDamage 150 tenths%.</t>
        </is>
      </c>
    </row>
    <row r="29">
      <c r="A29" t="inlineStr">
        <is>
          <t>DAGGER_EXPERT_MAXDMG</t>
        </is>
      </c>
      <c r="B29" t="inlineStr">
        <is>
          <t>Dagger Expert (Max Damage Multiplier)</t>
        </is>
      </c>
      <c r="C29" t="n">
        <v>4</v>
      </c>
      <c r="D29" t="inlineStr"/>
      <c r="E29" t="b">
        <v>0</v>
      </c>
      <c r="F29" t="n">
        <v>1</v>
      </c>
      <c r="G29" t="n">
        <v>1</v>
      </c>
      <c r="H29" t="n">
        <v>0</v>
      </c>
      <c r="I29" t="n">
        <v>0</v>
      </c>
      <c r="J29" t="n">
        <v>100</v>
      </c>
      <c r="K29" t="n">
        <v>1</v>
      </c>
      <c r="L29" t="n">
        <v>200</v>
      </c>
      <c r="M29" t="n">
        <v>22</v>
      </c>
      <c r="N29" t="b">
        <v>1</v>
      </c>
      <c r="O29" t="n">
        <v>0</v>
      </c>
      <c r="P29" t="n">
        <v>0</v>
      </c>
      <c r="Q29" t="n">
        <v>0</v>
      </c>
      <c r="R29" t="n">
        <v>0</v>
      </c>
      <c r="S29" t="n">
        <v>0</v>
      </c>
      <c r="T29" t="n">
        <v>0</v>
      </c>
      <c r="U29" t="n">
        <v>0</v>
      </c>
      <c r="V29" t="n">
        <v>0</v>
      </c>
      <c r="W29" t="n">
        <v>1</v>
      </c>
      <c r="X29" t="inlineStr">
        <is>
          <t>MAX_DAMAGE</t>
        </is>
      </c>
      <c r="Y29" t="n">
        <v>0</v>
      </c>
      <c r="Z29" t="b">
        <v>0</v>
      </c>
      <c r="AA29" t="inlineStr"/>
      <c r="AB29" t="inlineStr"/>
      <c r="AC29" t="inlineStr"/>
      <c r="AD29" t="inlineStr">
        <is>
          <t>Same skill as Dagger Expert (Skill Damage) above, +20%-&gt;23% Max Damage Multiplier. Magic Critical pattern — already baked into Inputs!MAX_DAMAGE%; feeds the 4th-Job Skill Level Bonus delta (Max Damage Multiplier side). factorIndex 22, baseDamage 200 tenths%.</t>
        </is>
      </c>
    </row>
    <row r="30">
      <c r="A30" t="inlineStr">
        <is>
          <t>SHADOWER_INSTINCT</t>
        </is>
      </c>
      <c r="B30" t="inlineStr">
        <is>
          <t>Shadower Instinct</t>
        </is>
      </c>
      <c r="C30" t="n">
        <v>4</v>
      </c>
      <c r="D30" t="inlineStr"/>
      <c r="E30" t="b">
        <v>0</v>
      </c>
      <c r="F30" t="n">
        <v>1</v>
      </c>
      <c r="G30" t="n">
        <v>1</v>
      </c>
      <c r="H30" t="n">
        <v>0</v>
      </c>
      <c r="I30" t="n">
        <v>0</v>
      </c>
      <c r="J30" t="n">
        <v>100</v>
      </c>
      <c r="K30" t="n">
        <v>1</v>
      </c>
      <c r="L30" t="n">
        <v>200</v>
      </c>
      <c r="M30" t="n">
        <v>22</v>
      </c>
      <c r="N30" t="b">
        <v>1</v>
      </c>
      <c r="O30" t="n">
        <v>0</v>
      </c>
      <c r="P30" t="n">
        <v>0</v>
      </c>
      <c r="Q30" t="n">
        <v>0</v>
      </c>
      <c r="R30" t="n">
        <v>0</v>
      </c>
      <c r="S30" t="n">
        <v>0</v>
      </c>
      <c r="T30" t="n">
        <v>0</v>
      </c>
      <c r="U30" t="n">
        <v>0</v>
      </c>
      <c r="V30" t="n">
        <v>0</v>
      </c>
      <c r="W30" t="n">
        <v>1</v>
      </c>
      <c r="X30" t="inlineStr">
        <is>
          <t>FINAL_DAMAGE</t>
        </is>
      </c>
      <c r="Y30" t="n">
        <v>0</v>
      </c>
      <c r="Z30" t="b">
        <v>0</v>
      </c>
      <c r="AA30" t="inlineStr"/>
      <c r="AB30" t="inlineStr"/>
      <c r="AC30" t="inlineStr"/>
      <c r="AD30" t="inlineStr">
        <is>
          <t>Magic Critical pattern — already baked into Inputs!FINAL_DAMAGE%; feeds the 4th-Job Skill Level Bonus delta. factorIndex 22, baseDamage 200 tenths%.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U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6" customWidth="1" min="1" max="1"/>
    <col width="30" customWidth="1" min="2" max="2"/>
    <col width="10" customWidth="1" min="3" max="3"/>
    <col width="12" customWidth="1" min="4" max="4"/>
    <col width="9" customWidth="1" min="5" max="5"/>
    <col width="15" customWidth="1" min="6" max="6"/>
    <col width="13" customWidth="1" min="7" max="7"/>
    <col width="14" customWidth="1" min="8" max="8"/>
    <col width="17" customWidth="1" min="9" max="9"/>
    <col width="13" customWidth="1" min="10" max="10"/>
    <col width="15" customWidth="1" min="11" max="11"/>
    <col width="12" customWidth="1" min="12" max="12"/>
    <col width="12" customWidth="1" min="13" max="13"/>
    <col width="17" customWidth="1" min="14" max="14"/>
    <col width="12" customWidth="1" min="15" max="15"/>
    <col width="10" customWidth="1" min="16" max="16"/>
    <col width="12" customWidth="1" min="17" max="17"/>
    <col width="12" customWidth="1" min="18" max="18"/>
    <col width="14" customWidth="1" min="19" max="19"/>
  </cols>
  <sheetData>
    <row r="1">
      <c r="A1" s="9" t="inlineStr">
        <is>
          <t>Key</t>
        </is>
      </c>
      <c r="B1" s="9" t="inlineStr">
        <is>
          <t>Name</t>
        </is>
      </c>
      <c r="C1" s="9" t="inlineStr">
        <is>
          <t>Unlocked</t>
        </is>
      </c>
      <c r="D1" s="9" t="inlineStr">
        <is>
          <t>InputLevel</t>
        </is>
      </c>
      <c r="E1" s="9" t="inlineStr">
        <is>
          <t>Factor</t>
        </is>
      </c>
      <c r="F1" s="9" t="inlineStr">
        <is>
          <t>CoefficientPercent</t>
        </is>
      </c>
      <c r="G1" s="9" t="inlineStr">
        <is>
          <t>EffectiveHits</t>
        </is>
      </c>
      <c r="H1" s="9" t="inlineStr">
        <is>
          <t>ProcProbability</t>
        </is>
      </c>
      <c r="I1" s="9" t="inlineStr">
        <is>
          <t>MapleHeroMultiplier</t>
        </is>
      </c>
      <c r="J1" s="9" t="inlineStr">
        <is>
          <t>BaseDamage</t>
        </is>
      </c>
      <c r="K1" s="9" t="inlineStr">
        <is>
          <t>BaseHitDamage</t>
        </is>
      </c>
      <c r="L1" s="9" t="inlineStr">
        <is>
          <t>NonCritAvg</t>
        </is>
      </c>
      <c r="M1" s="9" t="inlineStr">
        <is>
          <t>CritAvg</t>
        </is>
      </c>
      <c r="N1" s="9" t="inlineStr">
        <is>
          <t>ExpectedDamage(perHit)</t>
        </is>
      </c>
      <c r="O1" s="9" t="inlineStr">
        <is>
          <t>DPS</t>
        </is>
      </c>
      <c r="P1" s="9" t="inlineStr">
        <is>
          <t>% of Total</t>
        </is>
      </c>
      <c r="Q1" s="9" t="inlineStr">
        <is>
          <t>InvCooldown</t>
        </is>
      </c>
      <c r="R1" s="9" t="inlineStr">
        <is>
          <t>CastsInFight</t>
        </is>
      </c>
      <c r="S1" s="9" t="inlineStr">
        <is>
          <t>HitRate(perSec)</t>
        </is>
      </c>
      <c r="U1" s="5" t="inlineStr">
        <is>
          <t>Maple Hero (Shadower) helper — unused (see MAPLE_HERO_SHADOWER row's own Note)</t>
        </is>
      </c>
    </row>
    <row r="2">
      <c r="A2">
        <f>Skills!A2</f>
        <v/>
      </c>
      <c r="B2">
        <f>Skills!B2</f>
        <v/>
      </c>
      <c r="C2">
        <f>Inputs!$B$3&gt;=100</f>
        <v/>
      </c>
      <c r="D2" t="inlineStr"/>
      <c r="E2" t="inlineStr"/>
      <c r="F2">
        <f>Summary!$B$54+Skills!O2</f>
        <v/>
      </c>
      <c r="G2">
        <f>Skills!G2*IF(Skills!H2&gt;0,Skills!I2/Skills!H2,1)</f>
        <v/>
      </c>
      <c r="H2">
        <f>1-(1-Skills!J2/100)^Skills!K2</f>
        <v/>
      </c>
      <c r="I2" t="inlineStr">
        <is>
          <t>1</t>
        </is>
      </c>
      <c r="J2">
        <f>Summary!$B$50*(F2/100)</f>
        <v/>
      </c>
      <c r="K2">
        <f>J2*(1+Summary!$B$51/100)*(1+Inputs!$B$15/100)*(1+IF(Inputs!$B$39="pvp",0,(1-Summary!$B$55)*(Inputs!$B$20+Skills!P2+Summary!$B$59)+Summary!$B$55*(Inputs!$B$21+Skills!Q2+Summary!$B$59))/100)*(1+Inputs!$B$16/100)*(5000/(6000+Inputs!$B$43*(1-Inputs!$B$19/100)))*(1+Inputs!$B$24/100)*(1+(IF(Skills!A2="CRUEL_STAB",Inputs!$B$17,Inputs!$B$18))/100)*(Summary!$B$57*Summary!$B$60*I2)</f>
        <v/>
      </c>
      <c r="L2">
        <f>K2*(MIN(Inputs!$B$22,Inputs!$B$23)/100+Inputs!$B$23/100)/2</f>
        <v/>
      </c>
      <c r="M2">
        <f>L2*(1+(Inputs!$B$10+Summary!$B$65)/100)</f>
        <v/>
      </c>
      <c r="N2">
        <f>L2*(1-MIN((Inputs!$B$9+Summary!$B$58),100)/100)+M2*(MIN((Inputs!$B$9+Summary!$B$58),100)/100)</f>
        <v/>
      </c>
      <c r="O2">
        <f>IF(C2,Skills!G2*N2*Summary!$B$64*IF(Inputs!$B$39="pvp",1,(1-Summary!$B$55)*(1)+Summary!$B$55*(MIN(Skills!W2,Inputs!$B$37))),0)</f>
        <v/>
      </c>
      <c r="P2">
        <f>IF(Summary!$B$3=0,0,O2/Summary!$B$3)</f>
        <v/>
      </c>
      <c r="Q2" t="n">
        <v>0</v>
      </c>
      <c r="R2" t="n">
        <v>0</v>
      </c>
      <c r="S2">
        <f>IFERROR(O2/N2,0)</f>
        <v/>
      </c>
    </row>
    <row r="3">
      <c r="A3">
        <f>Skills!A3</f>
        <v/>
      </c>
      <c r="B3">
        <f>Skills!B3</f>
        <v/>
      </c>
      <c r="C3">
        <f>Inputs!$B$3&gt;=35</f>
        <v/>
      </c>
      <c r="D3">
        <f>IF(Skills!C3=1,60+Inputs!$B$25+Inputs!$B$29,IF(Skills!C3=2,90+Inputs!$B$26+Inputs!$B$29,IF(Skills!C3=3,120+Inputs!$B$27+Inputs!$B$29,MAX(0,(Inputs!$B$3-100)*3)+Inputs!$B$28+Inputs!$B$29)))</f>
        <v/>
      </c>
      <c r="E3">
        <f>INDEX(FactorTable!$B$2:$Y$301, MATCH(ROUND(MIN(300,MAX(1,D3)),0), FactorTable!$A$2:$A$301,0), Skills!M3+1)</f>
        <v/>
      </c>
      <c r="F3">
        <f>IF(Skills!N3=TRUE,(Skills!L3/10)*(E3/1000),Skills!L3/10)+Skills!O3</f>
        <v/>
      </c>
      <c r="G3">
        <f>Skills!G3*IF(Skills!H3&gt;0,Skills!I3/Skills!H3,1)</f>
        <v/>
      </c>
      <c r="H3">
        <f>1-(1-Skills!J3/100)^Skills!K3</f>
        <v/>
      </c>
      <c r="I3" t="inlineStr">
        <is>
          <t>1</t>
        </is>
      </c>
      <c r="J3" t="inlineStr"/>
      <c r="K3" t="inlineStr"/>
      <c r="L3" t="inlineStr"/>
      <c r="M3" t="inlineStr"/>
      <c r="N3" t="inlineStr"/>
      <c r="O3" t="n">
        <v>0</v>
      </c>
      <c r="P3">
        <f>IF(Summary!$B$3=0,0,O3/Summary!$B$3)</f>
        <v/>
      </c>
      <c r="Q3" t="n">
        <v>0</v>
      </c>
      <c r="R3" t="n">
        <v>0</v>
      </c>
      <c r="S3">
        <f>IFERROR(O3/N3,0)</f>
        <v/>
      </c>
    </row>
    <row r="4">
      <c r="A4">
        <f>Skills!A4</f>
        <v/>
      </c>
      <c r="B4">
        <f>Skills!B4</f>
        <v/>
      </c>
      <c r="C4">
        <f>Inputs!$B$3&gt;=66</f>
        <v/>
      </c>
      <c r="D4">
        <f>IF(Skills!C4=1,60+Inputs!$B$25+Inputs!$B$29,IF(Skills!C4=2,90+Inputs!$B$26+Inputs!$B$29,IF(Skills!C4=3,120+Inputs!$B$27+Inputs!$B$29,MAX(0,(Inputs!$B$3-100)*3)+Inputs!$B$28+Inputs!$B$29)))</f>
        <v/>
      </c>
      <c r="E4">
        <f>INDEX(FactorTable!$B$2:$Y$301, MATCH(ROUND(MIN(300,MAX(1,D4)),0), FactorTable!$A$2:$A$301,0), Skills!M4+1)</f>
        <v/>
      </c>
      <c r="F4">
        <f>IF(Skills!N4=TRUE,(Skills!L4/10)*(E4/1000),Skills!L4/10)+Skills!O4</f>
        <v/>
      </c>
      <c r="G4">
        <f>Skills!G4*IF(Skills!H4&gt;0,Skills!I4/Skills!H4,1)</f>
        <v/>
      </c>
      <c r="H4">
        <f>1-(1-Skills!J4/100)^Skills!K4</f>
        <v/>
      </c>
      <c r="I4" t="inlineStr">
        <is>
          <t>1</t>
        </is>
      </c>
      <c r="J4">
        <f>Summary!$B$50*(F4/100)</f>
        <v/>
      </c>
      <c r="K4">
        <f>J4*(1+Summary!$B$51/100)*(1+Inputs!$B$15/100)*(1+IF(Inputs!$B$39="pvp",0,(1-Summary!$B$55)*(Inputs!$B$20+Skills!P4+Summary!$B$59)+Summary!$B$55*(Inputs!$B$21+Skills!Q4+Summary!$B$59))/100)*(1+Inputs!$B$16/100)*(5000/(6000+Inputs!$B$43*(1-Inputs!$B$19/100)))*(1+Inputs!$B$24/100)*(1+(IF(Skills!A4="CRUEL_STAB",Inputs!$B$17,Inputs!$B$18))/100)*(Summary!$B$57*Summary!$B$60*I4)</f>
        <v/>
      </c>
      <c r="L4">
        <f>K4*(MIN(Inputs!$B$22,Inputs!$B$23)/100+Inputs!$B$23/100)/2</f>
        <v/>
      </c>
      <c r="M4">
        <f>L4*(1+(Inputs!$B$10+Summary!$B$65)/100)</f>
        <v/>
      </c>
      <c r="N4">
        <f>L4*(1-MIN((Inputs!$B$9+Summary!$B$58),100)/100)+M4*(MIN((Inputs!$B$9+Summary!$B$58),100)/100)</f>
        <v/>
      </c>
      <c r="O4">
        <f>IF(C4,H4*N4*IF(AND(Inputs!$B$39&lt;&gt;"pvp",Inputs!$B$44&gt;0),((Skills!G4*((R4-1)*IF(Skills!H4&gt;0,Skills!I4/Skills!H4,1)+IF(Skills!H4&gt;0,MIN(Skills!I4,MAX(0,MAX(0,Inputs!$B$44-Summary!$B$70)-((R4-1)*IF(Inputs!$B$39="pvp",15,MAX(0.1,Skills!D4-IF(Skills!E4=TRUE,Inputs!$B$32,0))))))/Skills!H4,1)))/Inputs!$B$44),G4*Q4)*IF(Inputs!$B$39="pvp",1,(1-Summary!$B$55)*(1)+Summary!$B$55*(MIN(MIN(10,0.5*Summary!$B$62*Skills!D4),Inputs!$B$37))),0)</f>
        <v/>
      </c>
      <c r="P4">
        <f>IF(Summary!$B$3=0,0,O4/Summary!$B$3)</f>
        <v/>
      </c>
      <c r="Q4">
        <f>IFERROR(1/IF(Inputs!$B$39="pvp",15,MAX(0.1,Skills!D4-IF(Skills!E4=TRUE,Inputs!$B$32,0))),0)</f>
        <v/>
      </c>
      <c r="R4">
        <f>IF(AND(Inputs!$B$39&lt;&gt;"pvp",Inputs!$B$44&gt;0),IF(MAX(0,Inputs!$B$44-Summary!$B$70)&lt;=0,0,(INT(MAX(0,Inputs!$B$44-Summary!$B$70)/IF(Inputs!$B$39="pvp",15,MAX(0.1,Skills!D4-IF(Skills!E4=TRUE,Inputs!$B$32,0))))+1)),0)</f>
        <v/>
      </c>
      <c r="S4">
        <f>IFERROR(O4/N4,0)</f>
        <v/>
      </c>
    </row>
    <row r="5">
      <c r="A5">
        <f>Skills!A5</f>
        <v/>
      </c>
      <c r="B5">
        <f>Skills!B5</f>
        <v/>
      </c>
      <c r="C5">
        <f>Inputs!$B$3&gt;=63</f>
        <v/>
      </c>
      <c r="D5">
        <f>IF(Skills!C5=1,60+Inputs!$B$25+Inputs!$B$29,IF(Skills!C5=2,90+Inputs!$B$26+Inputs!$B$29,IF(Skills!C5=3,120+Inputs!$B$27+Inputs!$B$29,MAX(0,(Inputs!$B$3-100)*3)+Inputs!$B$28+Inputs!$B$29)))</f>
        <v/>
      </c>
      <c r="E5">
        <f>INDEX(FactorTable!$B$2:$Y$301, MATCH(ROUND(MIN(300,MAX(1,D5)),0), FactorTable!$A$2:$A$301,0), Skills!M5+1)</f>
        <v/>
      </c>
      <c r="F5">
        <f>IF(Skills!N5=TRUE,(Skills!L5/10)*(E5/1000),Skills!L5/10)+Skills!O5</f>
        <v/>
      </c>
      <c r="G5">
        <f>Skills!G5*IF(Skills!H5&gt;0,Skills!I5/Skills!H5,1)</f>
        <v/>
      </c>
      <c r="H5">
        <f>1-(1-Skills!J5/100)^Skills!K5</f>
        <v/>
      </c>
      <c r="I5" t="inlineStr">
        <is>
          <t>1</t>
        </is>
      </c>
      <c r="J5">
        <f>Summary!$B$50*(F5/100)</f>
        <v/>
      </c>
      <c r="K5">
        <f>J5*(1+Summary!$B$51/100)*(1+Inputs!$B$15/100)*(1+IF(Inputs!$B$39="pvp",0,(1-Summary!$B$55)*(Inputs!$B$20+Skills!P5+Summary!$B$59)+Summary!$B$55*(Inputs!$B$21+Skills!Q5+Summary!$B$59))/100)*(1+Inputs!$B$16/100)*(5000/(6000+Inputs!$B$43*(1-Inputs!$B$19/100)))*(1+Inputs!$B$24/100)*(1+2.6666666666666665*IF(C18=TRUE,F18,0)/100)*(1+(IF(Skills!A5="CRUEL_STAB",Inputs!$B$17,Inputs!$B$18))/100)*(Summary!$B$57*Summary!$B$60*I5)</f>
        <v/>
      </c>
      <c r="L5">
        <f>K5*(MIN(Inputs!$B$22,Inputs!$B$23)/100+Inputs!$B$23/100)/2</f>
        <v/>
      </c>
      <c r="M5">
        <f>L5*(1+(Inputs!$B$10+Summary!$B$65)/100)</f>
        <v/>
      </c>
      <c r="N5">
        <f>L5*(1-MIN((Inputs!$B$9+Summary!$B$58),100)/100)+M5*(MIN((Inputs!$B$9+Summary!$B$58),100)/100)</f>
        <v/>
      </c>
      <c r="O5">
        <f>IF(C5,H5*N5*IF(AND(Inputs!$B$39&lt;&gt;"pvp",Inputs!$B$44&gt;0),((Skills!G5*((R5-1)*IF(Skills!H5&gt;0,Skills!I5/Skills!H5,1)+IF(Skills!H5&gt;0,MIN(Skills!I5,MAX(0,MAX(0,Inputs!$B$44-Summary!$B$70)-((R5-1)*IF(Inputs!$B$39="pvp",15,MAX(0.1,Skills!D5-IF(Skills!E5=TRUE,Inputs!$B$32,0))))))/Skills!H5,1)))/Inputs!$B$44),G5*Q5)*IF(Inputs!$B$39="pvp",1,(1-Summary!$B$55)*(1)+Summary!$B$55*(MIN(Skills!W5,Inputs!$B$37))),0)</f>
        <v/>
      </c>
      <c r="P5">
        <f>IF(Summary!$B$3=0,0,O5/Summary!$B$3)</f>
        <v/>
      </c>
      <c r="Q5">
        <f>IFERROR(1/IF(Inputs!$B$39="pvp",15,MAX(0.1,Skills!D5-IF(Skills!E5=TRUE,Inputs!$B$32,0))),0)</f>
        <v/>
      </c>
      <c r="R5">
        <f>IF(AND(Inputs!$B$39&lt;&gt;"pvp",Inputs!$B$44&gt;0),IF(MAX(0,Inputs!$B$44-Summary!$B$70)&lt;=0,0,(INT(MAX(0,Inputs!$B$44-Summary!$B$70)/IF(Inputs!$B$39="pvp",15,MAX(0.1,Skills!D5-IF(Skills!E5=TRUE,Inputs!$B$32,0))))+1)),0)</f>
        <v/>
      </c>
      <c r="S5">
        <f>IFERROR(O5/N5,0)</f>
        <v/>
      </c>
    </row>
    <row r="6">
      <c r="A6">
        <f>Skills!A6</f>
        <v/>
      </c>
      <c r="B6">
        <f>Skills!B6</f>
        <v/>
      </c>
      <c r="C6">
        <f>Inputs!$B$3&gt;=69</f>
        <v/>
      </c>
      <c r="D6">
        <f>IF(Skills!C6=1,60+Inputs!$B$25+Inputs!$B$29,IF(Skills!C6=2,90+Inputs!$B$26+Inputs!$B$29,IF(Skills!C6=3,120+Inputs!$B$27+Inputs!$B$29,MAX(0,(Inputs!$B$3-100)*3)+Inputs!$B$28+Inputs!$B$29)))</f>
        <v/>
      </c>
      <c r="E6">
        <f>INDEX(FactorTable!$B$2:$Y$301, MATCH(ROUND(MIN(300,MAX(1,D6)),0), FactorTable!$A$2:$A$301,0), Skills!M6+1)</f>
        <v/>
      </c>
      <c r="F6">
        <f>IF(Skills!N6=TRUE,(Skills!L6/10)*(E6/1000),Skills!L6/10)+Skills!O6</f>
        <v/>
      </c>
      <c r="G6">
        <f>Skills!G6*IF(Skills!H6&gt;0,Skills!I6/Skills!H6,1)</f>
        <v/>
      </c>
      <c r="H6">
        <f>1-(1-Skills!J6/100)^Skills!K6</f>
        <v/>
      </c>
      <c r="I6" t="inlineStr">
        <is>
          <t>1</t>
        </is>
      </c>
      <c r="J6">
        <f>Summary!$B$50*(F6/100)</f>
        <v/>
      </c>
      <c r="K6">
        <f>J6*(1+Summary!$B$51/100)*(1+Inputs!$B$15/100)*(1+IF(Inputs!$B$39="pvp",0,(1-Summary!$B$55)*(Inputs!$B$20+Skills!P6+Summary!$B$59)+Summary!$B$55*(Inputs!$B$21+Skills!Q6+Summary!$B$59))/100)*(1+Inputs!$B$16/100)*(5000/(6000+Inputs!$B$43*(1-Inputs!$B$19/100)))*(1+Inputs!$B$24/100)*(1+1.0*IF(C18=TRUE,F18,0)/100)*(1+(IF(Skills!A6="CRUEL_STAB",Inputs!$B$17,Inputs!$B$18))/100)*(Summary!$B$57*Summary!$B$60*I6)</f>
        <v/>
      </c>
      <c r="L6">
        <f>K6*(MIN(Inputs!$B$22,Inputs!$B$23)/100+Inputs!$B$23/100)/2</f>
        <v/>
      </c>
      <c r="M6">
        <f>L6*(1+(Inputs!$B$10+Summary!$B$65)/100)</f>
        <v/>
      </c>
      <c r="N6">
        <f>L6*(1-MIN((Inputs!$B$9+Summary!$B$58),100)/100)+M6*(MIN((Inputs!$B$9+Summary!$B$58),100)/100)</f>
        <v/>
      </c>
      <c r="O6">
        <f>IF(C6,H6*N6*IF(AND(Inputs!$B$39&lt;&gt;"pvp",Inputs!$B$44&gt;0),((Skills!G6*((R6-1)*IF(Skills!H6&gt;0,Skills!I6/Skills!H6,1)+IF(Skills!H6&gt;0,MIN(Skills!I6,MAX(0,MAX(0,Inputs!$B$44-Summary!$B$70)-((R6-1)*IF(Inputs!$B$39="pvp",15,MAX(0.1,Skills!D6-IF(Skills!E6=TRUE,Inputs!$B$32,0))))))/Skills!H6,1)))/Inputs!$B$44),G6*Q6)*IF(Inputs!$B$39="pvp",1,(1-Summary!$B$55)*(1)+Summary!$B$55*(MIN(Skills!W6,Inputs!$B$37))),0)</f>
        <v/>
      </c>
      <c r="P6">
        <f>IF(Summary!$B$3=0,0,O6/Summary!$B$3)</f>
        <v/>
      </c>
      <c r="Q6">
        <f>IFERROR(1/IF(Inputs!$B$39="pvp",15,MAX(0.1,Skills!D6-IF(Skills!E6=TRUE,Inputs!$B$32,0))),0)</f>
        <v/>
      </c>
      <c r="R6">
        <f>IF(AND(Inputs!$B$39&lt;&gt;"pvp",Inputs!$B$44&gt;0),IF(MAX(0,Inputs!$B$44-Summary!$B$70)&lt;=0,0,(INT(MAX(0,Inputs!$B$44-Summary!$B$70)/IF(Inputs!$B$39="pvp",15,MAX(0.1,Skills!D6-IF(Skills!E6=TRUE,Inputs!$B$32,0))))+1)),0)</f>
        <v/>
      </c>
      <c r="S6">
        <f>IFERROR(O6/N6,0)</f>
        <v/>
      </c>
    </row>
    <row r="7">
      <c r="A7">
        <f>Skills!A7</f>
        <v/>
      </c>
      <c r="B7">
        <f>Skills!B7</f>
        <v/>
      </c>
      <c r="C7">
        <f>Inputs!$B$3&gt;=60</f>
        <v/>
      </c>
      <c r="D7">
        <f>IF(Skills!C7=1,60+Inputs!$B$25+Inputs!$B$29,IF(Skills!C7=2,90+Inputs!$B$26+Inputs!$B$29,IF(Skills!C7=3,120+Inputs!$B$27+Inputs!$B$29,MAX(0,(Inputs!$B$3-100)*3)+Inputs!$B$28+Inputs!$B$29)))</f>
        <v/>
      </c>
      <c r="E7">
        <f>INDEX(FactorTable!$B$2:$Y$301, MATCH(ROUND(MIN(300,MAX(1,D7)),0), FactorTable!$A$2:$A$301,0), Skills!M7+1)</f>
        <v/>
      </c>
      <c r="F7">
        <f>IF(Skills!N7=TRUE,(Skills!L7/10)*(E7/1000),Skills!L7/10)+Skills!O7</f>
        <v/>
      </c>
      <c r="G7">
        <f>Skills!G7*IF(Skills!H7&gt;0,Skills!I7/Skills!H7,1)</f>
        <v/>
      </c>
      <c r="H7">
        <f>1-(1-Skills!J7/100)^Skills!K7</f>
        <v/>
      </c>
      <c r="I7" t="inlineStr">
        <is>
          <t>1</t>
        </is>
      </c>
      <c r="J7" t="inlineStr"/>
      <c r="K7" t="inlineStr"/>
      <c r="L7" t="inlineStr"/>
      <c r="M7" t="inlineStr"/>
      <c r="N7" t="inlineStr"/>
      <c r="O7" t="n">
        <v>0</v>
      </c>
      <c r="P7">
        <f>IF(Summary!$B$3=0,0,O7/Summary!$B$3)</f>
        <v/>
      </c>
      <c r="Q7" t="n">
        <v>0</v>
      </c>
      <c r="R7" t="n">
        <v>0</v>
      </c>
      <c r="S7">
        <f>IFERROR(O7/N7,0)</f>
        <v/>
      </c>
    </row>
    <row r="8">
      <c r="A8">
        <f>Skills!A8</f>
        <v/>
      </c>
      <c r="B8">
        <f>Skills!B8</f>
        <v/>
      </c>
      <c r="C8">
        <f>Inputs!$B$3&gt;=72</f>
        <v/>
      </c>
      <c r="D8">
        <f>IF(Skills!C8=1,60+Inputs!$B$25+Inputs!$B$29,IF(Skills!C8=2,90+Inputs!$B$26+Inputs!$B$29,IF(Skills!C8=3,120+Inputs!$B$27+Inputs!$B$29,MAX(0,(Inputs!$B$3-100)*3)+Inputs!$B$28+Inputs!$B$29)))</f>
        <v/>
      </c>
      <c r="E8">
        <f>INDEX(FactorTable!$B$2:$Y$301, MATCH(ROUND(MIN(300,MAX(1,D8)),0), FactorTable!$A$2:$A$301,0), Skills!M8+1)</f>
        <v/>
      </c>
      <c r="F8">
        <f>IF(Skills!N8=TRUE,(Skills!L8/10)*(E8/1000),Skills!L8/10)+Skills!O8</f>
        <v/>
      </c>
      <c r="G8">
        <f>Skills!G8*IF(Skills!H8&gt;0,Skills!I8/Skills!H8,1)</f>
        <v/>
      </c>
      <c r="H8">
        <f>1-(1-Skills!J8/100)^Skills!K8</f>
        <v/>
      </c>
      <c r="I8" t="inlineStr">
        <is>
          <t>1</t>
        </is>
      </c>
      <c r="J8">
        <f>Summary!$B$50*(F8/100)</f>
        <v/>
      </c>
      <c r="K8">
        <f>J8*(1+Summary!$B$51/100)*(1+Inputs!$B$15/100)*(1+IF(Inputs!$B$39="pvp",0,(1-Summary!$B$55)*(Inputs!$B$20+Skills!P8+Summary!$B$59)+Summary!$B$55*(Inputs!$B$21+Skills!Q8+Summary!$B$59))/100)*(1+Inputs!$B$16/100)*(5000/(6000+Inputs!$B$43*(1-Inputs!$B$19/100)))*(1+Inputs!$B$24/100)*(1+3.3333333333333335*IF(C18=TRUE,F18,0)/100)*(1+(IF(Skills!A8="CRUEL_STAB",Inputs!$B$17,Inputs!$B$18))/100)*(Summary!$B$57*Summary!$B$60*I8)</f>
        <v/>
      </c>
      <c r="L8">
        <f>K8*(MIN(Inputs!$B$22,Inputs!$B$23)/100+Inputs!$B$23/100)/2</f>
        <v/>
      </c>
      <c r="M8">
        <f>L8*(1+(Inputs!$B$10+Summary!$B$65)/100)</f>
        <v/>
      </c>
      <c r="N8">
        <f>L8*(1-MIN((Inputs!$B$9+Summary!$B$58),100)/100)+M8*(MIN((Inputs!$B$9+Summary!$B$58),100)/100)</f>
        <v/>
      </c>
      <c r="O8">
        <f>IF(C8,H8*N8*IF(AND(Inputs!$B$39&lt;&gt;"pvp",Inputs!$B$44&gt;0),((Skills!G8*((R8-1)*IF(Skills!H8&gt;0,Skills!I8/Skills!H8,1)+IF(Skills!H8&gt;0,MIN(Skills!I8,MAX(0,MAX(0,Inputs!$B$44-Summary!$B$70)-((R8-1)*IF(Inputs!$B$39="pvp",15,MAX(0.1,Skills!D8-IF(Skills!E8=TRUE,Inputs!$B$32,0))))))/Skills!H8,1)))/Inputs!$B$44),G8*Q8)*IF(Inputs!$B$39="pvp",1,(1-Summary!$B$55)*(1)+Summary!$B$55*(MIN(Skills!W8,Inputs!$B$37))),0)</f>
        <v/>
      </c>
      <c r="P8">
        <f>IF(Summary!$B$3=0,0,O8/Summary!$B$3)</f>
        <v/>
      </c>
      <c r="Q8">
        <f>IFERROR(1/IF(Inputs!$B$39="pvp",15,MAX(0.1,Skills!D8-IF(Skills!E8=TRUE,Inputs!$B$32,0))),0)</f>
        <v/>
      </c>
      <c r="R8">
        <f>IF(AND(Inputs!$B$39&lt;&gt;"pvp",Inputs!$B$44&gt;0),IF(MAX(0,Inputs!$B$44-Summary!$B$70)&lt;=0,0,(INT(MAX(0,Inputs!$B$44-Summary!$B$70)/IF(Inputs!$B$39="pvp",15,MAX(0.1,Skills!D8-IF(Skills!E8=TRUE,Inputs!$B$32,0))))+1)),0)</f>
        <v/>
      </c>
      <c r="S8">
        <f>IFERROR(O8/N8,0)</f>
        <v/>
      </c>
    </row>
    <row r="9">
      <c r="A9">
        <f>Skills!A9</f>
        <v/>
      </c>
      <c r="B9">
        <f>Skills!B9</f>
        <v/>
      </c>
      <c r="C9">
        <f>Inputs!$B$3&gt;=117</f>
        <v/>
      </c>
      <c r="D9">
        <f>IF(Skills!C9=1,60+Inputs!$B$25+Inputs!$B$29,IF(Skills!C9=2,90+Inputs!$B$26+Inputs!$B$29,IF(Skills!C9=3,120+Inputs!$B$27+Inputs!$B$29,MAX(0,(Inputs!$B$3-100)*3)+Inputs!$B$28+Inputs!$B$29)))</f>
        <v/>
      </c>
      <c r="E9">
        <f>INDEX(FactorTable!$B$2:$Y$301, MATCH(ROUND(MIN(300,MAX(1,D9)),0), FactorTable!$A$2:$A$301,0), Skills!M9+1)</f>
        <v/>
      </c>
      <c r="F9">
        <f>IF(Skills!N9=TRUE,(Skills!L9/10)*(E9/1000),Skills!L9/10)+Skills!O9</f>
        <v/>
      </c>
      <c r="G9">
        <f>Skills!G9*IF(Skills!H9&gt;0,Skills!I9/Skills!H9,1)</f>
        <v/>
      </c>
      <c r="H9">
        <f>1-(1-Skills!J9/100)^Skills!K9</f>
        <v/>
      </c>
      <c r="I9" t="inlineStr">
        <is>
          <t>1</t>
        </is>
      </c>
      <c r="J9">
        <f>Summary!$B$50*(F9/100)</f>
        <v/>
      </c>
      <c r="K9">
        <f>J9*(1+Summary!$B$51/100)*(1+Inputs!$B$15/100)*(1+IF(Inputs!$B$39="pvp",0,(1-Summary!$B$55)*(Inputs!$B$20+Skills!P9+Summary!$B$59)+Summary!$B$55*(Inputs!$B$21+Skills!Q9+Summary!$B$59))/100)*(1+Inputs!$B$16/100)*(5000/(6000+Inputs!$B$43*(1-Inputs!$B$19/100)))*(1+Inputs!$B$24/100)*(1+(IF(Skills!A9="CRUEL_STAB",Inputs!$B$17,Inputs!$B$18))/100)*(Summary!$B$57*Summary!$B$60*I9)</f>
        <v/>
      </c>
      <c r="L9">
        <f>K9*(MIN(Inputs!$B$22,Inputs!$B$23)/100+Inputs!$B$23/100)/2</f>
        <v/>
      </c>
      <c r="M9">
        <f>L9*(1+(Inputs!$B$10+Summary!$B$65)/100)</f>
        <v/>
      </c>
      <c r="N9">
        <f>L9*(1-MIN((Inputs!$B$9+Summary!$B$58),100)/100)+M9*(MIN((Inputs!$B$9+Summary!$B$58),100)/100)</f>
        <v/>
      </c>
      <c r="O9">
        <f>IF(C9,0.2*SUMPRODUCT((Skills!Z2:Z30=TRUE)*(C2:C30=TRUE)*S2:S30)*N9,0)</f>
        <v/>
      </c>
      <c r="P9">
        <f>IF(Summary!$B$3=0,0,O9/Summary!$B$3)</f>
        <v/>
      </c>
      <c r="Q9" t="n">
        <v>0</v>
      </c>
      <c r="R9" t="n">
        <v>0</v>
      </c>
      <c r="S9" t="n">
        <v>0</v>
      </c>
    </row>
    <row r="10">
      <c r="A10">
        <f>Skills!A10</f>
        <v/>
      </c>
      <c r="B10">
        <f>Skills!B10</f>
        <v/>
      </c>
      <c r="C10">
        <f>Inputs!$B$3&gt;=74</f>
        <v/>
      </c>
      <c r="D10">
        <f>IF(Skills!C10=1,60+Inputs!$B$25+Inputs!$B$29,IF(Skills!C10=2,90+Inputs!$B$26+Inputs!$B$29,IF(Skills!C10=3,120+Inputs!$B$27+Inputs!$B$29,MAX(0,(Inputs!$B$3-100)*3)+Inputs!$B$28+Inputs!$B$29)))</f>
        <v/>
      </c>
      <c r="E10">
        <f>INDEX(FactorTable!$B$2:$Y$301, MATCH(ROUND(MIN(300,MAX(1,D10)),0), FactorTable!$A$2:$A$301,0), Skills!M10+1)</f>
        <v/>
      </c>
      <c r="F10">
        <f>IF(Skills!N10=TRUE,(Skills!L10/10)*(E10/1000),Skills!L10/10)+Skills!O10</f>
        <v/>
      </c>
      <c r="G10">
        <f>Skills!G10*IF(Skills!H10&gt;0,Skills!I10/Skills!H10,1)</f>
        <v/>
      </c>
      <c r="H10">
        <f>1-(1-Skills!J10/100)^Skills!K10</f>
        <v/>
      </c>
      <c r="I10" t="inlineStr">
        <is>
          <t>1</t>
        </is>
      </c>
      <c r="J10" t="inlineStr"/>
      <c r="K10" t="inlineStr"/>
      <c r="L10" t="inlineStr"/>
      <c r="M10" t="inlineStr"/>
      <c r="N10" t="inlineStr"/>
      <c r="O10" t="n">
        <v>0</v>
      </c>
      <c r="P10">
        <f>IF(Summary!$B$3=0,0,O10/Summary!$B$3)</f>
        <v/>
      </c>
      <c r="Q10">
        <f>IFERROR(1/IF(Inputs!$B$39="pvp",15,MAX(0.1,Skills!D10-IF(Skills!E10=TRUE,Inputs!$B$32,0))),0)</f>
        <v/>
      </c>
      <c r="R10">
        <f>IF(AND(Inputs!$B$39&lt;&gt;"pvp",Inputs!$B$44&gt;0),IF(Inputs!$B$44&lt;=0,0,(INT(Inputs!$B$44/IF(Inputs!$B$39="pvp",15,MAX(0.1,Skills!D10-IF(Skills!E10=TRUE,Inputs!$B$32,0))))+1)),0)</f>
        <v/>
      </c>
      <c r="S10">
        <f>IFERROR(O10/N10,0)</f>
        <v/>
      </c>
    </row>
    <row r="11">
      <c r="A11">
        <f>Skills!A11</f>
        <v/>
      </c>
      <c r="B11">
        <f>Skills!B11</f>
        <v/>
      </c>
      <c r="C11">
        <f>Inputs!$B$3&gt;=103</f>
        <v/>
      </c>
      <c r="D11">
        <f>IF(Skills!C11=1,60+Inputs!$B$25+Inputs!$B$29,IF(Skills!C11=2,90+Inputs!$B$26+Inputs!$B$29,IF(Skills!C11=3,120+Inputs!$B$27+Inputs!$B$29,MAX(0,(Inputs!$B$3-100)*3)+Inputs!$B$28+Inputs!$B$29)))</f>
        <v/>
      </c>
      <c r="E11">
        <f>INDEX(FactorTable!$B$2:$Y$301, MATCH(ROUND(MIN(300,MAX(1,D11)),0), FactorTable!$A$2:$A$301,0), Skills!M11+1)</f>
        <v/>
      </c>
      <c r="F11">
        <f>(Skills!L11/10)*(E11/1000)+IF(Inputs!$B$3&gt;=134,50,0)+0.5*(30000/10)*(INDEX(FactorTable!$B$2:$Y$301, MATCH(ROUND(MIN(300,MAX(1,D11)),0), FactorTable!$A$2:$A$301,0), 13)/1000)*Summary!$B$68</f>
        <v/>
      </c>
      <c r="G11">
        <f>Skills!G11*IF(Skills!H11&gt;0,Skills!I11/Skills!H11,1)</f>
        <v/>
      </c>
      <c r="H11">
        <f>1-(1-Skills!J11/100)^Skills!K11</f>
        <v/>
      </c>
      <c r="I11" t="inlineStr">
        <is>
          <t>1</t>
        </is>
      </c>
      <c r="J11">
        <f>Summary!$B$50*(F11/100)</f>
        <v/>
      </c>
      <c r="K11">
        <f>J11*(1+Summary!$B$51/100)*(1+Inputs!$B$15/100)*(1+IF(Inputs!$B$39="pvp",0,(1-Summary!$B$55)*(Inputs!$B$20+Skills!P11+Summary!$B$59)+Summary!$B$55*(Inputs!$B$21+Skills!Q11+Summary!$B$59))/100)*(1+Inputs!$B$16/100)*(5000/(6000+Inputs!$B$43*(1-Inputs!$B$19/100)))*(1+Inputs!$B$24/100)*(1+(IF(Skills!A11="CRUEL_STAB",Inputs!$B$17,Inputs!$B$18))/100)*(Summary!$B$57*Summary!$B$60*I11)</f>
        <v/>
      </c>
      <c r="L11">
        <f>K11*(MIN(Inputs!$B$22,Inputs!$B$23)/100+Inputs!$B$23/100)/2</f>
        <v/>
      </c>
      <c r="M11">
        <f>L11*(1+(Inputs!$B$10+Summary!$B$65)/100)</f>
        <v/>
      </c>
      <c r="N11">
        <f>L11*(1-MIN((Inputs!$B$9+Summary!$B$58),100)/100)+M11*(MIN((Inputs!$B$9+Summary!$B$58),100)/100)</f>
        <v/>
      </c>
      <c r="O11">
        <f>IF(C11,H11*N11*IF(AND(Inputs!$B$39&lt;&gt;"pvp",Inputs!$B$44&gt;0),((Skills!G11*((R11-1)*IF(Skills!H11&gt;0,Skills!I11/Skills!H11,1)+IF(Skills!H11&gt;0,MIN(Skills!I11,MAX(0,MAX(0,Inputs!$B$44-Summary!$B$70)-((R11-1)*IF(Inputs!$B$39="pvp",15,MAX(0.1,Skills!D11-IF(Skills!E11=TRUE,Inputs!$B$32,0))))))/Skills!H11,1)))/Inputs!$B$44),G11*Q11)*IF(Inputs!$B$39="pvp",1,(1-Summary!$B$55)*(1)+Summary!$B$55*(MIN(Skills!W11,Inputs!$B$37))),0)</f>
        <v/>
      </c>
      <c r="P11">
        <f>IF(Summary!$B$3=0,0,O11/Summary!$B$3)</f>
        <v/>
      </c>
      <c r="Q11">
        <f>IFERROR(1/IF(Inputs!$B$39="pvp",15,MAX(0.1,Skills!D11-IF(Skills!E11=TRUE,Inputs!$B$32,0))),0)</f>
        <v/>
      </c>
      <c r="R11">
        <f>IF(AND(Inputs!$B$39&lt;&gt;"pvp",Inputs!$B$44&gt;0),IF(MAX(0,Inputs!$B$44-Summary!$B$70)&lt;=0,0,(INT(MAX(0,Inputs!$B$44-Summary!$B$70)/IF(Inputs!$B$39="pvp",15,MAX(0.1,Skills!D11-IF(Skills!E11=TRUE,Inputs!$B$32,0))))+1)),0)</f>
        <v/>
      </c>
      <c r="S11">
        <f>IFERROR(O11/N11,0)</f>
        <v/>
      </c>
    </row>
    <row r="12">
      <c r="A12">
        <f>Skills!A12</f>
        <v/>
      </c>
      <c r="B12">
        <f>Skills!B12</f>
        <v/>
      </c>
      <c r="C12">
        <f>Inputs!$B$3&gt;=105</f>
        <v/>
      </c>
      <c r="D12">
        <f>IF(Skills!C12=1,60+Inputs!$B$25+Inputs!$B$29,IF(Skills!C12=2,90+Inputs!$B$26+Inputs!$B$29,IF(Skills!C12=3,120+Inputs!$B$27+Inputs!$B$29,MAX(0,(Inputs!$B$3-100)*3)+Inputs!$B$28+Inputs!$B$29)))</f>
        <v/>
      </c>
      <c r="E12">
        <f>INDEX(FactorTable!$B$2:$Y$301, MATCH(ROUND(MIN(300,MAX(1,D12)),0), FactorTable!$A$2:$A$301,0), Skills!M12+1)</f>
        <v/>
      </c>
      <c r="F12">
        <f>IF(Skills!N12=TRUE,(Skills!L12/10)*(E12/1000),Skills!L12/10)+Skills!O12</f>
        <v/>
      </c>
      <c r="G12">
        <f>Skills!G12*IF(Skills!H12&gt;0,Skills!I12/Skills!H12,1)</f>
        <v/>
      </c>
      <c r="H12">
        <f>1-(1-Skills!J12/100)^Skills!K12</f>
        <v/>
      </c>
      <c r="I12" t="inlineStr">
        <is>
          <t>1</t>
        </is>
      </c>
      <c r="J12">
        <f>Summary!$B$50*(F12/100)</f>
        <v/>
      </c>
      <c r="K12">
        <f>J12*(1+Summary!$B$51/100)*(1+Inputs!$B$15/100)*(1+IF(Inputs!$B$39="pvp",0,(1-Summary!$B$55)*(Inputs!$B$20+Skills!P12+Summary!$B$59)+Summary!$B$55*(Inputs!$B$21+Skills!Q12+Summary!$B$59))/100)*(1+Inputs!$B$16/100)*(5000/(6000+Inputs!$B$43*(1-Inputs!$B$19/100)))*(1+Inputs!$B$24/100)*(1+(IF(Skills!A12="CRUEL_STAB",Inputs!$B$17,Inputs!$B$18))/100)*(Summary!$B$57*Summary!$B$60*I12)</f>
        <v/>
      </c>
      <c r="L12">
        <f>K12*(MIN(Inputs!$B$22,Inputs!$B$23)/100+Inputs!$B$23/100)/2</f>
        <v/>
      </c>
      <c r="M12">
        <f>L12*(1+(Inputs!$B$10+Summary!$B$65)/100)</f>
        <v/>
      </c>
      <c r="N12">
        <f>L12*(1-MIN((Inputs!$B$9+Summary!$B$58),100)/100)+M12*(MIN((Inputs!$B$9+Summary!$B$58),100)/100)</f>
        <v/>
      </c>
      <c r="O12">
        <f>IF(C12,H12*N12*IF(AND(Inputs!$B$39&lt;&gt;"pvp",Inputs!$B$44&gt;0),((Skills!G12*((R12-1)*IF(Skills!H12&gt;0,Skills!I12/Skills!H12,1)+IF(Skills!H12&gt;0,MIN(Skills!I12,MAX(0,MAX(0,Inputs!$B$44-Summary!$B$70)-((R12-1)*IF(Inputs!$B$39="pvp",15,MAX(0.1,Skills!D12-IF(Skills!E12=TRUE,Inputs!$B$32,0))))))/Skills!H12,1)))/Inputs!$B$44),G12*Q12)*IF(Inputs!$B$39="pvp",1,(1-Summary!$B$55)*(1)+Summary!$B$55*(MIN(Skills!W12,Inputs!$B$37))),0)</f>
        <v/>
      </c>
      <c r="P12">
        <f>IF(Summary!$B$3=0,0,O12/Summary!$B$3)</f>
        <v/>
      </c>
      <c r="Q12">
        <f>IFERROR(1/IF(Inputs!$B$39="pvp",15,MAX(0.1,Skills!D12-IF(Skills!E12=TRUE,Inputs!$B$32,0))),0)</f>
        <v/>
      </c>
      <c r="R12">
        <f>IF(AND(Inputs!$B$39&lt;&gt;"pvp",Inputs!$B$44&gt;0),IF(MAX(0,Inputs!$B$44-Summary!$B$70)&lt;=0,0,(INT(MAX(0,Inputs!$B$44-Summary!$B$70)/IF(Inputs!$B$39="pvp",15,MAX(0.1,Skills!D12-IF(Skills!E12=TRUE,Inputs!$B$32,0))))+1)),0)</f>
        <v/>
      </c>
      <c r="S12">
        <f>IFERROR(O12/N12,0)</f>
        <v/>
      </c>
    </row>
    <row r="13">
      <c r="A13">
        <f>Skills!A13</f>
        <v/>
      </c>
      <c r="B13">
        <f>Skills!B13</f>
        <v/>
      </c>
      <c r="C13">
        <f>Inputs!$B$3&gt;=105</f>
        <v/>
      </c>
      <c r="D13">
        <f>IF(Skills!C13=1,60+Inputs!$B$25+Inputs!$B$29,IF(Skills!C13=2,90+Inputs!$B$26+Inputs!$B$29,IF(Skills!C13=3,120+Inputs!$B$27+Inputs!$B$29,MAX(0,(Inputs!$B$3-100)*3)+Inputs!$B$28+Inputs!$B$29)))</f>
        <v/>
      </c>
      <c r="E13">
        <f>INDEX(FactorTable!$B$2:$Y$301, MATCH(ROUND(MIN(300,MAX(1,D13)),0), FactorTable!$A$2:$A$301,0), Skills!M13+1)</f>
        <v/>
      </c>
      <c r="F13">
        <f>IF(Skills!N13=TRUE,(Skills!L13/10)*(E13/1000),Skills!L13/10)+Skills!O13</f>
        <v/>
      </c>
      <c r="G13">
        <f>Skills!G13*IF(Skills!H13&gt;0,Skills!I13/Skills!H13,1)</f>
        <v/>
      </c>
      <c r="H13">
        <f>1-(1-Skills!J13/100)^Skills!K13</f>
        <v/>
      </c>
      <c r="I13" t="inlineStr">
        <is>
          <t>1</t>
        </is>
      </c>
      <c r="J13">
        <f>Summary!$B$50*(F13/100)</f>
        <v/>
      </c>
      <c r="K13">
        <f>J13*(1+Summary!$B$51/100)*(1+Inputs!$B$15/100)*(1+IF(Inputs!$B$39="pvp",0,(1-Summary!$B$55)*(Inputs!$B$20+Skills!P13+Summary!$B$59)+Summary!$B$55*(Inputs!$B$21+Skills!Q13+Summary!$B$59))/100)*(1+Inputs!$B$16/100)*(5000/(6000+Inputs!$B$43*(1-Inputs!$B$19/100)))*(1+Inputs!$B$24/100)*(1+(IF(Skills!A13="CRUEL_STAB",Inputs!$B$17,Inputs!$B$18))/100)*(Summary!$B$57*Summary!$B$60*I13)</f>
        <v/>
      </c>
      <c r="L13">
        <f>K13*(MIN(Inputs!$B$22,Inputs!$B$23)/100+Inputs!$B$23/100)/2</f>
        <v/>
      </c>
      <c r="M13">
        <f>L13*(1+(Inputs!$B$10+Summary!$B$65)/100)</f>
        <v/>
      </c>
      <c r="N13">
        <f>L13*(1-MIN((Inputs!$B$9+Summary!$B$58),100)/100)+M13*(MIN((Inputs!$B$9+Summary!$B$58),100)/100)</f>
        <v/>
      </c>
      <c r="O13">
        <f>IF(C13,H13*N13*IF(AND(Inputs!$B$39&lt;&gt;"pvp",Inputs!$B$44&gt;0),((Skills!G13*((R13-1)*IF(Skills!H13&gt;0,Skills!I13/Skills!H13,1)+IF(Skills!H13&gt;0,MIN(Skills!I13,MAX(0,MAX(0,Inputs!$B$44-Summary!$B$70)-((R13-1)*IF(Inputs!$B$39="pvp",15,MAX(0.1,Skills!D13-IF(Skills!E13=TRUE,Inputs!$B$32,0))))))/Skills!H13,1)))/Inputs!$B$44),G13*Q13)*IF(Inputs!$B$39="pvp",1,(1-Summary!$B$55)*(1)+Summary!$B$55*(MIN(Skills!W13,Inputs!$B$37))),0)</f>
        <v/>
      </c>
      <c r="P13">
        <f>IF(Summary!$B$3=0,0,O13/Summary!$B$3)</f>
        <v/>
      </c>
      <c r="Q13">
        <f>IFERROR(1/IF(Inputs!$B$39="pvp",15,MAX(0.1,Skills!D13-IF(Skills!E13=TRUE,Inputs!$B$32,0))),0)</f>
        <v/>
      </c>
      <c r="R13">
        <f>IF(AND(Inputs!$B$39&lt;&gt;"pvp",Inputs!$B$44&gt;0),IF(MAX(0,Inputs!$B$44-Summary!$B$70)&lt;=0,0,(INT(MAX(0,Inputs!$B$44-Summary!$B$70)/IF(Inputs!$B$39="pvp",15,MAX(0.1,Skills!D13-IF(Skills!E13=TRUE,Inputs!$B$32,0))))+1)),0)</f>
        <v/>
      </c>
      <c r="S13">
        <f>IFERROR(O13/N13,0)</f>
        <v/>
      </c>
    </row>
    <row r="14">
      <c r="A14">
        <f>Skills!A14</f>
        <v/>
      </c>
      <c r="B14">
        <f>Skills!B14</f>
        <v/>
      </c>
      <c r="C14">
        <f>Inputs!$B$3&gt;=107</f>
        <v/>
      </c>
      <c r="D14">
        <f>IF(Skills!C14=1,60+Inputs!$B$25+Inputs!$B$29,IF(Skills!C14=2,90+Inputs!$B$26+Inputs!$B$29,IF(Skills!C14=3,120+Inputs!$B$27+Inputs!$B$29,MAX(0,(Inputs!$B$3-100)*3)+Inputs!$B$28+Inputs!$B$29)))</f>
        <v/>
      </c>
      <c r="E14">
        <f>INDEX(FactorTable!$B$2:$Y$301, MATCH(ROUND(MIN(300,MAX(1,D14)),0), FactorTable!$A$2:$A$301,0), Skills!M14+1)</f>
        <v/>
      </c>
      <c r="F14">
        <f>IF(Skills!N14=TRUE,(Skills!L14/10)*(E14/1000),Skills!L14/10)+Skills!O14</f>
        <v/>
      </c>
      <c r="G14">
        <f>Skills!G14*IF(Skills!H14&gt;0,Skills!I14/Skills!H14,1)</f>
        <v/>
      </c>
      <c r="H14">
        <f>1-(1-Skills!J14/100)^Skills!K14</f>
        <v/>
      </c>
      <c r="I14" t="inlineStr">
        <is>
          <t>1</t>
        </is>
      </c>
      <c r="J14">
        <f>Summary!$B$50*(F14/100)</f>
        <v/>
      </c>
      <c r="K14">
        <f>J14*(1+Summary!$B$51/100)*(1+Inputs!$B$15/100)*(1+IF(Inputs!$B$39="pvp",0,(1-Summary!$B$55)*(Inputs!$B$20+Skills!P14+Summary!$B$59)+Summary!$B$55*(Inputs!$B$21+Skills!Q14+Summary!$B$59))/100)*(1+Inputs!$B$16/100)*(5000/(6000+Inputs!$B$43*(1-Inputs!$B$19/100)))*(1+Inputs!$B$24/100)*(1+(IF(Skills!A14="CRUEL_STAB",Inputs!$B$17,Inputs!$B$18))/100)*(Summary!$B$57*Summary!$B$60*I14)</f>
        <v/>
      </c>
      <c r="L14">
        <f>K14*(MIN(Inputs!$B$22,Inputs!$B$23)/100+Inputs!$B$23/100)/2</f>
        <v/>
      </c>
      <c r="M14">
        <f>L14*(1+(Inputs!$B$10+Summary!$B$65)/100)</f>
        <v/>
      </c>
      <c r="N14">
        <f>L14*(1-MIN((Inputs!$B$9+Summary!$B$58),100)/100)+M14*(MIN((Inputs!$B$9+Summary!$B$58),100)/100)</f>
        <v/>
      </c>
      <c r="O14">
        <f>IF(C14,H14*N14*IF(AND(Inputs!$B$39&lt;&gt;"pvp",Inputs!$B$44&gt;0),((Skills!G14*((R14-1)*IF(Skills!H14&gt;0,Skills!I14/Skills!H14,1)+IF(Skills!H14&gt;0,MIN(Skills!I14,MAX(0,MAX(0,Inputs!$B$44-Summary!$B$70)-((R14-1)*IF(Inputs!$B$39="pvp",15,MAX(0.1,Skills!D14-IF(Skills!E14=TRUE,Inputs!$B$32,0))))))/Skills!H14,1)))/Inputs!$B$44),G14*Q14)*IF(Inputs!$B$39="pvp",1,(1-Summary!$B$55)*(1)+Summary!$B$55*(MIN(MIN(5,0.25*Summary!$B$62*Skills!D4)*Skills!V14,Inputs!$B$37))),0)</f>
        <v/>
      </c>
      <c r="P14">
        <f>IF(Summary!$B$3=0,0,O14/Summary!$B$3)</f>
        <v/>
      </c>
      <c r="Q14">
        <f>IFERROR(1/IF(Inputs!$B$39="pvp",15,MAX(0.1,Skills!D14-IF(Skills!E14=TRUE,Inputs!$B$32,0))),0)</f>
        <v/>
      </c>
      <c r="R14">
        <f>IF(AND(Inputs!$B$39&lt;&gt;"pvp",Inputs!$B$44&gt;0),IF(MAX(0,Inputs!$B$44-Summary!$B$70)&lt;=0,0,(INT(MAX(0,Inputs!$B$44-Summary!$B$70)/IF(Inputs!$B$39="pvp",15,MAX(0.1,Skills!D14-IF(Skills!E14=TRUE,Inputs!$B$32,0))))+1)),0)</f>
        <v/>
      </c>
      <c r="S14">
        <f>IFERROR(O14/N14,0)</f>
        <v/>
      </c>
    </row>
    <row r="15">
      <c r="A15">
        <f>Skills!A15</f>
        <v/>
      </c>
      <c r="B15">
        <f>Skills!B15</f>
        <v/>
      </c>
      <c r="C15">
        <f>Inputs!$B$3&gt;=110</f>
        <v/>
      </c>
      <c r="D15">
        <f>IF(Skills!C15=1,60+Inputs!$B$25+Inputs!$B$29,IF(Skills!C15=2,90+Inputs!$B$26+Inputs!$B$29,IF(Skills!C15=3,120+Inputs!$B$27+Inputs!$B$29,MAX(0,(Inputs!$B$3-100)*3)+Inputs!$B$28+Inputs!$B$29)))</f>
        <v/>
      </c>
      <c r="E15">
        <f>INDEX(FactorTable!$B$2:$Y$301, MATCH(ROUND(MIN(300,MAX(1,D15)),0), FactorTable!$A$2:$A$301,0), Skills!M15+1)</f>
        <v/>
      </c>
      <c r="F15">
        <f>IF(Skills!N15=TRUE,(Skills!L15/10)*(E15/1000),Skills!L15/10)+Skills!O15</f>
        <v/>
      </c>
      <c r="G15">
        <f>Skills!G15*IF(Skills!H15&gt;0,Skills!I15/Skills!H15,1)</f>
        <v/>
      </c>
      <c r="H15">
        <f>1-(1-Skills!J15/100)^Skills!K15</f>
        <v/>
      </c>
      <c r="I15" t="inlineStr">
        <is>
          <t>1</t>
        </is>
      </c>
      <c r="J15" t="inlineStr"/>
      <c r="K15" t="inlineStr"/>
      <c r="L15" t="inlineStr"/>
      <c r="M15" t="inlineStr"/>
      <c r="N15" t="inlineStr"/>
      <c r="O15" t="n">
        <v>0</v>
      </c>
      <c r="P15">
        <f>IF(Summary!$B$3=0,0,O15/Summary!$B$3)</f>
        <v/>
      </c>
      <c r="Q15">
        <f>IFERROR(1/IF(Inputs!$B$39="pvp",15,MAX(0.1,Skills!D15-IF(Skills!E15=TRUE,Inputs!$B$32,0))),0)</f>
        <v/>
      </c>
      <c r="R15">
        <f>IF(AND(Inputs!$B$39&lt;&gt;"pvp",Inputs!$B$44&gt;0),IF(Inputs!$B$44&lt;=0,0,(INT(Inputs!$B$44/IF(Inputs!$B$39="pvp",15,MAX(0.1,Skills!D15-IF(Skills!E15=TRUE,Inputs!$B$32,0))))+1)),0)</f>
        <v/>
      </c>
      <c r="S15">
        <f>IFERROR(O15/N15,0)</f>
        <v/>
      </c>
    </row>
    <row r="16">
      <c r="A16">
        <f>Skills!A16</f>
        <v/>
      </c>
      <c r="B16">
        <f>Skills!B16</f>
        <v/>
      </c>
      <c r="C16">
        <f>Inputs!$B$3&gt;=115</f>
        <v/>
      </c>
      <c r="D16">
        <f>IF(Skills!C16=1,60+Inputs!$B$25+Inputs!$B$29,IF(Skills!C16=2,90+Inputs!$B$26+Inputs!$B$29,IF(Skills!C16=3,120+Inputs!$B$27+Inputs!$B$29,MAX(0,(Inputs!$B$3-100)*3)+Inputs!$B$28+Inputs!$B$29)))</f>
        <v/>
      </c>
      <c r="E16">
        <f>INDEX(FactorTable!$B$2:$Y$301, MATCH(ROUND(MIN(300,MAX(1,D16)),0), FactorTable!$A$2:$A$301,0), Skills!M16+1)</f>
        <v/>
      </c>
      <c r="F16">
        <f>IF(Skills!N16=TRUE,(Skills!L16/10)*(E16/1000),Skills!L16/10)+Skills!O16</f>
        <v/>
      </c>
      <c r="G16">
        <f>Skills!G16*IF(Skills!H16&gt;0,Skills!I16/Skills!H16,1)</f>
        <v/>
      </c>
      <c r="H16">
        <f>1-(1-Skills!J16/100)^Skills!K16</f>
        <v/>
      </c>
      <c r="I16" t="inlineStr">
        <is>
          <t>1</t>
        </is>
      </c>
      <c r="J16">
        <f>Summary!$B$50*(F16/100)</f>
        <v/>
      </c>
      <c r="K16">
        <f>J16*(1+Summary!$B$51/100)*(1+Inputs!$B$15/100)*(1+IF(Inputs!$B$39="pvp",0,(1-Summary!$B$55)*(Inputs!$B$20+Skills!P16+Summary!$B$59)+Summary!$B$55*(Inputs!$B$21+Skills!Q16+Summary!$B$59))/100)*(1+Inputs!$B$16/100)*(5000/(6000+Inputs!$B$43*(1-Inputs!$B$19/100)))*(1+Inputs!$B$24/100)*(1+(IF(Skills!A16="CRUEL_STAB",Inputs!$B$17,Inputs!$B$18))/100)*(Summary!$B$57*Summary!$B$60*I16)</f>
        <v/>
      </c>
      <c r="L16">
        <f>K16*(MIN(Inputs!$B$22,Inputs!$B$23)/100+Inputs!$B$23/100)/2</f>
        <v/>
      </c>
      <c r="M16">
        <f>L16*(1+(Inputs!$B$10+Summary!$B$65)/100)</f>
        <v/>
      </c>
      <c r="N16">
        <f>L16*(1-MIN((Inputs!$B$9+Summary!$B$58),100)/100)+M16*(MIN((Inputs!$B$9+Summary!$B$58),100)/100)</f>
        <v/>
      </c>
      <c r="O16">
        <f>IF(C16,Inputs!$B$38*0.2*N16,0)</f>
        <v/>
      </c>
      <c r="P16">
        <f>IF(Summary!$B$3=0,0,O16/Summary!$B$3)</f>
        <v/>
      </c>
      <c r="Q16" t="n">
        <v>0</v>
      </c>
      <c r="R16" t="n">
        <v>0</v>
      </c>
      <c r="S16">
        <f>IFERROR(O16/N16,0)</f>
        <v/>
      </c>
    </row>
    <row r="17">
      <c r="A17">
        <f>Skills!A17</f>
        <v/>
      </c>
      <c r="B17">
        <f>Skills!B17</f>
        <v/>
      </c>
      <c r="C17">
        <f>Inputs!$B$3&gt;=115</f>
        <v/>
      </c>
      <c r="D17">
        <f>IF(Skills!C17=1,60+Inputs!$B$25+Inputs!$B$29,IF(Skills!C17=2,90+Inputs!$B$26+Inputs!$B$29,IF(Skills!C17=3,120+Inputs!$B$27+Inputs!$B$29,MAX(0,(Inputs!$B$3-100)*3)+Inputs!$B$28+Inputs!$B$29)))</f>
        <v/>
      </c>
      <c r="E17">
        <f>INDEX(FactorTable!$B$2:$Y$301, MATCH(ROUND(MIN(300,MAX(1,D17)),0), FactorTable!$A$2:$A$301,0), Skills!M17+1)</f>
        <v/>
      </c>
      <c r="F17">
        <f>IF(Skills!N17=TRUE,(Skills!L17/10)*(E17/1000),Skills!L17/10)+Skills!O17</f>
        <v/>
      </c>
      <c r="G17">
        <f>Skills!G17*IF(Skills!H17&gt;0,Skills!I17/Skills!H17,1)</f>
        <v/>
      </c>
      <c r="H17">
        <f>1-(1-Skills!J17/100)^Skills!K17</f>
        <v/>
      </c>
      <c r="I17" t="inlineStr">
        <is>
          <t>1</t>
        </is>
      </c>
      <c r="J17" t="inlineStr"/>
      <c r="K17" t="inlineStr"/>
      <c r="L17" t="inlineStr"/>
      <c r="M17" t="inlineStr"/>
      <c r="N17" t="inlineStr"/>
      <c r="O17" t="n">
        <v>0</v>
      </c>
      <c r="P17">
        <f>IF(Summary!$B$3=0,0,O17/Summary!$B$3)</f>
        <v/>
      </c>
      <c r="Q17" t="n">
        <v>0</v>
      </c>
      <c r="R17" t="n">
        <v>0</v>
      </c>
      <c r="S17">
        <f>IFERROR(O17/N17,0)</f>
        <v/>
      </c>
    </row>
    <row r="18">
      <c r="A18">
        <f>Skills!A18</f>
        <v/>
      </c>
      <c r="B18">
        <f>Skills!B18</f>
        <v/>
      </c>
      <c r="C18">
        <f>Inputs!$B$3&gt;=100</f>
        <v/>
      </c>
      <c r="D18">
        <f>IF(Skills!C18=1,60+Inputs!$B$25+Inputs!$B$29,IF(Skills!C18=2,90+Inputs!$B$26+Inputs!$B$29,IF(Skills!C18=3,120+Inputs!$B$27+Inputs!$B$29,MAX(0,(Inputs!$B$3-100)*3)+Inputs!$B$28+Inputs!$B$29)))</f>
        <v/>
      </c>
      <c r="E18">
        <f>INDEX(FactorTable!$B$2:$Y$301, MATCH(ROUND(MIN(300,MAX(1,D18)),0), FactorTable!$A$2:$A$301,0), Skills!M18+1)</f>
        <v/>
      </c>
      <c r="F18">
        <f>IF(Skills!N18=TRUE,(Skills!L18/10)*(E18/1000),Skills!L18/10)+Skills!O18</f>
        <v/>
      </c>
      <c r="G18">
        <f>Skills!G18*IF(Skills!H18&gt;0,Skills!I18/Skills!H18,1)</f>
        <v/>
      </c>
      <c r="H18">
        <f>1-(1-Skills!J18/100)^Skills!K18</f>
        <v/>
      </c>
      <c r="I18" t="inlineStr">
        <is>
          <t>1</t>
        </is>
      </c>
      <c r="J18" t="inlineStr"/>
      <c r="K18" t="inlineStr"/>
      <c r="L18" t="inlineStr"/>
      <c r="M18" t="inlineStr"/>
      <c r="N18" t="inlineStr"/>
      <c r="O18" t="n">
        <v>0</v>
      </c>
      <c r="P18">
        <f>IF(Summary!$B$3=0,0,O18/Summary!$B$3)</f>
        <v/>
      </c>
      <c r="Q18" t="n">
        <v>0</v>
      </c>
      <c r="R18" t="n">
        <v>0</v>
      </c>
      <c r="S18">
        <f>IFERROR(O18/N18,0)</f>
        <v/>
      </c>
    </row>
    <row r="19">
      <c r="A19">
        <f>Skills!A19</f>
        <v/>
      </c>
      <c r="B19">
        <f>Skills!B19</f>
        <v/>
      </c>
      <c r="C19">
        <f>TRUE</f>
        <v/>
      </c>
      <c r="D19">
        <f>IF(Skills!C19=1,60+Inputs!$B$25+Inputs!$B$29,IF(Skills!C19=2,90+Inputs!$B$26+Inputs!$B$29,IF(Skills!C19=3,120+Inputs!$B$27+Inputs!$B$29,MAX(0,(Inputs!$B$3-100)*3)+Inputs!$B$28+Inputs!$B$29)))</f>
        <v/>
      </c>
      <c r="E19">
        <f>INDEX(FactorTable!$B$2:$Y$301, MATCH(ROUND(MIN(300,MAX(1,D19)),0), FactorTable!$A$2:$A$301,0), Skills!M19+1)</f>
        <v/>
      </c>
      <c r="F19">
        <f>IF(Skills!N19=TRUE,(Skills!L19/10)*(E19/1000),Skills!L19/10)+Skills!O19</f>
        <v/>
      </c>
      <c r="G19">
        <f>Skills!G19*IF(Skills!H19&gt;0,Skills!I19/Skills!H19,1)</f>
        <v/>
      </c>
      <c r="H19">
        <f>1-(1-Skills!J19/100)^Skills!K19</f>
        <v/>
      </c>
      <c r="I19" t="inlineStr">
        <is>
          <t>1</t>
        </is>
      </c>
      <c r="J19" t="inlineStr"/>
      <c r="K19" t="inlineStr"/>
      <c r="L19" t="inlineStr"/>
      <c r="M19" t="inlineStr"/>
      <c r="N19" t="inlineStr"/>
      <c r="O19" t="n">
        <v>0</v>
      </c>
      <c r="P19">
        <f>IF(Summary!$B$3=0,0,O19/Summary!$B$3)</f>
        <v/>
      </c>
      <c r="Q19">
        <f>IFERROR(1/IF(Inputs!$B$39="pvp",15,MAX(0.1,Skills!D19-IF(Skills!E19=TRUE,Inputs!$B$32,0))),0)</f>
        <v/>
      </c>
      <c r="R19">
        <f>IF(AND(Inputs!$B$39&lt;&gt;"pvp",Inputs!$B$44&gt;0),IF(Inputs!$B$44&lt;=0,0,(INT(Inputs!$B$44/IF(Inputs!$B$39="pvp",15,MAX(0.1,Skills!D19-IF(Skills!E19=TRUE,Inputs!$B$32,0))))+1)),0)</f>
        <v/>
      </c>
      <c r="S19">
        <f>IFERROR(O19/N19,0)</f>
        <v/>
      </c>
    </row>
    <row r="20">
      <c r="A20">
        <f>Skills!A20</f>
        <v/>
      </c>
      <c r="B20">
        <f>Skills!B20</f>
        <v/>
      </c>
      <c r="C20">
        <f>Inputs!$B$3&gt;=15</f>
        <v/>
      </c>
      <c r="D20">
        <f>IF(Skills!C20=1,60+Inputs!$B$25+Inputs!$B$29,IF(Skills!C20=2,90+Inputs!$B$26+Inputs!$B$29,IF(Skills!C20=3,120+Inputs!$B$27+Inputs!$B$29,MAX(0,(Inputs!$B$3-100)*3)+Inputs!$B$28+Inputs!$B$29)))</f>
        <v/>
      </c>
      <c r="E20">
        <f>INDEX(FactorTable!$B$2:$Y$301, MATCH(ROUND(MIN(300,MAX(1,D20)),0), FactorTable!$A$2:$A$301,0), Skills!M20+1)</f>
        <v/>
      </c>
      <c r="F20">
        <f>IF(Skills!N20=TRUE,(Skills!L20/10)*(E20/1000),Skills!L20/10)+Skills!O20</f>
        <v/>
      </c>
      <c r="G20">
        <f>Skills!G20*IF(Skills!H20&gt;0,Skills!I20/Skills!H20,1)</f>
        <v/>
      </c>
      <c r="H20">
        <f>1-(1-Skills!J20/100)^Skills!K20</f>
        <v/>
      </c>
      <c r="I20" t="inlineStr">
        <is>
          <t>1</t>
        </is>
      </c>
      <c r="J20" t="inlineStr"/>
      <c r="K20" t="inlineStr"/>
      <c r="L20" t="inlineStr"/>
      <c r="M20" t="inlineStr"/>
      <c r="N20" t="inlineStr"/>
      <c r="O20" t="n">
        <v>0</v>
      </c>
      <c r="P20">
        <f>IF(Summary!$B$3=0,0,O20/Summary!$B$3)</f>
        <v/>
      </c>
      <c r="Q20">
        <f>IFERROR(1/IF(Inputs!$B$39="pvp",15,MAX(0.1,Skills!D20-IF(Skills!E20=TRUE,Inputs!$B$32,0))),0)</f>
        <v/>
      </c>
      <c r="R20">
        <f>IF(AND(Inputs!$B$39&lt;&gt;"pvp",Inputs!$B$44&gt;0),IF(Inputs!$B$44&lt;=0,0,(INT(Inputs!$B$44/IF(Inputs!$B$39="pvp",15,MAX(0.1,Skills!D20-IF(Skills!E20=TRUE,Inputs!$B$32,0))))+1)),0)</f>
        <v/>
      </c>
      <c r="S20">
        <f>IFERROR(O20/N20,0)</f>
        <v/>
      </c>
    </row>
    <row r="21">
      <c r="A21">
        <f>Skills!A21</f>
        <v/>
      </c>
      <c r="B21">
        <f>Skills!B21</f>
        <v/>
      </c>
      <c r="C21">
        <f>Inputs!$B$3&gt;=15</f>
        <v/>
      </c>
      <c r="D21">
        <f>IF(Skills!C21=1,60+Inputs!$B$25+Inputs!$B$29,IF(Skills!C21=2,90+Inputs!$B$26+Inputs!$B$29,IF(Skills!C21=3,120+Inputs!$B$27+Inputs!$B$29,MAX(0,(Inputs!$B$3-100)*3)+Inputs!$B$28+Inputs!$B$29)))</f>
        <v/>
      </c>
      <c r="E21">
        <f>INDEX(FactorTable!$B$2:$Y$301, MATCH(ROUND(MIN(300,MAX(1,D21)),0), FactorTable!$A$2:$A$301,0), Skills!M21+1)</f>
        <v/>
      </c>
      <c r="F21">
        <f>IF(Skills!N21=TRUE,(Skills!L21/10)*(E21/1000),Skills!L21/10)+Skills!O21</f>
        <v/>
      </c>
      <c r="G21">
        <f>Skills!G21*IF(Skills!H21&gt;0,Skills!I21/Skills!H21,1)</f>
        <v/>
      </c>
      <c r="H21">
        <f>1-(1-Skills!J21/100)^Skills!K21</f>
        <v/>
      </c>
      <c r="I21" t="inlineStr">
        <is>
          <t>1</t>
        </is>
      </c>
      <c r="J21" t="inlineStr"/>
      <c r="K21" t="inlineStr"/>
      <c r="L21" t="inlineStr"/>
      <c r="M21" t="inlineStr"/>
      <c r="N21" t="inlineStr"/>
      <c r="O21" t="n">
        <v>0</v>
      </c>
      <c r="P21">
        <f>IF(Summary!$B$3=0,0,O21/Summary!$B$3)</f>
        <v/>
      </c>
      <c r="Q21">
        <f>IFERROR(1/IF(Inputs!$B$39="pvp",15,MAX(0.1,Skills!D21-IF(Skills!E21=TRUE,Inputs!$B$32,0))),0)</f>
        <v/>
      </c>
      <c r="R21">
        <f>IF(AND(Inputs!$B$39&lt;&gt;"pvp",Inputs!$B$44&gt;0),IF(Inputs!$B$44&lt;=0,0,(INT(Inputs!$B$44/IF(Inputs!$B$39="pvp",15,MAX(0.1,Skills!D21-IF(Skills!E21=TRUE,Inputs!$B$32,0))))+1)),0)</f>
        <v/>
      </c>
      <c r="S21">
        <f>IFERROR(O21/N21,0)</f>
        <v/>
      </c>
    </row>
    <row r="22">
      <c r="A22">
        <f>Skills!A22</f>
        <v/>
      </c>
      <c r="B22">
        <f>Skills!B22</f>
        <v/>
      </c>
      <c r="C22">
        <f>Inputs!$B$3&gt;=33</f>
        <v/>
      </c>
      <c r="D22">
        <f>IF(Skills!C22=1,60+Inputs!$B$25+Inputs!$B$29,IF(Skills!C22=2,90+Inputs!$B$26+Inputs!$B$29,IF(Skills!C22=3,120+Inputs!$B$27+Inputs!$B$29,MAX(0,(Inputs!$B$3-100)*3)+Inputs!$B$28+Inputs!$B$29)))</f>
        <v/>
      </c>
      <c r="E22">
        <f>INDEX(FactorTable!$B$2:$Y$301, MATCH(ROUND(MIN(300,MAX(1,D22)),0), FactorTable!$A$2:$A$301,0), Skills!M22+1)</f>
        <v/>
      </c>
      <c r="F22">
        <f>IF(Skills!N22=TRUE,(Skills!L22/10)*(E22/1000),Skills!L22/10)+Skills!O22</f>
        <v/>
      </c>
      <c r="G22">
        <f>Skills!G22*IF(Skills!H22&gt;0,Skills!I22/Skills!H22,1)</f>
        <v/>
      </c>
      <c r="H22">
        <f>1-(1-Skills!J22/100)^Skills!K22</f>
        <v/>
      </c>
      <c r="I22" t="inlineStr">
        <is>
          <t>1</t>
        </is>
      </c>
      <c r="J22" t="inlineStr"/>
      <c r="K22" t="inlineStr"/>
      <c r="L22" t="inlineStr"/>
      <c r="M22" t="inlineStr"/>
      <c r="N22" t="inlineStr"/>
      <c r="O22" t="n">
        <v>0</v>
      </c>
      <c r="P22">
        <f>IF(Summary!$B$3=0,0,O22/Summary!$B$3)</f>
        <v/>
      </c>
      <c r="Q22" t="n">
        <v>0</v>
      </c>
      <c r="R22" t="n">
        <v>0</v>
      </c>
      <c r="S22">
        <f>IFERROR(O22/N22,0)</f>
        <v/>
      </c>
    </row>
    <row r="23">
      <c r="A23">
        <f>Skills!A23</f>
        <v/>
      </c>
      <c r="B23">
        <f>Skills!B23</f>
        <v/>
      </c>
      <c r="C23">
        <f>Inputs!$B$3&gt;=40</f>
        <v/>
      </c>
      <c r="D23">
        <f>IF(Skills!C23=1,60+Inputs!$B$25+Inputs!$B$29,IF(Skills!C23=2,90+Inputs!$B$26+Inputs!$B$29,IF(Skills!C23=3,120+Inputs!$B$27+Inputs!$B$29,MAX(0,(Inputs!$B$3-100)*3)+Inputs!$B$28+Inputs!$B$29)))</f>
        <v/>
      </c>
      <c r="E23">
        <f>INDEX(FactorTable!$B$2:$Y$301, MATCH(ROUND(MIN(300,MAX(1,D23)),0), FactorTable!$A$2:$A$301,0), Skills!M23+1)</f>
        <v/>
      </c>
      <c r="F23">
        <f>IF(Skills!N23=TRUE,(Skills!L23/10)*(E23/1000),Skills!L23/10)+Skills!O23</f>
        <v/>
      </c>
      <c r="G23">
        <f>Skills!G23*IF(Skills!H23&gt;0,Skills!I23/Skills!H23,1)</f>
        <v/>
      </c>
      <c r="H23">
        <f>1-(1-Skills!J23/100)^Skills!K23</f>
        <v/>
      </c>
      <c r="I23" t="inlineStr">
        <is>
          <t>1</t>
        </is>
      </c>
      <c r="J23" t="inlineStr"/>
      <c r="K23" t="inlineStr"/>
      <c r="L23" t="inlineStr"/>
      <c r="M23" t="inlineStr"/>
      <c r="N23" t="inlineStr"/>
      <c r="O23" t="n">
        <v>0</v>
      </c>
      <c r="P23">
        <f>IF(Summary!$B$3=0,0,O23/Summary!$B$3)</f>
        <v/>
      </c>
      <c r="Q23" t="n">
        <v>0</v>
      </c>
      <c r="R23" t="n">
        <v>0</v>
      </c>
      <c r="S23">
        <f>IFERROR(O23/N23,0)</f>
        <v/>
      </c>
    </row>
    <row r="24">
      <c r="A24">
        <f>Skills!A24</f>
        <v/>
      </c>
      <c r="B24">
        <f>Skills!B24</f>
        <v/>
      </c>
      <c r="C24">
        <f>Inputs!$B$3&gt;=43</f>
        <v/>
      </c>
      <c r="D24">
        <f>IF(Skills!C24=1,60+Inputs!$B$25+Inputs!$B$29,IF(Skills!C24=2,90+Inputs!$B$26+Inputs!$B$29,IF(Skills!C24=3,120+Inputs!$B$27+Inputs!$B$29,MAX(0,(Inputs!$B$3-100)*3)+Inputs!$B$28+Inputs!$B$29)))</f>
        <v/>
      </c>
      <c r="E24">
        <f>INDEX(FactorTable!$B$2:$Y$301, MATCH(ROUND(MIN(300,MAX(1,D24)),0), FactorTable!$A$2:$A$301,0), Skills!M24+1)</f>
        <v/>
      </c>
      <c r="F24">
        <f>IF(Skills!N24=TRUE,(Skills!L24/10)*(E24/1000),Skills!L24/10)+Skills!O24</f>
        <v/>
      </c>
      <c r="G24">
        <f>Skills!G24*IF(Skills!H24&gt;0,Skills!I24/Skills!H24,1)</f>
        <v/>
      </c>
      <c r="H24">
        <f>1-(1-Skills!J24/100)^Skills!K24</f>
        <v/>
      </c>
      <c r="I24" t="inlineStr">
        <is>
          <t>1</t>
        </is>
      </c>
      <c r="J24" t="inlineStr"/>
      <c r="K24" t="inlineStr"/>
      <c r="L24" t="inlineStr"/>
      <c r="M24" t="inlineStr"/>
      <c r="N24" t="inlineStr"/>
      <c r="O24" t="n">
        <v>0</v>
      </c>
      <c r="P24">
        <f>IF(Summary!$B$3=0,0,O24/Summary!$B$3)</f>
        <v/>
      </c>
      <c r="Q24" t="n">
        <v>0</v>
      </c>
      <c r="R24" t="n">
        <v>0</v>
      </c>
      <c r="S24">
        <f>IFERROR(O24/N24,0)</f>
        <v/>
      </c>
    </row>
    <row r="25">
      <c r="A25">
        <f>Skills!A25</f>
        <v/>
      </c>
      <c r="B25">
        <f>Skills!B25</f>
        <v/>
      </c>
      <c r="C25">
        <f>Inputs!$B$3&gt;=50</f>
        <v/>
      </c>
      <c r="D25">
        <f>IF(Skills!C25=1,60+Inputs!$B$25+Inputs!$B$29,IF(Skills!C25=2,90+Inputs!$B$26+Inputs!$B$29,IF(Skills!C25=3,120+Inputs!$B$27+Inputs!$B$29,MAX(0,(Inputs!$B$3-100)*3)+Inputs!$B$28+Inputs!$B$29)))</f>
        <v/>
      </c>
      <c r="E25">
        <f>INDEX(FactorTable!$B$2:$Y$301, MATCH(ROUND(MIN(300,MAX(1,D25)),0), FactorTable!$A$2:$A$301,0), Skills!M25+1)</f>
        <v/>
      </c>
      <c r="F25">
        <f>IF(Skills!N25=TRUE,(Skills!L25/10)*(E25/1000),Skills!L25/10)+Skills!O25</f>
        <v/>
      </c>
      <c r="G25">
        <f>Skills!G25*IF(Skills!H25&gt;0,Skills!I25/Skills!H25,1)</f>
        <v/>
      </c>
      <c r="H25">
        <f>1-(1-Skills!J25/100)^Skills!K25</f>
        <v/>
      </c>
      <c r="I25" t="inlineStr">
        <is>
          <t>1</t>
        </is>
      </c>
      <c r="J25" t="inlineStr"/>
      <c r="K25" t="inlineStr"/>
      <c r="L25" t="inlineStr"/>
      <c r="M25" t="inlineStr"/>
      <c r="N25" t="inlineStr"/>
      <c r="O25" t="n">
        <v>0</v>
      </c>
      <c r="P25">
        <f>IF(Summary!$B$3=0,0,O25/Summary!$B$3)</f>
        <v/>
      </c>
      <c r="Q25" t="n">
        <v>0</v>
      </c>
      <c r="R25" t="n">
        <v>0</v>
      </c>
      <c r="S25">
        <f>IFERROR(O25/N25,0)</f>
        <v/>
      </c>
    </row>
    <row r="26">
      <c r="A26">
        <f>Skills!A26</f>
        <v/>
      </c>
      <c r="B26">
        <f>Skills!B26</f>
        <v/>
      </c>
      <c r="C26">
        <f>Inputs!$B$3&gt;=50</f>
        <v/>
      </c>
      <c r="D26">
        <f>IF(Skills!C26=1,60+Inputs!$B$25+Inputs!$B$29,IF(Skills!C26=2,90+Inputs!$B$26+Inputs!$B$29,IF(Skills!C26=3,120+Inputs!$B$27+Inputs!$B$29,MAX(0,(Inputs!$B$3-100)*3)+Inputs!$B$28+Inputs!$B$29)))</f>
        <v/>
      </c>
      <c r="E26">
        <f>INDEX(FactorTable!$B$2:$Y$301, MATCH(ROUND(MIN(300,MAX(1,D26)),0), FactorTable!$A$2:$A$301,0), Skills!M26+1)</f>
        <v/>
      </c>
      <c r="F26">
        <f>IF(Skills!N26=TRUE,(Skills!L26/10)*(E26/1000),Skills!L26/10)+Skills!O26</f>
        <v/>
      </c>
      <c r="G26">
        <f>Skills!G26*IF(Skills!H26&gt;0,Skills!I26/Skills!H26,1)</f>
        <v/>
      </c>
      <c r="H26">
        <f>1-(1-Skills!J26/100)^Skills!K26</f>
        <v/>
      </c>
      <c r="I26" t="inlineStr">
        <is>
          <t>1</t>
        </is>
      </c>
      <c r="J26" t="inlineStr"/>
      <c r="K26" t="inlineStr"/>
      <c r="L26" t="inlineStr"/>
      <c r="M26" t="inlineStr"/>
      <c r="N26" t="inlineStr"/>
      <c r="O26" t="n">
        <v>0</v>
      </c>
      <c r="P26">
        <f>IF(Summary!$B$3=0,0,O26/Summary!$B$3)</f>
        <v/>
      </c>
      <c r="Q26" t="n">
        <v>0</v>
      </c>
      <c r="R26" t="n">
        <v>0</v>
      </c>
      <c r="S26">
        <f>IFERROR(O26/N26,0)</f>
        <v/>
      </c>
    </row>
    <row r="27">
      <c r="A27">
        <f>Skills!A27</f>
        <v/>
      </c>
      <c r="B27">
        <f>Skills!B27</f>
        <v/>
      </c>
      <c r="C27">
        <f>Inputs!$B$3&gt;=38</f>
        <v/>
      </c>
      <c r="D27">
        <f>IF(Skills!C27=1,60+Inputs!$B$25+Inputs!$B$29,IF(Skills!C27=2,90+Inputs!$B$26+Inputs!$B$29,IF(Skills!C27=3,120+Inputs!$B$27+Inputs!$B$29,MAX(0,(Inputs!$B$3-100)*3)+Inputs!$B$28+Inputs!$B$29)))</f>
        <v/>
      </c>
      <c r="E27">
        <f>INDEX(FactorTable!$B$2:$Y$301, MATCH(ROUND(MIN(300,MAX(1,D27)),0), FactorTable!$A$2:$A$301,0), Skills!M27+1)</f>
        <v/>
      </c>
      <c r="F27">
        <f>IF(Skills!N27=TRUE,(Skills!L27/10)*(E27/1000),Skills!L27/10)+Skills!O27</f>
        <v/>
      </c>
      <c r="G27">
        <f>Skills!G27*IF(Skills!H27&gt;0,Skills!I27/Skills!H27,1)</f>
        <v/>
      </c>
      <c r="H27">
        <f>1-(1-Skills!J27/100)^Skills!K27</f>
        <v/>
      </c>
      <c r="I27" t="inlineStr">
        <is>
          <t>1</t>
        </is>
      </c>
      <c r="J27" t="inlineStr"/>
      <c r="K27" t="inlineStr"/>
      <c r="L27" t="inlineStr"/>
      <c r="M27" t="inlineStr"/>
      <c r="N27" t="inlineStr"/>
      <c r="O27" t="n">
        <v>0</v>
      </c>
      <c r="P27">
        <f>IF(Summary!$B$3=0,0,O27/Summary!$B$3)</f>
        <v/>
      </c>
      <c r="Q27" t="n">
        <v>0</v>
      </c>
      <c r="R27" t="n">
        <v>0</v>
      </c>
      <c r="S27">
        <f>IFERROR(O27/N27,0)</f>
        <v/>
      </c>
    </row>
    <row r="28">
      <c r="A28">
        <f>Skills!A28</f>
        <v/>
      </c>
      <c r="B28">
        <f>Skills!B28</f>
        <v/>
      </c>
      <c r="C28">
        <f>Inputs!$B$3&gt;=120</f>
        <v/>
      </c>
      <c r="D28">
        <f>IF(Skills!C28=1,60+Inputs!$B$25+Inputs!$B$29,IF(Skills!C28=2,90+Inputs!$B$26+Inputs!$B$29,IF(Skills!C28=3,120+Inputs!$B$27+Inputs!$B$29,MAX(0,(Inputs!$B$3-100)*3)+Inputs!$B$28+Inputs!$B$29)))</f>
        <v/>
      </c>
      <c r="E28">
        <f>INDEX(FactorTable!$B$2:$Y$301, MATCH(ROUND(MIN(300,MAX(1,D28)),0), FactorTable!$A$2:$A$301,0), Skills!M28+1)</f>
        <v/>
      </c>
      <c r="F28">
        <f>IF(Skills!N28=TRUE,(Skills!L28/10)*(E28/1000),Skills!L28/10)+Skills!O28</f>
        <v/>
      </c>
      <c r="G28">
        <f>Skills!G28*IF(Skills!H28&gt;0,Skills!I28/Skills!H28,1)</f>
        <v/>
      </c>
      <c r="H28">
        <f>1-(1-Skills!J28/100)^Skills!K28</f>
        <v/>
      </c>
      <c r="I28" t="inlineStr">
        <is>
          <t>1</t>
        </is>
      </c>
      <c r="J28" t="inlineStr"/>
      <c r="K28" t="inlineStr"/>
      <c r="L28" t="inlineStr"/>
      <c r="M28" t="inlineStr"/>
      <c r="N28" t="inlineStr"/>
      <c r="O28" t="n">
        <v>0</v>
      </c>
      <c r="P28">
        <f>IF(Summary!$B$3=0,0,O28/Summary!$B$3)</f>
        <v/>
      </c>
      <c r="Q28" t="n">
        <v>0</v>
      </c>
      <c r="R28" t="n">
        <v>0</v>
      </c>
      <c r="S28">
        <f>IFERROR(O28/N28,0)</f>
        <v/>
      </c>
    </row>
    <row r="29">
      <c r="A29">
        <f>Skills!A29</f>
        <v/>
      </c>
      <c r="B29">
        <f>Skills!B29</f>
        <v/>
      </c>
      <c r="C29">
        <f>Inputs!$B$3&gt;=120</f>
        <v/>
      </c>
      <c r="D29">
        <f>IF(Skills!C29=1,60+Inputs!$B$25+Inputs!$B$29,IF(Skills!C29=2,90+Inputs!$B$26+Inputs!$B$29,IF(Skills!C29=3,120+Inputs!$B$27+Inputs!$B$29,MAX(0,(Inputs!$B$3-100)*3)+Inputs!$B$28+Inputs!$B$29)))</f>
        <v/>
      </c>
      <c r="E29">
        <f>INDEX(FactorTable!$B$2:$Y$301, MATCH(ROUND(MIN(300,MAX(1,D29)),0), FactorTable!$A$2:$A$301,0), Skills!M29+1)</f>
        <v/>
      </c>
      <c r="F29">
        <f>IF(Skills!N29=TRUE,(Skills!L29/10)*(E29/1000),Skills!L29/10)+Skills!O29</f>
        <v/>
      </c>
      <c r="G29">
        <f>Skills!G29*IF(Skills!H29&gt;0,Skills!I29/Skills!H29,1)</f>
        <v/>
      </c>
      <c r="H29">
        <f>1-(1-Skills!J29/100)^Skills!K29</f>
        <v/>
      </c>
      <c r="I29" t="inlineStr">
        <is>
          <t>1</t>
        </is>
      </c>
      <c r="J29" t="inlineStr"/>
      <c r="K29" t="inlineStr"/>
      <c r="L29" t="inlineStr"/>
      <c r="M29" t="inlineStr"/>
      <c r="N29" t="inlineStr"/>
      <c r="O29" t="n">
        <v>0</v>
      </c>
      <c r="P29">
        <f>IF(Summary!$B$3=0,0,O29/Summary!$B$3)</f>
        <v/>
      </c>
      <c r="Q29" t="n">
        <v>0</v>
      </c>
      <c r="R29" t="n">
        <v>0</v>
      </c>
      <c r="S29">
        <f>IFERROR(O29/N29,0)</f>
        <v/>
      </c>
    </row>
    <row r="30">
      <c r="A30">
        <f>Skills!A30</f>
        <v/>
      </c>
      <c r="B30">
        <f>Skills!B30</f>
        <v/>
      </c>
      <c r="C30">
        <f>Inputs!$B$3&gt;=125</f>
        <v/>
      </c>
      <c r="D30">
        <f>IF(Skills!C30=1,60+Inputs!$B$25+Inputs!$B$29,IF(Skills!C30=2,90+Inputs!$B$26+Inputs!$B$29,IF(Skills!C30=3,120+Inputs!$B$27+Inputs!$B$29,MAX(0,(Inputs!$B$3-100)*3)+Inputs!$B$28+Inputs!$B$29)))</f>
        <v/>
      </c>
      <c r="E30">
        <f>INDEX(FactorTable!$B$2:$Y$301, MATCH(ROUND(MIN(300,MAX(1,D30)),0), FactorTable!$A$2:$A$301,0), Skills!M30+1)</f>
        <v/>
      </c>
      <c r="F30">
        <f>IF(Skills!N30=TRUE,(Skills!L30/10)*(E30/1000),Skills!L30/10)+Skills!O30</f>
        <v/>
      </c>
      <c r="G30">
        <f>Skills!G30*IF(Skills!H30&gt;0,Skills!I30/Skills!H30,1)</f>
        <v/>
      </c>
      <c r="H30">
        <f>1-(1-Skills!J30/100)^Skills!K30</f>
        <v/>
      </c>
      <c r="I30" t="inlineStr">
        <is>
          <t>1</t>
        </is>
      </c>
      <c r="J30" t="inlineStr"/>
      <c r="K30" t="inlineStr"/>
      <c r="L30" t="inlineStr"/>
      <c r="M30" t="inlineStr"/>
      <c r="N30" t="inlineStr"/>
      <c r="O30" t="n">
        <v>0</v>
      </c>
      <c r="P30">
        <f>IF(Summary!$B$3=0,0,O30/Summary!$B$3)</f>
        <v/>
      </c>
      <c r="Q30" t="n">
        <v>0</v>
      </c>
      <c r="R30" t="n">
        <v>0</v>
      </c>
      <c r="S30">
        <f>IFERROR(O30/N30,0)</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70"/>
  <sheetViews>
    <sheetView workbookViewId="0">
      <selection activeCell="A1" sqref="A1"/>
    </sheetView>
  </sheetViews>
  <sheetFormatPr baseColWidth="8" defaultRowHeight="15"/>
  <cols>
    <col width="65" customWidth="1" min="1" max="1"/>
    <col width="16" customWidth="1" min="2" max="2"/>
    <col width="12" customWidth="1" min="3" max="3"/>
  </cols>
  <sheetData>
    <row r="1">
      <c r="A1" s="4" t="inlineStr">
        <is>
          <t>Shadower — DPS Summary</t>
        </is>
      </c>
    </row>
    <row r="3">
      <c r="A3" s="10" t="inlineStr">
        <is>
          <t>TOTAL DPS</t>
        </is>
      </c>
      <c r="B3" s="10">
        <f>SUM(Calc!O2:O30)</f>
        <v/>
      </c>
    </row>
    <row r="5">
      <c r="A5" s="7" t="inlineStr">
        <is>
          <t>Per-Skill DPS Breakdown</t>
        </is>
      </c>
    </row>
    <row r="6">
      <c r="A6" s="9" t="inlineStr">
        <is>
          <t>Skill</t>
        </is>
      </c>
      <c r="B6" s="9" t="inlineStr">
        <is>
          <t>DPS</t>
        </is>
      </c>
      <c r="C6" s="9" t="inlineStr">
        <is>
          <t>% of Total</t>
        </is>
      </c>
    </row>
    <row r="7">
      <c r="A7">
        <f>Calc!B2</f>
        <v/>
      </c>
      <c r="B7">
        <f>Calc!O2</f>
        <v/>
      </c>
      <c r="C7">
        <f>Calc!P2*100</f>
        <v/>
      </c>
    </row>
    <row r="8">
      <c r="A8">
        <f>Calc!B4</f>
        <v/>
      </c>
      <c r="B8">
        <f>Calc!O4</f>
        <v/>
      </c>
      <c r="C8">
        <f>Calc!P4*100</f>
        <v/>
      </c>
    </row>
    <row r="9">
      <c r="A9">
        <f>Calc!B5</f>
        <v/>
      </c>
      <c r="B9">
        <f>Calc!O5</f>
        <v/>
      </c>
      <c r="C9">
        <f>Calc!P5*100</f>
        <v/>
      </c>
    </row>
    <row r="10">
      <c r="A10">
        <f>Calc!B6</f>
        <v/>
      </c>
      <c r="B10">
        <f>Calc!O6</f>
        <v/>
      </c>
      <c r="C10">
        <f>Calc!P6*100</f>
        <v/>
      </c>
    </row>
    <row r="11">
      <c r="A11">
        <f>Calc!B8</f>
        <v/>
      </c>
      <c r="B11">
        <f>Calc!O8</f>
        <v/>
      </c>
      <c r="C11">
        <f>Calc!P8*100</f>
        <v/>
      </c>
    </row>
    <row r="12">
      <c r="A12">
        <f>Calc!B9</f>
        <v/>
      </c>
      <c r="B12">
        <f>Calc!O9</f>
        <v/>
      </c>
      <c r="C12">
        <f>Calc!P9*100</f>
        <v/>
      </c>
    </row>
    <row r="13">
      <c r="A13">
        <f>Calc!B11</f>
        <v/>
      </c>
      <c r="B13">
        <f>Calc!O11</f>
        <v/>
      </c>
      <c r="C13">
        <f>Calc!P11*100</f>
        <v/>
      </c>
    </row>
    <row r="14">
      <c r="A14">
        <f>Calc!B12</f>
        <v/>
      </c>
      <c r="B14">
        <f>Calc!O12</f>
        <v/>
      </c>
      <c r="C14">
        <f>Calc!P12*100</f>
        <v/>
      </c>
    </row>
    <row r="15">
      <c r="A15">
        <f>Calc!B13</f>
        <v/>
      </c>
      <c r="B15">
        <f>Calc!O13</f>
        <v/>
      </c>
      <c r="C15">
        <f>Calc!P13*100</f>
        <v/>
      </c>
    </row>
    <row r="16">
      <c r="A16">
        <f>Calc!B14</f>
        <v/>
      </c>
      <c r="B16">
        <f>Calc!O14</f>
        <v/>
      </c>
      <c r="C16">
        <f>Calc!P14*100</f>
        <v/>
      </c>
    </row>
    <row r="17">
      <c r="A17">
        <f>Calc!B16</f>
        <v/>
      </c>
      <c r="B17">
        <f>Calc!O16</f>
        <v/>
      </c>
      <c r="C17">
        <f>Calc!P16*100</f>
        <v/>
      </c>
    </row>
    <row r="18">
      <c r="A18" s="7" t="inlineStr">
        <is>
          <t>Marginal DPS &amp; Stat Value (see Sensitivity for full detail)</t>
        </is>
      </c>
    </row>
    <row r="20">
      <c r="A20" s="9" t="inlineStr">
        <is>
          <t>Stat</t>
        </is>
      </c>
      <c r="B20" s="9" t="inlineStr">
        <is>
          <t>DPS per +1</t>
        </is>
      </c>
      <c r="C20" s="9" t="inlineStr">
        <is>
          <t>Units per +1% DPS</t>
        </is>
      </c>
    </row>
    <row r="21">
      <c r="A21">
        <f>Sensitivity!A5</f>
        <v/>
      </c>
      <c r="B21">
        <f>Sensitivity!H5</f>
        <v/>
      </c>
      <c r="C21">
        <f>Sensitivity!B5</f>
        <v/>
      </c>
    </row>
    <row r="22">
      <c r="A22">
        <f>Sensitivity!A6</f>
        <v/>
      </c>
      <c r="B22">
        <f>Sensitivity!H6</f>
        <v/>
      </c>
      <c r="C22">
        <f>Sensitivity!B6</f>
        <v/>
      </c>
    </row>
    <row r="23">
      <c r="A23">
        <f>Sensitivity!A7</f>
        <v/>
      </c>
      <c r="B23">
        <f>Sensitivity!H7</f>
        <v/>
      </c>
      <c r="C23">
        <f>Sensitivity!B7</f>
        <v/>
      </c>
    </row>
    <row r="24">
      <c r="A24">
        <f>Sensitivity!A8</f>
        <v/>
      </c>
      <c r="B24">
        <f>Sensitivity!H8</f>
        <v/>
      </c>
      <c r="C24">
        <f>Sensitivity!B8</f>
        <v/>
      </c>
    </row>
    <row r="25">
      <c r="A25">
        <f>Sensitivity!A9</f>
        <v/>
      </c>
      <c r="B25">
        <f>Sensitivity!H9</f>
        <v/>
      </c>
      <c r="C25">
        <f>Sensitivity!B9</f>
        <v/>
      </c>
    </row>
    <row r="26">
      <c r="A26">
        <f>Sensitivity!A10</f>
        <v/>
      </c>
      <c r="B26">
        <f>Sensitivity!H10</f>
        <v/>
      </c>
      <c r="C26">
        <f>Sensitivity!B10</f>
        <v/>
      </c>
    </row>
    <row r="27">
      <c r="A27">
        <f>Sensitivity!A11</f>
        <v/>
      </c>
      <c r="B27">
        <f>Sensitivity!H11</f>
        <v/>
      </c>
      <c r="C27">
        <f>Sensitivity!B11</f>
        <v/>
      </c>
    </row>
    <row r="28">
      <c r="A28">
        <f>Sensitivity!A12</f>
        <v/>
      </c>
      <c r="B28">
        <f>Sensitivity!H12</f>
        <v/>
      </c>
      <c r="C28">
        <f>Sensitivity!B12</f>
        <v/>
      </c>
    </row>
    <row r="29">
      <c r="A29">
        <f>Sensitivity!A13</f>
        <v/>
      </c>
      <c r="B29">
        <f>Sensitivity!H13</f>
        <v/>
      </c>
      <c r="C29">
        <f>Sensitivity!B13</f>
        <v/>
      </c>
    </row>
    <row r="30">
      <c r="A30">
        <f>Sensitivity!A14</f>
        <v/>
      </c>
      <c r="B30">
        <f>Sensitivity!H14</f>
        <v/>
      </c>
      <c r="C30">
        <f>Sensitivity!B14</f>
        <v/>
      </c>
    </row>
    <row r="31">
      <c r="A31">
        <f>Sensitivity!A15</f>
        <v/>
      </c>
      <c r="B31">
        <f>Sensitivity!H15</f>
        <v/>
      </c>
      <c r="C31">
        <f>Sensitivity!B15</f>
        <v/>
      </c>
    </row>
    <row r="32">
      <c r="A32">
        <f>Sensitivity!A16</f>
        <v/>
      </c>
      <c r="B32">
        <f>Sensitivity!H16</f>
        <v/>
      </c>
      <c r="C32">
        <f>Sensitivity!B16</f>
        <v/>
      </c>
    </row>
    <row r="33">
      <c r="A33">
        <f>Sensitivity!A17</f>
        <v/>
      </c>
      <c r="B33">
        <f>Sensitivity!H17</f>
        <v/>
      </c>
      <c r="C33">
        <f>Sensitivity!B17</f>
        <v/>
      </c>
    </row>
    <row r="34">
      <c r="A34">
        <f>Sensitivity!A18</f>
        <v/>
      </c>
      <c r="B34">
        <f>Sensitivity!H18</f>
        <v/>
      </c>
      <c r="C34">
        <f>Sensitivity!B18</f>
        <v/>
      </c>
    </row>
    <row r="35">
      <c r="A35">
        <f>Sensitivity!A19</f>
        <v/>
      </c>
      <c r="B35">
        <f>Sensitivity!H19</f>
        <v/>
      </c>
      <c r="C35">
        <f>Sensitivity!B19</f>
        <v/>
      </c>
    </row>
    <row r="36">
      <c r="A36">
        <f>Sensitivity!A20</f>
        <v/>
      </c>
      <c r="B36">
        <f>Sensitivity!H20</f>
        <v/>
      </c>
      <c r="C36">
        <f>Sensitivity!B20</f>
        <v/>
      </c>
    </row>
    <row r="37">
      <c r="A37">
        <f>Sensitivity!A21</f>
        <v/>
      </c>
      <c r="B37">
        <f>Sensitivity!H21</f>
        <v/>
      </c>
      <c r="C37">
        <f>Sensitivity!B21</f>
        <v/>
      </c>
    </row>
    <row r="38">
      <c r="A38">
        <f>Sensitivity!A22</f>
        <v/>
      </c>
      <c r="B38">
        <f>Sensitivity!H22</f>
        <v/>
      </c>
      <c r="C38">
        <f>Sensitivity!B22</f>
        <v/>
      </c>
    </row>
    <row r="39">
      <c r="A39">
        <f>Sensitivity!A23</f>
        <v/>
      </c>
      <c r="B39">
        <f>Sensitivity!H23</f>
        <v/>
      </c>
      <c r="C39">
        <f>Sensitivity!B23</f>
        <v/>
      </c>
    </row>
    <row r="40">
      <c r="A40">
        <f>Sensitivity!A24</f>
        <v/>
      </c>
      <c r="B40">
        <f>Sensitivity!H24</f>
        <v/>
      </c>
      <c r="C40">
        <f>Sensitivity!B24</f>
        <v/>
      </c>
    </row>
    <row r="41">
      <c r="A41">
        <f>Sensitivity!A25</f>
        <v/>
      </c>
      <c r="B41">
        <f>Sensitivity!H25</f>
        <v/>
      </c>
      <c r="C41">
        <f>Sensitivity!B25</f>
        <v/>
      </c>
    </row>
    <row r="42">
      <c r="A42">
        <f>Sensitivity!A26</f>
        <v/>
      </c>
      <c r="B42">
        <f>Sensitivity!H26</f>
        <v/>
      </c>
      <c r="C42">
        <f>Sensitivity!B26</f>
        <v/>
      </c>
    </row>
    <row r="43">
      <c r="A43">
        <f>Sensitivity!A27</f>
        <v/>
      </c>
      <c r="B43">
        <f>Sensitivity!H27</f>
        <v/>
      </c>
      <c r="C43">
        <f>Sensitivity!B27</f>
        <v/>
      </c>
    </row>
    <row r="44">
      <c r="A44">
        <f>Sensitivity!A28</f>
        <v/>
      </c>
      <c r="B44">
        <f>Sensitivity!H28</f>
        <v/>
      </c>
      <c r="C44">
        <f>Sensitivity!B28</f>
        <v/>
      </c>
    </row>
    <row r="45">
      <c r="A45">
        <f>Sensitivity!A29</f>
        <v/>
      </c>
      <c r="B45">
        <f>Sensitivity!H29</f>
        <v/>
      </c>
      <c r="C45">
        <f>Sensitivity!B29</f>
        <v/>
      </c>
    </row>
    <row r="46">
      <c r="A46">
        <f>Sensitivity!A30</f>
        <v/>
      </c>
      <c r="B46">
        <f>Sensitivity!H30</f>
        <v/>
      </c>
      <c r="C46">
        <f>Sensitivity!B30</f>
        <v/>
      </c>
    </row>
    <row r="47">
      <c r="A47">
        <f>Sensitivity!A31</f>
        <v/>
      </c>
      <c r="B47">
        <f>Sensitivity!H31</f>
        <v/>
      </c>
      <c r="C47">
        <f>Sensitivity!B31</f>
        <v/>
      </c>
    </row>
    <row r="49">
      <c r="A49" s="7" t="inlineStr">
        <is>
          <t>Derived Values (read-only, computed from Inputs)</t>
        </is>
      </c>
    </row>
    <row r="50">
      <c r="A50" t="inlineStr">
        <is>
          <t>ATTACK (= Flat ATTACK x (1+ATTACK%/100))</t>
        </is>
      </c>
      <c r="B50">
        <f>Inputs!$B$6*(1+Inputs!$B$7/100)</f>
        <v/>
      </c>
    </row>
    <row r="51">
      <c r="A51" t="inlineStr">
        <is>
          <t>STAT_DAMAGE % (= 1% of total LUK + 0.25% of DEX)</t>
        </is>
      </c>
      <c r="B51">
        <f>(Inputs!$B$12*(1+Inputs!$B$13/100))*0.01+Inputs!$B$14*0.0025</f>
        <v/>
      </c>
    </row>
    <row r="52">
      <c r="A52" t="inlineStr">
        <is>
          <t>Basic Attack (Cruel Stab) Input Level (4th job formula)</t>
        </is>
      </c>
      <c r="B52">
        <f>MAX(0,(Inputs!$B$3-100)*3)+Inputs!$B$28+Inputs!$B$29</f>
        <v/>
      </c>
    </row>
    <row r="53">
      <c r="A53" t="inlineStr">
        <is>
          <t>Basic Attack Factor (factorIndex 21, from Cruel Stab == Showdown/Chain Lightning/Big Bang reuse)</t>
        </is>
      </c>
      <c r="B53">
        <f>INDEX(FactorTable!$B$2:$Y$301, MATCH(ROUND(MIN(300,MAX(1,Summary!$B$52)),0), FactorTable!$A$2:$A$301,0), 22)</f>
        <v/>
      </c>
    </row>
    <row r="54">
      <c r="A54" t="inlineStr">
        <is>
          <t>SKILL_COEFFICIENT — Cruel Stab base coefficient % (before Skill Mastery)</t>
        </is>
      </c>
      <c r="B54">
        <f>290*Summary!$B$53/1000</f>
        <v/>
      </c>
    </row>
    <row r="55">
      <c r="A55" t="inlineStr">
        <is>
          <t>Normal-Monster Weight (= 0 for boss, 1 for normal, Breakthrough Normal Weight % for breakthrough, 0 for pvp)</t>
        </is>
      </c>
      <c r="B55">
        <f>IF(Inputs!$B$39="normal",1,IF(Inputs!$B$39="breakthrough",Inputs!$B$45/100,0))</f>
        <v/>
      </c>
    </row>
    <row r="57">
      <c r="A57" t="inlineStr">
        <is>
          <t>Average Buff Multiplier (Dark Sight Attack + Into Darkness + Smokescreen FD)</t>
        </is>
      </c>
      <c r="B57">
        <f>(1+((Calc!C21=TRUE)*Calc!F21*IF(AND(Inputs!$B$39&lt;&gt;"pvp",Inputs!$B$44&gt;0),(((Calc!R21-1)*(Skills!Y21*(1+Inputs!$B$34/100))+MIN((Skills!Y21*(1+Inputs!$B$34/100)),MAX(0,Inputs!$B$44-((Calc!R21-1)*Skills!D21))))/Inputs!$B$44),IF(Inputs!$B$39="pvp",MIN((Skills!Y21*(1+Inputs!$B$34/100)),15)/15,(Skills!Y21*(1+Inputs!$B$34/100))/Skills!D21)))/100)*(1+((Calc!C10=TRUE)*Calc!F10*IF(AND(Inputs!$B$39&lt;&gt;"pvp",Inputs!$B$44&gt;0),(((Calc!R10-1)*(Skills!Y10*(1+Inputs!$B$34/100))+MIN((Skills!Y10*(1+Inputs!$B$34/100)),MAX(0,Inputs!$B$44-((Calc!R10-1)*Skills!D10))))/Inputs!$B$44),IF(Inputs!$B$39="pvp",MIN((Skills!Y10*(1+Inputs!$B$34/100)),15)/15,(Skills!Y10*(1+Inputs!$B$34/100))/Skills!D10)))/100)*(1+((Calc!C15=TRUE)*Calc!F15*IF(AND(Inputs!$B$39&lt;&gt;"pvp",Inputs!$B$44&gt;0),(((Calc!R15-1)*(Skills!Y15*(1+Inputs!$B$34/100))+MIN((Skills!Y15*(1+Inputs!$B$34/100)),MAX(0,Inputs!$B$44-((Calc!R15-1)*Skills!D15))))/Inputs!$B$44),IF(Inputs!$B$39="pvp",MIN((Skills!Y15*(1+Inputs!$B$34/100)),15)/15,(Skills!Y15*(1+Inputs!$B$34/100))/Skills!D15)))/100)</f>
        <v/>
      </c>
    </row>
    <row r="58">
      <c r="A58" t="inlineStr">
        <is>
          <t>Global Crit Rate Bonus % (Dark Sight Crit Rate, duty-cycle averaged)</t>
        </is>
      </c>
      <c r="B58">
        <f>((Calc!C20=TRUE)*Calc!F20*IF(AND(Inputs!$B$39&lt;&gt;"pvp",Inputs!$B$44&gt;0),(((Calc!R20-1)*(Skills!Y20*(1+Inputs!$B$34/100))+MIN((Skills!Y20*(1+Inputs!$B$34/100)),MAX(0,Inputs!$B$44-((Calc!R20-1)*Skills!D20))))/Inputs!$B$44),IF(Inputs!$B$39="pvp",MIN((Skills!Y20*(1+Inputs!$B$34/100)),15)/15,(Skills!Y20*(1+Inputs!$B$34/100))/Skills!D20)))</f>
        <v/>
      </c>
    </row>
    <row r="59">
      <c r="A59" t="inlineStr">
        <is>
          <t>Global Monster Damage-Taken Bonus % (Venom Lv.82 Weaken, patched 12%-&gt;15%)</t>
        </is>
      </c>
      <c r="B59">
        <f>IF(Inputs!$B$3&gt;=82,15,0)</f>
        <v/>
      </c>
    </row>
    <row r="60">
      <c r="A60" t="inlineStr">
        <is>
          <t>Shadow Partner Average Multiplier</t>
        </is>
      </c>
      <c r="B60">
        <f>1+((Calc!C7=TRUE)*Calc!F7*(1+3.3333333333333335*IF(Calc!C18=TRUE,Calc!F18,0)/100)*Calc!I7*Skills!J7/100)/100</f>
        <v/>
      </c>
    </row>
    <row r="61">
      <c r="A61" t="inlineStr">
        <is>
          <t>Attack Speed Buff Bonus % (Nimble Feet, averaged + Steal, always-on)</t>
        </is>
      </c>
      <c r="B61">
        <f>((Calc!C19=TRUE)*Calc!F19*IF(AND(Inputs!$B$39&lt;&gt;"pvp",Inputs!$B$44&gt;0),(((Calc!R19-1)*(Skills!Y19*(1+Inputs!$B$34/100))+MIN((Skills!Y19*(1+Inputs!$B$34/100)),MAX(0,Inputs!$B$44-((Calc!R19-1)*Skills!D19))))/Inputs!$B$44),IF(Inputs!$B$39="pvp",MIN((Skills!Y19*(1+Inputs!$B$34/100)),15)/15,(Skills!Y19*(1+Inputs!$B$34/100))/Skills!D19)))+((Calc!C3=TRUE)*Calc!F3*3)</f>
        <v/>
      </c>
    </row>
    <row r="62">
      <c r="A62" t="inlineStr">
        <is>
          <t>Actions Per Second</t>
        </is>
      </c>
      <c r="B62">
        <f>1+MIN(150,150*(1-(1-Inputs!$B$11/150)*(1-B61/150)))/100</f>
        <v/>
      </c>
    </row>
    <row r="63">
      <c r="A63" t="inlineStr">
        <is>
          <t>Skill + Buff Cast Rate (subtracted from Cruel Stab, 1/s)</t>
        </is>
      </c>
      <c r="B63">
        <f>IF(AND(Inputs!$B$39&lt;&gt;"pvp",Inputs!$B$44&gt;0),SUMPRODUCT((Skills!E2:E30=TRUE)*(Calc!C2:C30=TRUE)*Calc!R2:R30*Skills!F2:F30)/Inputs!$B$44,SUMPRODUCT((Skills!E2:E30=TRUE)*(Calc!C2:C30=TRUE)*Calc!Q2:Q30*Skills!F2:F30))</f>
        <v/>
      </c>
    </row>
    <row r="64">
      <c r="A64" t="inlineStr">
        <is>
          <t>Cruel Stab (Basic Attack) Casts Per Second</t>
        </is>
      </c>
      <c r="B64">
        <f>MAX(0,B62-B63)</f>
        <v/>
      </c>
    </row>
    <row r="65">
      <c r="A65" t="inlineStr">
        <is>
          <t>Global Critical Damage Bonus % (Smokescreen Mastery Lv.113, duty-cycle-averaged)</t>
        </is>
      </c>
      <c r="B65">
        <f>IF(Inputs!$B$3&gt;=113,30,0)*IF(AND(Inputs!$B$39&lt;&gt;"pvp",Inputs!$B$44&gt;0),(((Calc!R15-1)*(Skills!Y15*(1+Inputs!$B$34/100))+MIN((Skills!Y15*(1+Inputs!$B$34/100)),MAX(0,Inputs!$B$44-((Calc!R15-1)*Skills!D15))))/Inputs!$B$44),IF(Inputs!$B$39="pvp",MIN((Skills!Y15*(1+Inputs!$B$34/100)),15)/15,(Skills!Y15*(1+Inputs!$B$34/100))/Skills!D15))</f>
        <v/>
      </c>
    </row>
    <row r="66">
      <c r="A66" t="inlineStr">
        <is>
          <t>Meso Explosion — average stack count at cast time (steady-state)</t>
        </is>
      </c>
      <c r="B66">
        <f>MIN(10,0.5*B62*Skills!D4)</f>
        <v/>
      </c>
    </row>
    <row r="67">
      <c r="A67" t="inlineStr">
        <is>
          <t>Blood Money — average stack count at cast time (steady-state)</t>
        </is>
      </c>
      <c r="B67">
        <f>MIN(5,0.25*B62*Skills!D4)</f>
        <v/>
      </c>
    </row>
    <row r="68">
      <c r="A68" t="inlineStr">
        <is>
          <t>Assassinate Murderous Intent Multiplier (Mastery Lv.108, steady-state average)</t>
        </is>
      </c>
      <c r="B68">
        <f>1+IFERROR(MIN(1,(Calc!C14=TRUE)*Calc!Q14*2/Calc!Q11),0)</f>
        <v/>
      </c>
    </row>
    <row r="69">
      <c r="A69" t="inlineStr">
        <is>
          <t>Cruel Stab (Basic Attack) DPS</t>
        </is>
      </c>
      <c r="B69">
        <f>Calc!O2</f>
        <v/>
      </c>
    </row>
    <row r="70">
      <c r="A70" t="inlineStr">
        <is>
          <t>Buff-Casting Startup Delay (s, before first damage-skill cast; fixed-duration only)</t>
        </is>
      </c>
      <c r="B70">
        <f>IF(AND(Inputs!$B$39&lt;&gt;"pvp",Inputs!$B$44&gt;0),SUMPRODUCT((Skills!Y2:Y30&gt;0)*(Skills!E2:E30=TRUE)*(Calc!C2:C30=TRUE))/B62,0)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U1821"/>
  <sheetViews>
    <sheetView workbookViewId="0">
      <pane ySplit="4" topLeftCell="A5" activePane="bottomLeft" state="frozen"/>
      <selection pane="bottomLeft" activeCell="A1" sqref="A1"/>
    </sheetView>
  </sheetViews>
  <sheetFormatPr baseColWidth="8" defaultRowHeight="15"/>
  <cols>
    <col width="40" customWidth="1" min="1" max="1"/>
    <col width="16" customWidth="1" min="2" max="2"/>
    <col width="8" customWidth="1" min="3" max="3"/>
    <col width="14" customWidth="1" min="4" max="4"/>
    <col width="14" customWidth="1" min="5" max="5"/>
    <col width="16" customWidth="1" min="6" max="6"/>
    <col width="14" customWidth="1" min="7" max="7"/>
    <col width="12" customWidth="1" min="8" max="8"/>
    <col width="10" customWidth="1" min="9" max="9"/>
  </cols>
  <sheetData>
    <row r="1">
      <c r="A1" s="4" t="inlineStr">
        <is>
          <t>Marginal DPS per +1 (percentage point / skill level / flat point)</t>
        </is>
      </c>
    </row>
    <row r="2">
      <c r="A2" t="inlineStr">
        <is>
          <t>Attack Speed and Def Pen combine their +1 via the diminishing-returns formula (new = (1-(1-old/factor)*(1-1/factor))*factor), not a flat add.</t>
        </is>
      </c>
    </row>
    <row r="4">
      <c r="A4" s="9" t="inlineStr">
        <is>
          <t>Stat</t>
        </is>
      </c>
      <c r="B4" s="9" t="inlineStr">
        <is>
          <t>Units per +1% DPS</t>
        </is>
      </c>
      <c r="C4" s="9" t="inlineStr">
        <is>
          <t>Type</t>
        </is>
      </c>
      <c r="D4" s="9" t="inlineStr">
        <is>
          <t>Current Value</t>
        </is>
      </c>
      <c r="E4" s="9" t="inlineStr">
        <is>
          <t>New Value</t>
        </is>
      </c>
      <c r="F4" s="9" t="inlineStr">
        <is>
          <t>Baseline Total DPS</t>
        </is>
      </c>
      <c r="G4" s="9" t="inlineStr">
        <is>
          <t>New Total DPS</t>
        </is>
      </c>
      <c r="H4" s="9" t="inlineStr">
        <is>
          <t>DPS Gain</t>
        </is>
      </c>
      <c r="I4" s="9" t="inlineStr">
        <is>
          <t>% Gain</t>
        </is>
      </c>
    </row>
    <row r="5">
      <c r="A5" t="inlineStr">
        <is>
          <t>Flat LUK</t>
        </is>
      </c>
      <c r="B5">
        <f>IFERROR(1/(I5-100),"n/a")</f>
        <v/>
      </c>
      <c r="C5" t="inlineStr">
        <is>
          <t>flat</t>
        </is>
      </c>
      <c r="D5">
        <f>Inputs!$B$12</f>
        <v/>
      </c>
      <c r="E5">
        <f>(Inputs!$B$12+1)</f>
        <v/>
      </c>
      <c r="F5">
        <f>Summary!$B$3</f>
        <v/>
      </c>
      <c r="G5">
        <f>B79</f>
        <v/>
      </c>
      <c r="H5">
        <f>G5-F5</f>
        <v/>
      </c>
      <c r="I5">
        <f>IF(F5=0,0,G5/F5*100)</f>
        <v/>
      </c>
    </row>
    <row r="6">
      <c r="A6" t="inlineStr">
        <is>
          <t>LUK %</t>
        </is>
      </c>
      <c r="B6">
        <f>IFERROR(1/(I6-100),"n/a")</f>
        <v/>
      </c>
      <c r="C6" t="inlineStr">
        <is>
          <t>pct</t>
        </is>
      </c>
      <c r="D6">
        <f>Inputs!$B$13</f>
        <v/>
      </c>
      <c r="E6">
        <f>(Inputs!$B$13+1)</f>
        <v/>
      </c>
      <c r="F6">
        <f>Summary!$B$3</f>
        <v/>
      </c>
      <c r="G6">
        <f>B127</f>
        <v/>
      </c>
      <c r="H6">
        <f>G6-F6</f>
        <v/>
      </c>
      <c r="I6">
        <f>IF(F6=0,0,G6/F6*100)</f>
        <v/>
      </c>
    </row>
    <row r="7">
      <c r="A7" t="inlineStr">
        <is>
          <t>DEX</t>
        </is>
      </c>
      <c r="B7">
        <f>IFERROR(1/(I7-100),"n/a")</f>
        <v/>
      </c>
      <c r="C7" t="inlineStr">
        <is>
          <t>flat</t>
        </is>
      </c>
      <c r="D7">
        <f>Inputs!$B$14</f>
        <v/>
      </c>
      <c r="E7">
        <f>(Inputs!$B$14+1)</f>
        <v/>
      </c>
      <c r="F7">
        <f>Summary!$B$3</f>
        <v/>
      </c>
      <c r="G7">
        <f>B175</f>
        <v/>
      </c>
      <c r="H7">
        <f>G7-F7</f>
        <v/>
      </c>
      <c r="I7">
        <f>IF(F7=0,0,G7/F7*100)</f>
        <v/>
      </c>
    </row>
    <row r="8">
      <c r="A8" t="inlineStr">
        <is>
          <t>DAMAGE %</t>
        </is>
      </c>
      <c r="B8">
        <f>IFERROR(1/(I8-100),"n/a")</f>
        <v/>
      </c>
      <c r="C8" t="inlineStr">
        <is>
          <t>pct</t>
        </is>
      </c>
      <c r="D8">
        <f>Inputs!$B$15</f>
        <v/>
      </c>
      <c r="E8">
        <f>(Inputs!$B$15+1)</f>
        <v/>
      </c>
      <c r="F8">
        <f>Summary!$B$3</f>
        <v/>
      </c>
      <c r="G8">
        <f>B223</f>
        <v/>
      </c>
      <c r="H8">
        <f>G8-F8</f>
        <v/>
      </c>
      <c r="I8">
        <f>IF(F8=0,0,G8/F8*100)</f>
        <v/>
      </c>
    </row>
    <row r="9">
      <c r="A9" t="inlineStr">
        <is>
          <t>DAMAGE_AMP %</t>
        </is>
      </c>
      <c r="B9">
        <f>IFERROR(1/(I9-100),"n/a")</f>
        <v/>
      </c>
      <c r="C9" t="inlineStr">
        <is>
          <t>pct</t>
        </is>
      </c>
      <c r="D9">
        <f>Inputs!$B$16</f>
        <v/>
      </c>
      <c r="E9">
        <f>(Inputs!$B$16+1)</f>
        <v/>
      </c>
      <c r="F9">
        <f>Summary!$B$3</f>
        <v/>
      </c>
      <c r="G9">
        <f>B271</f>
        <v/>
      </c>
      <c r="H9">
        <f>G9-F9</f>
        <v/>
      </c>
      <c r="I9">
        <f>IF(F9=0,0,G9/F9*100)</f>
        <v/>
      </c>
    </row>
    <row r="10">
      <c r="A10" t="inlineStr">
        <is>
          <t>BOSS_DAMAGE %</t>
        </is>
      </c>
      <c r="B10">
        <f>IFERROR(1/(I10-100),"n/a")</f>
        <v/>
      </c>
      <c r="C10" t="inlineStr">
        <is>
          <t>pct</t>
        </is>
      </c>
      <c r="D10">
        <f>Inputs!$B$20</f>
        <v/>
      </c>
      <c r="E10">
        <f>(Inputs!$B$20+1)</f>
        <v/>
      </c>
      <c r="F10">
        <f>Summary!$B$3</f>
        <v/>
      </c>
      <c r="G10">
        <f>B319</f>
        <v/>
      </c>
      <c r="H10">
        <f>G10-F10</f>
        <v/>
      </c>
      <c r="I10">
        <f>IF(F10=0,0,G10/F10*100)</f>
        <v/>
      </c>
    </row>
    <row r="11">
      <c r="A11" t="inlineStr">
        <is>
          <t>NORMAL_DAMAGE %</t>
        </is>
      </c>
      <c r="B11">
        <f>IFERROR(1/(I11-100),"n/a")</f>
        <v/>
      </c>
      <c r="C11" t="inlineStr">
        <is>
          <t>pct</t>
        </is>
      </c>
      <c r="D11">
        <f>Inputs!$B$21</f>
        <v/>
      </c>
      <c r="E11">
        <f>(Inputs!$B$21+1)</f>
        <v/>
      </c>
      <c r="F11">
        <f>Summary!$B$3</f>
        <v/>
      </c>
      <c r="G11">
        <f>B367</f>
        <v/>
      </c>
      <c r="H11">
        <f>G11-F11</f>
        <v/>
      </c>
      <c r="I11">
        <f>IF(F11=0,0,G11/F11*100)</f>
        <v/>
      </c>
    </row>
    <row r="12">
      <c r="A12" t="inlineStr">
        <is>
          <t>FINAL_DAMAGE % (multiplicative source)</t>
        </is>
      </c>
      <c r="B12">
        <f>IFERROR(1/(I12-100),"n/a")</f>
        <v/>
      </c>
      <c r="C12" t="inlineStr">
        <is>
          <t>mult</t>
        </is>
      </c>
      <c r="D12">
        <f>Inputs!$B$24</f>
        <v/>
      </c>
      <c r="E12">
        <f>((((1+Inputs!$B$24/100)*(1.01))-1)*100)</f>
        <v/>
      </c>
      <c r="F12">
        <f>Summary!$B$3</f>
        <v/>
      </c>
      <c r="G12">
        <f>B415</f>
        <v/>
      </c>
      <c r="H12">
        <f>G12-F12</f>
        <v/>
      </c>
      <c r="I12">
        <f>IF(F12=0,0,G12/F12*100)</f>
        <v/>
      </c>
    </row>
    <row r="13">
      <c r="A13" t="inlineStr">
        <is>
          <t>MIN_DAMAGE %</t>
        </is>
      </c>
      <c r="B13">
        <f>IFERROR(1/(I13-100),"n/a")</f>
        <v/>
      </c>
      <c r="C13" t="inlineStr">
        <is>
          <t>pct</t>
        </is>
      </c>
      <c r="D13">
        <f>Inputs!$B$22</f>
        <v/>
      </c>
      <c r="E13">
        <f>(Inputs!$B$22+1)</f>
        <v/>
      </c>
      <c r="F13">
        <f>Summary!$B$3</f>
        <v/>
      </c>
      <c r="G13">
        <f>B463</f>
        <v/>
      </c>
      <c r="H13">
        <f>G13-F13</f>
        <v/>
      </c>
      <c r="I13">
        <f>IF(F13=0,0,G13/F13*100)</f>
        <v/>
      </c>
    </row>
    <row r="14">
      <c r="A14" t="inlineStr">
        <is>
          <t>MAX_DAMAGE %</t>
        </is>
      </c>
      <c r="B14">
        <f>IFERROR(1/(I14-100),"n/a")</f>
        <v/>
      </c>
      <c r="C14" t="inlineStr">
        <is>
          <t>pct</t>
        </is>
      </c>
      <c r="D14">
        <f>Inputs!$B$23</f>
        <v/>
      </c>
      <c r="E14">
        <f>(Inputs!$B$23+1)</f>
        <v/>
      </c>
      <c r="F14">
        <f>Summary!$B$3</f>
        <v/>
      </c>
      <c r="G14">
        <f>B511</f>
        <v/>
      </c>
      <c r="H14">
        <f>G14-F14</f>
        <v/>
      </c>
      <c r="I14">
        <f>IF(F14=0,0,G14/F14*100)</f>
        <v/>
      </c>
    </row>
    <row r="15">
      <c r="A15" t="inlineStr">
        <is>
          <t>CRIT_RATE %</t>
        </is>
      </c>
      <c r="B15">
        <f>IFERROR(1/(I15-100),"n/a")</f>
        <v/>
      </c>
      <c r="C15" t="inlineStr">
        <is>
          <t>pct</t>
        </is>
      </c>
      <c r="D15">
        <f>Inputs!$B$9</f>
        <v/>
      </c>
      <c r="E15">
        <f>(Inputs!$B$9+1)</f>
        <v/>
      </c>
      <c r="F15">
        <f>Summary!$B$3</f>
        <v/>
      </c>
      <c r="G15">
        <f>B559</f>
        <v/>
      </c>
      <c r="H15">
        <f>G15-F15</f>
        <v/>
      </c>
      <c r="I15">
        <f>IF(F15=0,0,G15/F15*100)</f>
        <v/>
      </c>
    </row>
    <row r="16">
      <c r="A16" t="inlineStr">
        <is>
          <t>CRIT_DAMAGE %</t>
        </is>
      </c>
      <c r="B16">
        <f>IFERROR(1/(I16-100),"n/a")</f>
        <v/>
      </c>
      <c r="C16" t="inlineStr">
        <is>
          <t>pct</t>
        </is>
      </c>
      <c r="D16">
        <f>Inputs!$B$10</f>
        <v/>
      </c>
      <c r="E16">
        <f>(Inputs!$B$10+1)</f>
        <v/>
      </c>
      <c r="F16">
        <f>Summary!$B$3</f>
        <v/>
      </c>
      <c r="G16">
        <f>B607</f>
        <v/>
      </c>
      <c r="H16">
        <f>G16-F16</f>
        <v/>
      </c>
      <c r="I16">
        <f>IF(F16=0,0,G16/F16*100)</f>
        <v/>
      </c>
    </row>
    <row r="17">
      <c r="A17" t="inlineStr">
        <is>
          <t>ATTACK_SPEED % (diminishing returns, factor 150)</t>
        </is>
      </c>
      <c r="B17">
        <f>IFERROR(1/(I17-100),"n/a")</f>
        <v/>
      </c>
      <c r="C17" t="inlineStr">
        <is>
          <t>dr150</t>
        </is>
      </c>
      <c r="D17">
        <f>Inputs!$B$11</f>
        <v/>
      </c>
      <c r="E17">
        <f>((1-(1-Inputs!$B$11/150)*(1-1/150))*150)</f>
        <v/>
      </c>
      <c r="F17">
        <f>Summary!$B$3</f>
        <v/>
      </c>
      <c r="G17">
        <f>B655</f>
        <v/>
      </c>
      <c r="H17">
        <f>G17-F17</f>
        <v/>
      </c>
      <c r="I17">
        <f>IF(F17=0,0,G17/F17*100)</f>
        <v/>
      </c>
    </row>
    <row r="18">
      <c r="A18" t="inlineStr">
        <is>
          <t>DEF_PEN % (diminishing returns, factor 100)</t>
        </is>
      </c>
      <c r="B18">
        <f>IFERROR(1/(I18-100),"n/a")</f>
        <v/>
      </c>
      <c r="C18" t="inlineStr">
        <is>
          <t>dr100</t>
        </is>
      </c>
      <c r="D18">
        <f>Inputs!$B$19</f>
        <v/>
      </c>
      <c r="E18">
        <f>((1-(1-Inputs!$B$19/100)*(1-1/100))*100)</f>
        <v/>
      </c>
      <c r="F18">
        <f>Summary!$B$3</f>
        <v/>
      </c>
      <c r="G18">
        <f>B703</f>
        <v/>
      </c>
      <c r="H18">
        <f>G18-F18</f>
        <v/>
      </c>
      <c r="I18">
        <f>IF(F18=0,0,G18/F18*100)</f>
        <v/>
      </c>
    </row>
    <row r="19">
      <c r="A19" t="inlineStr">
        <is>
          <t>BASIC_ATTACK_DAMAGE %</t>
        </is>
      </c>
      <c r="B19">
        <f>IFERROR(1/(I19-100),"n/a")</f>
        <v/>
      </c>
      <c r="C19" t="inlineStr">
        <is>
          <t>pct</t>
        </is>
      </c>
      <c r="D19">
        <f>Inputs!$B$17</f>
        <v/>
      </c>
      <c r="E19">
        <f>(Inputs!$B$17+1)</f>
        <v/>
      </c>
      <c r="F19">
        <f>Summary!$B$3</f>
        <v/>
      </c>
      <c r="G19">
        <f>B751</f>
        <v/>
      </c>
      <c r="H19">
        <f>G19-F19</f>
        <v/>
      </c>
      <c r="I19">
        <f>IF(F19=0,0,G19/F19*100)</f>
        <v/>
      </c>
    </row>
    <row r="20">
      <c r="A20" t="inlineStr">
        <is>
          <t>SKILL_DAMAGE %</t>
        </is>
      </c>
      <c r="B20">
        <f>IFERROR(1/(I20-100),"n/a")</f>
        <v/>
      </c>
      <c r="C20" t="inlineStr">
        <is>
          <t>pct</t>
        </is>
      </c>
      <c r="D20">
        <f>Inputs!$B$18</f>
        <v/>
      </c>
      <c r="E20">
        <f>(Inputs!$B$18+1)</f>
        <v/>
      </c>
      <c r="F20">
        <f>Summary!$B$3</f>
        <v/>
      </c>
      <c r="G20">
        <f>B799</f>
        <v/>
      </c>
      <c r="H20">
        <f>G20-F20</f>
        <v/>
      </c>
      <c r="I20">
        <f>IF(F20=0,0,G20/F20*100)</f>
        <v/>
      </c>
    </row>
    <row r="21">
      <c r="A21" t="inlineStr">
        <is>
          <t>Skill Level Bonus — 1st Job</t>
        </is>
      </c>
      <c r="B21">
        <f>IFERROR(1/(I21-100),"n/a")</f>
        <v/>
      </c>
      <c r="C21" t="inlineStr">
        <is>
          <t>level</t>
        </is>
      </c>
      <c r="D21">
        <f>Inputs!$B$25</f>
        <v/>
      </c>
      <c r="E21">
        <f>(Inputs!$B$25+1)</f>
        <v/>
      </c>
      <c r="F21">
        <f>Summary!$B$3</f>
        <v/>
      </c>
      <c r="G21">
        <f>B847</f>
        <v/>
      </c>
      <c r="H21">
        <f>G21-F21</f>
        <v/>
      </c>
      <c r="I21">
        <f>IF(F21=0,0,G21/F21*100)</f>
        <v/>
      </c>
    </row>
    <row r="22">
      <c r="A22" t="inlineStr">
        <is>
          <t>Skill Level Bonus — 2nd Job</t>
        </is>
      </c>
      <c r="B22">
        <f>IFERROR(1/(I22-100),"n/a")</f>
        <v/>
      </c>
      <c r="C22" t="inlineStr">
        <is>
          <t>level</t>
        </is>
      </c>
      <c r="D22">
        <f>Inputs!$B$26</f>
        <v/>
      </c>
      <c r="E22">
        <f>(Inputs!$B$26+1)</f>
        <v/>
      </c>
      <c r="F22">
        <f>Summary!$B$3</f>
        <v/>
      </c>
      <c r="G22">
        <f>B895</f>
        <v/>
      </c>
      <c r="H22">
        <f>G22-F22</f>
        <v/>
      </c>
      <c r="I22">
        <f>IF(F22=0,0,G22/F22*100)</f>
        <v/>
      </c>
    </row>
    <row r="23">
      <c r="A23" t="inlineStr">
        <is>
          <t>Skill Level Bonus — 3rd Job</t>
        </is>
      </c>
      <c r="B23">
        <f>IFERROR(1/(I23-100),"n/a")</f>
        <v/>
      </c>
      <c r="C23" t="inlineStr">
        <is>
          <t>level</t>
        </is>
      </c>
      <c r="D23">
        <f>Inputs!$B$27</f>
        <v/>
      </c>
      <c r="E23">
        <f>(Inputs!$B$27+1)</f>
        <v/>
      </c>
      <c r="F23">
        <f>Summary!$B$3</f>
        <v/>
      </c>
      <c r="G23">
        <f>B943</f>
        <v/>
      </c>
      <c r="H23">
        <f>G23-F23</f>
        <v/>
      </c>
      <c r="I23">
        <f>IF(F23=0,0,G23/F23*100)</f>
        <v/>
      </c>
    </row>
    <row r="24">
      <c r="A24" t="inlineStr">
        <is>
          <t>Skill Level Bonus — 4th Job</t>
        </is>
      </c>
      <c r="B24">
        <f>IFERROR(1/(I24-100),"n/a")</f>
        <v/>
      </c>
      <c r="C24" t="inlineStr">
        <is>
          <t>level</t>
        </is>
      </c>
      <c r="D24">
        <f>Inputs!$B$28</f>
        <v/>
      </c>
      <c r="E24">
        <f>(Inputs!$B$28+1)</f>
        <v/>
      </c>
      <c r="F24">
        <f>Summary!$B$3</f>
        <v/>
      </c>
      <c r="G24">
        <f>B991</f>
        <v/>
      </c>
      <c r="H24">
        <f>G24-F24</f>
        <v/>
      </c>
      <c r="I24">
        <f>IF(F24=0,0,G24/F24*100)</f>
        <v/>
      </c>
    </row>
    <row r="25">
      <c r="A25" t="inlineStr">
        <is>
          <t>Skill Level Bonus — All Skills</t>
        </is>
      </c>
      <c r="B25">
        <f>IFERROR(1/(I25-100),"n/a")</f>
        <v/>
      </c>
      <c r="C25" t="inlineStr">
        <is>
          <t>level</t>
        </is>
      </c>
      <c r="D25">
        <f>Inputs!$B$29</f>
        <v/>
      </c>
      <c r="E25">
        <f>(Inputs!$B$29+1)</f>
        <v/>
      </c>
      <c r="F25">
        <f>Summary!$B$3</f>
        <v/>
      </c>
      <c r="G25">
        <f>B1039</f>
        <v/>
      </c>
      <c r="H25">
        <f>G25-F25</f>
        <v/>
      </c>
      <c r="I25">
        <f>IF(F25=0,0,G25/F25*100)</f>
        <v/>
      </c>
    </row>
    <row r="26">
      <c r="A26" t="inlineStr">
        <is>
          <t>Flat ATTACK</t>
        </is>
      </c>
      <c r="B26">
        <f>IFERROR(1/(I26-100),"n/a")</f>
        <v/>
      </c>
      <c r="C26" t="inlineStr">
        <is>
          <t>flat</t>
        </is>
      </c>
      <c r="D26">
        <f>Inputs!$B$6</f>
        <v/>
      </c>
      <c r="E26">
        <f>(Inputs!$B$6+1)</f>
        <v/>
      </c>
      <c r="F26">
        <f>Summary!$B$3</f>
        <v/>
      </c>
      <c r="G26">
        <f>B1087</f>
        <v/>
      </c>
      <c r="H26">
        <f>G26-F26</f>
        <v/>
      </c>
      <c r="I26">
        <f>IF(F26=0,0,G26/F26*100)</f>
        <v/>
      </c>
    </row>
    <row r="27">
      <c r="A27" t="inlineStr">
        <is>
          <t>ATTACK %</t>
        </is>
      </c>
      <c r="B27">
        <f>IFERROR(1/(I27-100),"n/a")</f>
        <v/>
      </c>
      <c r="C27" t="inlineStr">
        <is>
          <t>pct</t>
        </is>
      </c>
      <c r="D27">
        <f>Inputs!$B$7</f>
        <v/>
      </c>
      <c r="E27">
        <f>(Inputs!$B$7+1)</f>
        <v/>
      </c>
      <c r="F27">
        <f>Summary!$B$3</f>
        <v/>
      </c>
      <c r="G27">
        <f>B1135</f>
        <v/>
      </c>
      <c r="H27">
        <f>G27-F27</f>
        <v/>
      </c>
      <c r="I27">
        <f>IF(F27=0,0,G27/F27*100)</f>
        <v/>
      </c>
    </row>
    <row r="28">
      <c r="A28" t="inlineStr">
        <is>
          <t>Skill Cooldown Decrease (seconds)</t>
        </is>
      </c>
      <c r="B28">
        <f>IFERROR(1/(I28-100),"n/a")</f>
        <v/>
      </c>
      <c r="C28" t="inlineStr">
        <is>
          <t>flat</t>
        </is>
      </c>
      <c r="D28">
        <f>Inputs!$B$32</f>
        <v/>
      </c>
      <c r="E28">
        <f>(Inputs!$B$32+1)</f>
        <v/>
      </c>
      <c r="F28">
        <f>Summary!$B$3</f>
        <v/>
      </c>
      <c r="G28">
        <f>B1183</f>
        <v/>
      </c>
      <c r="H28">
        <f>G28-F28</f>
        <v/>
      </c>
      <c r="I28">
        <f>IF(F28=0,0,G28/F28*100)</f>
        <v/>
      </c>
    </row>
    <row r="29">
      <c r="A29" t="inlineStr">
        <is>
          <t>Basic Attack Target Increase (flat)</t>
        </is>
      </c>
      <c r="B29">
        <f>IFERROR(1/(I29-100),"n/a")</f>
        <v/>
      </c>
      <c r="C29" t="inlineStr">
        <is>
          <t>flat</t>
        </is>
      </c>
      <c r="D29">
        <f>Inputs!$B$33</f>
        <v/>
      </c>
      <c r="E29">
        <f>(Inputs!$B$33+1)</f>
        <v/>
      </c>
      <c r="F29">
        <f>Summary!$B$3</f>
        <v/>
      </c>
      <c r="G29">
        <f>B1231</f>
        <v/>
      </c>
      <c r="H29">
        <f>G29-F29</f>
        <v/>
      </c>
      <c r="I29">
        <f>IF(F29=0,0,G29/F29*100)</f>
        <v/>
      </c>
    </row>
    <row r="30">
      <c r="A30" t="inlineStr">
        <is>
          <t>Buff Duration Increase %</t>
        </is>
      </c>
      <c r="B30">
        <f>IFERROR(1/(I30-100),"n/a")</f>
        <v/>
      </c>
      <c r="C30" t="inlineStr">
        <is>
          <t>pct</t>
        </is>
      </c>
      <c r="D30">
        <f>Inputs!$B$34</f>
        <v/>
      </c>
      <c r="E30">
        <f>(Inputs!$B$34+1)</f>
        <v/>
      </c>
      <c r="F30">
        <f>Summary!$B$3</f>
        <v/>
      </c>
      <c r="G30">
        <f>B1279</f>
        <v/>
      </c>
      <c r="H30">
        <f>G30-F30</f>
        <v/>
      </c>
      <c r="I30">
        <f>IF(F30=0,0,G30/F30*100)</f>
        <v/>
      </c>
    </row>
    <row r="31">
      <c r="A31" t="inlineStr">
        <is>
          <t>Incoming Hit Rate (hits/sec, Shadow Shifter only)</t>
        </is>
      </c>
      <c r="B31">
        <f>IFERROR(1/(I31-100),"n/a")</f>
        <v/>
      </c>
      <c r="C31" t="inlineStr">
        <is>
          <t>flat</t>
        </is>
      </c>
      <c r="D31">
        <f>Inputs!$B$38</f>
        <v/>
      </c>
      <c r="E31">
        <f>(Inputs!$B$38+1)</f>
        <v/>
      </c>
      <c r="F31">
        <f>Summary!$B$3</f>
        <v/>
      </c>
      <c r="G31">
        <f>B1327</f>
        <v/>
      </c>
      <c r="H31">
        <f>G31-F31</f>
        <v/>
      </c>
      <c r="I31">
        <f>IF(F31=0,0,G31/F31*100)</f>
        <v/>
      </c>
    </row>
    <row r="34">
      <c r="A34" s="5" t="inlineStr">
        <is>
          <t>Stat: Flat LUK</t>
        </is>
      </c>
    </row>
    <row r="35">
      <c r="A35" s="9" t="inlineStr">
        <is>
          <t>Key</t>
        </is>
      </c>
      <c r="B35" s="9" t="inlineStr">
        <is>
          <t>Name</t>
        </is>
      </c>
      <c r="C35" s="9" t="inlineStr">
        <is>
          <t>Unlocked</t>
        </is>
      </c>
      <c r="D35" s="9" t="inlineStr">
        <is>
          <t>InputLevel</t>
        </is>
      </c>
      <c r="E35" s="9" t="inlineStr">
        <is>
          <t>Factor</t>
        </is>
      </c>
      <c r="F35" s="9" t="inlineStr">
        <is>
          <t>CoefficientPercent</t>
        </is>
      </c>
      <c r="G35" s="9" t="inlineStr">
        <is>
          <t>EffectiveHits</t>
        </is>
      </c>
      <c r="H35" s="9" t="inlineStr">
        <is>
          <t>ProcProbability</t>
        </is>
      </c>
      <c r="I35" s="9" t="inlineStr">
        <is>
          <t>MapleHeroMultiplier</t>
        </is>
      </c>
      <c r="J35" s="9" t="inlineStr">
        <is>
          <t>BaseDamage</t>
        </is>
      </c>
      <c r="K35" s="9" t="inlineStr">
        <is>
          <t>BaseHitDamage</t>
        </is>
      </c>
      <c r="L35" s="9" t="inlineStr">
        <is>
          <t>NonCritAvg</t>
        </is>
      </c>
      <c r="M35" s="9" t="inlineStr">
        <is>
          <t>CritAvg</t>
        </is>
      </c>
      <c r="N35" s="9" t="inlineStr">
        <is>
          <t>ExpectedDamage(perHit)</t>
        </is>
      </c>
      <c r="O35" s="9" t="inlineStr">
        <is>
          <t>DPS</t>
        </is>
      </c>
      <c r="P35" s="9" t="inlineStr">
        <is>
          <t>% of Total</t>
        </is>
      </c>
      <c r="Q35" s="9" t="inlineStr">
        <is>
          <t>InvCooldown</t>
        </is>
      </c>
      <c r="R35" s="9" t="inlineStr">
        <is>
          <t>CastsInFight</t>
        </is>
      </c>
      <c r="S35" s="9" t="inlineStr">
        <is>
          <t>HitRate(perSec)</t>
        </is>
      </c>
      <c r="U35" t="inlineStr">
        <is>
          <t>helpers</t>
        </is>
      </c>
    </row>
    <row r="36">
      <c r="A36">
        <f>Skills!A2</f>
        <v/>
      </c>
      <c r="B36">
        <f>Skills!B2</f>
        <v/>
      </c>
      <c r="C36">
        <f>Inputs!$B$3&gt;=100</f>
        <v/>
      </c>
      <c r="D36" t="inlineStr"/>
      <c r="E36" t="inlineStr"/>
      <c r="F36">
        <f>U38+Skills!O2</f>
        <v/>
      </c>
      <c r="G36">
        <f>Skills!G2*IF(Skills!H2&gt;0,Skills!I2/Skills!H2,1)</f>
        <v/>
      </c>
      <c r="H36">
        <f>1-(1-Skills!J2/100)^Skills!K2</f>
        <v/>
      </c>
      <c r="I36" t="inlineStr">
        <is>
          <t>1</t>
        </is>
      </c>
      <c r="J36">
        <f>((Inputs!$B$6*(1+Inputs!$B$7/100))+((((Inputs!$B$12+1)*(1+Inputs!$B$13/100))-(Inputs!$B$12*(1+Inputs!$B$13/100)))+0.25*(Inputs!$B$14-Inputs!$B$14))*(1+Inputs!$B$7/100))*(F36/100)</f>
        <v/>
      </c>
      <c r="K36">
        <f>J36*(1+(((Inputs!$B$12+1)*(1+Inputs!$B$13/100))*0.01+Inputs!$B$14*0.0025)/100)*(1+Inputs!$B$15/100)*(1+IF(Inputs!$B$39="pvp",0,(1-Summary!$B$55)*(Inputs!$B$20+0+Skills!P2+B68)+Summary!$B$55*(Inputs!$B$21+Skills!Q2+B68))/100)*(1+Inputs!$B$16/100)*(5000/(6000+Inputs!$B$43*(1-Inputs!$B$19/100)))*(1+(Inputs!$B$24+((C64=TRUE)*(F64-Calc!F30)))/100)*(1+(IF(Skills!A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36)</f>
        <v/>
      </c>
      <c r="L36">
        <f>K36*(MIN(Inputs!$B$22+((C58=TRUE)*(F58-Calc!F24)),Inputs!$B$23+((C63=TRUE)*(F63-Calc!F29)))/100+(Inputs!$B$23+((C63=TRUE)*(F63-Calc!F29)))/100)/2</f>
        <v/>
      </c>
      <c r="M36">
        <f>L36*(1+(Inputs!$B$10+((C60=TRUE)*(F60-Calc!F26))+B74)/100)</f>
        <v/>
      </c>
      <c r="N36">
        <f>L36*(1-MIN((Inputs!$B$9+((C59=TRUE)*(F59-Calc!F25))+B67),100)/100)+M36*(MIN((Inputs!$B$9+((C59=TRUE)*(F59-Calc!F25))+B67),100)/100)</f>
        <v/>
      </c>
      <c r="O36">
        <f>IF(C36,Skills!G2*N36*B73*IF(Inputs!$B$39="pvp",1,(1-Summary!$B$55)*(1)+Summary!$B$55*(MIN((6+Inputs!$B$33),Inputs!$B$37))),0)</f>
        <v/>
      </c>
      <c r="P36">
        <f>IF(B79=0,0,O36/B79)</f>
        <v/>
      </c>
      <c r="Q36" t="n">
        <v>0</v>
      </c>
      <c r="R36" t="n">
        <v>0</v>
      </c>
      <c r="S36">
        <f>IFERROR(O36/N36,0)</f>
        <v/>
      </c>
      <c r="U36">
        <f>MAX(0,(Inputs!$B$3-100)*3)+Inputs!$B$28+Inputs!$B$29</f>
        <v/>
      </c>
    </row>
    <row r="37">
      <c r="A37">
        <f>Skills!A3</f>
        <v/>
      </c>
      <c r="B37">
        <f>Skills!B3</f>
        <v/>
      </c>
      <c r="C37">
        <f>Inputs!$B$3&gt;=35</f>
        <v/>
      </c>
      <c r="D37">
        <f>IF(Skills!C3=1,60+Inputs!$B$25+Inputs!$B$29,IF(Skills!C3=2,90+Inputs!$B$26+Inputs!$B$29,IF(Skills!C3=3,120+Inputs!$B$27+Inputs!$B$29,MAX(0,(Inputs!$B$3-100)*3)+Inputs!$B$28+Inputs!$B$29)))</f>
        <v/>
      </c>
      <c r="E37">
        <f>INDEX(FactorTable!$B$2:$Y$301, MATCH(ROUND(MIN(300,MAX(1,D37)),0), FactorTable!$A$2:$A$301,0), Skills!M3+1)</f>
        <v/>
      </c>
      <c r="F37">
        <f>IF(Skills!N3=TRUE,(Skills!L3/10)*(E37/1000),Skills!L3/10)+Skills!O3</f>
        <v/>
      </c>
      <c r="G37">
        <f>Skills!G3*IF(Skills!H3&gt;0,Skills!I3/Skills!H3,1)</f>
        <v/>
      </c>
      <c r="H37">
        <f>1-(1-Skills!J3/100)^Skills!K3</f>
        <v/>
      </c>
      <c r="I37" t="inlineStr">
        <is>
          <t>1</t>
        </is>
      </c>
      <c r="J37" t="inlineStr"/>
      <c r="K37" t="inlineStr"/>
      <c r="L37" t="inlineStr"/>
      <c r="M37" t="inlineStr"/>
      <c r="N37" t="inlineStr"/>
      <c r="O37" t="n">
        <v>0</v>
      </c>
      <c r="P37">
        <f>IF(B79=0,0,O37/B79)</f>
        <v/>
      </c>
      <c r="Q37" t="n">
        <v>0</v>
      </c>
      <c r="R37" t="n">
        <v>0</v>
      </c>
      <c r="S37">
        <f>IFERROR(O37/N37,0)</f>
        <v/>
      </c>
      <c r="U37">
        <f>INDEX(FactorTable!$B$2:$Y$301, MATCH(ROUND(MIN(300,MAX(1,U36)),0), FactorTable!$A$2:$A$301,0), 22)</f>
        <v/>
      </c>
    </row>
    <row r="38">
      <c r="A38">
        <f>Skills!A4</f>
        <v/>
      </c>
      <c r="B38">
        <f>Skills!B4</f>
        <v/>
      </c>
      <c r="C38">
        <f>Inputs!$B$3&gt;=66</f>
        <v/>
      </c>
      <c r="D38">
        <f>IF(Skills!C4=1,60+Inputs!$B$25+Inputs!$B$29,IF(Skills!C4=2,90+Inputs!$B$26+Inputs!$B$29,IF(Skills!C4=3,120+Inputs!$B$27+Inputs!$B$29,MAX(0,(Inputs!$B$3-100)*3)+Inputs!$B$28+Inputs!$B$29)))</f>
        <v/>
      </c>
      <c r="E38">
        <f>INDEX(FactorTable!$B$2:$Y$301, MATCH(ROUND(MIN(300,MAX(1,D38)),0), FactorTable!$A$2:$A$301,0), Skills!M4+1)</f>
        <v/>
      </c>
      <c r="F38">
        <f>IF(Skills!N4=TRUE,(Skills!L4/10)*(E38/1000),Skills!L4/10)+Skills!O4</f>
        <v/>
      </c>
      <c r="G38">
        <f>Skills!G4*IF(Skills!H4&gt;0,Skills!I4/Skills!H4,1)</f>
        <v/>
      </c>
      <c r="H38">
        <f>1-(1-Skills!J4/100)^Skills!K4</f>
        <v/>
      </c>
      <c r="I38" t="inlineStr">
        <is>
          <t>1</t>
        </is>
      </c>
      <c r="J38">
        <f>((Inputs!$B$6*(1+Inputs!$B$7/100))+((((Inputs!$B$12+1)*(1+Inputs!$B$13/100))-(Inputs!$B$12*(1+Inputs!$B$13/100)))+0.25*(Inputs!$B$14-Inputs!$B$14))*(1+Inputs!$B$7/100))*(F38/100)</f>
        <v/>
      </c>
      <c r="K38">
        <f>J38*(1+(((Inputs!$B$12+1)*(1+Inputs!$B$13/100))*0.01+Inputs!$B$14*0.0025)/100)*(1+Inputs!$B$15/100)*(1+IF(Inputs!$B$39="pvp",0,(1-Summary!$B$55)*(Inputs!$B$20+0+Skills!P4+B68)+Summary!$B$55*(Inputs!$B$21+Skills!Q4+B68))/100)*(1+Inputs!$B$16/100)*(5000/(6000+Inputs!$B$43*(1-Inputs!$B$19/100)))*(1+(Inputs!$B$24+((C64=TRUE)*(F64-Calc!F30)))/100)*(1+(IF(Skills!A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38)</f>
        <v/>
      </c>
      <c r="L38">
        <f>K38*(MIN(Inputs!$B$22+((C58=TRUE)*(F58-Calc!F24)),Inputs!$B$23+((C63=TRUE)*(F63-Calc!F29)))/100+(Inputs!$B$23+((C63=TRUE)*(F63-Calc!F29)))/100)/2</f>
        <v/>
      </c>
      <c r="M38">
        <f>L38*(1+(Inputs!$B$10+((C60=TRUE)*(F60-Calc!F26))+B74)/100)</f>
        <v/>
      </c>
      <c r="N38">
        <f>L38*(1-MIN((Inputs!$B$9+((C59=TRUE)*(F59-Calc!F25))+B67),100)/100)+M38*(MIN((Inputs!$B$9+((C59=TRUE)*(F59-Calc!F25))+B67),100)/100)</f>
        <v/>
      </c>
      <c r="O38">
        <f>IF(C38,H38*N38*IF(AND(Inputs!$B$39&lt;&gt;"pvp",Inputs!$B$44&gt;0),((Skills!G4*((R38-1)*IF(Skills!H4&gt;0,Skills!I4/Skills!H4,1)+IF(Skills!H4&gt;0,MIN(Skills!I4,MAX(0,MAX(0,Inputs!$B$44-B78)-((R38-1)*IF(Inputs!$B$39="pvp",15,MAX(0.1,Skills!D4-IF(Skills!E4=TRUE,Inputs!$B$32,0))))))/Skills!H4,1)))/Inputs!$B$44),G38*Q38)*IF(Inputs!$B$39="pvp",1,(1-Summary!$B$55)*(1)+Summary!$B$55*(MIN(MIN(10,0.5*B71*Skills!D4),Inputs!$B$37))),0)</f>
        <v/>
      </c>
      <c r="P38">
        <f>IF(B79=0,0,O38/B79)</f>
        <v/>
      </c>
      <c r="Q38">
        <f>IFERROR(1/IF(Inputs!$B$39="pvp",15,MAX(0.1,Skills!D4-IF(Skills!E4=TRUE,Inputs!$B$32,0))),0)</f>
        <v/>
      </c>
      <c r="R38">
        <f>IF(AND(Inputs!$B$39&lt;&gt;"pvp",Inputs!$B$44&gt;0),IF(MAX(0,Inputs!$B$44-B78)&lt;=0,0,(INT(MAX(0,Inputs!$B$44-B78)/IF(Inputs!$B$39="pvp",15,MAX(0.1,Skills!D4-IF(Skills!E4=TRUE,Inputs!$B$32,0))))+1)),0)</f>
        <v/>
      </c>
      <c r="S38">
        <f>IFERROR(O38/N38,0)</f>
        <v/>
      </c>
      <c r="U38">
        <f>290*U37/1000</f>
        <v/>
      </c>
    </row>
    <row r="39">
      <c r="A39">
        <f>Skills!A5</f>
        <v/>
      </c>
      <c r="B39">
        <f>Skills!B5</f>
        <v/>
      </c>
      <c r="C39">
        <f>Inputs!$B$3&gt;=63</f>
        <v/>
      </c>
      <c r="D39">
        <f>IF(Skills!C5=1,60+Inputs!$B$25+Inputs!$B$29,IF(Skills!C5=2,90+Inputs!$B$26+Inputs!$B$29,IF(Skills!C5=3,120+Inputs!$B$27+Inputs!$B$29,MAX(0,(Inputs!$B$3-100)*3)+Inputs!$B$28+Inputs!$B$29)))</f>
        <v/>
      </c>
      <c r="E39">
        <f>INDEX(FactorTable!$B$2:$Y$301, MATCH(ROUND(MIN(300,MAX(1,D39)),0), FactorTable!$A$2:$A$301,0), Skills!M5+1)</f>
        <v/>
      </c>
      <c r="F39">
        <f>IF(Skills!N5=TRUE,(Skills!L5/10)*(E39/1000),Skills!L5/10)+Skills!O5</f>
        <v/>
      </c>
      <c r="G39">
        <f>Skills!G5*IF(Skills!H5&gt;0,Skills!I5/Skills!H5,1)</f>
        <v/>
      </c>
      <c r="H39">
        <f>1-(1-Skills!J5/100)^Skills!K5</f>
        <v/>
      </c>
      <c r="I39" t="inlineStr">
        <is>
          <t>1</t>
        </is>
      </c>
      <c r="J39">
        <f>((Inputs!$B$6*(1+Inputs!$B$7/100))+((((Inputs!$B$12+1)*(1+Inputs!$B$13/100))-(Inputs!$B$12*(1+Inputs!$B$13/100)))+0.25*(Inputs!$B$14-Inputs!$B$14))*(1+Inputs!$B$7/100))*(F39/100)</f>
        <v/>
      </c>
      <c r="K39">
        <f>J39*(1+(((Inputs!$B$12+1)*(1+Inputs!$B$13/100))*0.01+Inputs!$B$14*0.0025)/100)*(1+Inputs!$B$15/100)*(1+IF(Inputs!$B$39="pvp",0,(1-Summary!$B$55)*(Inputs!$B$20+0+Skills!P5+B68)+Summary!$B$55*(Inputs!$B$21+Skills!Q5+B68))/100)*(1+Inputs!$B$16/100)*(5000/(6000+Inputs!$B$43*(1-Inputs!$B$19/100)))*(1+(Inputs!$B$24+((C64=TRUE)*(F64-Calc!F30)))/100)*(1+2.6666666666666665*IF(C52=TRUE,F52,0)/100)*(1+(IF(Skills!A5="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39)</f>
        <v/>
      </c>
      <c r="L39">
        <f>K39*(MIN(Inputs!$B$22+((C58=TRUE)*(F58-Calc!F24)),Inputs!$B$23+((C63=TRUE)*(F63-Calc!F29)))/100+(Inputs!$B$23+((C63=TRUE)*(F63-Calc!F29)))/100)/2</f>
        <v/>
      </c>
      <c r="M39">
        <f>L39*(1+(Inputs!$B$10+((C60=TRUE)*(F60-Calc!F26))+B74)/100)</f>
        <v/>
      </c>
      <c r="N39">
        <f>L39*(1-MIN((Inputs!$B$9+((C59=TRUE)*(F59-Calc!F25))+B67),100)/100)+M39*(MIN((Inputs!$B$9+((C59=TRUE)*(F59-Calc!F25))+B67),100)/100)</f>
        <v/>
      </c>
      <c r="O39">
        <f>IF(C39,H39*N39*IF(AND(Inputs!$B$39&lt;&gt;"pvp",Inputs!$B$44&gt;0),((Skills!G5*((R39-1)*IF(Skills!H5&gt;0,Skills!I5/Skills!H5,1)+IF(Skills!H5&gt;0,MIN(Skills!I5,MAX(0,MAX(0,Inputs!$B$44-B78)-((R39-1)*IF(Inputs!$B$39="pvp",15,MAX(0.1,Skills!D5-IF(Skills!E5=TRUE,Inputs!$B$32,0))))))/Skills!H5,1)))/Inputs!$B$44),G39*Q39)*IF(Inputs!$B$39="pvp",1,(1-Summary!$B$55)*(1)+Summary!$B$55*(MIN(Skills!W5,Inputs!$B$37))),0)</f>
        <v/>
      </c>
      <c r="P39">
        <f>IF(B79=0,0,O39/B79)</f>
        <v/>
      </c>
      <c r="Q39">
        <f>IFERROR(1/IF(Inputs!$B$39="pvp",15,MAX(0.1,Skills!D5-IF(Skills!E5=TRUE,Inputs!$B$32,0))),0)</f>
        <v/>
      </c>
      <c r="R39">
        <f>IF(AND(Inputs!$B$39&lt;&gt;"pvp",Inputs!$B$44&gt;0),IF(MAX(0,Inputs!$B$44-B78)&lt;=0,0,(INT(MAX(0,Inputs!$B$44-B78)/IF(Inputs!$B$39="pvp",15,MAX(0.1,Skills!D5-IF(Skills!E5=TRUE,Inputs!$B$32,0))))+1)),0)</f>
        <v/>
      </c>
      <c r="S39">
        <f>IFERROR(O39/N39,0)</f>
        <v/>
      </c>
    </row>
    <row r="40">
      <c r="A40">
        <f>Skills!A6</f>
        <v/>
      </c>
      <c r="B40">
        <f>Skills!B6</f>
        <v/>
      </c>
      <c r="C40">
        <f>Inputs!$B$3&gt;=69</f>
        <v/>
      </c>
      <c r="D40">
        <f>IF(Skills!C6=1,60+Inputs!$B$25+Inputs!$B$29,IF(Skills!C6=2,90+Inputs!$B$26+Inputs!$B$29,IF(Skills!C6=3,120+Inputs!$B$27+Inputs!$B$29,MAX(0,(Inputs!$B$3-100)*3)+Inputs!$B$28+Inputs!$B$29)))</f>
        <v/>
      </c>
      <c r="E40">
        <f>INDEX(FactorTable!$B$2:$Y$301, MATCH(ROUND(MIN(300,MAX(1,D40)),0), FactorTable!$A$2:$A$301,0), Skills!M6+1)</f>
        <v/>
      </c>
      <c r="F40">
        <f>IF(Skills!N6=TRUE,(Skills!L6/10)*(E40/1000),Skills!L6/10)+Skills!O6</f>
        <v/>
      </c>
      <c r="G40">
        <f>Skills!G6*IF(Skills!H6&gt;0,Skills!I6/Skills!H6,1)</f>
        <v/>
      </c>
      <c r="H40">
        <f>1-(1-Skills!J6/100)^Skills!K6</f>
        <v/>
      </c>
      <c r="I40" t="inlineStr">
        <is>
          <t>1</t>
        </is>
      </c>
      <c r="J40">
        <f>((Inputs!$B$6*(1+Inputs!$B$7/100))+((((Inputs!$B$12+1)*(1+Inputs!$B$13/100))-(Inputs!$B$12*(1+Inputs!$B$13/100)))+0.25*(Inputs!$B$14-Inputs!$B$14))*(1+Inputs!$B$7/100))*(F40/100)</f>
        <v/>
      </c>
      <c r="K40">
        <f>J40*(1+(((Inputs!$B$12+1)*(1+Inputs!$B$13/100))*0.01+Inputs!$B$14*0.0025)/100)*(1+Inputs!$B$15/100)*(1+IF(Inputs!$B$39="pvp",0,(1-Summary!$B$55)*(Inputs!$B$20+0+Skills!P6+B68)+Summary!$B$55*(Inputs!$B$21+Skills!Q6+B68))/100)*(1+Inputs!$B$16/100)*(5000/(6000+Inputs!$B$43*(1-Inputs!$B$19/100)))*(1+(Inputs!$B$24+((C64=TRUE)*(F64-Calc!F30)))/100)*(1+1.0*IF(C52=TRUE,F52,0)/100)*(1+(IF(Skills!A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40)</f>
        <v/>
      </c>
      <c r="L40">
        <f>K40*(MIN(Inputs!$B$22+((C58=TRUE)*(F58-Calc!F24)),Inputs!$B$23+((C63=TRUE)*(F63-Calc!F29)))/100+(Inputs!$B$23+((C63=TRUE)*(F63-Calc!F29)))/100)/2</f>
        <v/>
      </c>
      <c r="M40">
        <f>L40*(1+(Inputs!$B$10+((C60=TRUE)*(F60-Calc!F26))+B74)/100)</f>
        <v/>
      </c>
      <c r="N40">
        <f>L40*(1-MIN((Inputs!$B$9+((C59=TRUE)*(F59-Calc!F25))+B67),100)/100)+M40*(MIN((Inputs!$B$9+((C59=TRUE)*(F59-Calc!F25))+B67),100)/100)</f>
        <v/>
      </c>
      <c r="O40">
        <f>IF(C40,H40*N40*IF(AND(Inputs!$B$39&lt;&gt;"pvp",Inputs!$B$44&gt;0),((Skills!G6*((R40-1)*IF(Skills!H6&gt;0,Skills!I6/Skills!H6,1)+IF(Skills!H6&gt;0,MIN(Skills!I6,MAX(0,MAX(0,Inputs!$B$44-B78)-((R40-1)*IF(Inputs!$B$39="pvp",15,MAX(0.1,Skills!D6-IF(Skills!E6=TRUE,Inputs!$B$32,0))))))/Skills!H6,1)))/Inputs!$B$44),G40*Q40)*IF(Inputs!$B$39="pvp",1,(1-Summary!$B$55)*(1)+Summary!$B$55*(MIN(Skills!W6,Inputs!$B$37))),0)</f>
        <v/>
      </c>
      <c r="P40">
        <f>IF(B79=0,0,O40/B79)</f>
        <v/>
      </c>
      <c r="Q40">
        <f>IFERROR(1/IF(Inputs!$B$39="pvp",15,MAX(0.1,Skills!D6-IF(Skills!E6=TRUE,Inputs!$B$32,0))),0)</f>
        <v/>
      </c>
      <c r="R40">
        <f>IF(AND(Inputs!$B$39&lt;&gt;"pvp",Inputs!$B$44&gt;0),IF(MAX(0,Inputs!$B$44-B78)&lt;=0,0,(INT(MAX(0,Inputs!$B$44-B78)/IF(Inputs!$B$39="pvp",15,MAX(0.1,Skills!D6-IF(Skills!E6=TRUE,Inputs!$B$32,0))))+1)),0)</f>
        <v/>
      </c>
      <c r="S40">
        <f>IFERROR(O40/N40,0)</f>
        <v/>
      </c>
    </row>
    <row r="41">
      <c r="A41">
        <f>Skills!A7</f>
        <v/>
      </c>
      <c r="B41">
        <f>Skills!B7</f>
        <v/>
      </c>
      <c r="C41">
        <f>Inputs!$B$3&gt;=60</f>
        <v/>
      </c>
      <c r="D41">
        <f>IF(Skills!C7=1,60+Inputs!$B$25+Inputs!$B$29,IF(Skills!C7=2,90+Inputs!$B$26+Inputs!$B$29,IF(Skills!C7=3,120+Inputs!$B$27+Inputs!$B$29,MAX(0,(Inputs!$B$3-100)*3)+Inputs!$B$28+Inputs!$B$29)))</f>
        <v/>
      </c>
      <c r="E41">
        <f>INDEX(FactorTable!$B$2:$Y$301, MATCH(ROUND(MIN(300,MAX(1,D41)),0), FactorTable!$A$2:$A$301,0), Skills!M7+1)</f>
        <v/>
      </c>
      <c r="F41">
        <f>IF(Skills!N7=TRUE,(Skills!L7/10)*(E41/1000),Skills!L7/10)+Skills!O7</f>
        <v/>
      </c>
      <c r="G41">
        <f>Skills!G7*IF(Skills!H7&gt;0,Skills!I7/Skills!H7,1)</f>
        <v/>
      </c>
      <c r="H41">
        <f>1-(1-Skills!J7/100)^Skills!K7</f>
        <v/>
      </c>
      <c r="I41" t="inlineStr">
        <is>
          <t>1</t>
        </is>
      </c>
      <c r="J41" t="inlineStr"/>
      <c r="K41" t="inlineStr"/>
      <c r="L41" t="inlineStr"/>
      <c r="M41" t="inlineStr"/>
      <c r="N41" t="inlineStr"/>
      <c r="O41" t="n">
        <v>0</v>
      </c>
      <c r="P41">
        <f>IF(B79=0,0,O41/B79)</f>
        <v/>
      </c>
      <c r="Q41" t="n">
        <v>0</v>
      </c>
      <c r="R41" t="n">
        <v>0</v>
      </c>
      <c r="S41">
        <f>IFERROR(O41/N41,0)</f>
        <v/>
      </c>
    </row>
    <row r="42">
      <c r="A42">
        <f>Skills!A8</f>
        <v/>
      </c>
      <c r="B42">
        <f>Skills!B8</f>
        <v/>
      </c>
      <c r="C42">
        <f>Inputs!$B$3&gt;=72</f>
        <v/>
      </c>
      <c r="D42">
        <f>IF(Skills!C8=1,60+Inputs!$B$25+Inputs!$B$29,IF(Skills!C8=2,90+Inputs!$B$26+Inputs!$B$29,IF(Skills!C8=3,120+Inputs!$B$27+Inputs!$B$29,MAX(0,(Inputs!$B$3-100)*3)+Inputs!$B$28+Inputs!$B$29)))</f>
        <v/>
      </c>
      <c r="E42">
        <f>INDEX(FactorTable!$B$2:$Y$301, MATCH(ROUND(MIN(300,MAX(1,D42)),0), FactorTable!$A$2:$A$301,0), Skills!M8+1)</f>
        <v/>
      </c>
      <c r="F42">
        <f>IF(Skills!N8=TRUE,(Skills!L8/10)*(E42/1000),Skills!L8/10)+Skills!O8</f>
        <v/>
      </c>
      <c r="G42">
        <f>Skills!G8*IF(Skills!H8&gt;0,Skills!I8/Skills!H8,1)</f>
        <v/>
      </c>
      <c r="H42">
        <f>1-(1-Skills!J8/100)^Skills!K8</f>
        <v/>
      </c>
      <c r="I42" t="inlineStr">
        <is>
          <t>1</t>
        </is>
      </c>
      <c r="J42">
        <f>((Inputs!$B$6*(1+Inputs!$B$7/100))+((((Inputs!$B$12+1)*(1+Inputs!$B$13/100))-(Inputs!$B$12*(1+Inputs!$B$13/100)))+0.25*(Inputs!$B$14-Inputs!$B$14))*(1+Inputs!$B$7/100))*(F42/100)</f>
        <v/>
      </c>
      <c r="K42">
        <f>J42*(1+(((Inputs!$B$12+1)*(1+Inputs!$B$13/100))*0.01+Inputs!$B$14*0.0025)/100)*(1+Inputs!$B$15/100)*(1+IF(Inputs!$B$39="pvp",0,(1-Summary!$B$55)*(Inputs!$B$20+0+Skills!P8+B68)+Summary!$B$55*(Inputs!$B$21+Skills!Q8+B68))/100)*(1+Inputs!$B$16/100)*(5000/(6000+Inputs!$B$43*(1-Inputs!$B$19/100)))*(1+(Inputs!$B$24+((C64=TRUE)*(F64-Calc!F30)))/100)*(1+3.3333333333333335*IF(C52=TRUE,F52,0)/100)*(1+(IF(Skills!A8="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42)</f>
        <v/>
      </c>
      <c r="L42">
        <f>K42*(MIN(Inputs!$B$22+((C58=TRUE)*(F58-Calc!F24)),Inputs!$B$23+((C63=TRUE)*(F63-Calc!F29)))/100+(Inputs!$B$23+((C63=TRUE)*(F63-Calc!F29)))/100)/2</f>
        <v/>
      </c>
      <c r="M42">
        <f>L42*(1+(Inputs!$B$10+((C60=TRUE)*(F60-Calc!F26))+B74)/100)</f>
        <v/>
      </c>
      <c r="N42">
        <f>L42*(1-MIN((Inputs!$B$9+((C59=TRUE)*(F59-Calc!F25))+B67),100)/100)+M42*(MIN((Inputs!$B$9+((C59=TRUE)*(F59-Calc!F25))+B67),100)/100)</f>
        <v/>
      </c>
      <c r="O42">
        <f>IF(C42,H42*N42*IF(AND(Inputs!$B$39&lt;&gt;"pvp",Inputs!$B$44&gt;0),((Skills!G8*((R42-1)*IF(Skills!H8&gt;0,Skills!I8/Skills!H8,1)+IF(Skills!H8&gt;0,MIN(Skills!I8,MAX(0,MAX(0,Inputs!$B$44-B78)-((R42-1)*IF(Inputs!$B$39="pvp",15,MAX(0.1,Skills!D8-IF(Skills!E8=TRUE,Inputs!$B$32,0))))))/Skills!H8,1)))/Inputs!$B$44),G42*Q42)*IF(Inputs!$B$39="pvp",1,(1-Summary!$B$55)*(1)+Summary!$B$55*(MIN(Skills!W8,Inputs!$B$37))),0)</f>
        <v/>
      </c>
      <c r="P42">
        <f>IF(B79=0,0,O42/B79)</f>
        <v/>
      </c>
      <c r="Q42">
        <f>IFERROR(1/IF(Inputs!$B$39="pvp",15,MAX(0.1,Skills!D8-IF(Skills!E8=TRUE,Inputs!$B$32,0))),0)</f>
        <v/>
      </c>
      <c r="R42">
        <f>IF(AND(Inputs!$B$39&lt;&gt;"pvp",Inputs!$B$44&gt;0),IF(MAX(0,Inputs!$B$44-B78)&lt;=0,0,(INT(MAX(0,Inputs!$B$44-B78)/IF(Inputs!$B$39="pvp",15,MAX(0.1,Skills!D8-IF(Skills!E8=TRUE,Inputs!$B$32,0))))+1)),0)</f>
        <v/>
      </c>
      <c r="S42">
        <f>IFERROR(O42/N42,0)</f>
        <v/>
      </c>
    </row>
    <row r="43">
      <c r="A43">
        <f>Skills!A9</f>
        <v/>
      </c>
      <c r="B43">
        <f>Skills!B9</f>
        <v/>
      </c>
      <c r="C43">
        <f>Inputs!$B$3&gt;=117</f>
        <v/>
      </c>
      <c r="D43">
        <f>IF(Skills!C9=1,60+Inputs!$B$25+Inputs!$B$29,IF(Skills!C9=2,90+Inputs!$B$26+Inputs!$B$29,IF(Skills!C9=3,120+Inputs!$B$27+Inputs!$B$29,MAX(0,(Inputs!$B$3-100)*3)+Inputs!$B$28+Inputs!$B$29)))</f>
        <v/>
      </c>
      <c r="E43">
        <f>INDEX(FactorTable!$B$2:$Y$301, MATCH(ROUND(MIN(300,MAX(1,D43)),0), FactorTable!$A$2:$A$301,0), Skills!M9+1)</f>
        <v/>
      </c>
      <c r="F43">
        <f>IF(Skills!N9=TRUE,(Skills!L9/10)*(E43/1000),Skills!L9/10)+Skills!O9</f>
        <v/>
      </c>
      <c r="G43">
        <f>Skills!G9*IF(Skills!H9&gt;0,Skills!I9/Skills!H9,1)</f>
        <v/>
      </c>
      <c r="H43">
        <f>1-(1-Skills!J9/100)^Skills!K9</f>
        <v/>
      </c>
      <c r="I43" t="inlineStr">
        <is>
          <t>1</t>
        </is>
      </c>
      <c r="J43">
        <f>((Inputs!$B$6*(1+Inputs!$B$7/100))+((((Inputs!$B$12+1)*(1+Inputs!$B$13/100))-(Inputs!$B$12*(1+Inputs!$B$13/100)))+0.25*(Inputs!$B$14-Inputs!$B$14))*(1+Inputs!$B$7/100))*(F43/100)</f>
        <v/>
      </c>
      <c r="K43">
        <f>J43*(1+(((Inputs!$B$12+1)*(1+Inputs!$B$13/100))*0.01+Inputs!$B$14*0.0025)/100)*(1+Inputs!$B$15/100)*(1+IF(Inputs!$B$39="pvp",0,(1-Summary!$B$55)*(Inputs!$B$20+0+Skills!P9+B68)+Summary!$B$55*(Inputs!$B$21+Skills!Q9+B68))/100)*(1+Inputs!$B$16/100)*(5000/(6000+Inputs!$B$43*(1-Inputs!$B$19/100)))*(1+(Inputs!$B$24+((C64=TRUE)*(F64-Calc!F30)))/100)*(1+(IF(Skills!A9="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43)</f>
        <v/>
      </c>
      <c r="L43">
        <f>K43*(MIN(Inputs!$B$22+((C58=TRUE)*(F58-Calc!F24)),Inputs!$B$23+((C63=TRUE)*(F63-Calc!F29)))/100+(Inputs!$B$23+((C63=TRUE)*(F63-Calc!F29)))/100)/2</f>
        <v/>
      </c>
      <c r="M43">
        <f>L43*(1+(Inputs!$B$10+((C60=TRUE)*(F60-Calc!F26))+B74)/100)</f>
        <v/>
      </c>
      <c r="N43">
        <f>L43*(1-MIN((Inputs!$B$9+((C59=TRUE)*(F59-Calc!F25))+B67),100)/100)+M43*(MIN((Inputs!$B$9+((C59=TRUE)*(F59-Calc!F25))+B67),100)/100)</f>
        <v/>
      </c>
      <c r="O43">
        <f>IF(C43,0.2*SUMPRODUCT((Skills!Z2:Z30=TRUE)*(C36:C64=TRUE)*S36:S64)*N43,0)</f>
        <v/>
      </c>
      <c r="P43">
        <f>IF(B79=0,0,O43/B79)</f>
        <v/>
      </c>
      <c r="Q43" t="n">
        <v>0</v>
      </c>
      <c r="R43" t="n">
        <v>0</v>
      </c>
      <c r="S43" t="n">
        <v>0</v>
      </c>
    </row>
    <row r="44">
      <c r="A44">
        <f>Skills!A10</f>
        <v/>
      </c>
      <c r="B44">
        <f>Skills!B10</f>
        <v/>
      </c>
      <c r="C44">
        <f>Inputs!$B$3&gt;=74</f>
        <v/>
      </c>
      <c r="D44">
        <f>IF(Skills!C10=1,60+Inputs!$B$25+Inputs!$B$29,IF(Skills!C10=2,90+Inputs!$B$26+Inputs!$B$29,IF(Skills!C10=3,120+Inputs!$B$27+Inputs!$B$29,MAX(0,(Inputs!$B$3-100)*3)+Inputs!$B$28+Inputs!$B$29)))</f>
        <v/>
      </c>
      <c r="E44">
        <f>INDEX(FactorTable!$B$2:$Y$301, MATCH(ROUND(MIN(300,MAX(1,D44)),0), FactorTable!$A$2:$A$301,0), Skills!M10+1)</f>
        <v/>
      </c>
      <c r="F44">
        <f>IF(Skills!N10=TRUE,(Skills!L10/10)*(E44/1000),Skills!L10/10)+Skills!O10</f>
        <v/>
      </c>
      <c r="G44">
        <f>Skills!G10*IF(Skills!H10&gt;0,Skills!I10/Skills!H10,1)</f>
        <v/>
      </c>
      <c r="H44">
        <f>1-(1-Skills!J10/100)^Skills!K10</f>
        <v/>
      </c>
      <c r="I44" t="inlineStr">
        <is>
          <t>1</t>
        </is>
      </c>
      <c r="J44" t="inlineStr"/>
      <c r="K44" t="inlineStr"/>
      <c r="L44" t="inlineStr"/>
      <c r="M44" t="inlineStr"/>
      <c r="N44" t="inlineStr"/>
      <c r="O44" t="n">
        <v>0</v>
      </c>
      <c r="P44">
        <f>IF(B79=0,0,O44/B79)</f>
        <v/>
      </c>
      <c r="Q44">
        <f>IFERROR(1/IF(Inputs!$B$39="pvp",15,MAX(0.1,Skills!D10-IF(Skills!E10=TRUE,Inputs!$B$32,0))),0)</f>
        <v/>
      </c>
      <c r="R44">
        <f>IF(AND(Inputs!$B$39&lt;&gt;"pvp",Inputs!$B$44&gt;0),IF(Inputs!$B$44&lt;=0,0,(INT(Inputs!$B$44/IF(Inputs!$B$39="pvp",15,MAX(0.1,Skills!D10-IF(Skills!E10=TRUE,Inputs!$B$32,0))))+1)),0)</f>
        <v/>
      </c>
      <c r="S44">
        <f>IFERROR(O44/N44,0)</f>
        <v/>
      </c>
    </row>
    <row r="45">
      <c r="A45">
        <f>Skills!A11</f>
        <v/>
      </c>
      <c r="B45">
        <f>Skills!B11</f>
        <v/>
      </c>
      <c r="C45">
        <f>Inputs!$B$3&gt;=103</f>
        <v/>
      </c>
      <c r="D45">
        <f>IF(Skills!C11=1,60+Inputs!$B$25+Inputs!$B$29,IF(Skills!C11=2,90+Inputs!$B$26+Inputs!$B$29,IF(Skills!C11=3,120+Inputs!$B$27+Inputs!$B$29,MAX(0,(Inputs!$B$3-100)*3)+Inputs!$B$28+Inputs!$B$29)))</f>
        <v/>
      </c>
      <c r="E45">
        <f>INDEX(FactorTable!$B$2:$Y$301, MATCH(ROUND(MIN(300,MAX(1,D45)),0), FactorTable!$A$2:$A$301,0), Skills!M11+1)</f>
        <v/>
      </c>
      <c r="F45">
        <f>(Skills!L11/10)*(E45/1000)+IF(Inputs!$B$3&gt;=134,50,0)+0.5*(30000/10)*(INDEX(FactorTable!$B$2:$Y$301, MATCH(ROUND(MIN(300,MAX(1,D45)),0), FactorTable!$A$2:$A$301,0), 13)/1000)*B77</f>
        <v/>
      </c>
      <c r="G45">
        <f>Skills!G11*IF(Skills!H11&gt;0,Skills!I11/Skills!H11,1)</f>
        <v/>
      </c>
      <c r="H45">
        <f>1-(1-Skills!J11/100)^Skills!K11</f>
        <v/>
      </c>
      <c r="I45" t="inlineStr">
        <is>
          <t>1</t>
        </is>
      </c>
      <c r="J45">
        <f>((Inputs!$B$6*(1+Inputs!$B$7/100))+((((Inputs!$B$12+1)*(1+Inputs!$B$13/100))-(Inputs!$B$12*(1+Inputs!$B$13/100)))+0.25*(Inputs!$B$14-Inputs!$B$14))*(1+Inputs!$B$7/100))*(F45/100)</f>
        <v/>
      </c>
      <c r="K45">
        <f>J45*(1+(((Inputs!$B$12+1)*(1+Inputs!$B$13/100))*0.01+Inputs!$B$14*0.0025)/100)*(1+Inputs!$B$15/100)*(1+IF(Inputs!$B$39="pvp",0,(1-Summary!$B$55)*(Inputs!$B$20+0+Skills!P11+B68)+Summary!$B$55*(Inputs!$B$21+Skills!Q11+B68))/100)*(1+Inputs!$B$16/100)*(5000/(6000+Inputs!$B$43*(1-Inputs!$B$19/100)))*(1+(Inputs!$B$24+((C64=TRUE)*(F64-Calc!F30)))/100)*(1+(IF(Skills!A11="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45)</f>
        <v/>
      </c>
      <c r="L45">
        <f>K45*(MIN(Inputs!$B$22+((C58=TRUE)*(F58-Calc!F24)),Inputs!$B$23+((C63=TRUE)*(F63-Calc!F29)))/100+(Inputs!$B$23+((C63=TRUE)*(F63-Calc!F29)))/100)/2</f>
        <v/>
      </c>
      <c r="M45">
        <f>L45*(1+(Inputs!$B$10+((C60=TRUE)*(F60-Calc!F26))+B74)/100)</f>
        <v/>
      </c>
      <c r="N45">
        <f>L45*(1-MIN((Inputs!$B$9+((C59=TRUE)*(F59-Calc!F25))+B67),100)/100)+M45*(MIN((Inputs!$B$9+((C59=TRUE)*(F59-Calc!F25))+B67),100)/100)</f>
        <v/>
      </c>
      <c r="O45">
        <f>IF(C45,H45*N45*IF(AND(Inputs!$B$39&lt;&gt;"pvp",Inputs!$B$44&gt;0),((Skills!G11*((R45-1)*IF(Skills!H11&gt;0,Skills!I11/Skills!H11,1)+IF(Skills!H11&gt;0,MIN(Skills!I11,MAX(0,MAX(0,Inputs!$B$44-B78)-((R45-1)*IF(Inputs!$B$39="pvp",15,MAX(0.1,Skills!D11-IF(Skills!E11=TRUE,Inputs!$B$32,0))))))/Skills!H11,1)))/Inputs!$B$44),G45*Q45)*IF(Inputs!$B$39="pvp",1,(1-Summary!$B$55)*(1)+Summary!$B$55*(MIN(Skills!W11,Inputs!$B$37))),0)</f>
        <v/>
      </c>
      <c r="P45">
        <f>IF(B79=0,0,O45/B79)</f>
        <v/>
      </c>
      <c r="Q45">
        <f>IFERROR(1/IF(Inputs!$B$39="pvp",15,MAX(0.1,Skills!D11-IF(Skills!E11=TRUE,Inputs!$B$32,0))),0)</f>
        <v/>
      </c>
      <c r="R45">
        <f>IF(AND(Inputs!$B$39&lt;&gt;"pvp",Inputs!$B$44&gt;0),IF(MAX(0,Inputs!$B$44-B78)&lt;=0,0,(INT(MAX(0,Inputs!$B$44-B78)/IF(Inputs!$B$39="pvp",15,MAX(0.1,Skills!D11-IF(Skills!E11=TRUE,Inputs!$B$32,0))))+1)),0)</f>
        <v/>
      </c>
      <c r="S45">
        <f>IFERROR(O45/N45,0)</f>
        <v/>
      </c>
    </row>
    <row r="46">
      <c r="A46">
        <f>Skills!A12</f>
        <v/>
      </c>
      <c r="B46">
        <f>Skills!B12</f>
        <v/>
      </c>
      <c r="C46">
        <f>Inputs!$B$3&gt;=105</f>
        <v/>
      </c>
      <c r="D46">
        <f>IF(Skills!C12=1,60+Inputs!$B$25+Inputs!$B$29,IF(Skills!C12=2,90+Inputs!$B$26+Inputs!$B$29,IF(Skills!C12=3,120+Inputs!$B$27+Inputs!$B$29,MAX(0,(Inputs!$B$3-100)*3)+Inputs!$B$28+Inputs!$B$29)))</f>
        <v/>
      </c>
      <c r="E46">
        <f>INDEX(FactorTable!$B$2:$Y$301, MATCH(ROUND(MIN(300,MAX(1,D46)),0), FactorTable!$A$2:$A$301,0), Skills!M12+1)</f>
        <v/>
      </c>
      <c r="F46">
        <f>IF(Skills!N12=TRUE,(Skills!L12/10)*(E46/1000),Skills!L12/10)+Skills!O12</f>
        <v/>
      </c>
      <c r="G46">
        <f>Skills!G12*IF(Skills!H12&gt;0,Skills!I12/Skills!H12,1)</f>
        <v/>
      </c>
      <c r="H46">
        <f>1-(1-Skills!J12/100)^Skills!K12</f>
        <v/>
      </c>
      <c r="I46" t="inlineStr">
        <is>
          <t>1</t>
        </is>
      </c>
      <c r="J46">
        <f>((Inputs!$B$6*(1+Inputs!$B$7/100))+((((Inputs!$B$12+1)*(1+Inputs!$B$13/100))-(Inputs!$B$12*(1+Inputs!$B$13/100)))+0.25*(Inputs!$B$14-Inputs!$B$14))*(1+Inputs!$B$7/100))*(F46/100)</f>
        <v/>
      </c>
      <c r="K46">
        <f>J46*(1+(((Inputs!$B$12+1)*(1+Inputs!$B$13/100))*0.01+Inputs!$B$14*0.0025)/100)*(1+Inputs!$B$15/100)*(1+IF(Inputs!$B$39="pvp",0,(1-Summary!$B$55)*(Inputs!$B$20+0+Skills!P12+B68)+Summary!$B$55*(Inputs!$B$21+Skills!Q12+B68))/100)*(1+Inputs!$B$16/100)*(5000/(6000+Inputs!$B$43*(1-Inputs!$B$19/100)))*(1+(Inputs!$B$24+((C64=TRUE)*(F64-Calc!F30)))/100)*(1+(IF(Skills!A12="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46)</f>
        <v/>
      </c>
      <c r="L46">
        <f>K46*(MIN(Inputs!$B$22+((C58=TRUE)*(F58-Calc!F24)),Inputs!$B$23+((C63=TRUE)*(F63-Calc!F29)))/100+(Inputs!$B$23+((C63=TRUE)*(F63-Calc!F29)))/100)/2</f>
        <v/>
      </c>
      <c r="M46">
        <f>L46*(1+(Inputs!$B$10+((C60=TRUE)*(F60-Calc!F26))+B74)/100)</f>
        <v/>
      </c>
      <c r="N46">
        <f>L46*(1-MIN((Inputs!$B$9+((C59=TRUE)*(F59-Calc!F25))+B67),100)/100)+M46*(MIN((Inputs!$B$9+((C59=TRUE)*(F59-Calc!F25))+B67),100)/100)</f>
        <v/>
      </c>
      <c r="O46">
        <f>IF(C46,H46*N46*IF(AND(Inputs!$B$39&lt;&gt;"pvp",Inputs!$B$44&gt;0),((Skills!G12*((R46-1)*IF(Skills!H12&gt;0,Skills!I12/Skills!H12,1)+IF(Skills!H12&gt;0,MIN(Skills!I12,MAX(0,MAX(0,Inputs!$B$44-B78)-((R46-1)*IF(Inputs!$B$39="pvp",15,MAX(0.1,Skills!D12-IF(Skills!E12=TRUE,Inputs!$B$32,0))))))/Skills!H12,1)))/Inputs!$B$44),G46*Q46)*IF(Inputs!$B$39="pvp",1,(1-Summary!$B$55)*(1)+Summary!$B$55*(MIN(Skills!W12,Inputs!$B$37))),0)</f>
        <v/>
      </c>
      <c r="P46">
        <f>IF(B79=0,0,O46/B79)</f>
        <v/>
      </c>
      <c r="Q46">
        <f>IFERROR(1/IF(Inputs!$B$39="pvp",15,MAX(0.1,Skills!D12-IF(Skills!E12=TRUE,Inputs!$B$32,0))),0)</f>
        <v/>
      </c>
      <c r="R46">
        <f>IF(AND(Inputs!$B$39&lt;&gt;"pvp",Inputs!$B$44&gt;0),IF(MAX(0,Inputs!$B$44-B78)&lt;=0,0,(INT(MAX(0,Inputs!$B$44-B78)/IF(Inputs!$B$39="pvp",15,MAX(0.1,Skills!D12-IF(Skills!E12=TRUE,Inputs!$B$32,0))))+1)),0)</f>
        <v/>
      </c>
      <c r="S46">
        <f>IFERROR(O46/N46,0)</f>
        <v/>
      </c>
    </row>
    <row r="47">
      <c r="A47">
        <f>Skills!A13</f>
        <v/>
      </c>
      <c r="B47">
        <f>Skills!B13</f>
        <v/>
      </c>
      <c r="C47">
        <f>Inputs!$B$3&gt;=105</f>
        <v/>
      </c>
      <c r="D47">
        <f>IF(Skills!C13=1,60+Inputs!$B$25+Inputs!$B$29,IF(Skills!C13=2,90+Inputs!$B$26+Inputs!$B$29,IF(Skills!C13=3,120+Inputs!$B$27+Inputs!$B$29,MAX(0,(Inputs!$B$3-100)*3)+Inputs!$B$28+Inputs!$B$29)))</f>
        <v/>
      </c>
      <c r="E47">
        <f>INDEX(FactorTable!$B$2:$Y$301, MATCH(ROUND(MIN(300,MAX(1,D47)),0), FactorTable!$A$2:$A$301,0), Skills!M13+1)</f>
        <v/>
      </c>
      <c r="F47">
        <f>IF(Skills!N13=TRUE,(Skills!L13/10)*(E47/1000),Skills!L13/10)+Skills!O13</f>
        <v/>
      </c>
      <c r="G47">
        <f>Skills!G13*IF(Skills!H13&gt;0,Skills!I13/Skills!H13,1)</f>
        <v/>
      </c>
      <c r="H47">
        <f>1-(1-Skills!J13/100)^Skills!K13</f>
        <v/>
      </c>
      <c r="I47" t="inlineStr">
        <is>
          <t>1</t>
        </is>
      </c>
      <c r="J47">
        <f>((Inputs!$B$6*(1+Inputs!$B$7/100))+((((Inputs!$B$12+1)*(1+Inputs!$B$13/100))-(Inputs!$B$12*(1+Inputs!$B$13/100)))+0.25*(Inputs!$B$14-Inputs!$B$14))*(1+Inputs!$B$7/100))*(F47/100)</f>
        <v/>
      </c>
      <c r="K47">
        <f>J47*(1+(((Inputs!$B$12+1)*(1+Inputs!$B$13/100))*0.01+Inputs!$B$14*0.0025)/100)*(1+Inputs!$B$15/100)*(1+IF(Inputs!$B$39="pvp",0,(1-Summary!$B$55)*(Inputs!$B$20+0+Skills!P13+B68)+Summary!$B$55*(Inputs!$B$21+Skills!Q13+B68))/100)*(1+Inputs!$B$16/100)*(5000/(6000+Inputs!$B$43*(1-Inputs!$B$19/100)))*(1+(Inputs!$B$24+((C64=TRUE)*(F64-Calc!F30)))/100)*(1+(IF(Skills!A13="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47)</f>
        <v/>
      </c>
      <c r="L47">
        <f>K47*(MIN(Inputs!$B$22+((C58=TRUE)*(F58-Calc!F24)),Inputs!$B$23+((C63=TRUE)*(F63-Calc!F29)))/100+(Inputs!$B$23+((C63=TRUE)*(F63-Calc!F29)))/100)/2</f>
        <v/>
      </c>
      <c r="M47">
        <f>L47*(1+(Inputs!$B$10+((C60=TRUE)*(F60-Calc!F26))+B74)/100)</f>
        <v/>
      </c>
      <c r="N47">
        <f>L47*(1-MIN((Inputs!$B$9+((C59=TRUE)*(F59-Calc!F25))+B67),100)/100)+M47*(MIN((Inputs!$B$9+((C59=TRUE)*(F59-Calc!F25))+B67),100)/100)</f>
        <v/>
      </c>
      <c r="O47">
        <f>IF(C47,H47*N47*IF(AND(Inputs!$B$39&lt;&gt;"pvp",Inputs!$B$44&gt;0),((Skills!G13*((R47-1)*IF(Skills!H13&gt;0,Skills!I13/Skills!H13,1)+IF(Skills!H13&gt;0,MIN(Skills!I13,MAX(0,MAX(0,Inputs!$B$44-B78)-((R47-1)*IF(Inputs!$B$39="pvp",15,MAX(0.1,Skills!D13-IF(Skills!E13=TRUE,Inputs!$B$32,0))))))/Skills!H13,1)))/Inputs!$B$44),G47*Q47)*IF(Inputs!$B$39="pvp",1,(1-Summary!$B$55)*(1)+Summary!$B$55*(MIN(Skills!W13,Inputs!$B$37))),0)</f>
        <v/>
      </c>
      <c r="P47">
        <f>IF(B79=0,0,O47/B79)</f>
        <v/>
      </c>
      <c r="Q47">
        <f>IFERROR(1/IF(Inputs!$B$39="pvp",15,MAX(0.1,Skills!D13-IF(Skills!E13=TRUE,Inputs!$B$32,0))),0)</f>
        <v/>
      </c>
      <c r="R47">
        <f>IF(AND(Inputs!$B$39&lt;&gt;"pvp",Inputs!$B$44&gt;0),IF(MAX(0,Inputs!$B$44-B78)&lt;=0,0,(INT(MAX(0,Inputs!$B$44-B78)/IF(Inputs!$B$39="pvp",15,MAX(0.1,Skills!D13-IF(Skills!E13=TRUE,Inputs!$B$32,0))))+1)),0)</f>
        <v/>
      </c>
      <c r="S47">
        <f>IFERROR(O47/N47,0)</f>
        <v/>
      </c>
    </row>
    <row r="48">
      <c r="A48">
        <f>Skills!A14</f>
        <v/>
      </c>
      <c r="B48">
        <f>Skills!B14</f>
        <v/>
      </c>
      <c r="C48">
        <f>Inputs!$B$3&gt;=107</f>
        <v/>
      </c>
      <c r="D48">
        <f>IF(Skills!C14=1,60+Inputs!$B$25+Inputs!$B$29,IF(Skills!C14=2,90+Inputs!$B$26+Inputs!$B$29,IF(Skills!C14=3,120+Inputs!$B$27+Inputs!$B$29,MAX(0,(Inputs!$B$3-100)*3)+Inputs!$B$28+Inputs!$B$29)))</f>
        <v/>
      </c>
      <c r="E48">
        <f>INDEX(FactorTable!$B$2:$Y$301, MATCH(ROUND(MIN(300,MAX(1,D48)),0), FactorTable!$A$2:$A$301,0), Skills!M14+1)</f>
        <v/>
      </c>
      <c r="F48">
        <f>IF(Skills!N14=TRUE,(Skills!L14/10)*(E48/1000),Skills!L14/10)+Skills!O14</f>
        <v/>
      </c>
      <c r="G48">
        <f>Skills!G14*IF(Skills!H14&gt;0,Skills!I14/Skills!H14,1)</f>
        <v/>
      </c>
      <c r="H48">
        <f>1-(1-Skills!J14/100)^Skills!K14</f>
        <v/>
      </c>
      <c r="I48" t="inlineStr">
        <is>
          <t>1</t>
        </is>
      </c>
      <c r="J48">
        <f>((Inputs!$B$6*(1+Inputs!$B$7/100))+((((Inputs!$B$12+1)*(1+Inputs!$B$13/100))-(Inputs!$B$12*(1+Inputs!$B$13/100)))+0.25*(Inputs!$B$14-Inputs!$B$14))*(1+Inputs!$B$7/100))*(F48/100)</f>
        <v/>
      </c>
      <c r="K48">
        <f>J48*(1+(((Inputs!$B$12+1)*(1+Inputs!$B$13/100))*0.01+Inputs!$B$14*0.0025)/100)*(1+Inputs!$B$15/100)*(1+IF(Inputs!$B$39="pvp",0,(1-Summary!$B$55)*(Inputs!$B$20+0+Skills!P14+B68)+Summary!$B$55*(Inputs!$B$21+Skills!Q14+B68))/100)*(1+Inputs!$B$16/100)*(5000/(6000+Inputs!$B$43*(1-Inputs!$B$19/100)))*(1+(Inputs!$B$24+((C64=TRUE)*(F64-Calc!F30)))/100)*(1+(IF(Skills!A14="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48)</f>
        <v/>
      </c>
      <c r="L48">
        <f>K48*(MIN(Inputs!$B$22+((C58=TRUE)*(F58-Calc!F24)),Inputs!$B$23+((C63=TRUE)*(F63-Calc!F29)))/100+(Inputs!$B$23+((C63=TRUE)*(F63-Calc!F29)))/100)/2</f>
        <v/>
      </c>
      <c r="M48">
        <f>L48*(1+(Inputs!$B$10+((C60=TRUE)*(F60-Calc!F26))+B74)/100)</f>
        <v/>
      </c>
      <c r="N48">
        <f>L48*(1-MIN((Inputs!$B$9+((C59=TRUE)*(F59-Calc!F25))+B67),100)/100)+M48*(MIN((Inputs!$B$9+((C59=TRUE)*(F59-Calc!F25))+B67),100)/100)</f>
        <v/>
      </c>
      <c r="O48">
        <f>IF(C48,H48*N48*IF(AND(Inputs!$B$39&lt;&gt;"pvp",Inputs!$B$44&gt;0),((Skills!G14*((R48-1)*IF(Skills!H14&gt;0,Skills!I14/Skills!H14,1)+IF(Skills!H14&gt;0,MIN(Skills!I14,MAX(0,MAX(0,Inputs!$B$44-B78)-((R48-1)*IF(Inputs!$B$39="pvp",15,MAX(0.1,Skills!D14-IF(Skills!E14=TRUE,Inputs!$B$32,0))))))/Skills!H14,1)))/Inputs!$B$44),G48*Q48)*IF(Inputs!$B$39="pvp",1,(1-Summary!$B$55)*(1)+Summary!$B$55*(MIN(MIN(5,0.25*B71*Skills!D4)*Skills!V14,Inputs!$B$37))),0)</f>
        <v/>
      </c>
      <c r="P48">
        <f>IF(B79=0,0,O48/B79)</f>
        <v/>
      </c>
      <c r="Q48">
        <f>IFERROR(1/IF(Inputs!$B$39="pvp",15,MAX(0.1,Skills!D14-IF(Skills!E14=TRUE,Inputs!$B$32,0))),0)</f>
        <v/>
      </c>
      <c r="R48">
        <f>IF(AND(Inputs!$B$39&lt;&gt;"pvp",Inputs!$B$44&gt;0),IF(MAX(0,Inputs!$B$44-B78)&lt;=0,0,(INT(MAX(0,Inputs!$B$44-B78)/IF(Inputs!$B$39="pvp",15,MAX(0.1,Skills!D14-IF(Skills!E14=TRUE,Inputs!$B$32,0))))+1)),0)</f>
        <v/>
      </c>
      <c r="S48">
        <f>IFERROR(O48/N48,0)</f>
        <v/>
      </c>
    </row>
    <row r="49">
      <c r="A49">
        <f>Skills!A15</f>
        <v/>
      </c>
      <c r="B49">
        <f>Skills!B15</f>
        <v/>
      </c>
      <c r="C49">
        <f>Inputs!$B$3&gt;=110</f>
        <v/>
      </c>
      <c r="D49">
        <f>IF(Skills!C15=1,60+Inputs!$B$25+Inputs!$B$29,IF(Skills!C15=2,90+Inputs!$B$26+Inputs!$B$29,IF(Skills!C15=3,120+Inputs!$B$27+Inputs!$B$29,MAX(0,(Inputs!$B$3-100)*3)+Inputs!$B$28+Inputs!$B$29)))</f>
        <v/>
      </c>
      <c r="E49">
        <f>INDEX(FactorTable!$B$2:$Y$301, MATCH(ROUND(MIN(300,MAX(1,D49)),0), FactorTable!$A$2:$A$301,0), Skills!M15+1)</f>
        <v/>
      </c>
      <c r="F49">
        <f>IF(Skills!N15=TRUE,(Skills!L15/10)*(E49/1000),Skills!L15/10)+Skills!O15</f>
        <v/>
      </c>
      <c r="G49">
        <f>Skills!G15*IF(Skills!H15&gt;0,Skills!I15/Skills!H15,1)</f>
        <v/>
      </c>
      <c r="H49">
        <f>1-(1-Skills!J15/100)^Skills!K15</f>
        <v/>
      </c>
      <c r="I49" t="inlineStr">
        <is>
          <t>1</t>
        </is>
      </c>
      <c r="J49" t="inlineStr"/>
      <c r="K49" t="inlineStr"/>
      <c r="L49" t="inlineStr"/>
      <c r="M49" t="inlineStr"/>
      <c r="N49" t="inlineStr"/>
      <c r="O49" t="n">
        <v>0</v>
      </c>
      <c r="P49">
        <f>IF(B79=0,0,O49/B79)</f>
        <v/>
      </c>
      <c r="Q49">
        <f>IFERROR(1/IF(Inputs!$B$39="pvp",15,MAX(0.1,Skills!D15-IF(Skills!E15=TRUE,Inputs!$B$32,0))),0)</f>
        <v/>
      </c>
      <c r="R49">
        <f>IF(AND(Inputs!$B$39&lt;&gt;"pvp",Inputs!$B$44&gt;0),IF(Inputs!$B$44&lt;=0,0,(INT(Inputs!$B$44/IF(Inputs!$B$39="pvp",15,MAX(0.1,Skills!D15-IF(Skills!E15=TRUE,Inputs!$B$32,0))))+1)),0)</f>
        <v/>
      </c>
      <c r="S49">
        <f>IFERROR(O49/N49,0)</f>
        <v/>
      </c>
    </row>
    <row r="50">
      <c r="A50">
        <f>Skills!A16</f>
        <v/>
      </c>
      <c r="B50">
        <f>Skills!B16</f>
        <v/>
      </c>
      <c r="C50">
        <f>Inputs!$B$3&gt;=115</f>
        <v/>
      </c>
      <c r="D50">
        <f>IF(Skills!C16=1,60+Inputs!$B$25+Inputs!$B$29,IF(Skills!C16=2,90+Inputs!$B$26+Inputs!$B$29,IF(Skills!C16=3,120+Inputs!$B$27+Inputs!$B$29,MAX(0,(Inputs!$B$3-100)*3)+Inputs!$B$28+Inputs!$B$29)))</f>
        <v/>
      </c>
      <c r="E50">
        <f>INDEX(FactorTable!$B$2:$Y$301, MATCH(ROUND(MIN(300,MAX(1,D50)),0), FactorTable!$A$2:$A$301,0), Skills!M16+1)</f>
        <v/>
      </c>
      <c r="F50">
        <f>IF(Skills!N16=TRUE,(Skills!L16/10)*(E50/1000),Skills!L16/10)+Skills!O16</f>
        <v/>
      </c>
      <c r="G50">
        <f>Skills!G16*IF(Skills!H16&gt;0,Skills!I16/Skills!H16,1)</f>
        <v/>
      </c>
      <c r="H50">
        <f>1-(1-Skills!J16/100)^Skills!K16</f>
        <v/>
      </c>
      <c r="I50" t="inlineStr">
        <is>
          <t>1</t>
        </is>
      </c>
      <c r="J50">
        <f>((Inputs!$B$6*(1+Inputs!$B$7/100))+((((Inputs!$B$12+1)*(1+Inputs!$B$13/100))-(Inputs!$B$12*(1+Inputs!$B$13/100)))+0.25*(Inputs!$B$14-Inputs!$B$14))*(1+Inputs!$B$7/100))*(F50/100)</f>
        <v/>
      </c>
      <c r="K50">
        <f>J50*(1+(((Inputs!$B$12+1)*(1+Inputs!$B$13/100))*0.01+Inputs!$B$14*0.0025)/100)*(1+Inputs!$B$15/100)*(1+IF(Inputs!$B$39="pvp",0,(1-Summary!$B$55)*(Inputs!$B$20+0+Skills!P16+B68)+Summary!$B$55*(Inputs!$B$21+Skills!Q16+B68))/100)*(1+Inputs!$B$16/100)*(5000/(6000+Inputs!$B$43*(1-Inputs!$B$19/100)))*(1+(Inputs!$B$24+((C64=TRUE)*(F64-Calc!F30)))/100)*(1+(IF(Skills!A16="CRUEL_STAB",Inputs!$B$17+((C61=TRUE)*(F61-Calc!F27)),Inputs!$B$18+((C62=TRUE)*(F62-Calc!F28))))/100)*(((1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B69*I50)</f>
        <v/>
      </c>
      <c r="L50">
        <f>K50*(MIN(Inputs!$B$22+((C58=TRUE)*(F58-Calc!F24)),Inputs!$B$23+((C63=TRUE)*(F63-Calc!F29)))/100+(Inputs!$B$23+((C63=TRUE)*(F63-Calc!F29)))/100)/2</f>
        <v/>
      </c>
      <c r="M50">
        <f>L50*(1+(Inputs!$B$10+((C60=TRUE)*(F60-Calc!F26))+B74)/100)</f>
        <v/>
      </c>
      <c r="N50">
        <f>L50*(1-MIN((Inputs!$B$9+((C59=TRUE)*(F59-Calc!F25))+B67),100)/100)+M50*(MIN((Inputs!$B$9+((C59=TRUE)*(F59-Calc!F25))+B67),100)/100)</f>
        <v/>
      </c>
      <c r="O50">
        <f>IF(C50,Inputs!$B$38*0.2*N50,0)</f>
        <v/>
      </c>
      <c r="P50">
        <f>IF(B79=0,0,O50/B79)</f>
        <v/>
      </c>
      <c r="Q50" t="n">
        <v>0</v>
      </c>
      <c r="R50" t="n">
        <v>0</v>
      </c>
      <c r="S50">
        <f>IFERROR(O50/N50,0)</f>
        <v/>
      </c>
    </row>
    <row r="51">
      <c r="A51">
        <f>Skills!A17</f>
        <v/>
      </c>
      <c r="B51">
        <f>Skills!B17</f>
        <v/>
      </c>
      <c r="C51">
        <f>Inputs!$B$3&gt;=115</f>
        <v/>
      </c>
      <c r="D51">
        <f>IF(Skills!C17=1,60+Inputs!$B$25+Inputs!$B$29,IF(Skills!C17=2,90+Inputs!$B$26+Inputs!$B$29,IF(Skills!C17=3,120+Inputs!$B$27+Inputs!$B$29,MAX(0,(Inputs!$B$3-100)*3)+Inputs!$B$28+Inputs!$B$29)))</f>
        <v/>
      </c>
      <c r="E51">
        <f>INDEX(FactorTable!$B$2:$Y$301, MATCH(ROUND(MIN(300,MAX(1,D51)),0), FactorTable!$A$2:$A$301,0), Skills!M17+1)</f>
        <v/>
      </c>
      <c r="F51">
        <f>IF(Skills!N17=TRUE,(Skills!L17/10)*(E51/1000),Skills!L17/10)+Skills!O17</f>
        <v/>
      </c>
      <c r="G51">
        <f>Skills!G17*IF(Skills!H17&gt;0,Skills!I17/Skills!H17,1)</f>
        <v/>
      </c>
      <c r="H51">
        <f>1-(1-Skills!J17/100)^Skills!K17</f>
        <v/>
      </c>
      <c r="I51" t="inlineStr">
        <is>
          <t>1</t>
        </is>
      </c>
      <c r="J51" t="inlineStr"/>
      <c r="K51" t="inlineStr"/>
      <c r="L51" t="inlineStr"/>
      <c r="M51" t="inlineStr"/>
      <c r="N51" t="inlineStr"/>
      <c r="O51" t="n">
        <v>0</v>
      </c>
      <c r="P51">
        <f>IF(B79=0,0,O51/B79)</f>
        <v/>
      </c>
      <c r="Q51" t="n">
        <v>0</v>
      </c>
      <c r="R51" t="n">
        <v>0</v>
      </c>
      <c r="S51">
        <f>IFERROR(O51/N51,0)</f>
        <v/>
      </c>
    </row>
    <row r="52">
      <c r="A52">
        <f>Skills!A18</f>
        <v/>
      </c>
      <c r="B52">
        <f>Skills!B18</f>
        <v/>
      </c>
      <c r="C52">
        <f>Inputs!$B$3&gt;=100</f>
        <v/>
      </c>
      <c r="D52">
        <f>IF(Skills!C18=1,60+Inputs!$B$25+Inputs!$B$29,IF(Skills!C18=2,90+Inputs!$B$26+Inputs!$B$29,IF(Skills!C18=3,120+Inputs!$B$27+Inputs!$B$29,MAX(0,(Inputs!$B$3-100)*3)+Inputs!$B$28+Inputs!$B$29)))</f>
        <v/>
      </c>
      <c r="E52">
        <f>INDEX(FactorTable!$B$2:$Y$301, MATCH(ROUND(MIN(300,MAX(1,D52)),0), FactorTable!$A$2:$A$301,0), Skills!M18+1)</f>
        <v/>
      </c>
      <c r="F52">
        <f>IF(Skills!N18=TRUE,(Skills!L18/10)*(E52/1000),Skills!L18/10)+Skills!O18</f>
        <v/>
      </c>
      <c r="G52">
        <f>Skills!G18*IF(Skills!H18&gt;0,Skills!I18/Skills!H18,1)</f>
        <v/>
      </c>
      <c r="H52">
        <f>1-(1-Skills!J18/100)^Skills!K18</f>
        <v/>
      </c>
      <c r="I52" t="inlineStr">
        <is>
          <t>1</t>
        </is>
      </c>
      <c r="J52" t="inlineStr"/>
      <c r="K52" t="inlineStr"/>
      <c r="L52" t="inlineStr"/>
      <c r="M52" t="inlineStr"/>
      <c r="N52" t="inlineStr"/>
      <c r="O52" t="n">
        <v>0</v>
      </c>
      <c r="P52">
        <f>IF(B79=0,0,O52/B79)</f>
        <v/>
      </c>
      <c r="Q52" t="n">
        <v>0</v>
      </c>
      <c r="R52" t="n">
        <v>0</v>
      </c>
      <c r="S52">
        <f>IFERROR(O52/N52,0)</f>
        <v/>
      </c>
    </row>
    <row r="53">
      <c r="A53">
        <f>Skills!A19</f>
        <v/>
      </c>
      <c r="B53">
        <f>Skills!B19</f>
        <v/>
      </c>
      <c r="C53">
        <f>TRUE</f>
        <v/>
      </c>
      <c r="D53">
        <f>IF(Skills!C19=1,60+Inputs!$B$25+Inputs!$B$29,IF(Skills!C19=2,90+Inputs!$B$26+Inputs!$B$29,IF(Skills!C19=3,120+Inputs!$B$27+Inputs!$B$29,MAX(0,(Inputs!$B$3-100)*3)+Inputs!$B$28+Inputs!$B$29)))</f>
        <v/>
      </c>
      <c r="E53">
        <f>INDEX(FactorTable!$B$2:$Y$301, MATCH(ROUND(MIN(300,MAX(1,D53)),0), FactorTable!$A$2:$A$301,0), Skills!M19+1)</f>
        <v/>
      </c>
      <c r="F53">
        <f>IF(Skills!N19=TRUE,(Skills!L19/10)*(E53/1000),Skills!L19/10)+Skills!O19</f>
        <v/>
      </c>
      <c r="G53">
        <f>Skills!G19*IF(Skills!H19&gt;0,Skills!I19/Skills!H19,1)</f>
        <v/>
      </c>
      <c r="H53">
        <f>1-(1-Skills!J19/100)^Skills!K19</f>
        <v/>
      </c>
      <c r="I53" t="inlineStr">
        <is>
          <t>1</t>
        </is>
      </c>
      <c r="J53" t="inlineStr"/>
      <c r="K53" t="inlineStr"/>
      <c r="L53" t="inlineStr"/>
      <c r="M53" t="inlineStr"/>
      <c r="N53" t="inlineStr"/>
      <c r="O53" t="n">
        <v>0</v>
      </c>
      <c r="P53">
        <f>IF(B79=0,0,O53/B79)</f>
        <v/>
      </c>
      <c r="Q53">
        <f>IFERROR(1/IF(Inputs!$B$39="pvp",15,MAX(0.1,Skills!D19-IF(Skills!E19=TRUE,Inputs!$B$32,0))),0)</f>
        <v/>
      </c>
      <c r="R53">
        <f>IF(AND(Inputs!$B$39&lt;&gt;"pvp",Inputs!$B$44&gt;0),IF(Inputs!$B$44&lt;=0,0,(INT(Inputs!$B$44/IF(Inputs!$B$39="pvp",15,MAX(0.1,Skills!D19-IF(Skills!E19=TRUE,Inputs!$B$32,0))))+1)),0)</f>
        <v/>
      </c>
      <c r="S53">
        <f>IFERROR(O53/N53,0)</f>
        <v/>
      </c>
    </row>
    <row r="54">
      <c r="A54">
        <f>Skills!A20</f>
        <v/>
      </c>
      <c r="B54">
        <f>Skills!B20</f>
        <v/>
      </c>
      <c r="C54">
        <f>Inputs!$B$3&gt;=15</f>
        <v/>
      </c>
      <c r="D54">
        <f>IF(Skills!C20=1,60+Inputs!$B$25+Inputs!$B$29,IF(Skills!C20=2,90+Inputs!$B$26+Inputs!$B$29,IF(Skills!C20=3,120+Inputs!$B$27+Inputs!$B$29,MAX(0,(Inputs!$B$3-100)*3)+Inputs!$B$28+Inputs!$B$29)))</f>
        <v/>
      </c>
      <c r="E54">
        <f>INDEX(FactorTable!$B$2:$Y$301, MATCH(ROUND(MIN(300,MAX(1,D54)),0), FactorTable!$A$2:$A$301,0), Skills!M20+1)</f>
        <v/>
      </c>
      <c r="F54">
        <f>IF(Skills!N20=TRUE,(Skills!L20/10)*(E54/1000),Skills!L20/10)+Skills!O20</f>
        <v/>
      </c>
      <c r="G54">
        <f>Skills!G20*IF(Skills!H20&gt;0,Skills!I20/Skills!H20,1)</f>
        <v/>
      </c>
      <c r="H54">
        <f>1-(1-Skills!J20/100)^Skills!K20</f>
        <v/>
      </c>
      <c r="I54" t="inlineStr">
        <is>
          <t>1</t>
        </is>
      </c>
      <c r="J54" t="inlineStr"/>
      <c r="K54" t="inlineStr"/>
      <c r="L54" t="inlineStr"/>
      <c r="M54" t="inlineStr"/>
      <c r="N54" t="inlineStr"/>
      <c r="O54" t="n">
        <v>0</v>
      </c>
      <c r="P54">
        <f>IF(B79=0,0,O54/B79)</f>
        <v/>
      </c>
      <c r="Q54">
        <f>IFERROR(1/IF(Inputs!$B$39="pvp",15,MAX(0.1,Skills!D20-IF(Skills!E20=TRUE,Inputs!$B$32,0))),0)</f>
        <v/>
      </c>
      <c r="R54">
        <f>IF(AND(Inputs!$B$39&lt;&gt;"pvp",Inputs!$B$44&gt;0),IF(Inputs!$B$44&lt;=0,0,(INT(Inputs!$B$44/IF(Inputs!$B$39="pvp",15,MAX(0.1,Skills!D20-IF(Skills!E20=TRUE,Inputs!$B$32,0))))+1)),0)</f>
        <v/>
      </c>
      <c r="S54">
        <f>IFERROR(O54/N54,0)</f>
        <v/>
      </c>
    </row>
    <row r="55">
      <c r="A55">
        <f>Skills!A21</f>
        <v/>
      </c>
      <c r="B55">
        <f>Skills!B21</f>
        <v/>
      </c>
      <c r="C55">
        <f>Inputs!$B$3&gt;=15</f>
        <v/>
      </c>
      <c r="D55">
        <f>IF(Skills!C21=1,60+Inputs!$B$25+Inputs!$B$29,IF(Skills!C21=2,90+Inputs!$B$26+Inputs!$B$29,IF(Skills!C21=3,120+Inputs!$B$27+Inputs!$B$29,MAX(0,(Inputs!$B$3-100)*3)+Inputs!$B$28+Inputs!$B$29)))</f>
        <v/>
      </c>
      <c r="E55">
        <f>INDEX(FactorTable!$B$2:$Y$301, MATCH(ROUND(MIN(300,MAX(1,D55)),0), FactorTable!$A$2:$A$301,0), Skills!M21+1)</f>
        <v/>
      </c>
      <c r="F55">
        <f>IF(Skills!N21=TRUE,(Skills!L21/10)*(E55/1000),Skills!L21/10)+Skills!O21</f>
        <v/>
      </c>
      <c r="G55">
        <f>Skills!G21*IF(Skills!H21&gt;0,Skills!I21/Skills!H21,1)</f>
        <v/>
      </c>
      <c r="H55">
        <f>1-(1-Skills!J21/100)^Skills!K21</f>
        <v/>
      </c>
      <c r="I55" t="inlineStr">
        <is>
          <t>1</t>
        </is>
      </c>
      <c r="J55" t="inlineStr"/>
      <c r="K55" t="inlineStr"/>
      <c r="L55" t="inlineStr"/>
      <c r="M55" t="inlineStr"/>
      <c r="N55" t="inlineStr"/>
      <c r="O55" t="n">
        <v>0</v>
      </c>
      <c r="P55">
        <f>IF(B79=0,0,O55/B79)</f>
        <v/>
      </c>
      <c r="Q55">
        <f>IFERROR(1/IF(Inputs!$B$39="pvp",15,MAX(0.1,Skills!D21-IF(Skills!E21=TRUE,Inputs!$B$32,0))),0)</f>
        <v/>
      </c>
      <c r="R55">
        <f>IF(AND(Inputs!$B$39&lt;&gt;"pvp",Inputs!$B$44&gt;0),IF(Inputs!$B$44&lt;=0,0,(INT(Inputs!$B$44/IF(Inputs!$B$39="pvp",15,MAX(0.1,Skills!D21-IF(Skills!E21=TRUE,Inputs!$B$32,0))))+1)),0)</f>
        <v/>
      </c>
      <c r="S55">
        <f>IFERROR(O55/N55,0)</f>
        <v/>
      </c>
    </row>
    <row r="56">
      <c r="A56">
        <f>Skills!A22</f>
        <v/>
      </c>
      <c r="B56">
        <f>Skills!B22</f>
        <v/>
      </c>
      <c r="C56">
        <f>Inputs!$B$3&gt;=33</f>
        <v/>
      </c>
      <c r="D56">
        <f>IF(Skills!C22=1,60+Inputs!$B$25+Inputs!$B$29,IF(Skills!C22=2,90+Inputs!$B$26+Inputs!$B$29,IF(Skills!C22=3,120+Inputs!$B$27+Inputs!$B$29,MAX(0,(Inputs!$B$3-100)*3)+Inputs!$B$28+Inputs!$B$29)))</f>
        <v/>
      </c>
      <c r="E56">
        <f>INDEX(FactorTable!$B$2:$Y$301, MATCH(ROUND(MIN(300,MAX(1,D56)),0), FactorTable!$A$2:$A$301,0), Skills!M22+1)</f>
        <v/>
      </c>
      <c r="F56">
        <f>IF(Skills!N22=TRUE,(Skills!L22/10)*(E56/1000),Skills!L22/10)+Skills!O22</f>
        <v/>
      </c>
      <c r="G56">
        <f>Skills!G22*IF(Skills!H22&gt;0,Skills!I22/Skills!H22,1)</f>
        <v/>
      </c>
      <c r="H56">
        <f>1-(1-Skills!J22/100)^Skills!K22</f>
        <v/>
      </c>
      <c r="I56" t="inlineStr">
        <is>
          <t>1</t>
        </is>
      </c>
      <c r="J56" t="inlineStr"/>
      <c r="K56" t="inlineStr"/>
      <c r="L56" t="inlineStr"/>
      <c r="M56" t="inlineStr"/>
      <c r="N56" t="inlineStr"/>
      <c r="O56" t="n">
        <v>0</v>
      </c>
      <c r="P56">
        <f>IF(B79=0,0,O56/B79)</f>
        <v/>
      </c>
      <c r="Q56" t="n">
        <v>0</v>
      </c>
      <c r="R56" t="n">
        <v>0</v>
      </c>
      <c r="S56">
        <f>IFERROR(O56/N56,0)</f>
        <v/>
      </c>
    </row>
    <row r="57">
      <c r="A57">
        <f>Skills!A23</f>
        <v/>
      </c>
      <c r="B57">
        <f>Skills!B23</f>
        <v/>
      </c>
      <c r="C57">
        <f>Inputs!$B$3&gt;=40</f>
        <v/>
      </c>
      <c r="D57">
        <f>IF(Skills!C23=1,60+Inputs!$B$25+Inputs!$B$29,IF(Skills!C23=2,90+Inputs!$B$26+Inputs!$B$29,IF(Skills!C23=3,120+Inputs!$B$27+Inputs!$B$29,MAX(0,(Inputs!$B$3-100)*3)+Inputs!$B$28+Inputs!$B$29)))</f>
        <v/>
      </c>
      <c r="E57">
        <f>INDEX(FactorTable!$B$2:$Y$301, MATCH(ROUND(MIN(300,MAX(1,D57)),0), FactorTable!$A$2:$A$301,0), Skills!M23+1)</f>
        <v/>
      </c>
      <c r="F57">
        <f>IF(Skills!N23=TRUE,(Skills!L23/10)*(E57/1000),Skills!L23/10)+Skills!O23</f>
        <v/>
      </c>
      <c r="G57">
        <f>Skills!G23*IF(Skills!H23&gt;0,Skills!I23/Skills!H23,1)</f>
        <v/>
      </c>
      <c r="H57">
        <f>1-(1-Skills!J23/100)^Skills!K23</f>
        <v/>
      </c>
      <c r="I57" t="inlineStr">
        <is>
          <t>1</t>
        </is>
      </c>
      <c r="J57" t="inlineStr"/>
      <c r="K57" t="inlineStr"/>
      <c r="L57" t="inlineStr"/>
      <c r="M57" t="inlineStr"/>
      <c r="N57" t="inlineStr"/>
      <c r="O57" t="n">
        <v>0</v>
      </c>
      <c r="P57">
        <f>IF(B79=0,0,O57/B79)</f>
        <v/>
      </c>
      <c r="Q57" t="n">
        <v>0</v>
      </c>
      <c r="R57" t="n">
        <v>0</v>
      </c>
      <c r="S57">
        <f>IFERROR(O57/N57,0)</f>
        <v/>
      </c>
    </row>
    <row r="58">
      <c r="A58">
        <f>Skills!A24</f>
        <v/>
      </c>
      <c r="B58">
        <f>Skills!B24</f>
        <v/>
      </c>
      <c r="C58">
        <f>Inputs!$B$3&gt;=43</f>
        <v/>
      </c>
      <c r="D58">
        <f>IF(Skills!C24=1,60+Inputs!$B$25+Inputs!$B$29,IF(Skills!C24=2,90+Inputs!$B$26+Inputs!$B$29,IF(Skills!C24=3,120+Inputs!$B$27+Inputs!$B$29,MAX(0,(Inputs!$B$3-100)*3)+Inputs!$B$28+Inputs!$B$29)))</f>
        <v/>
      </c>
      <c r="E58">
        <f>INDEX(FactorTable!$B$2:$Y$301, MATCH(ROUND(MIN(300,MAX(1,D58)),0), FactorTable!$A$2:$A$301,0), Skills!M24+1)</f>
        <v/>
      </c>
      <c r="F58">
        <f>IF(Skills!N24=TRUE,(Skills!L24/10)*(E58/1000),Skills!L24/10)+Skills!O24</f>
        <v/>
      </c>
      <c r="G58">
        <f>Skills!G24*IF(Skills!H24&gt;0,Skills!I24/Skills!H24,1)</f>
        <v/>
      </c>
      <c r="H58">
        <f>1-(1-Skills!J24/100)^Skills!K24</f>
        <v/>
      </c>
      <c r="I58" t="inlineStr">
        <is>
          <t>1</t>
        </is>
      </c>
      <c r="J58" t="inlineStr"/>
      <c r="K58" t="inlineStr"/>
      <c r="L58" t="inlineStr"/>
      <c r="M58" t="inlineStr"/>
      <c r="N58" t="inlineStr"/>
      <c r="O58" t="n">
        <v>0</v>
      </c>
      <c r="P58">
        <f>IF(B79=0,0,O58/B79)</f>
        <v/>
      </c>
      <c r="Q58" t="n">
        <v>0</v>
      </c>
      <c r="R58" t="n">
        <v>0</v>
      </c>
      <c r="S58">
        <f>IFERROR(O58/N58,0)</f>
        <v/>
      </c>
    </row>
    <row r="59">
      <c r="A59">
        <f>Skills!A25</f>
        <v/>
      </c>
      <c r="B59">
        <f>Skills!B25</f>
        <v/>
      </c>
      <c r="C59">
        <f>Inputs!$B$3&gt;=50</f>
        <v/>
      </c>
      <c r="D59">
        <f>IF(Skills!C25=1,60+Inputs!$B$25+Inputs!$B$29,IF(Skills!C25=2,90+Inputs!$B$26+Inputs!$B$29,IF(Skills!C25=3,120+Inputs!$B$27+Inputs!$B$29,MAX(0,(Inputs!$B$3-100)*3)+Inputs!$B$28+Inputs!$B$29)))</f>
        <v/>
      </c>
      <c r="E59">
        <f>INDEX(FactorTable!$B$2:$Y$301, MATCH(ROUND(MIN(300,MAX(1,D59)),0), FactorTable!$A$2:$A$301,0), Skills!M25+1)</f>
        <v/>
      </c>
      <c r="F59">
        <f>IF(Skills!N25=TRUE,(Skills!L25/10)*(E59/1000),Skills!L25/10)+Skills!O25</f>
        <v/>
      </c>
      <c r="G59">
        <f>Skills!G25*IF(Skills!H25&gt;0,Skills!I25/Skills!H25,1)</f>
        <v/>
      </c>
      <c r="H59">
        <f>1-(1-Skills!J25/100)^Skills!K25</f>
        <v/>
      </c>
      <c r="I59" t="inlineStr">
        <is>
          <t>1</t>
        </is>
      </c>
      <c r="J59" t="inlineStr"/>
      <c r="K59" t="inlineStr"/>
      <c r="L59" t="inlineStr"/>
      <c r="M59" t="inlineStr"/>
      <c r="N59" t="inlineStr"/>
      <c r="O59" t="n">
        <v>0</v>
      </c>
      <c r="P59">
        <f>IF(B79=0,0,O59/B79)</f>
        <v/>
      </c>
      <c r="Q59" t="n">
        <v>0</v>
      </c>
      <c r="R59" t="n">
        <v>0</v>
      </c>
      <c r="S59">
        <f>IFERROR(O59/N59,0)</f>
        <v/>
      </c>
    </row>
    <row r="60">
      <c r="A60">
        <f>Skills!A26</f>
        <v/>
      </c>
      <c r="B60">
        <f>Skills!B26</f>
        <v/>
      </c>
      <c r="C60">
        <f>Inputs!$B$3&gt;=50</f>
        <v/>
      </c>
      <c r="D60">
        <f>IF(Skills!C26=1,60+Inputs!$B$25+Inputs!$B$29,IF(Skills!C26=2,90+Inputs!$B$26+Inputs!$B$29,IF(Skills!C26=3,120+Inputs!$B$27+Inputs!$B$29,MAX(0,(Inputs!$B$3-100)*3)+Inputs!$B$28+Inputs!$B$29)))</f>
        <v/>
      </c>
      <c r="E60">
        <f>INDEX(FactorTable!$B$2:$Y$301, MATCH(ROUND(MIN(300,MAX(1,D60)),0), FactorTable!$A$2:$A$301,0), Skills!M26+1)</f>
        <v/>
      </c>
      <c r="F60">
        <f>IF(Skills!N26=TRUE,(Skills!L26/10)*(E60/1000),Skills!L26/10)+Skills!O26</f>
        <v/>
      </c>
      <c r="G60">
        <f>Skills!G26*IF(Skills!H26&gt;0,Skills!I26/Skills!H26,1)</f>
        <v/>
      </c>
      <c r="H60">
        <f>1-(1-Skills!J26/100)^Skills!K26</f>
        <v/>
      </c>
      <c r="I60" t="inlineStr">
        <is>
          <t>1</t>
        </is>
      </c>
      <c r="J60" t="inlineStr"/>
      <c r="K60" t="inlineStr"/>
      <c r="L60" t="inlineStr"/>
      <c r="M60" t="inlineStr"/>
      <c r="N60" t="inlineStr"/>
      <c r="O60" t="n">
        <v>0</v>
      </c>
      <c r="P60">
        <f>IF(B79=0,0,O60/B79)</f>
        <v/>
      </c>
      <c r="Q60" t="n">
        <v>0</v>
      </c>
      <c r="R60" t="n">
        <v>0</v>
      </c>
      <c r="S60">
        <f>IFERROR(O60/N60,0)</f>
        <v/>
      </c>
    </row>
    <row r="61">
      <c r="A61">
        <f>Skills!A27</f>
        <v/>
      </c>
      <c r="B61">
        <f>Skills!B27</f>
        <v/>
      </c>
      <c r="C61">
        <f>Inputs!$B$3&gt;=38</f>
        <v/>
      </c>
      <c r="D61">
        <f>IF(Skills!C27=1,60+Inputs!$B$25+Inputs!$B$29,IF(Skills!C27=2,90+Inputs!$B$26+Inputs!$B$29,IF(Skills!C27=3,120+Inputs!$B$27+Inputs!$B$29,MAX(0,(Inputs!$B$3-100)*3)+Inputs!$B$28+Inputs!$B$29)))</f>
        <v/>
      </c>
      <c r="E61">
        <f>INDEX(FactorTable!$B$2:$Y$301, MATCH(ROUND(MIN(300,MAX(1,D61)),0), FactorTable!$A$2:$A$301,0), Skills!M27+1)</f>
        <v/>
      </c>
      <c r="F61">
        <f>IF(Skills!N27=TRUE,(Skills!L27/10)*(E61/1000),Skills!L27/10)+Skills!O27</f>
        <v/>
      </c>
      <c r="G61">
        <f>Skills!G27*IF(Skills!H27&gt;0,Skills!I27/Skills!H27,1)</f>
        <v/>
      </c>
      <c r="H61">
        <f>1-(1-Skills!J27/100)^Skills!K27</f>
        <v/>
      </c>
      <c r="I61" t="inlineStr">
        <is>
          <t>1</t>
        </is>
      </c>
      <c r="J61" t="inlineStr"/>
      <c r="K61" t="inlineStr"/>
      <c r="L61" t="inlineStr"/>
      <c r="M61" t="inlineStr"/>
      <c r="N61" t="inlineStr"/>
      <c r="O61" t="n">
        <v>0</v>
      </c>
      <c r="P61">
        <f>IF(B79=0,0,O61/B79)</f>
        <v/>
      </c>
      <c r="Q61" t="n">
        <v>0</v>
      </c>
      <c r="R61" t="n">
        <v>0</v>
      </c>
      <c r="S61">
        <f>IFERROR(O61/N61,0)</f>
        <v/>
      </c>
    </row>
    <row r="62">
      <c r="A62">
        <f>Skills!A28</f>
        <v/>
      </c>
      <c r="B62">
        <f>Skills!B28</f>
        <v/>
      </c>
      <c r="C62">
        <f>Inputs!$B$3&gt;=120</f>
        <v/>
      </c>
      <c r="D62">
        <f>IF(Skills!C28=1,60+Inputs!$B$25+Inputs!$B$29,IF(Skills!C28=2,90+Inputs!$B$26+Inputs!$B$29,IF(Skills!C28=3,120+Inputs!$B$27+Inputs!$B$29,MAX(0,(Inputs!$B$3-100)*3)+Inputs!$B$28+Inputs!$B$29)))</f>
        <v/>
      </c>
      <c r="E62">
        <f>INDEX(FactorTable!$B$2:$Y$301, MATCH(ROUND(MIN(300,MAX(1,D62)),0), FactorTable!$A$2:$A$301,0), Skills!M28+1)</f>
        <v/>
      </c>
      <c r="F62">
        <f>IF(Skills!N28=TRUE,(Skills!L28/10)*(E62/1000),Skills!L28/10)+Skills!O28</f>
        <v/>
      </c>
      <c r="G62">
        <f>Skills!G28*IF(Skills!H28&gt;0,Skills!I28/Skills!H28,1)</f>
        <v/>
      </c>
      <c r="H62">
        <f>1-(1-Skills!J28/100)^Skills!K28</f>
        <v/>
      </c>
      <c r="I62" t="inlineStr">
        <is>
          <t>1</t>
        </is>
      </c>
      <c r="J62" t="inlineStr"/>
      <c r="K62" t="inlineStr"/>
      <c r="L62" t="inlineStr"/>
      <c r="M62" t="inlineStr"/>
      <c r="N62" t="inlineStr"/>
      <c r="O62" t="n">
        <v>0</v>
      </c>
      <c r="P62">
        <f>IF(B79=0,0,O62/B79)</f>
        <v/>
      </c>
      <c r="Q62" t="n">
        <v>0</v>
      </c>
      <c r="R62" t="n">
        <v>0</v>
      </c>
      <c r="S62">
        <f>IFERROR(O62/N62,0)</f>
        <v/>
      </c>
    </row>
    <row r="63">
      <c r="A63">
        <f>Skills!A29</f>
        <v/>
      </c>
      <c r="B63">
        <f>Skills!B29</f>
        <v/>
      </c>
      <c r="C63">
        <f>Inputs!$B$3&gt;=120</f>
        <v/>
      </c>
      <c r="D63">
        <f>IF(Skills!C29=1,60+Inputs!$B$25+Inputs!$B$29,IF(Skills!C29=2,90+Inputs!$B$26+Inputs!$B$29,IF(Skills!C29=3,120+Inputs!$B$27+Inputs!$B$29,MAX(0,(Inputs!$B$3-100)*3)+Inputs!$B$28+Inputs!$B$29)))</f>
        <v/>
      </c>
      <c r="E63">
        <f>INDEX(FactorTable!$B$2:$Y$301, MATCH(ROUND(MIN(300,MAX(1,D63)),0), FactorTable!$A$2:$A$301,0), Skills!M29+1)</f>
        <v/>
      </c>
      <c r="F63">
        <f>IF(Skills!N29=TRUE,(Skills!L29/10)*(E63/1000),Skills!L29/10)+Skills!O29</f>
        <v/>
      </c>
      <c r="G63">
        <f>Skills!G29*IF(Skills!H29&gt;0,Skills!I29/Skills!H29,1)</f>
        <v/>
      </c>
      <c r="H63">
        <f>1-(1-Skills!J29/100)^Skills!K29</f>
        <v/>
      </c>
      <c r="I63" t="inlineStr">
        <is>
          <t>1</t>
        </is>
      </c>
      <c r="J63" t="inlineStr"/>
      <c r="K63" t="inlineStr"/>
      <c r="L63" t="inlineStr"/>
      <c r="M63" t="inlineStr"/>
      <c r="N63" t="inlineStr"/>
      <c r="O63" t="n">
        <v>0</v>
      </c>
      <c r="P63">
        <f>IF(B79=0,0,O63/B79)</f>
        <v/>
      </c>
      <c r="Q63" t="n">
        <v>0</v>
      </c>
      <c r="R63" t="n">
        <v>0</v>
      </c>
      <c r="S63">
        <f>IFERROR(O63/N63,0)</f>
        <v/>
      </c>
    </row>
    <row r="64">
      <c r="A64">
        <f>Skills!A30</f>
        <v/>
      </c>
      <c r="B64">
        <f>Skills!B30</f>
        <v/>
      </c>
      <c r="C64">
        <f>Inputs!$B$3&gt;=125</f>
        <v/>
      </c>
      <c r="D64">
        <f>IF(Skills!C30=1,60+Inputs!$B$25+Inputs!$B$29,IF(Skills!C30=2,90+Inputs!$B$26+Inputs!$B$29,IF(Skills!C30=3,120+Inputs!$B$27+Inputs!$B$29,MAX(0,(Inputs!$B$3-100)*3)+Inputs!$B$28+Inputs!$B$29)))</f>
        <v/>
      </c>
      <c r="E64">
        <f>INDEX(FactorTable!$B$2:$Y$301, MATCH(ROUND(MIN(300,MAX(1,D64)),0), FactorTable!$A$2:$A$301,0), Skills!M30+1)</f>
        <v/>
      </c>
      <c r="F64">
        <f>IF(Skills!N30=TRUE,(Skills!L30/10)*(E64/1000),Skills!L30/10)+Skills!O30</f>
        <v/>
      </c>
      <c r="G64">
        <f>Skills!G30*IF(Skills!H30&gt;0,Skills!I30/Skills!H30,1)</f>
        <v/>
      </c>
      <c r="H64">
        <f>1-(1-Skills!J30/100)^Skills!K30</f>
        <v/>
      </c>
      <c r="I64" t="inlineStr">
        <is>
          <t>1</t>
        </is>
      </c>
      <c r="J64" t="inlineStr"/>
      <c r="K64" t="inlineStr"/>
      <c r="L64" t="inlineStr"/>
      <c r="M64" t="inlineStr"/>
      <c r="N64" t="inlineStr"/>
      <c r="O64" t="n">
        <v>0</v>
      </c>
      <c r="P64">
        <f>IF(B79=0,0,O64/B79)</f>
        <v/>
      </c>
      <c r="Q64" t="n">
        <v>0</v>
      </c>
      <c r="R64" t="n">
        <v>0</v>
      </c>
      <c r="S64">
        <f>IFERROR(O64/N64,0)</f>
        <v/>
      </c>
    </row>
    <row r="66">
      <c r="A66" t="inlineStr">
        <is>
          <t>Average Buff Multiplier</t>
        </is>
      </c>
      <c r="B66">
        <f>(1+(((C55=TRUE)*F55*IF(AND(Inputs!$B$39&lt;&gt;"pvp",Inputs!$B$44&gt;0),(((R55-1)*(Skills!Y21*(1+Inputs!$B$34/100))+MIN((Skills!Y21*(1+Inputs!$B$34/100)),MAX(0,Inputs!$B$44-((R55-1)*Skills!D21))))/Inputs!$B$44),IF(Inputs!$B$39="pvp",MIN((Skills!Y21*(1+Inputs!$B$34/100)),15)/15,(Skills!Y21*(1+Inputs!$B$34/100))/Skills!D21)))+((C57=TRUE)*(F57-Calc!F23))+((C51=TRUE)*(F51-Calc!F17)))/100)*(1+((C44=TRUE)*F44*IF(AND(Inputs!$B$39&lt;&gt;"pvp",Inputs!$B$44&gt;0),(((R44-1)*(Skills!Y10*(1+Inputs!$B$34/100))+MIN((Skills!Y10*(1+Inputs!$B$34/100)),MAX(0,Inputs!$B$44-((R44-1)*Skills!D10))))/Inputs!$B$44),IF(Inputs!$B$39="pvp",MIN((Skills!Y10*(1+Inputs!$B$34/100)),15)/15,(Skills!Y10*(1+Inputs!$B$34/100))/Skills!D10)))/100)*(1+((C49=TRUE)*F49*IF(AND(Inputs!$B$39&lt;&gt;"pvp",Inputs!$B$44&gt;0),(((R49-1)*(Skills!Y15*(1+Inputs!$B$34/100))+MIN((Skills!Y15*(1+Inputs!$B$34/100)),MAX(0,Inputs!$B$44-((R49-1)*Skills!D15))))/Inputs!$B$44),IF(Inputs!$B$39="pvp",MIN((Skills!Y15*(1+Inputs!$B$34/100)),15)/15,(Skills!Y15*(1+Inputs!$B$34/100))/Skills!D15)))/100)</f>
        <v/>
      </c>
    </row>
    <row r="67">
      <c r="A67" t="inlineStr">
        <is>
          <t>Global Crit Rate Bonus %</t>
        </is>
      </c>
      <c r="B67">
        <f>((C54=TRUE)*F54*IF(AND(Inputs!$B$39&lt;&gt;"pvp",Inputs!$B$44&gt;0),(((R54-1)*(Skills!Y20*(1+Inputs!$B$34/100))+MIN((Skills!Y20*(1+Inputs!$B$34/100)),MAX(0,Inputs!$B$44-((R54-1)*Skills!D20))))/Inputs!$B$44),IF(Inputs!$B$39="pvp",MIN((Skills!Y20*(1+Inputs!$B$34/100)),15)/15,(Skills!Y20*(1+Inputs!$B$34/100))/Skills!D20)))</f>
        <v/>
      </c>
    </row>
    <row r="68">
      <c r="A68" t="inlineStr">
        <is>
          <t>Global Monster Damage-Taken Bonus %</t>
        </is>
      </c>
      <c r="B68">
        <f>IF(Inputs!$B$3&gt;=82,15,0)</f>
        <v/>
      </c>
    </row>
    <row r="69">
      <c r="A69" t="inlineStr">
        <is>
          <t>Shadow Partner Average Multiplier</t>
        </is>
      </c>
      <c r="B69">
        <f>1+((C41=TRUE)*F41*(1+3.3333333333333335*IF(C52=TRUE,F52,0)/100)*I41*Skills!J7/100)/100</f>
        <v/>
      </c>
    </row>
    <row r="70">
      <c r="A70" t="inlineStr">
        <is>
          <t>Attack Speed Buff Bonus %</t>
        </is>
      </c>
      <c r="B70">
        <f>((C53=TRUE)*F53*IF(AND(Inputs!$B$39&lt;&gt;"pvp",Inputs!$B$44&gt;0),(((R53-1)*(Skills!Y19*(1+Inputs!$B$34/100))+MIN((Skills!Y19*(1+Inputs!$B$34/100)),MAX(0,Inputs!$B$44-((R53-1)*Skills!D19))))/Inputs!$B$44),IF(Inputs!$B$39="pvp",MIN((Skills!Y19*(1+Inputs!$B$34/100)),15)/15,(Skills!Y19*(1+Inputs!$B$34/100))/Skills!D19)))+((C37=TRUE)*F37*3)</f>
        <v/>
      </c>
    </row>
    <row r="71">
      <c r="A71" t="inlineStr">
        <is>
          <t>Actions Per Second</t>
        </is>
      </c>
      <c r="B71">
        <f>1+MIN(150,150*(1-(1-(Inputs!$B$11+((C56=TRUE)*(F56-Calc!F22)))/150)*(1-B70/150)))/100</f>
        <v/>
      </c>
    </row>
    <row r="72">
      <c r="A72" t="inlineStr">
        <is>
          <t>Skill + Buff Cast Rate</t>
        </is>
      </c>
      <c r="B72">
        <f>IF(AND(Inputs!$B$39&lt;&gt;"pvp",Inputs!$B$44&gt;0),SUMPRODUCT((Skills!E2:E30=TRUE)*(C36:C64=TRUE)*R36:R64*Skills!F2:F30)/Inputs!$B$44,SUMPRODUCT((Skills!E2:E30=TRUE)*(C36:C64=TRUE)*Q36:Q64*Skills!F2:F30))</f>
        <v/>
      </c>
    </row>
    <row r="73">
      <c r="A73" t="inlineStr">
        <is>
          <t>Cruel Stab Casts Per Second</t>
        </is>
      </c>
      <c r="B73">
        <f>MAX(0,B71-B72)</f>
        <v/>
      </c>
    </row>
    <row r="74">
      <c r="A74" t="inlineStr">
        <is>
          <t>Global Critical Damage Bonus % (Smokescreen Mastery Lv.113)</t>
        </is>
      </c>
      <c r="B74">
        <f>IF(Inputs!$B$3&gt;=113,30,0)*IF(AND(Inputs!$B$39&lt;&gt;"pvp",Inputs!$B$44&gt;0),(((R49-1)*(Skills!Y15*(1+Inputs!$B$34/100))+MIN((Skills!Y15*(1+Inputs!$B$34/100)),MAX(0,Inputs!$B$44-((R49-1)*Skills!D15))))/Inputs!$B$44),IF(Inputs!$B$39="pvp",MIN((Skills!Y15*(1+Inputs!$B$34/100)),15)/15,(Skills!Y15*(1+Inputs!$B$34/100))/Skills!D15))</f>
        <v/>
      </c>
    </row>
    <row r="75">
      <c r="A75" t="inlineStr">
        <is>
          <t>Meso Explosion average stack count</t>
        </is>
      </c>
      <c r="B75">
        <f>MIN(10,0.5*B71*Skills!D4)</f>
        <v/>
      </c>
    </row>
    <row r="76">
      <c r="A76" t="inlineStr">
        <is>
          <t>Blood Money average stack count</t>
        </is>
      </c>
      <c r="B76">
        <f>MIN(5,0.25*B71*Skills!D4)</f>
        <v/>
      </c>
    </row>
    <row r="77">
      <c r="A77" t="inlineStr">
        <is>
          <t>Assassinate Murderous Intent Multiplier</t>
        </is>
      </c>
      <c r="B77">
        <f>1+IFERROR(MIN(1,Q48*2/Q45),0)</f>
        <v/>
      </c>
    </row>
    <row r="78">
      <c r="A78" t="inlineStr">
        <is>
          <t>Buff-Casting Startup Delay (s, fixed-duration only)</t>
        </is>
      </c>
      <c r="B78">
        <f>IF(AND(Inputs!$B$39&lt;&gt;"pvp",Inputs!$B$44&gt;0),SUMPRODUCT((Skills!Y2:Y30&gt;0)*(Skills!E2:E30=TRUE)*(C36:C64=TRUE))/B71,0)</f>
        <v/>
      </c>
    </row>
    <row r="79">
      <c r="A79" s="5" t="inlineStr">
        <is>
          <t>TOTAL DPS</t>
        </is>
      </c>
      <c r="B79" s="5">
        <f>SUM(O36:O64)</f>
        <v/>
      </c>
    </row>
    <row r="82">
      <c r="A82" s="5" t="inlineStr">
        <is>
          <t>Stat: LUK %</t>
        </is>
      </c>
    </row>
    <row r="83">
      <c r="A83" s="9" t="inlineStr">
        <is>
          <t>Key</t>
        </is>
      </c>
      <c r="B83" s="9" t="inlineStr">
        <is>
          <t>Name</t>
        </is>
      </c>
      <c r="C83" s="9" t="inlineStr">
        <is>
          <t>Unlocked</t>
        </is>
      </c>
      <c r="D83" s="9" t="inlineStr">
        <is>
          <t>InputLevel</t>
        </is>
      </c>
      <c r="E83" s="9" t="inlineStr">
        <is>
          <t>Factor</t>
        </is>
      </c>
      <c r="F83" s="9" t="inlineStr">
        <is>
          <t>CoefficientPercent</t>
        </is>
      </c>
      <c r="G83" s="9" t="inlineStr">
        <is>
          <t>EffectiveHits</t>
        </is>
      </c>
      <c r="H83" s="9" t="inlineStr">
        <is>
          <t>ProcProbability</t>
        </is>
      </c>
      <c r="I83" s="9" t="inlineStr">
        <is>
          <t>MapleHeroMultiplier</t>
        </is>
      </c>
      <c r="J83" s="9" t="inlineStr">
        <is>
          <t>BaseDamage</t>
        </is>
      </c>
      <c r="K83" s="9" t="inlineStr">
        <is>
          <t>BaseHitDamage</t>
        </is>
      </c>
      <c r="L83" s="9" t="inlineStr">
        <is>
          <t>NonCritAvg</t>
        </is>
      </c>
      <c r="M83" s="9" t="inlineStr">
        <is>
          <t>CritAvg</t>
        </is>
      </c>
      <c r="N83" s="9" t="inlineStr">
        <is>
          <t>ExpectedDamage(perHit)</t>
        </is>
      </c>
      <c r="O83" s="9" t="inlineStr">
        <is>
          <t>DPS</t>
        </is>
      </c>
      <c r="P83" s="9" t="inlineStr">
        <is>
          <t>% of Total</t>
        </is>
      </c>
      <c r="Q83" s="9" t="inlineStr">
        <is>
          <t>InvCooldown</t>
        </is>
      </c>
      <c r="R83" s="9" t="inlineStr">
        <is>
          <t>CastsInFight</t>
        </is>
      </c>
      <c r="S83" s="9" t="inlineStr">
        <is>
          <t>HitRate(perSec)</t>
        </is>
      </c>
      <c r="U83" t="inlineStr">
        <is>
          <t>helpers</t>
        </is>
      </c>
    </row>
    <row r="84">
      <c r="A84">
        <f>Skills!A2</f>
        <v/>
      </c>
      <c r="B84">
        <f>Skills!B2</f>
        <v/>
      </c>
      <c r="C84">
        <f>Inputs!$B$3&gt;=100</f>
        <v/>
      </c>
      <c r="D84" t="inlineStr"/>
      <c r="E84" t="inlineStr"/>
      <c r="F84">
        <f>U86+Skills!O2</f>
        <v/>
      </c>
      <c r="G84">
        <f>Skills!G2*IF(Skills!H2&gt;0,Skills!I2/Skills!H2,1)</f>
        <v/>
      </c>
      <c r="H84">
        <f>1-(1-Skills!J2/100)^Skills!K2</f>
        <v/>
      </c>
      <c r="I84" t="inlineStr">
        <is>
          <t>1</t>
        </is>
      </c>
      <c r="J84">
        <f>((Inputs!$B$6*(1+Inputs!$B$7/100))+(((Inputs!$B$12*(1+(Inputs!$B$13+1)/100))-(Inputs!$B$12*(1+Inputs!$B$13/100)))+0.25*(Inputs!$B$14-Inputs!$B$14))*(1+Inputs!$B$7/100))*(F84/100)</f>
        <v/>
      </c>
      <c r="K84">
        <f>J84*(1+((Inputs!$B$12*(1+(Inputs!$B$13+1)/100))*0.01+Inputs!$B$14*0.0025)/100)*(1+Inputs!$B$15/100)*(1+IF(Inputs!$B$39="pvp",0,(1-Summary!$B$55)*(Inputs!$B$20+0+Skills!P2+B116)+Summary!$B$55*(Inputs!$B$21+Skills!Q2+B116))/100)*(1+Inputs!$B$16/100)*(5000/(6000+Inputs!$B$43*(1-Inputs!$B$19/100)))*(1+(Inputs!$B$24+((C112=TRUE)*(F112-Calc!F30)))/100)*(1+(IF(Skills!A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84)</f>
        <v/>
      </c>
      <c r="L84">
        <f>K84*(MIN(Inputs!$B$22+((C106=TRUE)*(F106-Calc!F24)),Inputs!$B$23+((C111=TRUE)*(F111-Calc!F29)))/100+(Inputs!$B$23+((C111=TRUE)*(F111-Calc!F29)))/100)/2</f>
        <v/>
      </c>
      <c r="M84">
        <f>L84*(1+(Inputs!$B$10+((C108=TRUE)*(F108-Calc!F26))+B122)/100)</f>
        <v/>
      </c>
      <c r="N84">
        <f>L84*(1-MIN((Inputs!$B$9+((C107=TRUE)*(F107-Calc!F25))+B115),100)/100)+M84*(MIN((Inputs!$B$9+((C107=TRUE)*(F107-Calc!F25))+B115),100)/100)</f>
        <v/>
      </c>
      <c r="O84">
        <f>IF(C84,Skills!G2*N84*B121*IF(Inputs!$B$39="pvp",1,(1-Summary!$B$55)*(1)+Summary!$B$55*(MIN((6+Inputs!$B$33),Inputs!$B$37))),0)</f>
        <v/>
      </c>
      <c r="P84">
        <f>IF(B127=0,0,O84/B127)</f>
        <v/>
      </c>
      <c r="Q84" t="n">
        <v>0</v>
      </c>
      <c r="R84" t="n">
        <v>0</v>
      </c>
      <c r="S84">
        <f>IFERROR(O84/N84,0)</f>
        <v/>
      </c>
      <c r="U84">
        <f>MAX(0,(Inputs!$B$3-100)*3)+Inputs!$B$28+Inputs!$B$29</f>
        <v/>
      </c>
    </row>
    <row r="85">
      <c r="A85">
        <f>Skills!A3</f>
        <v/>
      </c>
      <c r="B85">
        <f>Skills!B3</f>
        <v/>
      </c>
      <c r="C85">
        <f>Inputs!$B$3&gt;=35</f>
        <v/>
      </c>
      <c r="D85">
        <f>IF(Skills!C3=1,60+Inputs!$B$25+Inputs!$B$29,IF(Skills!C3=2,90+Inputs!$B$26+Inputs!$B$29,IF(Skills!C3=3,120+Inputs!$B$27+Inputs!$B$29,MAX(0,(Inputs!$B$3-100)*3)+Inputs!$B$28+Inputs!$B$29)))</f>
        <v/>
      </c>
      <c r="E85">
        <f>INDEX(FactorTable!$B$2:$Y$301, MATCH(ROUND(MIN(300,MAX(1,D85)),0), FactorTable!$A$2:$A$301,0), Skills!M3+1)</f>
        <v/>
      </c>
      <c r="F85">
        <f>IF(Skills!N3=TRUE,(Skills!L3/10)*(E85/1000),Skills!L3/10)+Skills!O3</f>
        <v/>
      </c>
      <c r="G85">
        <f>Skills!G3*IF(Skills!H3&gt;0,Skills!I3/Skills!H3,1)</f>
        <v/>
      </c>
      <c r="H85">
        <f>1-(1-Skills!J3/100)^Skills!K3</f>
        <v/>
      </c>
      <c r="I85" t="inlineStr">
        <is>
          <t>1</t>
        </is>
      </c>
      <c r="J85" t="inlineStr"/>
      <c r="K85" t="inlineStr"/>
      <c r="L85" t="inlineStr"/>
      <c r="M85" t="inlineStr"/>
      <c r="N85" t="inlineStr"/>
      <c r="O85" t="n">
        <v>0</v>
      </c>
      <c r="P85">
        <f>IF(B127=0,0,O85/B127)</f>
        <v/>
      </c>
      <c r="Q85" t="n">
        <v>0</v>
      </c>
      <c r="R85" t="n">
        <v>0</v>
      </c>
      <c r="S85">
        <f>IFERROR(O85/N85,0)</f>
        <v/>
      </c>
      <c r="U85">
        <f>INDEX(FactorTable!$B$2:$Y$301, MATCH(ROUND(MIN(300,MAX(1,U84)),0), FactorTable!$A$2:$A$301,0), 22)</f>
        <v/>
      </c>
    </row>
    <row r="86">
      <c r="A86">
        <f>Skills!A4</f>
        <v/>
      </c>
      <c r="B86">
        <f>Skills!B4</f>
        <v/>
      </c>
      <c r="C86">
        <f>Inputs!$B$3&gt;=66</f>
        <v/>
      </c>
      <c r="D86">
        <f>IF(Skills!C4=1,60+Inputs!$B$25+Inputs!$B$29,IF(Skills!C4=2,90+Inputs!$B$26+Inputs!$B$29,IF(Skills!C4=3,120+Inputs!$B$27+Inputs!$B$29,MAX(0,(Inputs!$B$3-100)*3)+Inputs!$B$28+Inputs!$B$29)))</f>
        <v/>
      </c>
      <c r="E86">
        <f>INDEX(FactorTable!$B$2:$Y$301, MATCH(ROUND(MIN(300,MAX(1,D86)),0), FactorTable!$A$2:$A$301,0), Skills!M4+1)</f>
        <v/>
      </c>
      <c r="F86">
        <f>IF(Skills!N4=TRUE,(Skills!L4/10)*(E86/1000),Skills!L4/10)+Skills!O4</f>
        <v/>
      </c>
      <c r="G86">
        <f>Skills!G4*IF(Skills!H4&gt;0,Skills!I4/Skills!H4,1)</f>
        <v/>
      </c>
      <c r="H86">
        <f>1-(1-Skills!J4/100)^Skills!K4</f>
        <v/>
      </c>
      <c r="I86" t="inlineStr">
        <is>
          <t>1</t>
        </is>
      </c>
      <c r="J86">
        <f>((Inputs!$B$6*(1+Inputs!$B$7/100))+(((Inputs!$B$12*(1+(Inputs!$B$13+1)/100))-(Inputs!$B$12*(1+Inputs!$B$13/100)))+0.25*(Inputs!$B$14-Inputs!$B$14))*(1+Inputs!$B$7/100))*(F86/100)</f>
        <v/>
      </c>
      <c r="K86">
        <f>J86*(1+((Inputs!$B$12*(1+(Inputs!$B$13+1)/100))*0.01+Inputs!$B$14*0.0025)/100)*(1+Inputs!$B$15/100)*(1+IF(Inputs!$B$39="pvp",0,(1-Summary!$B$55)*(Inputs!$B$20+0+Skills!P4+B116)+Summary!$B$55*(Inputs!$B$21+Skills!Q4+B116))/100)*(1+Inputs!$B$16/100)*(5000/(6000+Inputs!$B$43*(1-Inputs!$B$19/100)))*(1+(Inputs!$B$24+((C112=TRUE)*(F112-Calc!F30)))/100)*(1+(IF(Skills!A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86)</f>
        <v/>
      </c>
      <c r="L86">
        <f>K86*(MIN(Inputs!$B$22+((C106=TRUE)*(F106-Calc!F24)),Inputs!$B$23+((C111=TRUE)*(F111-Calc!F29)))/100+(Inputs!$B$23+((C111=TRUE)*(F111-Calc!F29)))/100)/2</f>
        <v/>
      </c>
      <c r="M86">
        <f>L86*(1+(Inputs!$B$10+((C108=TRUE)*(F108-Calc!F26))+B122)/100)</f>
        <v/>
      </c>
      <c r="N86">
        <f>L86*(1-MIN((Inputs!$B$9+((C107=TRUE)*(F107-Calc!F25))+B115),100)/100)+M86*(MIN((Inputs!$B$9+((C107=TRUE)*(F107-Calc!F25))+B115),100)/100)</f>
        <v/>
      </c>
      <c r="O86">
        <f>IF(C86,H86*N86*IF(AND(Inputs!$B$39&lt;&gt;"pvp",Inputs!$B$44&gt;0),((Skills!G4*((R86-1)*IF(Skills!H4&gt;0,Skills!I4/Skills!H4,1)+IF(Skills!H4&gt;0,MIN(Skills!I4,MAX(0,MAX(0,Inputs!$B$44-B126)-((R86-1)*IF(Inputs!$B$39="pvp",15,MAX(0.1,Skills!D4-IF(Skills!E4=TRUE,Inputs!$B$32,0))))))/Skills!H4,1)))/Inputs!$B$44),G86*Q86)*IF(Inputs!$B$39="pvp",1,(1-Summary!$B$55)*(1)+Summary!$B$55*(MIN(MIN(10,0.5*B119*Skills!D4),Inputs!$B$37))),0)</f>
        <v/>
      </c>
      <c r="P86">
        <f>IF(B127=0,0,O86/B127)</f>
        <v/>
      </c>
      <c r="Q86">
        <f>IFERROR(1/IF(Inputs!$B$39="pvp",15,MAX(0.1,Skills!D4-IF(Skills!E4=TRUE,Inputs!$B$32,0))),0)</f>
        <v/>
      </c>
      <c r="R86">
        <f>IF(AND(Inputs!$B$39&lt;&gt;"pvp",Inputs!$B$44&gt;0),IF(MAX(0,Inputs!$B$44-B126)&lt;=0,0,(INT(MAX(0,Inputs!$B$44-B126)/IF(Inputs!$B$39="pvp",15,MAX(0.1,Skills!D4-IF(Skills!E4=TRUE,Inputs!$B$32,0))))+1)),0)</f>
        <v/>
      </c>
      <c r="S86">
        <f>IFERROR(O86/N86,0)</f>
        <v/>
      </c>
      <c r="U86">
        <f>290*U85/1000</f>
        <v/>
      </c>
    </row>
    <row r="87">
      <c r="A87">
        <f>Skills!A5</f>
        <v/>
      </c>
      <c r="B87">
        <f>Skills!B5</f>
        <v/>
      </c>
      <c r="C87">
        <f>Inputs!$B$3&gt;=63</f>
        <v/>
      </c>
      <c r="D87">
        <f>IF(Skills!C5=1,60+Inputs!$B$25+Inputs!$B$29,IF(Skills!C5=2,90+Inputs!$B$26+Inputs!$B$29,IF(Skills!C5=3,120+Inputs!$B$27+Inputs!$B$29,MAX(0,(Inputs!$B$3-100)*3)+Inputs!$B$28+Inputs!$B$29)))</f>
        <v/>
      </c>
      <c r="E87">
        <f>INDEX(FactorTable!$B$2:$Y$301, MATCH(ROUND(MIN(300,MAX(1,D87)),0), FactorTable!$A$2:$A$301,0), Skills!M5+1)</f>
        <v/>
      </c>
      <c r="F87">
        <f>IF(Skills!N5=TRUE,(Skills!L5/10)*(E87/1000),Skills!L5/10)+Skills!O5</f>
        <v/>
      </c>
      <c r="G87">
        <f>Skills!G5*IF(Skills!H5&gt;0,Skills!I5/Skills!H5,1)</f>
        <v/>
      </c>
      <c r="H87">
        <f>1-(1-Skills!J5/100)^Skills!K5</f>
        <v/>
      </c>
      <c r="I87" t="inlineStr">
        <is>
          <t>1</t>
        </is>
      </c>
      <c r="J87">
        <f>((Inputs!$B$6*(1+Inputs!$B$7/100))+(((Inputs!$B$12*(1+(Inputs!$B$13+1)/100))-(Inputs!$B$12*(1+Inputs!$B$13/100)))+0.25*(Inputs!$B$14-Inputs!$B$14))*(1+Inputs!$B$7/100))*(F87/100)</f>
        <v/>
      </c>
      <c r="K87">
        <f>J87*(1+((Inputs!$B$12*(1+(Inputs!$B$13+1)/100))*0.01+Inputs!$B$14*0.0025)/100)*(1+Inputs!$B$15/100)*(1+IF(Inputs!$B$39="pvp",0,(1-Summary!$B$55)*(Inputs!$B$20+0+Skills!P5+B116)+Summary!$B$55*(Inputs!$B$21+Skills!Q5+B116))/100)*(1+Inputs!$B$16/100)*(5000/(6000+Inputs!$B$43*(1-Inputs!$B$19/100)))*(1+(Inputs!$B$24+((C112=TRUE)*(F112-Calc!F30)))/100)*(1+2.6666666666666665*IF(C100=TRUE,F100,0)/100)*(1+(IF(Skills!A5="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87)</f>
        <v/>
      </c>
      <c r="L87">
        <f>K87*(MIN(Inputs!$B$22+((C106=TRUE)*(F106-Calc!F24)),Inputs!$B$23+((C111=TRUE)*(F111-Calc!F29)))/100+(Inputs!$B$23+((C111=TRUE)*(F111-Calc!F29)))/100)/2</f>
        <v/>
      </c>
      <c r="M87">
        <f>L87*(1+(Inputs!$B$10+((C108=TRUE)*(F108-Calc!F26))+B122)/100)</f>
        <v/>
      </c>
      <c r="N87">
        <f>L87*(1-MIN((Inputs!$B$9+((C107=TRUE)*(F107-Calc!F25))+B115),100)/100)+M87*(MIN((Inputs!$B$9+((C107=TRUE)*(F107-Calc!F25))+B115),100)/100)</f>
        <v/>
      </c>
      <c r="O87">
        <f>IF(C87,H87*N87*IF(AND(Inputs!$B$39&lt;&gt;"pvp",Inputs!$B$44&gt;0),((Skills!G5*((R87-1)*IF(Skills!H5&gt;0,Skills!I5/Skills!H5,1)+IF(Skills!H5&gt;0,MIN(Skills!I5,MAX(0,MAX(0,Inputs!$B$44-B126)-((R87-1)*IF(Inputs!$B$39="pvp",15,MAX(0.1,Skills!D5-IF(Skills!E5=TRUE,Inputs!$B$32,0))))))/Skills!H5,1)))/Inputs!$B$44),G87*Q87)*IF(Inputs!$B$39="pvp",1,(1-Summary!$B$55)*(1)+Summary!$B$55*(MIN(Skills!W5,Inputs!$B$37))),0)</f>
        <v/>
      </c>
      <c r="P87">
        <f>IF(B127=0,0,O87/B127)</f>
        <v/>
      </c>
      <c r="Q87">
        <f>IFERROR(1/IF(Inputs!$B$39="pvp",15,MAX(0.1,Skills!D5-IF(Skills!E5=TRUE,Inputs!$B$32,0))),0)</f>
        <v/>
      </c>
      <c r="R87">
        <f>IF(AND(Inputs!$B$39&lt;&gt;"pvp",Inputs!$B$44&gt;0),IF(MAX(0,Inputs!$B$44-B126)&lt;=0,0,(INT(MAX(0,Inputs!$B$44-B126)/IF(Inputs!$B$39="pvp",15,MAX(0.1,Skills!D5-IF(Skills!E5=TRUE,Inputs!$B$32,0))))+1)),0)</f>
        <v/>
      </c>
      <c r="S87">
        <f>IFERROR(O87/N87,0)</f>
        <v/>
      </c>
    </row>
    <row r="88">
      <c r="A88">
        <f>Skills!A6</f>
        <v/>
      </c>
      <c r="B88">
        <f>Skills!B6</f>
        <v/>
      </c>
      <c r="C88">
        <f>Inputs!$B$3&gt;=69</f>
        <v/>
      </c>
      <c r="D88">
        <f>IF(Skills!C6=1,60+Inputs!$B$25+Inputs!$B$29,IF(Skills!C6=2,90+Inputs!$B$26+Inputs!$B$29,IF(Skills!C6=3,120+Inputs!$B$27+Inputs!$B$29,MAX(0,(Inputs!$B$3-100)*3)+Inputs!$B$28+Inputs!$B$29)))</f>
        <v/>
      </c>
      <c r="E88">
        <f>INDEX(FactorTable!$B$2:$Y$301, MATCH(ROUND(MIN(300,MAX(1,D88)),0), FactorTable!$A$2:$A$301,0), Skills!M6+1)</f>
        <v/>
      </c>
      <c r="F88">
        <f>IF(Skills!N6=TRUE,(Skills!L6/10)*(E88/1000),Skills!L6/10)+Skills!O6</f>
        <v/>
      </c>
      <c r="G88">
        <f>Skills!G6*IF(Skills!H6&gt;0,Skills!I6/Skills!H6,1)</f>
        <v/>
      </c>
      <c r="H88">
        <f>1-(1-Skills!J6/100)^Skills!K6</f>
        <v/>
      </c>
      <c r="I88" t="inlineStr">
        <is>
          <t>1</t>
        </is>
      </c>
      <c r="J88">
        <f>((Inputs!$B$6*(1+Inputs!$B$7/100))+(((Inputs!$B$12*(1+(Inputs!$B$13+1)/100))-(Inputs!$B$12*(1+Inputs!$B$13/100)))+0.25*(Inputs!$B$14-Inputs!$B$14))*(1+Inputs!$B$7/100))*(F88/100)</f>
        <v/>
      </c>
      <c r="K88">
        <f>J88*(1+((Inputs!$B$12*(1+(Inputs!$B$13+1)/100))*0.01+Inputs!$B$14*0.0025)/100)*(1+Inputs!$B$15/100)*(1+IF(Inputs!$B$39="pvp",0,(1-Summary!$B$55)*(Inputs!$B$20+0+Skills!P6+B116)+Summary!$B$55*(Inputs!$B$21+Skills!Q6+B116))/100)*(1+Inputs!$B$16/100)*(5000/(6000+Inputs!$B$43*(1-Inputs!$B$19/100)))*(1+(Inputs!$B$24+((C112=TRUE)*(F112-Calc!F30)))/100)*(1+1.0*IF(C100=TRUE,F100,0)/100)*(1+(IF(Skills!A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88)</f>
        <v/>
      </c>
      <c r="L88">
        <f>K88*(MIN(Inputs!$B$22+((C106=TRUE)*(F106-Calc!F24)),Inputs!$B$23+((C111=TRUE)*(F111-Calc!F29)))/100+(Inputs!$B$23+((C111=TRUE)*(F111-Calc!F29)))/100)/2</f>
        <v/>
      </c>
      <c r="M88">
        <f>L88*(1+(Inputs!$B$10+((C108=TRUE)*(F108-Calc!F26))+B122)/100)</f>
        <v/>
      </c>
      <c r="N88">
        <f>L88*(1-MIN((Inputs!$B$9+((C107=TRUE)*(F107-Calc!F25))+B115),100)/100)+M88*(MIN((Inputs!$B$9+((C107=TRUE)*(F107-Calc!F25))+B115),100)/100)</f>
        <v/>
      </c>
      <c r="O88">
        <f>IF(C88,H88*N88*IF(AND(Inputs!$B$39&lt;&gt;"pvp",Inputs!$B$44&gt;0),((Skills!G6*((R88-1)*IF(Skills!H6&gt;0,Skills!I6/Skills!H6,1)+IF(Skills!H6&gt;0,MIN(Skills!I6,MAX(0,MAX(0,Inputs!$B$44-B126)-((R88-1)*IF(Inputs!$B$39="pvp",15,MAX(0.1,Skills!D6-IF(Skills!E6=TRUE,Inputs!$B$32,0))))))/Skills!H6,1)))/Inputs!$B$44),G88*Q88)*IF(Inputs!$B$39="pvp",1,(1-Summary!$B$55)*(1)+Summary!$B$55*(MIN(Skills!W6,Inputs!$B$37))),0)</f>
        <v/>
      </c>
      <c r="P88">
        <f>IF(B127=0,0,O88/B127)</f>
        <v/>
      </c>
      <c r="Q88">
        <f>IFERROR(1/IF(Inputs!$B$39="pvp",15,MAX(0.1,Skills!D6-IF(Skills!E6=TRUE,Inputs!$B$32,0))),0)</f>
        <v/>
      </c>
      <c r="R88">
        <f>IF(AND(Inputs!$B$39&lt;&gt;"pvp",Inputs!$B$44&gt;0),IF(MAX(0,Inputs!$B$44-B126)&lt;=0,0,(INT(MAX(0,Inputs!$B$44-B126)/IF(Inputs!$B$39="pvp",15,MAX(0.1,Skills!D6-IF(Skills!E6=TRUE,Inputs!$B$32,0))))+1)),0)</f>
        <v/>
      </c>
      <c r="S88">
        <f>IFERROR(O88/N88,0)</f>
        <v/>
      </c>
    </row>
    <row r="89">
      <c r="A89">
        <f>Skills!A7</f>
        <v/>
      </c>
      <c r="B89">
        <f>Skills!B7</f>
        <v/>
      </c>
      <c r="C89">
        <f>Inputs!$B$3&gt;=60</f>
        <v/>
      </c>
      <c r="D89">
        <f>IF(Skills!C7=1,60+Inputs!$B$25+Inputs!$B$29,IF(Skills!C7=2,90+Inputs!$B$26+Inputs!$B$29,IF(Skills!C7=3,120+Inputs!$B$27+Inputs!$B$29,MAX(0,(Inputs!$B$3-100)*3)+Inputs!$B$28+Inputs!$B$29)))</f>
        <v/>
      </c>
      <c r="E89">
        <f>INDEX(FactorTable!$B$2:$Y$301, MATCH(ROUND(MIN(300,MAX(1,D89)),0), FactorTable!$A$2:$A$301,0), Skills!M7+1)</f>
        <v/>
      </c>
      <c r="F89">
        <f>IF(Skills!N7=TRUE,(Skills!L7/10)*(E89/1000),Skills!L7/10)+Skills!O7</f>
        <v/>
      </c>
      <c r="G89">
        <f>Skills!G7*IF(Skills!H7&gt;0,Skills!I7/Skills!H7,1)</f>
        <v/>
      </c>
      <c r="H89">
        <f>1-(1-Skills!J7/100)^Skills!K7</f>
        <v/>
      </c>
      <c r="I89" t="inlineStr">
        <is>
          <t>1</t>
        </is>
      </c>
      <c r="J89" t="inlineStr"/>
      <c r="K89" t="inlineStr"/>
      <c r="L89" t="inlineStr"/>
      <c r="M89" t="inlineStr"/>
      <c r="N89" t="inlineStr"/>
      <c r="O89" t="n">
        <v>0</v>
      </c>
      <c r="P89">
        <f>IF(B127=0,0,O89/B127)</f>
        <v/>
      </c>
      <c r="Q89" t="n">
        <v>0</v>
      </c>
      <c r="R89" t="n">
        <v>0</v>
      </c>
      <c r="S89">
        <f>IFERROR(O89/N89,0)</f>
        <v/>
      </c>
    </row>
    <row r="90">
      <c r="A90">
        <f>Skills!A8</f>
        <v/>
      </c>
      <c r="B90">
        <f>Skills!B8</f>
        <v/>
      </c>
      <c r="C90">
        <f>Inputs!$B$3&gt;=72</f>
        <v/>
      </c>
      <c r="D90">
        <f>IF(Skills!C8=1,60+Inputs!$B$25+Inputs!$B$29,IF(Skills!C8=2,90+Inputs!$B$26+Inputs!$B$29,IF(Skills!C8=3,120+Inputs!$B$27+Inputs!$B$29,MAX(0,(Inputs!$B$3-100)*3)+Inputs!$B$28+Inputs!$B$29)))</f>
        <v/>
      </c>
      <c r="E90">
        <f>INDEX(FactorTable!$B$2:$Y$301, MATCH(ROUND(MIN(300,MAX(1,D90)),0), FactorTable!$A$2:$A$301,0), Skills!M8+1)</f>
        <v/>
      </c>
      <c r="F90">
        <f>IF(Skills!N8=TRUE,(Skills!L8/10)*(E90/1000),Skills!L8/10)+Skills!O8</f>
        <v/>
      </c>
      <c r="G90">
        <f>Skills!G8*IF(Skills!H8&gt;0,Skills!I8/Skills!H8,1)</f>
        <v/>
      </c>
      <c r="H90">
        <f>1-(1-Skills!J8/100)^Skills!K8</f>
        <v/>
      </c>
      <c r="I90" t="inlineStr">
        <is>
          <t>1</t>
        </is>
      </c>
      <c r="J90">
        <f>((Inputs!$B$6*(1+Inputs!$B$7/100))+(((Inputs!$B$12*(1+(Inputs!$B$13+1)/100))-(Inputs!$B$12*(1+Inputs!$B$13/100)))+0.25*(Inputs!$B$14-Inputs!$B$14))*(1+Inputs!$B$7/100))*(F90/100)</f>
        <v/>
      </c>
      <c r="K90">
        <f>J90*(1+((Inputs!$B$12*(1+(Inputs!$B$13+1)/100))*0.01+Inputs!$B$14*0.0025)/100)*(1+Inputs!$B$15/100)*(1+IF(Inputs!$B$39="pvp",0,(1-Summary!$B$55)*(Inputs!$B$20+0+Skills!P8+B116)+Summary!$B$55*(Inputs!$B$21+Skills!Q8+B116))/100)*(1+Inputs!$B$16/100)*(5000/(6000+Inputs!$B$43*(1-Inputs!$B$19/100)))*(1+(Inputs!$B$24+((C112=TRUE)*(F112-Calc!F30)))/100)*(1+3.3333333333333335*IF(C100=TRUE,F100,0)/100)*(1+(IF(Skills!A8="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90)</f>
        <v/>
      </c>
      <c r="L90">
        <f>K90*(MIN(Inputs!$B$22+((C106=TRUE)*(F106-Calc!F24)),Inputs!$B$23+((C111=TRUE)*(F111-Calc!F29)))/100+(Inputs!$B$23+((C111=TRUE)*(F111-Calc!F29)))/100)/2</f>
        <v/>
      </c>
      <c r="M90">
        <f>L90*(1+(Inputs!$B$10+((C108=TRUE)*(F108-Calc!F26))+B122)/100)</f>
        <v/>
      </c>
      <c r="N90">
        <f>L90*(1-MIN((Inputs!$B$9+((C107=TRUE)*(F107-Calc!F25))+B115),100)/100)+M90*(MIN((Inputs!$B$9+((C107=TRUE)*(F107-Calc!F25))+B115),100)/100)</f>
        <v/>
      </c>
      <c r="O90">
        <f>IF(C90,H90*N90*IF(AND(Inputs!$B$39&lt;&gt;"pvp",Inputs!$B$44&gt;0),((Skills!G8*((R90-1)*IF(Skills!H8&gt;0,Skills!I8/Skills!H8,1)+IF(Skills!H8&gt;0,MIN(Skills!I8,MAX(0,MAX(0,Inputs!$B$44-B126)-((R90-1)*IF(Inputs!$B$39="pvp",15,MAX(0.1,Skills!D8-IF(Skills!E8=TRUE,Inputs!$B$32,0))))))/Skills!H8,1)))/Inputs!$B$44),G90*Q90)*IF(Inputs!$B$39="pvp",1,(1-Summary!$B$55)*(1)+Summary!$B$55*(MIN(Skills!W8,Inputs!$B$37))),0)</f>
        <v/>
      </c>
      <c r="P90">
        <f>IF(B127=0,0,O90/B127)</f>
        <v/>
      </c>
      <c r="Q90">
        <f>IFERROR(1/IF(Inputs!$B$39="pvp",15,MAX(0.1,Skills!D8-IF(Skills!E8=TRUE,Inputs!$B$32,0))),0)</f>
        <v/>
      </c>
      <c r="R90">
        <f>IF(AND(Inputs!$B$39&lt;&gt;"pvp",Inputs!$B$44&gt;0),IF(MAX(0,Inputs!$B$44-B126)&lt;=0,0,(INT(MAX(0,Inputs!$B$44-B126)/IF(Inputs!$B$39="pvp",15,MAX(0.1,Skills!D8-IF(Skills!E8=TRUE,Inputs!$B$32,0))))+1)),0)</f>
        <v/>
      </c>
      <c r="S90">
        <f>IFERROR(O90/N90,0)</f>
        <v/>
      </c>
    </row>
    <row r="91">
      <c r="A91">
        <f>Skills!A9</f>
        <v/>
      </c>
      <c r="B91">
        <f>Skills!B9</f>
        <v/>
      </c>
      <c r="C91">
        <f>Inputs!$B$3&gt;=117</f>
        <v/>
      </c>
      <c r="D91">
        <f>IF(Skills!C9=1,60+Inputs!$B$25+Inputs!$B$29,IF(Skills!C9=2,90+Inputs!$B$26+Inputs!$B$29,IF(Skills!C9=3,120+Inputs!$B$27+Inputs!$B$29,MAX(0,(Inputs!$B$3-100)*3)+Inputs!$B$28+Inputs!$B$29)))</f>
        <v/>
      </c>
      <c r="E91">
        <f>INDEX(FactorTable!$B$2:$Y$301, MATCH(ROUND(MIN(300,MAX(1,D91)),0), FactorTable!$A$2:$A$301,0), Skills!M9+1)</f>
        <v/>
      </c>
      <c r="F91">
        <f>IF(Skills!N9=TRUE,(Skills!L9/10)*(E91/1000),Skills!L9/10)+Skills!O9</f>
        <v/>
      </c>
      <c r="G91">
        <f>Skills!G9*IF(Skills!H9&gt;0,Skills!I9/Skills!H9,1)</f>
        <v/>
      </c>
      <c r="H91">
        <f>1-(1-Skills!J9/100)^Skills!K9</f>
        <v/>
      </c>
      <c r="I91" t="inlineStr">
        <is>
          <t>1</t>
        </is>
      </c>
      <c r="J91">
        <f>((Inputs!$B$6*(1+Inputs!$B$7/100))+(((Inputs!$B$12*(1+(Inputs!$B$13+1)/100))-(Inputs!$B$12*(1+Inputs!$B$13/100)))+0.25*(Inputs!$B$14-Inputs!$B$14))*(1+Inputs!$B$7/100))*(F91/100)</f>
        <v/>
      </c>
      <c r="K91">
        <f>J91*(1+((Inputs!$B$12*(1+(Inputs!$B$13+1)/100))*0.01+Inputs!$B$14*0.0025)/100)*(1+Inputs!$B$15/100)*(1+IF(Inputs!$B$39="pvp",0,(1-Summary!$B$55)*(Inputs!$B$20+0+Skills!P9+B116)+Summary!$B$55*(Inputs!$B$21+Skills!Q9+B116))/100)*(1+Inputs!$B$16/100)*(5000/(6000+Inputs!$B$43*(1-Inputs!$B$19/100)))*(1+(Inputs!$B$24+((C112=TRUE)*(F112-Calc!F30)))/100)*(1+(IF(Skills!A9="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91)</f>
        <v/>
      </c>
      <c r="L91">
        <f>K91*(MIN(Inputs!$B$22+((C106=TRUE)*(F106-Calc!F24)),Inputs!$B$23+((C111=TRUE)*(F111-Calc!F29)))/100+(Inputs!$B$23+((C111=TRUE)*(F111-Calc!F29)))/100)/2</f>
        <v/>
      </c>
      <c r="M91">
        <f>L91*(1+(Inputs!$B$10+((C108=TRUE)*(F108-Calc!F26))+B122)/100)</f>
        <v/>
      </c>
      <c r="N91">
        <f>L91*(1-MIN((Inputs!$B$9+((C107=TRUE)*(F107-Calc!F25))+B115),100)/100)+M91*(MIN((Inputs!$B$9+((C107=TRUE)*(F107-Calc!F25))+B115),100)/100)</f>
        <v/>
      </c>
      <c r="O91">
        <f>IF(C91,0.2*SUMPRODUCT((Skills!Z2:Z30=TRUE)*(C84:C112=TRUE)*S84:S112)*N91,0)</f>
        <v/>
      </c>
      <c r="P91">
        <f>IF(B127=0,0,O91/B127)</f>
        <v/>
      </c>
      <c r="Q91" t="n">
        <v>0</v>
      </c>
      <c r="R91" t="n">
        <v>0</v>
      </c>
      <c r="S91" t="n">
        <v>0</v>
      </c>
    </row>
    <row r="92">
      <c r="A92">
        <f>Skills!A10</f>
        <v/>
      </c>
      <c r="B92">
        <f>Skills!B10</f>
        <v/>
      </c>
      <c r="C92">
        <f>Inputs!$B$3&gt;=74</f>
        <v/>
      </c>
      <c r="D92">
        <f>IF(Skills!C10=1,60+Inputs!$B$25+Inputs!$B$29,IF(Skills!C10=2,90+Inputs!$B$26+Inputs!$B$29,IF(Skills!C10=3,120+Inputs!$B$27+Inputs!$B$29,MAX(0,(Inputs!$B$3-100)*3)+Inputs!$B$28+Inputs!$B$29)))</f>
        <v/>
      </c>
      <c r="E92">
        <f>INDEX(FactorTable!$B$2:$Y$301, MATCH(ROUND(MIN(300,MAX(1,D92)),0), FactorTable!$A$2:$A$301,0), Skills!M10+1)</f>
        <v/>
      </c>
      <c r="F92">
        <f>IF(Skills!N10=TRUE,(Skills!L10/10)*(E92/1000),Skills!L10/10)+Skills!O10</f>
        <v/>
      </c>
      <c r="G92">
        <f>Skills!G10*IF(Skills!H10&gt;0,Skills!I10/Skills!H10,1)</f>
        <v/>
      </c>
      <c r="H92">
        <f>1-(1-Skills!J10/100)^Skills!K10</f>
        <v/>
      </c>
      <c r="I92" t="inlineStr">
        <is>
          <t>1</t>
        </is>
      </c>
      <c r="J92" t="inlineStr"/>
      <c r="K92" t="inlineStr"/>
      <c r="L92" t="inlineStr"/>
      <c r="M92" t="inlineStr"/>
      <c r="N92" t="inlineStr"/>
      <c r="O92" t="n">
        <v>0</v>
      </c>
      <c r="P92">
        <f>IF(B127=0,0,O92/B127)</f>
        <v/>
      </c>
      <c r="Q92">
        <f>IFERROR(1/IF(Inputs!$B$39="pvp",15,MAX(0.1,Skills!D10-IF(Skills!E10=TRUE,Inputs!$B$32,0))),0)</f>
        <v/>
      </c>
      <c r="R92">
        <f>IF(AND(Inputs!$B$39&lt;&gt;"pvp",Inputs!$B$44&gt;0),IF(Inputs!$B$44&lt;=0,0,(INT(Inputs!$B$44/IF(Inputs!$B$39="pvp",15,MAX(0.1,Skills!D10-IF(Skills!E10=TRUE,Inputs!$B$32,0))))+1)),0)</f>
        <v/>
      </c>
      <c r="S92">
        <f>IFERROR(O92/N92,0)</f>
        <v/>
      </c>
    </row>
    <row r="93">
      <c r="A93">
        <f>Skills!A11</f>
        <v/>
      </c>
      <c r="B93">
        <f>Skills!B11</f>
        <v/>
      </c>
      <c r="C93">
        <f>Inputs!$B$3&gt;=103</f>
        <v/>
      </c>
      <c r="D93">
        <f>IF(Skills!C11=1,60+Inputs!$B$25+Inputs!$B$29,IF(Skills!C11=2,90+Inputs!$B$26+Inputs!$B$29,IF(Skills!C11=3,120+Inputs!$B$27+Inputs!$B$29,MAX(0,(Inputs!$B$3-100)*3)+Inputs!$B$28+Inputs!$B$29)))</f>
        <v/>
      </c>
      <c r="E93">
        <f>INDEX(FactorTable!$B$2:$Y$301, MATCH(ROUND(MIN(300,MAX(1,D93)),0), FactorTable!$A$2:$A$301,0), Skills!M11+1)</f>
        <v/>
      </c>
      <c r="F93">
        <f>(Skills!L11/10)*(E93/1000)+IF(Inputs!$B$3&gt;=134,50,0)+0.5*(30000/10)*(INDEX(FactorTable!$B$2:$Y$301, MATCH(ROUND(MIN(300,MAX(1,D93)),0), FactorTable!$A$2:$A$301,0), 13)/1000)*B125</f>
        <v/>
      </c>
      <c r="G93">
        <f>Skills!G11*IF(Skills!H11&gt;0,Skills!I11/Skills!H11,1)</f>
        <v/>
      </c>
      <c r="H93">
        <f>1-(1-Skills!J11/100)^Skills!K11</f>
        <v/>
      </c>
      <c r="I93" t="inlineStr">
        <is>
          <t>1</t>
        </is>
      </c>
      <c r="J93">
        <f>((Inputs!$B$6*(1+Inputs!$B$7/100))+(((Inputs!$B$12*(1+(Inputs!$B$13+1)/100))-(Inputs!$B$12*(1+Inputs!$B$13/100)))+0.25*(Inputs!$B$14-Inputs!$B$14))*(1+Inputs!$B$7/100))*(F93/100)</f>
        <v/>
      </c>
      <c r="K93">
        <f>J93*(1+((Inputs!$B$12*(1+(Inputs!$B$13+1)/100))*0.01+Inputs!$B$14*0.0025)/100)*(1+Inputs!$B$15/100)*(1+IF(Inputs!$B$39="pvp",0,(1-Summary!$B$55)*(Inputs!$B$20+0+Skills!P11+B116)+Summary!$B$55*(Inputs!$B$21+Skills!Q11+B116))/100)*(1+Inputs!$B$16/100)*(5000/(6000+Inputs!$B$43*(1-Inputs!$B$19/100)))*(1+(Inputs!$B$24+((C112=TRUE)*(F112-Calc!F30)))/100)*(1+(IF(Skills!A11="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93)</f>
        <v/>
      </c>
      <c r="L93">
        <f>K93*(MIN(Inputs!$B$22+((C106=TRUE)*(F106-Calc!F24)),Inputs!$B$23+((C111=TRUE)*(F111-Calc!F29)))/100+(Inputs!$B$23+((C111=TRUE)*(F111-Calc!F29)))/100)/2</f>
        <v/>
      </c>
      <c r="M93">
        <f>L93*(1+(Inputs!$B$10+((C108=TRUE)*(F108-Calc!F26))+B122)/100)</f>
        <v/>
      </c>
      <c r="N93">
        <f>L93*(1-MIN((Inputs!$B$9+((C107=TRUE)*(F107-Calc!F25))+B115),100)/100)+M93*(MIN((Inputs!$B$9+((C107=TRUE)*(F107-Calc!F25))+B115),100)/100)</f>
        <v/>
      </c>
      <c r="O93">
        <f>IF(C93,H93*N93*IF(AND(Inputs!$B$39&lt;&gt;"pvp",Inputs!$B$44&gt;0),((Skills!G11*((R93-1)*IF(Skills!H11&gt;0,Skills!I11/Skills!H11,1)+IF(Skills!H11&gt;0,MIN(Skills!I11,MAX(0,MAX(0,Inputs!$B$44-B126)-((R93-1)*IF(Inputs!$B$39="pvp",15,MAX(0.1,Skills!D11-IF(Skills!E11=TRUE,Inputs!$B$32,0))))))/Skills!H11,1)))/Inputs!$B$44),G93*Q93)*IF(Inputs!$B$39="pvp",1,(1-Summary!$B$55)*(1)+Summary!$B$55*(MIN(Skills!W11,Inputs!$B$37))),0)</f>
        <v/>
      </c>
      <c r="P93">
        <f>IF(B127=0,0,O93/B127)</f>
        <v/>
      </c>
      <c r="Q93">
        <f>IFERROR(1/IF(Inputs!$B$39="pvp",15,MAX(0.1,Skills!D11-IF(Skills!E11=TRUE,Inputs!$B$32,0))),0)</f>
        <v/>
      </c>
      <c r="R93">
        <f>IF(AND(Inputs!$B$39&lt;&gt;"pvp",Inputs!$B$44&gt;0),IF(MAX(0,Inputs!$B$44-B126)&lt;=0,0,(INT(MAX(0,Inputs!$B$44-B126)/IF(Inputs!$B$39="pvp",15,MAX(0.1,Skills!D11-IF(Skills!E11=TRUE,Inputs!$B$32,0))))+1)),0)</f>
        <v/>
      </c>
      <c r="S93">
        <f>IFERROR(O93/N93,0)</f>
        <v/>
      </c>
    </row>
    <row r="94">
      <c r="A94">
        <f>Skills!A12</f>
        <v/>
      </c>
      <c r="B94">
        <f>Skills!B12</f>
        <v/>
      </c>
      <c r="C94">
        <f>Inputs!$B$3&gt;=105</f>
        <v/>
      </c>
      <c r="D94">
        <f>IF(Skills!C12=1,60+Inputs!$B$25+Inputs!$B$29,IF(Skills!C12=2,90+Inputs!$B$26+Inputs!$B$29,IF(Skills!C12=3,120+Inputs!$B$27+Inputs!$B$29,MAX(0,(Inputs!$B$3-100)*3)+Inputs!$B$28+Inputs!$B$29)))</f>
        <v/>
      </c>
      <c r="E94">
        <f>INDEX(FactorTable!$B$2:$Y$301, MATCH(ROUND(MIN(300,MAX(1,D94)),0), FactorTable!$A$2:$A$301,0), Skills!M12+1)</f>
        <v/>
      </c>
      <c r="F94">
        <f>IF(Skills!N12=TRUE,(Skills!L12/10)*(E94/1000),Skills!L12/10)+Skills!O12</f>
        <v/>
      </c>
      <c r="G94">
        <f>Skills!G12*IF(Skills!H12&gt;0,Skills!I12/Skills!H12,1)</f>
        <v/>
      </c>
      <c r="H94">
        <f>1-(1-Skills!J12/100)^Skills!K12</f>
        <v/>
      </c>
      <c r="I94" t="inlineStr">
        <is>
          <t>1</t>
        </is>
      </c>
      <c r="J94">
        <f>((Inputs!$B$6*(1+Inputs!$B$7/100))+(((Inputs!$B$12*(1+(Inputs!$B$13+1)/100))-(Inputs!$B$12*(1+Inputs!$B$13/100)))+0.25*(Inputs!$B$14-Inputs!$B$14))*(1+Inputs!$B$7/100))*(F94/100)</f>
        <v/>
      </c>
      <c r="K94">
        <f>J94*(1+((Inputs!$B$12*(1+(Inputs!$B$13+1)/100))*0.01+Inputs!$B$14*0.0025)/100)*(1+Inputs!$B$15/100)*(1+IF(Inputs!$B$39="pvp",0,(1-Summary!$B$55)*(Inputs!$B$20+0+Skills!P12+B116)+Summary!$B$55*(Inputs!$B$21+Skills!Q12+B116))/100)*(1+Inputs!$B$16/100)*(5000/(6000+Inputs!$B$43*(1-Inputs!$B$19/100)))*(1+(Inputs!$B$24+((C112=TRUE)*(F112-Calc!F30)))/100)*(1+(IF(Skills!A12="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94)</f>
        <v/>
      </c>
      <c r="L94">
        <f>K94*(MIN(Inputs!$B$22+((C106=TRUE)*(F106-Calc!F24)),Inputs!$B$23+((C111=TRUE)*(F111-Calc!F29)))/100+(Inputs!$B$23+((C111=TRUE)*(F111-Calc!F29)))/100)/2</f>
        <v/>
      </c>
      <c r="M94">
        <f>L94*(1+(Inputs!$B$10+((C108=TRUE)*(F108-Calc!F26))+B122)/100)</f>
        <v/>
      </c>
      <c r="N94">
        <f>L94*(1-MIN((Inputs!$B$9+((C107=TRUE)*(F107-Calc!F25))+B115),100)/100)+M94*(MIN((Inputs!$B$9+((C107=TRUE)*(F107-Calc!F25))+B115),100)/100)</f>
        <v/>
      </c>
      <c r="O94">
        <f>IF(C94,H94*N94*IF(AND(Inputs!$B$39&lt;&gt;"pvp",Inputs!$B$44&gt;0),((Skills!G12*((R94-1)*IF(Skills!H12&gt;0,Skills!I12/Skills!H12,1)+IF(Skills!H12&gt;0,MIN(Skills!I12,MAX(0,MAX(0,Inputs!$B$44-B126)-((R94-1)*IF(Inputs!$B$39="pvp",15,MAX(0.1,Skills!D12-IF(Skills!E12=TRUE,Inputs!$B$32,0))))))/Skills!H12,1)))/Inputs!$B$44),G94*Q94)*IF(Inputs!$B$39="pvp",1,(1-Summary!$B$55)*(1)+Summary!$B$55*(MIN(Skills!W12,Inputs!$B$37))),0)</f>
        <v/>
      </c>
      <c r="P94">
        <f>IF(B127=0,0,O94/B127)</f>
        <v/>
      </c>
      <c r="Q94">
        <f>IFERROR(1/IF(Inputs!$B$39="pvp",15,MAX(0.1,Skills!D12-IF(Skills!E12=TRUE,Inputs!$B$32,0))),0)</f>
        <v/>
      </c>
      <c r="R94">
        <f>IF(AND(Inputs!$B$39&lt;&gt;"pvp",Inputs!$B$44&gt;0),IF(MAX(0,Inputs!$B$44-B126)&lt;=0,0,(INT(MAX(0,Inputs!$B$44-B126)/IF(Inputs!$B$39="pvp",15,MAX(0.1,Skills!D12-IF(Skills!E12=TRUE,Inputs!$B$32,0))))+1)),0)</f>
        <v/>
      </c>
      <c r="S94">
        <f>IFERROR(O94/N94,0)</f>
        <v/>
      </c>
    </row>
    <row r="95">
      <c r="A95">
        <f>Skills!A13</f>
        <v/>
      </c>
      <c r="B95">
        <f>Skills!B13</f>
        <v/>
      </c>
      <c r="C95">
        <f>Inputs!$B$3&gt;=105</f>
        <v/>
      </c>
      <c r="D95">
        <f>IF(Skills!C13=1,60+Inputs!$B$25+Inputs!$B$29,IF(Skills!C13=2,90+Inputs!$B$26+Inputs!$B$29,IF(Skills!C13=3,120+Inputs!$B$27+Inputs!$B$29,MAX(0,(Inputs!$B$3-100)*3)+Inputs!$B$28+Inputs!$B$29)))</f>
        <v/>
      </c>
      <c r="E95">
        <f>INDEX(FactorTable!$B$2:$Y$301, MATCH(ROUND(MIN(300,MAX(1,D95)),0), FactorTable!$A$2:$A$301,0), Skills!M13+1)</f>
        <v/>
      </c>
      <c r="F95">
        <f>IF(Skills!N13=TRUE,(Skills!L13/10)*(E95/1000),Skills!L13/10)+Skills!O13</f>
        <v/>
      </c>
      <c r="G95">
        <f>Skills!G13*IF(Skills!H13&gt;0,Skills!I13/Skills!H13,1)</f>
        <v/>
      </c>
      <c r="H95">
        <f>1-(1-Skills!J13/100)^Skills!K13</f>
        <v/>
      </c>
      <c r="I95" t="inlineStr">
        <is>
          <t>1</t>
        </is>
      </c>
      <c r="J95">
        <f>((Inputs!$B$6*(1+Inputs!$B$7/100))+(((Inputs!$B$12*(1+(Inputs!$B$13+1)/100))-(Inputs!$B$12*(1+Inputs!$B$13/100)))+0.25*(Inputs!$B$14-Inputs!$B$14))*(1+Inputs!$B$7/100))*(F95/100)</f>
        <v/>
      </c>
      <c r="K95">
        <f>J95*(1+((Inputs!$B$12*(1+(Inputs!$B$13+1)/100))*0.01+Inputs!$B$14*0.0025)/100)*(1+Inputs!$B$15/100)*(1+IF(Inputs!$B$39="pvp",0,(1-Summary!$B$55)*(Inputs!$B$20+0+Skills!P13+B116)+Summary!$B$55*(Inputs!$B$21+Skills!Q13+B116))/100)*(1+Inputs!$B$16/100)*(5000/(6000+Inputs!$B$43*(1-Inputs!$B$19/100)))*(1+(Inputs!$B$24+((C112=TRUE)*(F112-Calc!F30)))/100)*(1+(IF(Skills!A13="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95)</f>
        <v/>
      </c>
      <c r="L95">
        <f>K95*(MIN(Inputs!$B$22+((C106=TRUE)*(F106-Calc!F24)),Inputs!$B$23+((C111=TRUE)*(F111-Calc!F29)))/100+(Inputs!$B$23+((C111=TRUE)*(F111-Calc!F29)))/100)/2</f>
        <v/>
      </c>
      <c r="M95">
        <f>L95*(1+(Inputs!$B$10+((C108=TRUE)*(F108-Calc!F26))+B122)/100)</f>
        <v/>
      </c>
      <c r="N95">
        <f>L95*(1-MIN((Inputs!$B$9+((C107=TRUE)*(F107-Calc!F25))+B115),100)/100)+M95*(MIN((Inputs!$B$9+((C107=TRUE)*(F107-Calc!F25))+B115),100)/100)</f>
        <v/>
      </c>
      <c r="O95">
        <f>IF(C95,H95*N95*IF(AND(Inputs!$B$39&lt;&gt;"pvp",Inputs!$B$44&gt;0),((Skills!G13*((R95-1)*IF(Skills!H13&gt;0,Skills!I13/Skills!H13,1)+IF(Skills!H13&gt;0,MIN(Skills!I13,MAX(0,MAX(0,Inputs!$B$44-B126)-((R95-1)*IF(Inputs!$B$39="pvp",15,MAX(0.1,Skills!D13-IF(Skills!E13=TRUE,Inputs!$B$32,0))))))/Skills!H13,1)))/Inputs!$B$44),G95*Q95)*IF(Inputs!$B$39="pvp",1,(1-Summary!$B$55)*(1)+Summary!$B$55*(MIN(Skills!W13,Inputs!$B$37))),0)</f>
        <v/>
      </c>
      <c r="P95">
        <f>IF(B127=0,0,O95/B127)</f>
        <v/>
      </c>
      <c r="Q95">
        <f>IFERROR(1/IF(Inputs!$B$39="pvp",15,MAX(0.1,Skills!D13-IF(Skills!E13=TRUE,Inputs!$B$32,0))),0)</f>
        <v/>
      </c>
      <c r="R95">
        <f>IF(AND(Inputs!$B$39&lt;&gt;"pvp",Inputs!$B$44&gt;0),IF(MAX(0,Inputs!$B$44-B126)&lt;=0,0,(INT(MAX(0,Inputs!$B$44-B126)/IF(Inputs!$B$39="pvp",15,MAX(0.1,Skills!D13-IF(Skills!E13=TRUE,Inputs!$B$32,0))))+1)),0)</f>
        <v/>
      </c>
      <c r="S95">
        <f>IFERROR(O95/N95,0)</f>
        <v/>
      </c>
    </row>
    <row r="96">
      <c r="A96">
        <f>Skills!A14</f>
        <v/>
      </c>
      <c r="B96">
        <f>Skills!B14</f>
        <v/>
      </c>
      <c r="C96">
        <f>Inputs!$B$3&gt;=107</f>
        <v/>
      </c>
      <c r="D96">
        <f>IF(Skills!C14=1,60+Inputs!$B$25+Inputs!$B$29,IF(Skills!C14=2,90+Inputs!$B$26+Inputs!$B$29,IF(Skills!C14=3,120+Inputs!$B$27+Inputs!$B$29,MAX(0,(Inputs!$B$3-100)*3)+Inputs!$B$28+Inputs!$B$29)))</f>
        <v/>
      </c>
      <c r="E96">
        <f>INDEX(FactorTable!$B$2:$Y$301, MATCH(ROUND(MIN(300,MAX(1,D96)),0), FactorTable!$A$2:$A$301,0), Skills!M14+1)</f>
        <v/>
      </c>
      <c r="F96">
        <f>IF(Skills!N14=TRUE,(Skills!L14/10)*(E96/1000),Skills!L14/10)+Skills!O14</f>
        <v/>
      </c>
      <c r="G96">
        <f>Skills!G14*IF(Skills!H14&gt;0,Skills!I14/Skills!H14,1)</f>
        <v/>
      </c>
      <c r="H96">
        <f>1-(1-Skills!J14/100)^Skills!K14</f>
        <v/>
      </c>
      <c r="I96" t="inlineStr">
        <is>
          <t>1</t>
        </is>
      </c>
      <c r="J96">
        <f>((Inputs!$B$6*(1+Inputs!$B$7/100))+(((Inputs!$B$12*(1+(Inputs!$B$13+1)/100))-(Inputs!$B$12*(1+Inputs!$B$13/100)))+0.25*(Inputs!$B$14-Inputs!$B$14))*(1+Inputs!$B$7/100))*(F96/100)</f>
        <v/>
      </c>
      <c r="K96">
        <f>J96*(1+((Inputs!$B$12*(1+(Inputs!$B$13+1)/100))*0.01+Inputs!$B$14*0.0025)/100)*(1+Inputs!$B$15/100)*(1+IF(Inputs!$B$39="pvp",0,(1-Summary!$B$55)*(Inputs!$B$20+0+Skills!P14+B116)+Summary!$B$55*(Inputs!$B$21+Skills!Q14+B116))/100)*(1+Inputs!$B$16/100)*(5000/(6000+Inputs!$B$43*(1-Inputs!$B$19/100)))*(1+(Inputs!$B$24+((C112=TRUE)*(F112-Calc!F30)))/100)*(1+(IF(Skills!A14="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96)</f>
        <v/>
      </c>
      <c r="L96">
        <f>K96*(MIN(Inputs!$B$22+((C106=TRUE)*(F106-Calc!F24)),Inputs!$B$23+((C111=TRUE)*(F111-Calc!F29)))/100+(Inputs!$B$23+((C111=TRUE)*(F111-Calc!F29)))/100)/2</f>
        <v/>
      </c>
      <c r="M96">
        <f>L96*(1+(Inputs!$B$10+((C108=TRUE)*(F108-Calc!F26))+B122)/100)</f>
        <v/>
      </c>
      <c r="N96">
        <f>L96*(1-MIN((Inputs!$B$9+((C107=TRUE)*(F107-Calc!F25))+B115),100)/100)+M96*(MIN((Inputs!$B$9+((C107=TRUE)*(F107-Calc!F25))+B115),100)/100)</f>
        <v/>
      </c>
      <c r="O96">
        <f>IF(C96,H96*N96*IF(AND(Inputs!$B$39&lt;&gt;"pvp",Inputs!$B$44&gt;0),((Skills!G14*((R96-1)*IF(Skills!H14&gt;0,Skills!I14/Skills!H14,1)+IF(Skills!H14&gt;0,MIN(Skills!I14,MAX(0,MAX(0,Inputs!$B$44-B126)-((R96-1)*IF(Inputs!$B$39="pvp",15,MAX(0.1,Skills!D14-IF(Skills!E14=TRUE,Inputs!$B$32,0))))))/Skills!H14,1)))/Inputs!$B$44),G96*Q96)*IF(Inputs!$B$39="pvp",1,(1-Summary!$B$55)*(1)+Summary!$B$55*(MIN(MIN(5,0.25*B119*Skills!D4)*Skills!V14,Inputs!$B$37))),0)</f>
        <v/>
      </c>
      <c r="P96">
        <f>IF(B127=0,0,O96/B127)</f>
        <v/>
      </c>
      <c r="Q96">
        <f>IFERROR(1/IF(Inputs!$B$39="pvp",15,MAX(0.1,Skills!D14-IF(Skills!E14=TRUE,Inputs!$B$32,0))),0)</f>
        <v/>
      </c>
      <c r="R96">
        <f>IF(AND(Inputs!$B$39&lt;&gt;"pvp",Inputs!$B$44&gt;0),IF(MAX(0,Inputs!$B$44-B126)&lt;=0,0,(INT(MAX(0,Inputs!$B$44-B126)/IF(Inputs!$B$39="pvp",15,MAX(0.1,Skills!D14-IF(Skills!E14=TRUE,Inputs!$B$32,0))))+1)),0)</f>
        <v/>
      </c>
      <c r="S96">
        <f>IFERROR(O96/N96,0)</f>
        <v/>
      </c>
    </row>
    <row r="97">
      <c r="A97">
        <f>Skills!A15</f>
        <v/>
      </c>
      <c r="B97">
        <f>Skills!B15</f>
        <v/>
      </c>
      <c r="C97">
        <f>Inputs!$B$3&gt;=110</f>
        <v/>
      </c>
      <c r="D97">
        <f>IF(Skills!C15=1,60+Inputs!$B$25+Inputs!$B$29,IF(Skills!C15=2,90+Inputs!$B$26+Inputs!$B$29,IF(Skills!C15=3,120+Inputs!$B$27+Inputs!$B$29,MAX(0,(Inputs!$B$3-100)*3)+Inputs!$B$28+Inputs!$B$29)))</f>
        <v/>
      </c>
      <c r="E97">
        <f>INDEX(FactorTable!$B$2:$Y$301, MATCH(ROUND(MIN(300,MAX(1,D97)),0), FactorTable!$A$2:$A$301,0), Skills!M15+1)</f>
        <v/>
      </c>
      <c r="F97">
        <f>IF(Skills!N15=TRUE,(Skills!L15/10)*(E97/1000),Skills!L15/10)+Skills!O15</f>
        <v/>
      </c>
      <c r="G97">
        <f>Skills!G15*IF(Skills!H15&gt;0,Skills!I15/Skills!H15,1)</f>
        <v/>
      </c>
      <c r="H97">
        <f>1-(1-Skills!J15/100)^Skills!K15</f>
        <v/>
      </c>
      <c r="I97" t="inlineStr">
        <is>
          <t>1</t>
        </is>
      </c>
      <c r="J97" t="inlineStr"/>
      <c r="K97" t="inlineStr"/>
      <c r="L97" t="inlineStr"/>
      <c r="M97" t="inlineStr"/>
      <c r="N97" t="inlineStr"/>
      <c r="O97" t="n">
        <v>0</v>
      </c>
      <c r="P97">
        <f>IF(B127=0,0,O97/B127)</f>
        <v/>
      </c>
      <c r="Q97">
        <f>IFERROR(1/IF(Inputs!$B$39="pvp",15,MAX(0.1,Skills!D15-IF(Skills!E15=TRUE,Inputs!$B$32,0))),0)</f>
        <v/>
      </c>
      <c r="R97">
        <f>IF(AND(Inputs!$B$39&lt;&gt;"pvp",Inputs!$B$44&gt;0),IF(Inputs!$B$44&lt;=0,0,(INT(Inputs!$B$44/IF(Inputs!$B$39="pvp",15,MAX(0.1,Skills!D15-IF(Skills!E15=TRUE,Inputs!$B$32,0))))+1)),0)</f>
        <v/>
      </c>
      <c r="S97">
        <f>IFERROR(O97/N97,0)</f>
        <v/>
      </c>
    </row>
    <row r="98">
      <c r="A98">
        <f>Skills!A16</f>
        <v/>
      </c>
      <c r="B98">
        <f>Skills!B16</f>
        <v/>
      </c>
      <c r="C98">
        <f>Inputs!$B$3&gt;=115</f>
        <v/>
      </c>
      <c r="D98">
        <f>IF(Skills!C16=1,60+Inputs!$B$25+Inputs!$B$29,IF(Skills!C16=2,90+Inputs!$B$26+Inputs!$B$29,IF(Skills!C16=3,120+Inputs!$B$27+Inputs!$B$29,MAX(0,(Inputs!$B$3-100)*3)+Inputs!$B$28+Inputs!$B$29)))</f>
        <v/>
      </c>
      <c r="E98">
        <f>INDEX(FactorTable!$B$2:$Y$301, MATCH(ROUND(MIN(300,MAX(1,D98)),0), FactorTable!$A$2:$A$301,0), Skills!M16+1)</f>
        <v/>
      </c>
      <c r="F98">
        <f>IF(Skills!N16=TRUE,(Skills!L16/10)*(E98/1000),Skills!L16/10)+Skills!O16</f>
        <v/>
      </c>
      <c r="G98">
        <f>Skills!G16*IF(Skills!H16&gt;0,Skills!I16/Skills!H16,1)</f>
        <v/>
      </c>
      <c r="H98">
        <f>1-(1-Skills!J16/100)^Skills!K16</f>
        <v/>
      </c>
      <c r="I98" t="inlineStr">
        <is>
          <t>1</t>
        </is>
      </c>
      <c r="J98">
        <f>((Inputs!$B$6*(1+Inputs!$B$7/100))+(((Inputs!$B$12*(1+(Inputs!$B$13+1)/100))-(Inputs!$B$12*(1+Inputs!$B$13/100)))+0.25*(Inputs!$B$14-Inputs!$B$14))*(1+Inputs!$B$7/100))*(F98/100)</f>
        <v/>
      </c>
      <c r="K98">
        <f>J98*(1+((Inputs!$B$12*(1+(Inputs!$B$13+1)/100))*0.01+Inputs!$B$14*0.0025)/100)*(1+Inputs!$B$15/100)*(1+IF(Inputs!$B$39="pvp",0,(1-Summary!$B$55)*(Inputs!$B$20+0+Skills!P16+B116)+Summary!$B$55*(Inputs!$B$21+Skills!Q16+B116))/100)*(1+Inputs!$B$16/100)*(5000/(6000+Inputs!$B$43*(1-Inputs!$B$19/100)))*(1+(Inputs!$B$24+((C112=TRUE)*(F112-Calc!F30)))/100)*(1+(IF(Skills!A16="CRUEL_STAB",Inputs!$B$17+((C109=TRUE)*(F109-Calc!F27)),Inputs!$B$18+((C110=TRUE)*(F110-Calc!F28))))/100)*(((1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B117*I98)</f>
        <v/>
      </c>
      <c r="L98">
        <f>K98*(MIN(Inputs!$B$22+((C106=TRUE)*(F106-Calc!F24)),Inputs!$B$23+((C111=TRUE)*(F111-Calc!F29)))/100+(Inputs!$B$23+((C111=TRUE)*(F111-Calc!F29)))/100)/2</f>
        <v/>
      </c>
      <c r="M98">
        <f>L98*(1+(Inputs!$B$10+((C108=TRUE)*(F108-Calc!F26))+B122)/100)</f>
        <v/>
      </c>
      <c r="N98">
        <f>L98*(1-MIN((Inputs!$B$9+((C107=TRUE)*(F107-Calc!F25))+B115),100)/100)+M98*(MIN((Inputs!$B$9+((C107=TRUE)*(F107-Calc!F25))+B115),100)/100)</f>
        <v/>
      </c>
      <c r="O98">
        <f>IF(C98,Inputs!$B$38*0.2*N98,0)</f>
        <v/>
      </c>
      <c r="P98">
        <f>IF(B127=0,0,O98/B127)</f>
        <v/>
      </c>
      <c r="Q98" t="n">
        <v>0</v>
      </c>
      <c r="R98" t="n">
        <v>0</v>
      </c>
      <c r="S98">
        <f>IFERROR(O98/N98,0)</f>
        <v/>
      </c>
    </row>
    <row r="99">
      <c r="A99">
        <f>Skills!A17</f>
        <v/>
      </c>
      <c r="B99">
        <f>Skills!B17</f>
        <v/>
      </c>
      <c r="C99">
        <f>Inputs!$B$3&gt;=115</f>
        <v/>
      </c>
      <c r="D99">
        <f>IF(Skills!C17=1,60+Inputs!$B$25+Inputs!$B$29,IF(Skills!C17=2,90+Inputs!$B$26+Inputs!$B$29,IF(Skills!C17=3,120+Inputs!$B$27+Inputs!$B$29,MAX(0,(Inputs!$B$3-100)*3)+Inputs!$B$28+Inputs!$B$29)))</f>
        <v/>
      </c>
      <c r="E99">
        <f>INDEX(FactorTable!$B$2:$Y$301, MATCH(ROUND(MIN(300,MAX(1,D99)),0), FactorTable!$A$2:$A$301,0), Skills!M17+1)</f>
        <v/>
      </c>
      <c r="F99">
        <f>IF(Skills!N17=TRUE,(Skills!L17/10)*(E99/1000),Skills!L17/10)+Skills!O17</f>
        <v/>
      </c>
      <c r="G99">
        <f>Skills!G17*IF(Skills!H17&gt;0,Skills!I17/Skills!H17,1)</f>
        <v/>
      </c>
      <c r="H99">
        <f>1-(1-Skills!J17/100)^Skills!K17</f>
        <v/>
      </c>
      <c r="I99" t="inlineStr">
        <is>
          <t>1</t>
        </is>
      </c>
      <c r="J99" t="inlineStr"/>
      <c r="K99" t="inlineStr"/>
      <c r="L99" t="inlineStr"/>
      <c r="M99" t="inlineStr"/>
      <c r="N99" t="inlineStr"/>
      <c r="O99" t="n">
        <v>0</v>
      </c>
      <c r="P99">
        <f>IF(B127=0,0,O99/B127)</f>
        <v/>
      </c>
      <c r="Q99" t="n">
        <v>0</v>
      </c>
      <c r="R99" t="n">
        <v>0</v>
      </c>
      <c r="S99">
        <f>IFERROR(O99/N99,0)</f>
        <v/>
      </c>
    </row>
    <row r="100">
      <c r="A100">
        <f>Skills!A18</f>
        <v/>
      </c>
      <c r="B100">
        <f>Skills!B18</f>
        <v/>
      </c>
      <c r="C100">
        <f>Inputs!$B$3&gt;=100</f>
        <v/>
      </c>
      <c r="D100">
        <f>IF(Skills!C18=1,60+Inputs!$B$25+Inputs!$B$29,IF(Skills!C18=2,90+Inputs!$B$26+Inputs!$B$29,IF(Skills!C18=3,120+Inputs!$B$27+Inputs!$B$29,MAX(0,(Inputs!$B$3-100)*3)+Inputs!$B$28+Inputs!$B$29)))</f>
        <v/>
      </c>
      <c r="E100">
        <f>INDEX(FactorTable!$B$2:$Y$301, MATCH(ROUND(MIN(300,MAX(1,D100)),0), FactorTable!$A$2:$A$301,0), Skills!M18+1)</f>
        <v/>
      </c>
      <c r="F100">
        <f>IF(Skills!N18=TRUE,(Skills!L18/10)*(E100/1000),Skills!L18/10)+Skills!O18</f>
        <v/>
      </c>
      <c r="G100">
        <f>Skills!G18*IF(Skills!H18&gt;0,Skills!I18/Skills!H18,1)</f>
        <v/>
      </c>
      <c r="H100">
        <f>1-(1-Skills!J18/100)^Skills!K18</f>
        <v/>
      </c>
      <c r="I100" t="inlineStr">
        <is>
          <t>1</t>
        </is>
      </c>
      <c r="J100" t="inlineStr"/>
      <c r="K100" t="inlineStr"/>
      <c r="L100" t="inlineStr"/>
      <c r="M100" t="inlineStr"/>
      <c r="N100" t="inlineStr"/>
      <c r="O100" t="n">
        <v>0</v>
      </c>
      <c r="P100">
        <f>IF(B127=0,0,O100/B127)</f>
        <v/>
      </c>
      <c r="Q100" t="n">
        <v>0</v>
      </c>
      <c r="R100" t="n">
        <v>0</v>
      </c>
      <c r="S100">
        <f>IFERROR(O100/N100,0)</f>
        <v/>
      </c>
    </row>
    <row r="101">
      <c r="A101">
        <f>Skills!A19</f>
        <v/>
      </c>
      <c r="B101">
        <f>Skills!B19</f>
        <v/>
      </c>
      <c r="C101">
        <f>TRUE</f>
        <v/>
      </c>
      <c r="D101">
        <f>IF(Skills!C19=1,60+Inputs!$B$25+Inputs!$B$29,IF(Skills!C19=2,90+Inputs!$B$26+Inputs!$B$29,IF(Skills!C19=3,120+Inputs!$B$27+Inputs!$B$29,MAX(0,(Inputs!$B$3-100)*3)+Inputs!$B$28+Inputs!$B$29)))</f>
        <v/>
      </c>
      <c r="E101">
        <f>INDEX(FactorTable!$B$2:$Y$301, MATCH(ROUND(MIN(300,MAX(1,D101)),0), FactorTable!$A$2:$A$301,0), Skills!M19+1)</f>
        <v/>
      </c>
      <c r="F101">
        <f>IF(Skills!N19=TRUE,(Skills!L19/10)*(E101/1000),Skills!L19/10)+Skills!O19</f>
        <v/>
      </c>
      <c r="G101">
        <f>Skills!G19*IF(Skills!H19&gt;0,Skills!I19/Skills!H19,1)</f>
        <v/>
      </c>
      <c r="H101">
        <f>1-(1-Skills!J19/100)^Skills!K19</f>
        <v/>
      </c>
      <c r="I101" t="inlineStr">
        <is>
          <t>1</t>
        </is>
      </c>
      <c r="J101" t="inlineStr"/>
      <c r="K101" t="inlineStr"/>
      <c r="L101" t="inlineStr"/>
      <c r="M101" t="inlineStr"/>
      <c r="N101" t="inlineStr"/>
      <c r="O101" t="n">
        <v>0</v>
      </c>
      <c r="P101">
        <f>IF(B127=0,0,O101/B127)</f>
        <v/>
      </c>
      <c r="Q101">
        <f>IFERROR(1/IF(Inputs!$B$39="pvp",15,MAX(0.1,Skills!D19-IF(Skills!E19=TRUE,Inputs!$B$32,0))),0)</f>
        <v/>
      </c>
      <c r="R101">
        <f>IF(AND(Inputs!$B$39&lt;&gt;"pvp",Inputs!$B$44&gt;0),IF(Inputs!$B$44&lt;=0,0,(INT(Inputs!$B$44/IF(Inputs!$B$39="pvp",15,MAX(0.1,Skills!D19-IF(Skills!E19=TRUE,Inputs!$B$32,0))))+1)),0)</f>
        <v/>
      </c>
      <c r="S101">
        <f>IFERROR(O101/N101,0)</f>
        <v/>
      </c>
    </row>
    <row r="102">
      <c r="A102">
        <f>Skills!A20</f>
        <v/>
      </c>
      <c r="B102">
        <f>Skills!B20</f>
        <v/>
      </c>
      <c r="C102">
        <f>Inputs!$B$3&gt;=15</f>
        <v/>
      </c>
      <c r="D102">
        <f>IF(Skills!C20=1,60+Inputs!$B$25+Inputs!$B$29,IF(Skills!C20=2,90+Inputs!$B$26+Inputs!$B$29,IF(Skills!C20=3,120+Inputs!$B$27+Inputs!$B$29,MAX(0,(Inputs!$B$3-100)*3)+Inputs!$B$28+Inputs!$B$29)))</f>
        <v/>
      </c>
      <c r="E102">
        <f>INDEX(FactorTable!$B$2:$Y$301, MATCH(ROUND(MIN(300,MAX(1,D102)),0), FactorTable!$A$2:$A$301,0), Skills!M20+1)</f>
        <v/>
      </c>
      <c r="F102">
        <f>IF(Skills!N20=TRUE,(Skills!L20/10)*(E102/1000),Skills!L20/10)+Skills!O20</f>
        <v/>
      </c>
      <c r="G102">
        <f>Skills!G20*IF(Skills!H20&gt;0,Skills!I20/Skills!H20,1)</f>
        <v/>
      </c>
      <c r="H102">
        <f>1-(1-Skills!J20/100)^Skills!K20</f>
        <v/>
      </c>
      <c r="I102" t="inlineStr">
        <is>
          <t>1</t>
        </is>
      </c>
      <c r="J102" t="inlineStr"/>
      <c r="K102" t="inlineStr"/>
      <c r="L102" t="inlineStr"/>
      <c r="M102" t="inlineStr"/>
      <c r="N102" t="inlineStr"/>
      <c r="O102" t="n">
        <v>0</v>
      </c>
      <c r="P102">
        <f>IF(B127=0,0,O102/B127)</f>
        <v/>
      </c>
      <c r="Q102">
        <f>IFERROR(1/IF(Inputs!$B$39="pvp",15,MAX(0.1,Skills!D20-IF(Skills!E20=TRUE,Inputs!$B$32,0))),0)</f>
        <v/>
      </c>
      <c r="R102">
        <f>IF(AND(Inputs!$B$39&lt;&gt;"pvp",Inputs!$B$44&gt;0),IF(Inputs!$B$44&lt;=0,0,(INT(Inputs!$B$44/IF(Inputs!$B$39="pvp",15,MAX(0.1,Skills!D20-IF(Skills!E20=TRUE,Inputs!$B$32,0))))+1)),0)</f>
        <v/>
      </c>
      <c r="S102">
        <f>IFERROR(O102/N102,0)</f>
        <v/>
      </c>
    </row>
    <row r="103">
      <c r="A103">
        <f>Skills!A21</f>
        <v/>
      </c>
      <c r="B103">
        <f>Skills!B21</f>
        <v/>
      </c>
      <c r="C103">
        <f>Inputs!$B$3&gt;=15</f>
        <v/>
      </c>
      <c r="D103">
        <f>IF(Skills!C21=1,60+Inputs!$B$25+Inputs!$B$29,IF(Skills!C21=2,90+Inputs!$B$26+Inputs!$B$29,IF(Skills!C21=3,120+Inputs!$B$27+Inputs!$B$29,MAX(0,(Inputs!$B$3-100)*3)+Inputs!$B$28+Inputs!$B$29)))</f>
        <v/>
      </c>
      <c r="E103">
        <f>INDEX(FactorTable!$B$2:$Y$301, MATCH(ROUND(MIN(300,MAX(1,D103)),0), FactorTable!$A$2:$A$301,0), Skills!M21+1)</f>
        <v/>
      </c>
      <c r="F103">
        <f>IF(Skills!N21=TRUE,(Skills!L21/10)*(E103/1000),Skills!L21/10)+Skills!O21</f>
        <v/>
      </c>
      <c r="G103">
        <f>Skills!G21*IF(Skills!H21&gt;0,Skills!I21/Skills!H21,1)</f>
        <v/>
      </c>
      <c r="H103">
        <f>1-(1-Skills!J21/100)^Skills!K21</f>
        <v/>
      </c>
      <c r="I103" t="inlineStr">
        <is>
          <t>1</t>
        </is>
      </c>
      <c r="J103" t="inlineStr"/>
      <c r="K103" t="inlineStr"/>
      <c r="L103" t="inlineStr"/>
      <c r="M103" t="inlineStr"/>
      <c r="N103" t="inlineStr"/>
      <c r="O103" t="n">
        <v>0</v>
      </c>
      <c r="P103">
        <f>IF(B127=0,0,O103/B127)</f>
        <v/>
      </c>
      <c r="Q103">
        <f>IFERROR(1/IF(Inputs!$B$39="pvp",15,MAX(0.1,Skills!D21-IF(Skills!E21=TRUE,Inputs!$B$32,0))),0)</f>
        <v/>
      </c>
      <c r="R103">
        <f>IF(AND(Inputs!$B$39&lt;&gt;"pvp",Inputs!$B$44&gt;0),IF(Inputs!$B$44&lt;=0,0,(INT(Inputs!$B$44/IF(Inputs!$B$39="pvp",15,MAX(0.1,Skills!D21-IF(Skills!E21=TRUE,Inputs!$B$32,0))))+1)),0)</f>
        <v/>
      </c>
      <c r="S103">
        <f>IFERROR(O103/N103,0)</f>
        <v/>
      </c>
    </row>
    <row r="104">
      <c r="A104">
        <f>Skills!A22</f>
        <v/>
      </c>
      <c r="B104">
        <f>Skills!B22</f>
        <v/>
      </c>
      <c r="C104">
        <f>Inputs!$B$3&gt;=33</f>
        <v/>
      </c>
      <c r="D104">
        <f>IF(Skills!C22=1,60+Inputs!$B$25+Inputs!$B$29,IF(Skills!C22=2,90+Inputs!$B$26+Inputs!$B$29,IF(Skills!C22=3,120+Inputs!$B$27+Inputs!$B$29,MAX(0,(Inputs!$B$3-100)*3)+Inputs!$B$28+Inputs!$B$29)))</f>
        <v/>
      </c>
      <c r="E104">
        <f>INDEX(FactorTable!$B$2:$Y$301, MATCH(ROUND(MIN(300,MAX(1,D104)),0), FactorTable!$A$2:$A$301,0), Skills!M22+1)</f>
        <v/>
      </c>
      <c r="F104">
        <f>IF(Skills!N22=TRUE,(Skills!L22/10)*(E104/1000),Skills!L22/10)+Skills!O22</f>
        <v/>
      </c>
      <c r="G104">
        <f>Skills!G22*IF(Skills!H22&gt;0,Skills!I22/Skills!H22,1)</f>
        <v/>
      </c>
      <c r="H104">
        <f>1-(1-Skills!J22/100)^Skills!K22</f>
        <v/>
      </c>
      <c r="I104" t="inlineStr">
        <is>
          <t>1</t>
        </is>
      </c>
      <c r="J104" t="inlineStr"/>
      <c r="K104" t="inlineStr"/>
      <c r="L104" t="inlineStr"/>
      <c r="M104" t="inlineStr"/>
      <c r="N104" t="inlineStr"/>
      <c r="O104" t="n">
        <v>0</v>
      </c>
      <c r="P104">
        <f>IF(B127=0,0,O104/B127)</f>
        <v/>
      </c>
      <c r="Q104" t="n">
        <v>0</v>
      </c>
      <c r="R104" t="n">
        <v>0</v>
      </c>
      <c r="S104">
        <f>IFERROR(O104/N104,0)</f>
        <v/>
      </c>
    </row>
    <row r="105">
      <c r="A105">
        <f>Skills!A23</f>
        <v/>
      </c>
      <c r="B105">
        <f>Skills!B23</f>
        <v/>
      </c>
      <c r="C105">
        <f>Inputs!$B$3&gt;=40</f>
        <v/>
      </c>
      <c r="D105">
        <f>IF(Skills!C23=1,60+Inputs!$B$25+Inputs!$B$29,IF(Skills!C23=2,90+Inputs!$B$26+Inputs!$B$29,IF(Skills!C23=3,120+Inputs!$B$27+Inputs!$B$29,MAX(0,(Inputs!$B$3-100)*3)+Inputs!$B$28+Inputs!$B$29)))</f>
        <v/>
      </c>
      <c r="E105">
        <f>INDEX(FactorTable!$B$2:$Y$301, MATCH(ROUND(MIN(300,MAX(1,D105)),0), FactorTable!$A$2:$A$301,0), Skills!M23+1)</f>
        <v/>
      </c>
      <c r="F105">
        <f>IF(Skills!N23=TRUE,(Skills!L23/10)*(E105/1000),Skills!L23/10)+Skills!O23</f>
        <v/>
      </c>
      <c r="G105">
        <f>Skills!G23*IF(Skills!H23&gt;0,Skills!I23/Skills!H23,1)</f>
        <v/>
      </c>
      <c r="H105">
        <f>1-(1-Skills!J23/100)^Skills!K23</f>
        <v/>
      </c>
      <c r="I105" t="inlineStr">
        <is>
          <t>1</t>
        </is>
      </c>
      <c r="J105" t="inlineStr"/>
      <c r="K105" t="inlineStr"/>
      <c r="L105" t="inlineStr"/>
      <c r="M105" t="inlineStr"/>
      <c r="N105" t="inlineStr"/>
      <c r="O105" t="n">
        <v>0</v>
      </c>
      <c r="P105">
        <f>IF(B127=0,0,O105/B127)</f>
        <v/>
      </c>
      <c r="Q105" t="n">
        <v>0</v>
      </c>
      <c r="R105" t="n">
        <v>0</v>
      </c>
      <c r="S105">
        <f>IFERROR(O105/N105,0)</f>
        <v/>
      </c>
    </row>
    <row r="106">
      <c r="A106">
        <f>Skills!A24</f>
        <v/>
      </c>
      <c r="B106">
        <f>Skills!B24</f>
        <v/>
      </c>
      <c r="C106">
        <f>Inputs!$B$3&gt;=43</f>
        <v/>
      </c>
      <c r="D106">
        <f>IF(Skills!C24=1,60+Inputs!$B$25+Inputs!$B$29,IF(Skills!C24=2,90+Inputs!$B$26+Inputs!$B$29,IF(Skills!C24=3,120+Inputs!$B$27+Inputs!$B$29,MAX(0,(Inputs!$B$3-100)*3)+Inputs!$B$28+Inputs!$B$29)))</f>
        <v/>
      </c>
      <c r="E106">
        <f>INDEX(FactorTable!$B$2:$Y$301, MATCH(ROUND(MIN(300,MAX(1,D106)),0), FactorTable!$A$2:$A$301,0), Skills!M24+1)</f>
        <v/>
      </c>
      <c r="F106">
        <f>IF(Skills!N24=TRUE,(Skills!L24/10)*(E106/1000),Skills!L24/10)+Skills!O24</f>
        <v/>
      </c>
      <c r="G106">
        <f>Skills!G24*IF(Skills!H24&gt;0,Skills!I24/Skills!H24,1)</f>
        <v/>
      </c>
      <c r="H106">
        <f>1-(1-Skills!J24/100)^Skills!K24</f>
        <v/>
      </c>
      <c r="I106" t="inlineStr">
        <is>
          <t>1</t>
        </is>
      </c>
      <c r="J106" t="inlineStr"/>
      <c r="K106" t="inlineStr"/>
      <c r="L106" t="inlineStr"/>
      <c r="M106" t="inlineStr"/>
      <c r="N106" t="inlineStr"/>
      <c r="O106" t="n">
        <v>0</v>
      </c>
      <c r="P106">
        <f>IF(B127=0,0,O106/B127)</f>
        <v/>
      </c>
      <c r="Q106" t="n">
        <v>0</v>
      </c>
      <c r="R106" t="n">
        <v>0</v>
      </c>
      <c r="S106">
        <f>IFERROR(O106/N106,0)</f>
        <v/>
      </c>
    </row>
    <row r="107">
      <c r="A107">
        <f>Skills!A25</f>
        <v/>
      </c>
      <c r="B107">
        <f>Skills!B25</f>
        <v/>
      </c>
      <c r="C107">
        <f>Inputs!$B$3&gt;=50</f>
        <v/>
      </c>
      <c r="D107">
        <f>IF(Skills!C25=1,60+Inputs!$B$25+Inputs!$B$29,IF(Skills!C25=2,90+Inputs!$B$26+Inputs!$B$29,IF(Skills!C25=3,120+Inputs!$B$27+Inputs!$B$29,MAX(0,(Inputs!$B$3-100)*3)+Inputs!$B$28+Inputs!$B$29)))</f>
        <v/>
      </c>
      <c r="E107">
        <f>INDEX(FactorTable!$B$2:$Y$301, MATCH(ROUND(MIN(300,MAX(1,D107)),0), FactorTable!$A$2:$A$301,0), Skills!M25+1)</f>
        <v/>
      </c>
      <c r="F107">
        <f>IF(Skills!N25=TRUE,(Skills!L25/10)*(E107/1000),Skills!L25/10)+Skills!O25</f>
        <v/>
      </c>
      <c r="G107">
        <f>Skills!G25*IF(Skills!H25&gt;0,Skills!I25/Skills!H25,1)</f>
        <v/>
      </c>
      <c r="H107">
        <f>1-(1-Skills!J25/100)^Skills!K25</f>
        <v/>
      </c>
      <c r="I107" t="inlineStr">
        <is>
          <t>1</t>
        </is>
      </c>
      <c r="J107" t="inlineStr"/>
      <c r="K107" t="inlineStr"/>
      <c r="L107" t="inlineStr"/>
      <c r="M107" t="inlineStr"/>
      <c r="N107" t="inlineStr"/>
      <c r="O107" t="n">
        <v>0</v>
      </c>
      <c r="P107">
        <f>IF(B127=0,0,O107/B127)</f>
        <v/>
      </c>
      <c r="Q107" t="n">
        <v>0</v>
      </c>
      <c r="R107" t="n">
        <v>0</v>
      </c>
      <c r="S107">
        <f>IFERROR(O107/N107,0)</f>
        <v/>
      </c>
    </row>
    <row r="108">
      <c r="A108">
        <f>Skills!A26</f>
        <v/>
      </c>
      <c r="B108">
        <f>Skills!B26</f>
        <v/>
      </c>
      <c r="C108">
        <f>Inputs!$B$3&gt;=50</f>
        <v/>
      </c>
      <c r="D108">
        <f>IF(Skills!C26=1,60+Inputs!$B$25+Inputs!$B$29,IF(Skills!C26=2,90+Inputs!$B$26+Inputs!$B$29,IF(Skills!C26=3,120+Inputs!$B$27+Inputs!$B$29,MAX(0,(Inputs!$B$3-100)*3)+Inputs!$B$28+Inputs!$B$29)))</f>
        <v/>
      </c>
      <c r="E108">
        <f>INDEX(FactorTable!$B$2:$Y$301, MATCH(ROUND(MIN(300,MAX(1,D108)),0), FactorTable!$A$2:$A$301,0), Skills!M26+1)</f>
        <v/>
      </c>
      <c r="F108">
        <f>IF(Skills!N26=TRUE,(Skills!L26/10)*(E108/1000),Skills!L26/10)+Skills!O26</f>
        <v/>
      </c>
      <c r="G108">
        <f>Skills!G26*IF(Skills!H26&gt;0,Skills!I26/Skills!H26,1)</f>
        <v/>
      </c>
      <c r="H108">
        <f>1-(1-Skills!J26/100)^Skills!K26</f>
        <v/>
      </c>
      <c r="I108" t="inlineStr">
        <is>
          <t>1</t>
        </is>
      </c>
      <c r="J108" t="inlineStr"/>
      <c r="K108" t="inlineStr"/>
      <c r="L108" t="inlineStr"/>
      <c r="M108" t="inlineStr"/>
      <c r="N108" t="inlineStr"/>
      <c r="O108" t="n">
        <v>0</v>
      </c>
      <c r="P108">
        <f>IF(B127=0,0,O108/B127)</f>
        <v/>
      </c>
      <c r="Q108" t="n">
        <v>0</v>
      </c>
      <c r="R108" t="n">
        <v>0</v>
      </c>
      <c r="S108">
        <f>IFERROR(O108/N108,0)</f>
        <v/>
      </c>
    </row>
    <row r="109">
      <c r="A109">
        <f>Skills!A27</f>
        <v/>
      </c>
      <c r="B109">
        <f>Skills!B27</f>
        <v/>
      </c>
      <c r="C109">
        <f>Inputs!$B$3&gt;=38</f>
        <v/>
      </c>
      <c r="D109">
        <f>IF(Skills!C27=1,60+Inputs!$B$25+Inputs!$B$29,IF(Skills!C27=2,90+Inputs!$B$26+Inputs!$B$29,IF(Skills!C27=3,120+Inputs!$B$27+Inputs!$B$29,MAX(0,(Inputs!$B$3-100)*3)+Inputs!$B$28+Inputs!$B$29)))</f>
        <v/>
      </c>
      <c r="E109">
        <f>INDEX(FactorTable!$B$2:$Y$301, MATCH(ROUND(MIN(300,MAX(1,D109)),0), FactorTable!$A$2:$A$301,0), Skills!M27+1)</f>
        <v/>
      </c>
      <c r="F109">
        <f>IF(Skills!N27=TRUE,(Skills!L27/10)*(E109/1000),Skills!L27/10)+Skills!O27</f>
        <v/>
      </c>
      <c r="G109">
        <f>Skills!G27*IF(Skills!H27&gt;0,Skills!I27/Skills!H27,1)</f>
        <v/>
      </c>
      <c r="H109">
        <f>1-(1-Skills!J27/100)^Skills!K27</f>
        <v/>
      </c>
      <c r="I109" t="inlineStr">
        <is>
          <t>1</t>
        </is>
      </c>
      <c r="J109" t="inlineStr"/>
      <c r="K109" t="inlineStr"/>
      <c r="L109" t="inlineStr"/>
      <c r="M109" t="inlineStr"/>
      <c r="N109" t="inlineStr"/>
      <c r="O109" t="n">
        <v>0</v>
      </c>
      <c r="P109">
        <f>IF(B127=0,0,O109/B127)</f>
        <v/>
      </c>
      <c r="Q109" t="n">
        <v>0</v>
      </c>
      <c r="R109" t="n">
        <v>0</v>
      </c>
      <c r="S109">
        <f>IFERROR(O109/N109,0)</f>
        <v/>
      </c>
    </row>
    <row r="110">
      <c r="A110">
        <f>Skills!A28</f>
        <v/>
      </c>
      <c r="B110">
        <f>Skills!B28</f>
        <v/>
      </c>
      <c r="C110">
        <f>Inputs!$B$3&gt;=120</f>
        <v/>
      </c>
      <c r="D110">
        <f>IF(Skills!C28=1,60+Inputs!$B$25+Inputs!$B$29,IF(Skills!C28=2,90+Inputs!$B$26+Inputs!$B$29,IF(Skills!C28=3,120+Inputs!$B$27+Inputs!$B$29,MAX(0,(Inputs!$B$3-100)*3)+Inputs!$B$28+Inputs!$B$29)))</f>
        <v/>
      </c>
      <c r="E110">
        <f>INDEX(FactorTable!$B$2:$Y$301, MATCH(ROUND(MIN(300,MAX(1,D110)),0), FactorTable!$A$2:$A$301,0), Skills!M28+1)</f>
        <v/>
      </c>
      <c r="F110">
        <f>IF(Skills!N28=TRUE,(Skills!L28/10)*(E110/1000),Skills!L28/10)+Skills!O28</f>
        <v/>
      </c>
      <c r="G110">
        <f>Skills!G28*IF(Skills!H28&gt;0,Skills!I28/Skills!H28,1)</f>
        <v/>
      </c>
      <c r="H110">
        <f>1-(1-Skills!J28/100)^Skills!K28</f>
        <v/>
      </c>
      <c r="I110" t="inlineStr">
        <is>
          <t>1</t>
        </is>
      </c>
      <c r="J110" t="inlineStr"/>
      <c r="K110" t="inlineStr"/>
      <c r="L110" t="inlineStr"/>
      <c r="M110" t="inlineStr"/>
      <c r="N110" t="inlineStr"/>
      <c r="O110" t="n">
        <v>0</v>
      </c>
      <c r="P110">
        <f>IF(B127=0,0,O110/B127)</f>
        <v/>
      </c>
      <c r="Q110" t="n">
        <v>0</v>
      </c>
      <c r="R110" t="n">
        <v>0</v>
      </c>
      <c r="S110">
        <f>IFERROR(O110/N110,0)</f>
        <v/>
      </c>
    </row>
    <row r="111">
      <c r="A111">
        <f>Skills!A29</f>
        <v/>
      </c>
      <c r="B111">
        <f>Skills!B29</f>
        <v/>
      </c>
      <c r="C111">
        <f>Inputs!$B$3&gt;=120</f>
        <v/>
      </c>
      <c r="D111">
        <f>IF(Skills!C29=1,60+Inputs!$B$25+Inputs!$B$29,IF(Skills!C29=2,90+Inputs!$B$26+Inputs!$B$29,IF(Skills!C29=3,120+Inputs!$B$27+Inputs!$B$29,MAX(0,(Inputs!$B$3-100)*3)+Inputs!$B$28+Inputs!$B$29)))</f>
        <v/>
      </c>
      <c r="E111">
        <f>INDEX(FactorTable!$B$2:$Y$301, MATCH(ROUND(MIN(300,MAX(1,D111)),0), FactorTable!$A$2:$A$301,0), Skills!M29+1)</f>
        <v/>
      </c>
      <c r="F111">
        <f>IF(Skills!N29=TRUE,(Skills!L29/10)*(E111/1000),Skills!L29/10)+Skills!O29</f>
        <v/>
      </c>
      <c r="G111">
        <f>Skills!G29*IF(Skills!H29&gt;0,Skills!I29/Skills!H29,1)</f>
        <v/>
      </c>
      <c r="H111">
        <f>1-(1-Skills!J29/100)^Skills!K29</f>
        <v/>
      </c>
      <c r="I111" t="inlineStr">
        <is>
          <t>1</t>
        </is>
      </c>
      <c r="J111" t="inlineStr"/>
      <c r="K111" t="inlineStr"/>
      <c r="L111" t="inlineStr"/>
      <c r="M111" t="inlineStr"/>
      <c r="N111" t="inlineStr"/>
      <c r="O111" t="n">
        <v>0</v>
      </c>
      <c r="P111">
        <f>IF(B127=0,0,O111/B127)</f>
        <v/>
      </c>
      <c r="Q111" t="n">
        <v>0</v>
      </c>
      <c r="R111" t="n">
        <v>0</v>
      </c>
      <c r="S111">
        <f>IFERROR(O111/N111,0)</f>
        <v/>
      </c>
    </row>
    <row r="112">
      <c r="A112">
        <f>Skills!A30</f>
        <v/>
      </c>
      <c r="B112">
        <f>Skills!B30</f>
        <v/>
      </c>
      <c r="C112">
        <f>Inputs!$B$3&gt;=125</f>
        <v/>
      </c>
      <c r="D112">
        <f>IF(Skills!C30=1,60+Inputs!$B$25+Inputs!$B$29,IF(Skills!C30=2,90+Inputs!$B$26+Inputs!$B$29,IF(Skills!C30=3,120+Inputs!$B$27+Inputs!$B$29,MAX(0,(Inputs!$B$3-100)*3)+Inputs!$B$28+Inputs!$B$29)))</f>
        <v/>
      </c>
      <c r="E112">
        <f>INDEX(FactorTable!$B$2:$Y$301, MATCH(ROUND(MIN(300,MAX(1,D112)),0), FactorTable!$A$2:$A$301,0), Skills!M30+1)</f>
        <v/>
      </c>
      <c r="F112">
        <f>IF(Skills!N30=TRUE,(Skills!L30/10)*(E112/1000),Skills!L30/10)+Skills!O30</f>
        <v/>
      </c>
      <c r="G112">
        <f>Skills!G30*IF(Skills!H30&gt;0,Skills!I30/Skills!H30,1)</f>
        <v/>
      </c>
      <c r="H112">
        <f>1-(1-Skills!J30/100)^Skills!K30</f>
        <v/>
      </c>
      <c r="I112" t="inlineStr">
        <is>
          <t>1</t>
        </is>
      </c>
      <c r="J112" t="inlineStr"/>
      <c r="K112" t="inlineStr"/>
      <c r="L112" t="inlineStr"/>
      <c r="M112" t="inlineStr"/>
      <c r="N112" t="inlineStr"/>
      <c r="O112" t="n">
        <v>0</v>
      </c>
      <c r="P112">
        <f>IF(B127=0,0,O112/B127)</f>
        <v/>
      </c>
      <c r="Q112" t="n">
        <v>0</v>
      </c>
      <c r="R112" t="n">
        <v>0</v>
      </c>
      <c r="S112">
        <f>IFERROR(O112/N112,0)</f>
        <v/>
      </c>
    </row>
    <row r="114">
      <c r="A114" t="inlineStr">
        <is>
          <t>Average Buff Multiplier</t>
        </is>
      </c>
      <c r="B114">
        <f>(1+(((C103=TRUE)*F103*IF(AND(Inputs!$B$39&lt;&gt;"pvp",Inputs!$B$44&gt;0),(((R103-1)*(Skills!Y21*(1+Inputs!$B$34/100))+MIN((Skills!Y21*(1+Inputs!$B$34/100)),MAX(0,Inputs!$B$44-((R103-1)*Skills!D21))))/Inputs!$B$44),IF(Inputs!$B$39="pvp",MIN((Skills!Y21*(1+Inputs!$B$34/100)),15)/15,(Skills!Y21*(1+Inputs!$B$34/100))/Skills!D21)))+((C105=TRUE)*(F105-Calc!F23))+((C99=TRUE)*(F99-Calc!F17)))/100)*(1+((C92=TRUE)*F92*IF(AND(Inputs!$B$39&lt;&gt;"pvp",Inputs!$B$44&gt;0),(((R92-1)*(Skills!Y10*(1+Inputs!$B$34/100))+MIN((Skills!Y10*(1+Inputs!$B$34/100)),MAX(0,Inputs!$B$44-((R92-1)*Skills!D10))))/Inputs!$B$44),IF(Inputs!$B$39="pvp",MIN((Skills!Y10*(1+Inputs!$B$34/100)),15)/15,(Skills!Y10*(1+Inputs!$B$34/100))/Skills!D10)))/100)*(1+((C97=TRUE)*F97*IF(AND(Inputs!$B$39&lt;&gt;"pvp",Inputs!$B$44&gt;0),(((R97-1)*(Skills!Y15*(1+Inputs!$B$34/100))+MIN((Skills!Y15*(1+Inputs!$B$34/100)),MAX(0,Inputs!$B$44-((R97-1)*Skills!D15))))/Inputs!$B$44),IF(Inputs!$B$39="pvp",MIN((Skills!Y15*(1+Inputs!$B$34/100)),15)/15,(Skills!Y15*(1+Inputs!$B$34/100))/Skills!D15)))/100)</f>
        <v/>
      </c>
    </row>
    <row r="115">
      <c r="A115" t="inlineStr">
        <is>
          <t>Global Crit Rate Bonus %</t>
        </is>
      </c>
      <c r="B115">
        <f>((C102=TRUE)*F102*IF(AND(Inputs!$B$39&lt;&gt;"pvp",Inputs!$B$44&gt;0),(((R102-1)*(Skills!Y20*(1+Inputs!$B$34/100))+MIN((Skills!Y20*(1+Inputs!$B$34/100)),MAX(0,Inputs!$B$44-((R102-1)*Skills!D20))))/Inputs!$B$44),IF(Inputs!$B$39="pvp",MIN((Skills!Y20*(1+Inputs!$B$34/100)),15)/15,(Skills!Y20*(1+Inputs!$B$34/100))/Skills!D20)))</f>
        <v/>
      </c>
    </row>
    <row r="116">
      <c r="A116" t="inlineStr">
        <is>
          <t>Global Monster Damage-Taken Bonus %</t>
        </is>
      </c>
      <c r="B116">
        <f>IF(Inputs!$B$3&gt;=82,15,0)</f>
        <v/>
      </c>
    </row>
    <row r="117">
      <c r="A117" t="inlineStr">
        <is>
          <t>Shadow Partner Average Multiplier</t>
        </is>
      </c>
      <c r="B117">
        <f>1+((C89=TRUE)*F89*(1+3.3333333333333335*IF(C100=TRUE,F100,0)/100)*I89*Skills!J7/100)/100</f>
        <v/>
      </c>
    </row>
    <row r="118">
      <c r="A118" t="inlineStr">
        <is>
          <t>Attack Speed Buff Bonus %</t>
        </is>
      </c>
      <c r="B118">
        <f>((C101=TRUE)*F101*IF(AND(Inputs!$B$39&lt;&gt;"pvp",Inputs!$B$44&gt;0),(((R101-1)*(Skills!Y19*(1+Inputs!$B$34/100))+MIN((Skills!Y19*(1+Inputs!$B$34/100)),MAX(0,Inputs!$B$44-((R101-1)*Skills!D19))))/Inputs!$B$44),IF(Inputs!$B$39="pvp",MIN((Skills!Y19*(1+Inputs!$B$34/100)),15)/15,(Skills!Y19*(1+Inputs!$B$34/100))/Skills!D19)))+((C85=TRUE)*F85*3)</f>
        <v/>
      </c>
    </row>
    <row r="119">
      <c r="A119" t="inlineStr">
        <is>
          <t>Actions Per Second</t>
        </is>
      </c>
      <c r="B119">
        <f>1+MIN(150,150*(1-(1-(Inputs!$B$11+((C104=TRUE)*(F104-Calc!F22)))/150)*(1-B118/150)))/100</f>
        <v/>
      </c>
    </row>
    <row r="120">
      <c r="A120" t="inlineStr">
        <is>
          <t>Skill + Buff Cast Rate</t>
        </is>
      </c>
      <c r="B120">
        <f>IF(AND(Inputs!$B$39&lt;&gt;"pvp",Inputs!$B$44&gt;0),SUMPRODUCT((Skills!E2:E30=TRUE)*(C84:C112=TRUE)*R84:R112*Skills!F2:F30)/Inputs!$B$44,SUMPRODUCT((Skills!E2:E30=TRUE)*(C84:C112=TRUE)*Q84:Q112*Skills!F2:F30))</f>
        <v/>
      </c>
    </row>
    <row r="121">
      <c r="A121" t="inlineStr">
        <is>
          <t>Cruel Stab Casts Per Second</t>
        </is>
      </c>
      <c r="B121">
        <f>MAX(0,B119-B120)</f>
        <v/>
      </c>
    </row>
    <row r="122">
      <c r="A122" t="inlineStr">
        <is>
          <t>Global Critical Damage Bonus % (Smokescreen Mastery Lv.113)</t>
        </is>
      </c>
      <c r="B122">
        <f>IF(Inputs!$B$3&gt;=113,30,0)*IF(AND(Inputs!$B$39&lt;&gt;"pvp",Inputs!$B$44&gt;0),(((R97-1)*(Skills!Y15*(1+Inputs!$B$34/100))+MIN((Skills!Y15*(1+Inputs!$B$34/100)),MAX(0,Inputs!$B$44-((R97-1)*Skills!D15))))/Inputs!$B$44),IF(Inputs!$B$39="pvp",MIN((Skills!Y15*(1+Inputs!$B$34/100)),15)/15,(Skills!Y15*(1+Inputs!$B$34/100))/Skills!D15))</f>
        <v/>
      </c>
    </row>
    <row r="123">
      <c r="A123" t="inlineStr">
        <is>
          <t>Meso Explosion average stack count</t>
        </is>
      </c>
      <c r="B123">
        <f>MIN(10,0.5*B119*Skills!D4)</f>
        <v/>
      </c>
    </row>
    <row r="124">
      <c r="A124" t="inlineStr">
        <is>
          <t>Blood Money average stack count</t>
        </is>
      </c>
      <c r="B124">
        <f>MIN(5,0.25*B119*Skills!D4)</f>
        <v/>
      </c>
    </row>
    <row r="125">
      <c r="A125" t="inlineStr">
        <is>
          <t>Assassinate Murderous Intent Multiplier</t>
        </is>
      </c>
      <c r="B125">
        <f>1+IFERROR(MIN(1,Q96*2/Q93),0)</f>
        <v/>
      </c>
    </row>
    <row r="126">
      <c r="A126" t="inlineStr">
        <is>
          <t>Buff-Casting Startup Delay (s, fixed-duration only)</t>
        </is>
      </c>
      <c r="B126">
        <f>IF(AND(Inputs!$B$39&lt;&gt;"pvp",Inputs!$B$44&gt;0),SUMPRODUCT((Skills!Y2:Y30&gt;0)*(Skills!E2:E30=TRUE)*(C84:C112=TRUE))/B119,0)</f>
        <v/>
      </c>
    </row>
    <row r="127">
      <c r="A127" s="5" t="inlineStr">
        <is>
          <t>TOTAL DPS</t>
        </is>
      </c>
      <c r="B127" s="5">
        <f>SUM(O84:O112)</f>
        <v/>
      </c>
    </row>
    <row r="130">
      <c r="A130" s="5" t="inlineStr">
        <is>
          <t>Stat: DEX</t>
        </is>
      </c>
    </row>
    <row r="131">
      <c r="A131" s="9" t="inlineStr">
        <is>
          <t>Key</t>
        </is>
      </c>
      <c r="B131" s="9" t="inlineStr">
        <is>
          <t>Name</t>
        </is>
      </c>
      <c r="C131" s="9" t="inlineStr">
        <is>
          <t>Unlocked</t>
        </is>
      </c>
      <c r="D131" s="9" t="inlineStr">
        <is>
          <t>InputLevel</t>
        </is>
      </c>
      <c r="E131" s="9" t="inlineStr">
        <is>
          <t>Factor</t>
        </is>
      </c>
      <c r="F131" s="9" t="inlineStr">
        <is>
          <t>CoefficientPercent</t>
        </is>
      </c>
      <c r="G131" s="9" t="inlineStr">
        <is>
          <t>EffectiveHits</t>
        </is>
      </c>
      <c r="H131" s="9" t="inlineStr">
        <is>
          <t>ProcProbability</t>
        </is>
      </c>
      <c r="I131" s="9" t="inlineStr">
        <is>
          <t>MapleHeroMultiplier</t>
        </is>
      </c>
      <c r="J131" s="9" t="inlineStr">
        <is>
          <t>BaseDamage</t>
        </is>
      </c>
      <c r="K131" s="9" t="inlineStr">
        <is>
          <t>BaseHitDamage</t>
        </is>
      </c>
      <c r="L131" s="9" t="inlineStr">
        <is>
          <t>NonCritAvg</t>
        </is>
      </c>
      <c r="M131" s="9" t="inlineStr">
        <is>
          <t>CritAvg</t>
        </is>
      </c>
      <c r="N131" s="9" t="inlineStr">
        <is>
          <t>ExpectedDamage(perHit)</t>
        </is>
      </c>
      <c r="O131" s="9" t="inlineStr">
        <is>
          <t>DPS</t>
        </is>
      </c>
      <c r="P131" s="9" t="inlineStr">
        <is>
          <t>% of Total</t>
        </is>
      </c>
      <c r="Q131" s="9" t="inlineStr">
        <is>
          <t>InvCooldown</t>
        </is>
      </c>
      <c r="R131" s="9" t="inlineStr">
        <is>
          <t>CastsInFight</t>
        </is>
      </c>
      <c r="S131" s="9" t="inlineStr">
        <is>
          <t>HitRate(perSec)</t>
        </is>
      </c>
      <c r="U131" t="inlineStr">
        <is>
          <t>helpers</t>
        </is>
      </c>
    </row>
    <row r="132">
      <c r="A132">
        <f>Skills!A2</f>
        <v/>
      </c>
      <c r="B132">
        <f>Skills!B2</f>
        <v/>
      </c>
      <c r="C132">
        <f>Inputs!$B$3&gt;=100</f>
        <v/>
      </c>
      <c r="D132" t="inlineStr"/>
      <c r="E132" t="inlineStr"/>
      <c r="F132">
        <f>U134+Skills!O2</f>
        <v/>
      </c>
      <c r="G132">
        <f>Skills!G2*IF(Skills!H2&gt;0,Skills!I2/Skills!H2,1)</f>
        <v/>
      </c>
      <c r="H132">
        <f>1-(1-Skills!J2/100)^Skills!K2</f>
        <v/>
      </c>
      <c r="I132" t="inlineStr">
        <is>
          <t>1</t>
        </is>
      </c>
      <c r="J132">
        <f>((Inputs!$B$6*(1+Inputs!$B$7/100))+(((Inputs!$B$12*(1+Inputs!$B$13/100))-(Inputs!$B$12*(1+Inputs!$B$13/100)))+0.25*((Inputs!$B$14+1)-Inputs!$B$14))*(1+Inputs!$B$7/100))*(F132/100)</f>
        <v/>
      </c>
      <c r="K132">
        <f>J132*(1+((Inputs!$B$12*(1+Inputs!$B$13/100))*0.01+(Inputs!$B$14+1)*0.0025)/100)*(1+Inputs!$B$15/100)*(1+IF(Inputs!$B$39="pvp",0,(1-Summary!$B$55)*(Inputs!$B$20+0+Skills!P2+B164)+Summary!$B$55*(Inputs!$B$21+Skills!Q2+B164))/100)*(1+Inputs!$B$16/100)*(5000/(6000+Inputs!$B$43*(1-Inputs!$B$19/100)))*(1+(Inputs!$B$24+((C160=TRUE)*(F160-Calc!F30)))/100)*(1+(IF(Skills!A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132)</f>
        <v/>
      </c>
      <c r="L132">
        <f>K132*(MIN(Inputs!$B$22+((C154=TRUE)*(F154-Calc!F24)),Inputs!$B$23+((C159=TRUE)*(F159-Calc!F29)))/100+(Inputs!$B$23+((C159=TRUE)*(F159-Calc!F29)))/100)/2</f>
        <v/>
      </c>
      <c r="M132">
        <f>L132*(1+(Inputs!$B$10+((C156=TRUE)*(F156-Calc!F26))+B170)/100)</f>
        <v/>
      </c>
      <c r="N132">
        <f>L132*(1-MIN((Inputs!$B$9+((C155=TRUE)*(F155-Calc!F25))+B163),100)/100)+M132*(MIN((Inputs!$B$9+((C155=TRUE)*(F155-Calc!F25))+B163),100)/100)</f>
        <v/>
      </c>
      <c r="O132">
        <f>IF(C132,Skills!G2*N132*B169*IF(Inputs!$B$39="pvp",1,(1-Summary!$B$55)*(1)+Summary!$B$55*(MIN((6+Inputs!$B$33),Inputs!$B$37))),0)</f>
        <v/>
      </c>
      <c r="P132">
        <f>IF(B175=0,0,O132/B175)</f>
        <v/>
      </c>
      <c r="Q132" t="n">
        <v>0</v>
      </c>
      <c r="R132" t="n">
        <v>0</v>
      </c>
      <c r="S132">
        <f>IFERROR(O132/N132,0)</f>
        <v/>
      </c>
      <c r="U132">
        <f>MAX(0,(Inputs!$B$3-100)*3)+Inputs!$B$28+Inputs!$B$29</f>
        <v/>
      </c>
    </row>
    <row r="133">
      <c r="A133">
        <f>Skills!A3</f>
        <v/>
      </c>
      <c r="B133">
        <f>Skills!B3</f>
        <v/>
      </c>
      <c r="C133">
        <f>Inputs!$B$3&gt;=35</f>
        <v/>
      </c>
      <c r="D133">
        <f>IF(Skills!C3=1,60+Inputs!$B$25+Inputs!$B$29,IF(Skills!C3=2,90+Inputs!$B$26+Inputs!$B$29,IF(Skills!C3=3,120+Inputs!$B$27+Inputs!$B$29,MAX(0,(Inputs!$B$3-100)*3)+Inputs!$B$28+Inputs!$B$29)))</f>
        <v/>
      </c>
      <c r="E133">
        <f>INDEX(FactorTable!$B$2:$Y$301, MATCH(ROUND(MIN(300,MAX(1,D133)),0), FactorTable!$A$2:$A$301,0), Skills!M3+1)</f>
        <v/>
      </c>
      <c r="F133">
        <f>IF(Skills!N3=TRUE,(Skills!L3/10)*(E133/1000),Skills!L3/10)+Skills!O3</f>
        <v/>
      </c>
      <c r="G133">
        <f>Skills!G3*IF(Skills!H3&gt;0,Skills!I3/Skills!H3,1)</f>
        <v/>
      </c>
      <c r="H133">
        <f>1-(1-Skills!J3/100)^Skills!K3</f>
        <v/>
      </c>
      <c r="I133" t="inlineStr">
        <is>
          <t>1</t>
        </is>
      </c>
      <c r="J133" t="inlineStr"/>
      <c r="K133" t="inlineStr"/>
      <c r="L133" t="inlineStr"/>
      <c r="M133" t="inlineStr"/>
      <c r="N133" t="inlineStr"/>
      <c r="O133" t="n">
        <v>0</v>
      </c>
      <c r="P133">
        <f>IF(B175=0,0,O133/B175)</f>
        <v/>
      </c>
      <c r="Q133" t="n">
        <v>0</v>
      </c>
      <c r="R133" t="n">
        <v>0</v>
      </c>
      <c r="S133">
        <f>IFERROR(O133/N133,0)</f>
        <v/>
      </c>
      <c r="U133">
        <f>INDEX(FactorTable!$B$2:$Y$301, MATCH(ROUND(MIN(300,MAX(1,U132)),0), FactorTable!$A$2:$A$301,0), 22)</f>
        <v/>
      </c>
    </row>
    <row r="134">
      <c r="A134">
        <f>Skills!A4</f>
        <v/>
      </c>
      <c r="B134">
        <f>Skills!B4</f>
        <v/>
      </c>
      <c r="C134">
        <f>Inputs!$B$3&gt;=66</f>
        <v/>
      </c>
      <c r="D134">
        <f>IF(Skills!C4=1,60+Inputs!$B$25+Inputs!$B$29,IF(Skills!C4=2,90+Inputs!$B$26+Inputs!$B$29,IF(Skills!C4=3,120+Inputs!$B$27+Inputs!$B$29,MAX(0,(Inputs!$B$3-100)*3)+Inputs!$B$28+Inputs!$B$29)))</f>
        <v/>
      </c>
      <c r="E134">
        <f>INDEX(FactorTable!$B$2:$Y$301, MATCH(ROUND(MIN(300,MAX(1,D134)),0), FactorTable!$A$2:$A$301,0), Skills!M4+1)</f>
        <v/>
      </c>
      <c r="F134">
        <f>IF(Skills!N4=TRUE,(Skills!L4/10)*(E134/1000),Skills!L4/10)+Skills!O4</f>
        <v/>
      </c>
      <c r="G134">
        <f>Skills!G4*IF(Skills!H4&gt;0,Skills!I4/Skills!H4,1)</f>
        <v/>
      </c>
      <c r="H134">
        <f>1-(1-Skills!J4/100)^Skills!K4</f>
        <v/>
      </c>
      <c r="I134" t="inlineStr">
        <is>
          <t>1</t>
        </is>
      </c>
      <c r="J134">
        <f>((Inputs!$B$6*(1+Inputs!$B$7/100))+(((Inputs!$B$12*(1+Inputs!$B$13/100))-(Inputs!$B$12*(1+Inputs!$B$13/100)))+0.25*((Inputs!$B$14+1)-Inputs!$B$14))*(1+Inputs!$B$7/100))*(F134/100)</f>
        <v/>
      </c>
      <c r="K134">
        <f>J134*(1+((Inputs!$B$12*(1+Inputs!$B$13/100))*0.01+(Inputs!$B$14+1)*0.0025)/100)*(1+Inputs!$B$15/100)*(1+IF(Inputs!$B$39="pvp",0,(1-Summary!$B$55)*(Inputs!$B$20+0+Skills!P4+B164)+Summary!$B$55*(Inputs!$B$21+Skills!Q4+B164))/100)*(1+Inputs!$B$16/100)*(5000/(6000+Inputs!$B$43*(1-Inputs!$B$19/100)))*(1+(Inputs!$B$24+((C160=TRUE)*(F160-Calc!F30)))/100)*(1+(IF(Skills!A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134)</f>
        <v/>
      </c>
      <c r="L134">
        <f>K134*(MIN(Inputs!$B$22+((C154=TRUE)*(F154-Calc!F24)),Inputs!$B$23+((C159=TRUE)*(F159-Calc!F29)))/100+(Inputs!$B$23+((C159=TRUE)*(F159-Calc!F29)))/100)/2</f>
        <v/>
      </c>
      <c r="M134">
        <f>L134*(1+(Inputs!$B$10+((C156=TRUE)*(F156-Calc!F26))+B170)/100)</f>
        <v/>
      </c>
      <c r="N134">
        <f>L134*(1-MIN((Inputs!$B$9+((C155=TRUE)*(F155-Calc!F25))+B163),100)/100)+M134*(MIN((Inputs!$B$9+((C155=TRUE)*(F155-Calc!F25))+B163),100)/100)</f>
        <v/>
      </c>
      <c r="O134">
        <f>IF(C134,H134*N134*IF(AND(Inputs!$B$39&lt;&gt;"pvp",Inputs!$B$44&gt;0),((Skills!G4*((R134-1)*IF(Skills!H4&gt;0,Skills!I4/Skills!H4,1)+IF(Skills!H4&gt;0,MIN(Skills!I4,MAX(0,MAX(0,Inputs!$B$44-B174)-((R134-1)*IF(Inputs!$B$39="pvp",15,MAX(0.1,Skills!D4-IF(Skills!E4=TRUE,Inputs!$B$32,0))))))/Skills!H4,1)))/Inputs!$B$44),G134*Q134)*IF(Inputs!$B$39="pvp",1,(1-Summary!$B$55)*(1)+Summary!$B$55*(MIN(MIN(10,0.5*B167*Skills!D4),Inputs!$B$37))),0)</f>
        <v/>
      </c>
      <c r="P134">
        <f>IF(B175=0,0,O134/B175)</f>
        <v/>
      </c>
      <c r="Q134">
        <f>IFERROR(1/IF(Inputs!$B$39="pvp",15,MAX(0.1,Skills!D4-IF(Skills!E4=TRUE,Inputs!$B$32,0))),0)</f>
        <v/>
      </c>
      <c r="R134">
        <f>IF(AND(Inputs!$B$39&lt;&gt;"pvp",Inputs!$B$44&gt;0),IF(MAX(0,Inputs!$B$44-B174)&lt;=0,0,(INT(MAX(0,Inputs!$B$44-B174)/IF(Inputs!$B$39="pvp",15,MAX(0.1,Skills!D4-IF(Skills!E4=TRUE,Inputs!$B$32,0))))+1)),0)</f>
        <v/>
      </c>
      <c r="S134">
        <f>IFERROR(O134/N134,0)</f>
        <v/>
      </c>
      <c r="U134">
        <f>290*U133/1000</f>
        <v/>
      </c>
    </row>
    <row r="135">
      <c r="A135">
        <f>Skills!A5</f>
        <v/>
      </c>
      <c r="B135">
        <f>Skills!B5</f>
        <v/>
      </c>
      <c r="C135">
        <f>Inputs!$B$3&gt;=63</f>
        <v/>
      </c>
      <c r="D135">
        <f>IF(Skills!C5=1,60+Inputs!$B$25+Inputs!$B$29,IF(Skills!C5=2,90+Inputs!$B$26+Inputs!$B$29,IF(Skills!C5=3,120+Inputs!$B$27+Inputs!$B$29,MAX(0,(Inputs!$B$3-100)*3)+Inputs!$B$28+Inputs!$B$29)))</f>
        <v/>
      </c>
      <c r="E135">
        <f>INDEX(FactorTable!$B$2:$Y$301, MATCH(ROUND(MIN(300,MAX(1,D135)),0), FactorTable!$A$2:$A$301,0), Skills!M5+1)</f>
        <v/>
      </c>
      <c r="F135">
        <f>IF(Skills!N5=TRUE,(Skills!L5/10)*(E135/1000),Skills!L5/10)+Skills!O5</f>
        <v/>
      </c>
      <c r="G135">
        <f>Skills!G5*IF(Skills!H5&gt;0,Skills!I5/Skills!H5,1)</f>
        <v/>
      </c>
      <c r="H135">
        <f>1-(1-Skills!J5/100)^Skills!K5</f>
        <v/>
      </c>
      <c r="I135" t="inlineStr">
        <is>
          <t>1</t>
        </is>
      </c>
      <c r="J135">
        <f>((Inputs!$B$6*(1+Inputs!$B$7/100))+(((Inputs!$B$12*(1+Inputs!$B$13/100))-(Inputs!$B$12*(1+Inputs!$B$13/100)))+0.25*((Inputs!$B$14+1)-Inputs!$B$14))*(1+Inputs!$B$7/100))*(F135/100)</f>
        <v/>
      </c>
      <c r="K135">
        <f>J135*(1+((Inputs!$B$12*(1+Inputs!$B$13/100))*0.01+(Inputs!$B$14+1)*0.0025)/100)*(1+Inputs!$B$15/100)*(1+IF(Inputs!$B$39="pvp",0,(1-Summary!$B$55)*(Inputs!$B$20+0+Skills!P5+B164)+Summary!$B$55*(Inputs!$B$21+Skills!Q5+B164))/100)*(1+Inputs!$B$16/100)*(5000/(6000+Inputs!$B$43*(1-Inputs!$B$19/100)))*(1+(Inputs!$B$24+((C160=TRUE)*(F160-Calc!F30)))/100)*(1+2.6666666666666665*IF(C148=TRUE,F148,0)/100)*(1+(IF(Skills!A5="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135)</f>
        <v/>
      </c>
      <c r="L135">
        <f>K135*(MIN(Inputs!$B$22+((C154=TRUE)*(F154-Calc!F24)),Inputs!$B$23+((C159=TRUE)*(F159-Calc!F29)))/100+(Inputs!$B$23+((C159=TRUE)*(F159-Calc!F29)))/100)/2</f>
        <v/>
      </c>
      <c r="M135">
        <f>L135*(1+(Inputs!$B$10+((C156=TRUE)*(F156-Calc!F26))+B170)/100)</f>
        <v/>
      </c>
      <c r="N135">
        <f>L135*(1-MIN((Inputs!$B$9+((C155=TRUE)*(F155-Calc!F25))+B163),100)/100)+M135*(MIN((Inputs!$B$9+((C155=TRUE)*(F155-Calc!F25))+B163),100)/100)</f>
        <v/>
      </c>
      <c r="O135">
        <f>IF(C135,H135*N135*IF(AND(Inputs!$B$39&lt;&gt;"pvp",Inputs!$B$44&gt;0),((Skills!G5*((R135-1)*IF(Skills!H5&gt;0,Skills!I5/Skills!H5,1)+IF(Skills!H5&gt;0,MIN(Skills!I5,MAX(0,MAX(0,Inputs!$B$44-B174)-((R135-1)*IF(Inputs!$B$39="pvp",15,MAX(0.1,Skills!D5-IF(Skills!E5=TRUE,Inputs!$B$32,0))))))/Skills!H5,1)))/Inputs!$B$44),G135*Q135)*IF(Inputs!$B$39="pvp",1,(1-Summary!$B$55)*(1)+Summary!$B$55*(MIN(Skills!W5,Inputs!$B$37))),0)</f>
        <v/>
      </c>
      <c r="P135">
        <f>IF(B175=0,0,O135/B175)</f>
        <v/>
      </c>
      <c r="Q135">
        <f>IFERROR(1/IF(Inputs!$B$39="pvp",15,MAX(0.1,Skills!D5-IF(Skills!E5=TRUE,Inputs!$B$32,0))),0)</f>
        <v/>
      </c>
      <c r="R135">
        <f>IF(AND(Inputs!$B$39&lt;&gt;"pvp",Inputs!$B$44&gt;0),IF(MAX(0,Inputs!$B$44-B174)&lt;=0,0,(INT(MAX(0,Inputs!$B$44-B174)/IF(Inputs!$B$39="pvp",15,MAX(0.1,Skills!D5-IF(Skills!E5=TRUE,Inputs!$B$32,0))))+1)),0)</f>
        <v/>
      </c>
      <c r="S135">
        <f>IFERROR(O135/N135,0)</f>
        <v/>
      </c>
    </row>
    <row r="136">
      <c r="A136">
        <f>Skills!A6</f>
        <v/>
      </c>
      <c r="B136">
        <f>Skills!B6</f>
        <v/>
      </c>
      <c r="C136">
        <f>Inputs!$B$3&gt;=69</f>
        <v/>
      </c>
      <c r="D136">
        <f>IF(Skills!C6=1,60+Inputs!$B$25+Inputs!$B$29,IF(Skills!C6=2,90+Inputs!$B$26+Inputs!$B$29,IF(Skills!C6=3,120+Inputs!$B$27+Inputs!$B$29,MAX(0,(Inputs!$B$3-100)*3)+Inputs!$B$28+Inputs!$B$29)))</f>
        <v/>
      </c>
      <c r="E136">
        <f>INDEX(FactorTable!$B$2:$Y$301, MATCH(ROUND(MIN(300,MAX(1,D136)),0), FactorTable!$A$2:$A$301,0), Skills!M6+1)</f>
        <v/>
      </c>
      <c r="F136">
        <f>IF(Skills!N6=TRUE,(Skills!L6/10)*(E136/1000),Skills!L6/10)+Skills!O6</f>
        <v/>
      </c>
      <c r="G136">
        <f>Skills!G6*IF(Skills!H6&gt;0,Skills!I6/Skills!H6,1)</f>
        <v/>
      </c>
      <c r="H136">
        <f>1-(1-Skills!J6/100)^Skills!K6</f>
        <v/>
      </c>
      <c r="I136" t="inlineStr">
        <is>
          <t>1</t>
        </is>
      </c>
      <c r="J136">
        <f>((Inputs!$B$6*(1+Inputs!$B$7/100))+(((Inputs!$B$12*(1+Inputs!$B$13/100))-(Inputs!$B$12*(1+Inputs!$B$13/100)))+0.25*((Inputs!$B$14+1)-Inputs!$B$14))*(1+Inputs!$B$7/100))*(F136/100)</f>
        <v/>
      </c>
      <c r="K136">
        <f>J136*(1+((Inputs!$B$12*(1+Inputs!$B$13/100))*0.01+(Inputs!$B$14+1)*0.0025)/100)*(1+Inputs!$B$15/100)*(1+IF(Inputs!$B$39="pvp",0,(1-Summary!$B$55)*(Inputs!$B$20+0+Skills!P6+B164)+Summary!$B$55*(Inputs!$B$21+Skills!Q6+B164))/100)*(1+Inputs!$B$16/100)*(5000/(6000+Inputs!$B$43*(1-Inputs!$B$19/100)))*(1+(Inputs!$B$24+((C160=TRUE)*(F160-Calc!F30)))/100)*(1+1.0*IF(C148=TRUE,F148,0)/100)*(1+(IF(Skills!A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136)</f>
        <v/>
      </c>
      <c r="L136">
        <f>K136*(MIN(Inputs!$B$22+((C154=TRUE)*(F154-Calc!F24)),Inputs!$B$23+((C159=TRUE)*(F159-Calc!F29)))/100+(Inputs!$B$23+((C159=TRUE)*(F159-Calc!F29)))/100)/2</f>
        <v/>
      </c>
      <c r="M136">
        <f>L136*(1+(Inputs!$B$10+((C156=TRUE)*(F156-Calc!F26))+B170)/100)</f>
        <v/>
      </c>
      <c r="N136">
        <f>L136*(1-MIN((Inputs!$B$9+((C155=TRUE)*(F155-Calc!F25))+B163),100)/100)+M136*(MIN((Inputs!$B$9+((C155=TRUE)*(F155-Calc!F25))+B163),100)/100)</f>
        <v/>
      </c>
      <c r="O136">
        <f>IF(C136,H136*N136*IF(AND(Inputs!$B$39&lt;&gt;"pvp",Inputs!$B$44&gt;0),((Skills!G6*((R136-1)*IF(Skills!H6&gt;0,Skills!I6/Skills!H6,1)+IF(Skills!H6&gt;0,MIN(Skills!I6,MAX(0,MAX(0,Inputs!$B$44-B174)-((R136-1)*IF(Inputs!$B$39="pvp",15,MAX(0.1,Skills!D6-IF(Skills!E6=TRUE,Inputs!$B$32,0))))))/Skills!H6,1)))/Inputs!$B$44),G136*Q136)*IF(Inputs!$B$39="pvp",1,(1-Summary!$B$55)*(1)+Summary!$B$55*(MIN(Skills!W6,Inputs!$B$37))),0)</f>
        <v/>
      </c>
      <c r="P136">
        <f>IF(B175=0,0,O136/B175)</f>
        <v/>
      </c>
      <c r="Q136">
        <f>IFERROR(1/IF(Inputs!$B$39="pvp",15,MAX(0.1,Skills!D6-IF(Skills!E6=TRUE,Inputs!$B$32,0))),0)</f>
        <v/>
      </c>
      <c r="R136">
        <f>IF(AND(Inputs!$B$39&lt;&gt;"pvp",Inputs!$B$44&gt;0),IF(MAX(0,Inputs!$B$44-B174)&lt;=0,0,(INT(MAX(0,Inputs!$B$44-B174)/IF(Inputs!$B$39="pvp",15,MAX(0.1,Skills!D6-IF(Skills!E6=TRUE,Inputs!$B$32,0))))+1)),0)</f>
        <v/>
      </c>
      <c r="S136">
        <f>IFERROR(O136/N136,0)</f>
        <v/>
      </c>
    </row>
    <row r="137">
      <c r="A137">
        <f>Skills!A7</f>
        <v/>
      </c>
      <c r="B137">
        <f>Skills!B7</f>
        <v/>
      </c>
      <c r="C137">
        <f>Inputs!$B$3&gt;=60</f>
        <v/>
      </c>
      <c r="D137">
        <f>IF(Skills!C7=1,60+Inputs!$B$25+Inputs!$B$29,IF(Skills!C7=2,90+Inputs!$B$26+Inputs!$B$29,IF(Skills!C7=3,120+Inputs!$B$27+Inputs!$B$29,MAX(0,(Inputs!$B$3-100)*3)+Inputs!$B$28+Inputs!$B$29)))</f>
        <v/>
      </c>
      <c r="E137">
        <f>INDEX(FactorTable!$B$2:$Y$301, MATCH(ROUND(MIN(300,MAX(1,D137)),0), FactorTable!$A$2:$A$301,0), Skills!M7+1)</f>
        <v/>
      </c>
      <c r="F137">
        <f>IF(Skills!N7=TRUE,(Skills!L7/10)*(E137/1000),Skills!L7/10)+Skills!O7</f>
        <v/>
      </c>
      <c r="G137">
        <f>Skills!G7*IF(Skills!H7&gt;0,Skills!I7/Skills!H7,1)</f>
        <v/>
      </c>
      <c r="H137">
        <f>1-(1-Skills!J7/100)^Skills!K7</f>
        <v/>
      </c>
      <c r="I137" t="inlineStr">
        <is>
          <t>1</t>
        </is>
      </c>
      <c r="J137" t="inlineStr"/>
      <c r="K137" t="inlineStr"/>
      <c r="L137" t="inlineStr"/>
      <c r="M137" t="inlineStr"/>
      <c r="N137" t="inlineStr"/>
      <c r="O137" t="n">
        <v>0</v>
      </c>
      <c r="P137">
        <f>IF(B175=0,0,O137/B175)</f>
        <v/>
      </c>
      <c r="Q137" t="n">
        <v>0</v>
      </c>
      <c r="R137" t="n">
        <v>0</v>
      </c>
      <c r="S137">
        <f>IFERROR(O137/N137,0)</f>
        <v/>
      </c>
    </row>
    <row r="138">
      <c r="A138">
        <f>Skills!A8</f>
        <v/>
      </c>
      <c r="B138">
        <f>Skills!B8</f>
        <v/>
      </c>
      <c r="C138">
        <f>Inputs!$B$3&gt;=72</f>
        <v/>
      </c>
      <c r="D138">
        <f>IF(Skills!C8=1,60+Inputs!$B$25+Inputs!$B$29,IF(Skills!C8=2,90+Inputs!$B$26+Inputs!$B$29,IF(Skills!C8=3,120+Inputs!$B$27+Inputs!$B$29,MAX(0,(Inputs!$B$3-100)*3)+Inputs!$B$28+Inputs!$B$29)))</f>
        <v/>
      </c>
      <c r="E138">
        <f>INDEX(FactorTable!$B$2:$Y$301, MATCH(ROUND(MIN(300,MAX(1,D138)),0), FactorTable!$A$2:$A$301,0), Skills!M8+1)</f>
        <v/>
      </c>
      <c r="F138">
        <f>IF(Skills!N8=TRUE,(Skills!L8/10)*(E138/1000),Skills!L8/10)+Skills!O8</f>
        <v/>
      </c>
      <c r="G138">
        <f>Skills!G8*IF(Skills!H8&gt;0,Skills!I8/Skills!H8,1)</f>
        <v/>
      </c>
      <c r="H138">
        <f>1-(1-Skills!J8/100)^Skills!K8</f>
        <v/>
      </c>
      <c r="I138" t="inlineStr">
        <is>
          <t>1</t>
        </is>
      </c>
      <c r="J138">
        <f>((Inputs!$B$6*(1+Inputs!$B$7/100))+(((Inputs!$B$12*(1+Inputs!$B$13/100))-(Inputs!$B$12*(1+Inputs!$B$13/100)))+0.25*((Inputs!$B$14+1)-Inputs!$B$14))*(1+Inputs!$B$7/100))*(F138/100)</f>
        <v/>
      </c>
      <c r="K138">
        <f>J138*(1+((Inputs!$B$12*(1+Inputs!$B$13/100))*0.01+(Inputs!$B$14+1)*0.0025)/100)*(1+Inputs!$B$15/100)*(1+IF(Inputs!$B$39="pvp",0,(1-Summary!$B$55)*(Inputs!$B$20+0+Skills!P8+B164)+Summary!$B$55*(Inputs!$B$21+Skills!Q8+B164))/100)*(1+Inputs!$B$16/100)*(5000/(6000+Inputs!$B$43*(1-Inputs!$B$19/100)))*(1+(Inputs!$B$24+((C160=TRUE)*(F160-Calc!F30)))/100)*(1+3.3333333333333335*IF(C148=TRUE,F148,0)/100)*(1+(IF(Skills!A8="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138)</f>
        <v/>
      </c>
      <c r="L138">
        <f>K138*(MIN(Inputs!$B$22+((C154=TRUE)*(F154-Calc!F24)),Inputs!$B$23+((C159=TRUE)*(F159-Calc!F29)))/100+(Inputs!$B$23+((C159=TRUE)*(F159-Calc!F29)))/100)/2</f>
        <v/>
      </c>
      <c r="M138">
        <f>L138*(1+(Inputs!$B$10+((C156=TRUE)*(F156-Calc!F26))+B170)/100)</f>
        <v/>
      </c>
      <c r="N138">
        <f>L138*(1-MIN((Inputs!$B$9+((C155=TRUE)*(F155-Calc!F25))+B163),100)/100)+M138*(MIN((Inputs!$B$9+((C155=TRUE)*(F155-Calc!F25))+B163),100)/100)</f>
        <v/>
      </c>
      <c r="O138">
        <f>IF(C138,H138*N138*IF(AND(Inputs!$B$39&lt;&gt;"pvp",Inputs!$B$44&gt;0),((Skills!G8*((R138-1)*IF(Skills!H8&gt;0,Skills!I8/Skills!H8,1)+IF(Skills!H8&gt;0,MIN(Skills!I8,MAX(0,MAX(0,Inputs!$B$44-B174)-((R138-1)*IF(Inputs!$B$39="pvp",15,MAX(0.1,Skills!D8-IF(Skills!E8=TRUE,Inputs!$B$32,0))))))/Skills!H8,1)))/Inputs!$B$44),G138*Q138)*IF(Inputs!$B$39="pvp",1,(1-Summary!$B$55)*(1)+Summary!$B$55*(MIN(Skills!W8,Inputs!$B$37))),0)</f>
        <v/>
      </c>
      <c r="P138">
        <f>IF(B175=0,0,O138/B175)</f>
        <v/>
      </c>
      <c r="Q138">
        <f>IFERROR(1/IF(Inputs!$B$39="pvp",15,MAX(0.1,Skills!D8-IF(Skills!E8=TRUE,Inputs!$B$32,0))),0)</f>
        <v/>
      </c>
      <c r="R138">
        <f>IF(AND(Inputs!$B$39&lt;&gt;"pvp",Inputs!$B$44&gt;0),IF(MAX(0,Inputs!$B$44-B174)&lt;=0,0,(INT(MAX(0,Inputs!$B$44-B174)/IF(Inputs!$B$39="pvp",15,MAX(0.1,Skills!D8-IF(Skills!E8=TRUE,Inputs!$B$32,0))))+1)),0)</f>
        <v/>
      </c>
      <c r="S138">
        <f>IFERROR(O138/N138,0)</f>
        <v/>
      </c>
    </row>
    <row r="139">
      <c r="A139">
        <f>Skills!A9</f>
        <v/>
      </c>
      <c r="B139">
        <f>Skills!B9</f>
        <v/>
      </c>
      <c r="C139">
        <f>Inputs!$B$3&gt;=117</f>
        <v/>
      </c>
      <c r="D139">
        <f>IF(Skills!C9=1,60+Inputs!$B$25+Inputs!$B$29,IF(Skills!C9=2,90+Inputs!$B$26+Inputs!$B$29,IF(Skills!C9=3,120+Inputs!$B$27+Inputs!$B$29,MAX(0,(Inputs!$B$3-100)*3)+Inputs!$B$28+Inputs!$B$29)))</f>
        <v/>
      </c>
      <c r="E139">
        <f>INDEX(FactorTable!$B$2:$Y$301, MATCH(ROUND(MIN(300,MAX(1,D139)),0), FactorTable!$A$2:$A$301,0), Skills!M9+1)</f>
        <v/>
      </c>
      <c r="F139">
        <f>IF(Skills!N9=TRUE,(Skills!L9/10)*(E139/1000),Skills!L9/10)+Skills!O9</f>
        <v/>
      </c>
      <c r="G139">
        <f>Skills!G9*IF(Skills!H9&gt;0,Skills!I9/Skills!H9,1)</f>
        <v/>
      </c>
      <c r="H139">
        <f>1-(1-Skills!J9/100)^Skills!K9</f>
        <v/>
      </c>
      <c r="I139" t="inlineStr">
        <is>
          <t>1</t>
        </is>
      </c>
      <c r="J139">
        <f>((Inputs!$B$6*(1+Inputs!$B$7/100))+(((Inputs!$B$12*(1+Inputs!$B$13/100))-(Inputs!$B$12*(1+Inputs!$B$13/100)))+0.25*((Inputs!$B$14+1)-Inputs!$B$14))*(1+Inputs!$B$7/100))*(F139/100)</f>
        <v/>
      </c>
      <c r="K139">
        <f>J139*(1+((Inputs!$B$12*(1+Inputs!$B$13/100))*0.01+(Inputs!$B$14+1)*0.0025)/100)*(1+Inputs!$B$15/100)*(1+IF(Inputs!$B$39="pvp",0,(1-Summary!$B$55)*(Inputs!$B$20+0+Skills!P9+B164)+Summary!$B$55*(Inputs!$B$21+Skills!Q9+B164))/100)*(1+Inputs!$B$16/100)*(5000/(6000+Inputs!$B$43*(1-Inputs!$B$19/100)))*(1+(Inputs!$B$24+((C160=TRUE)*(F160-Calc!F30)))/100)*(1+(IF(Skills!A9="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139)</f>
        <v/>
      </c>
      <c r="L139">
        <f>K139*(MIN(Inputs!$B$22+((C154=TRUE)*(F154-Calc!F24)),Inputs!$B$23+((C159=TRUE)*(F159-Calc!F29)))/100+(Inputs!$B$23+((C159=TRUE)*(F159-Calc!F29)))/100)/2</f>
        <v/>
      </c>
      <c r="M139">
        <f>L139*(1+(Inputs!$B$10+((C156=TRUE)*(F156-Calc!F26))+B170)/100)</f>
        <v/>
      </c>
      <c r="N139">
        <f>L139*(1-MIN((Inputs!$B$9+((C155=TRUE)*(F155-Calc!F25))+B163),100)/100)+M139*(MIN((Inputs!$B$9+((C155=TRUE)*(F155-Calc!F25))+B163),100)/100)</f>
        <v/>
      </c>
      <c r="O139">
        <f>IF(C139,0.2*SUMPRODUCT((Skills!Z2:Z30=TRUE)*(C132:C160=TRUE)*S132:S160)*N139,0)</f>
        <v/>
      </c>
      <c r="P139">
        <f>IF(B175=0,0,O139/B175)</f>
        <v/>
      </c>
      <c r="Q139" t="n">
        <v>0</v>
      </c>
      <c r="R139" t="n">
        <v>0</v>
      </c>
      <c r="S139" t="n">
        <v>0</v>
      </c>
    </row>
    <row r="140">
      <c r="A140">
        <f>Skills!A10</f>
        <v/>
      </c>
      <c r="B140">
        <f>Skills!B10</f>
        <v/>
      </c>
      <c r="C140">
        <f>Inputs!$B$3&gt;=74</f>
        <v/>
      </c>
      <c r="D140">
        <f>IF(Skills!C10=1,60+Inputs!$B$25+Inputs!$B$29,IF(Skills!C10=2,90+Inputs!$B$26+Inputs!$B$29,IF(Skills!C10=3,120+Inputs!$B$27+Inputs!$B$29,MAX(0,(Inputs!$B$3-100)*3)+Inputs!$B$28+Inputs!$B$29)))</f>
        <v/>
      </c>
      <c r="E140">
        <f>INDEX(FactorTable!$B$2:$Y$301, MATCH(ROUND(MIN(300,MAX(1,D140)),0), FactorTable!$A$2:$A$301,0), Skills!M10+1)</f>
        <v/>
      </c>
      <c r="F140">
        <f>IF(Skills!N10=TRUE,(Skills!L10/10)*(E140/1000),Skills!L10/10)+Skills!O10</f>
        <v/>
      </c>
      <c r="G140">
        <f>Skills!G10*IF(Skills!H10&gt;0,Skills!I10/Skills!H10,1)</f>
        <v/>
      </c>
      <c r="H140">
        <f>1-(1-Skills!J10/100)^Skills!K10</f>
        <v/>
      </c>
      <c r="I140" t="inlineStr">
        <is>
          <t>1</t>
        </is>
      </c>
      <c r="J140" t="inlineStr"/>
      <c r="K140" t="inlineStr"/>
      <c r="L140" t="inlineStr"/>
      <c r="M140" t="inlineStr"/>
      <c r="N140" t="inlineStr"/>
      <c r="O140" t="n">
        <v>0</v>
      </c>
      <c r="P140">
        <f>IF(B175=0,0,O140/B175)</f>
        <v/>
      </c>
      <c r="Q140">
        <f>IFERROR(1/IF(Inputs!$B$39="pvp",15,MAX(0.1,Skills!D10-IF(Skills!E10=TRUE,Inputs!$B$32,0))),0)</f>
        <v/>
      </c>
      <c r="R140">
        <f>IF(AND(Inputs!$B$39&lt;&gt;"pvp",Inputs!$B$44&gt;0),IF(Inputs!$B$44&lt;=0,0,(INT(Inputs!$B$44/IF(Inputs!$B$39="pvp",15,MAX(0.1,Skills!D10-IF(Skills!E10=TRUE,Inputs!$B$32,0))))+1)),0)</f>
        <v/>
      </c>
      <c r="S140">
        <f>IFERROR(O140/N140,0)</f>
        <v/>
      </c>
    </row>
    <row r="141">
      <c r="A141">
        <f>Skills!A11</f>
        <v/>
      </c>
      <c r="B141">
        <f>Skills!B11</f>
        <v/>
      </c>
      <c r="C141">
        <f>Inputs!$B$3&gt;=103</f>
        <v/>
      </c>
      <c r="D141">
        <f>IF(Skills!C11=1,60+Inputs!$B$25+Inputs!$B$29,IF(Skills!C11=2,90+Inputs!$B$26+Inputs!$B$29,IF(Skills!C11=3,120+Inputs!$B$27+Inputs!$B$29,MAX(0,(Inputs!$B$3-100)*3)+Inputs!$B$28+Inputs!$B$29)))</f>
        <v/>
      </c>
      <c r="E141">
        <f>INDEX(FactorTable!$B$2:$Y$301, MATCH(ROUND(MIN(300,MAX(1,D141)),0), FactorTable!$A$2:$A$301,0), Skills!M11+1)</f>
        <v/>
      </c>
      <c r="F141">
        <f>(Skills!L11/10)*(E141/1000)+IF(Inputs!$B$3&gt;=134,50,0)+0.5*(30000/10)*(INDEX(FactorTable!$B$2:$Y$301, MATCH(ROUND(MIN(300,MAX(1,D141)),0), FactorTable!$A$2:$A$301,0), 13)/1000)*B173</f>
        <v/>
      </c>
      <c r="G141">
        <f>Skills!G11*IF(Skills!H11&gt;0,Skills!I11/Skills!H11,1)</f>
        <v/>
      </c>
      <c r="H141">
        <f>1-(1-Skills!J11/100)^Skills!K11</f>
        <v/>
      </c>
      <c r="I141" t="inlineStr">
        <is>
          <t>1</t>
        </is>
      </c>
      <c r="J141">
        <f>((Inputs!$B$6*(1+Inputs!$B$7/100))+(((Inputs!$B$12*(1+Inputs!$B$13/100))-(Inputs!$B$12*(1+Inputs!$B$13/100)))+0.25*((Inputs!$B$14+1)-Inputs!$B$14))*(1+Inputs!$B$7/100))*(F141/100)</f>
        <v/>
      </c>
      <c r="K141">
        <f>J141*(1+((Inputs!$B$12*(1+Inputs!$B$13/100))*0.01+(Inputs!$B$14+1)*0.0025)/100)*(1+Inputs!$B$15/100)*(1+IF(Inputs!$B$39="pvp",0,(1-Summary!$B$55)*(Inputs!$B$20+0+Skills!P11+B164)+Summary!$B$55*(Inputs!$B$21+Skills!Q11+B164))/100)*(1+Inputs!$B$16/100)*(5000/(6000+Inputs!$B$43*(1-Inputs!$B$19/100)))*(1+(Inputs!$B$24+((C160=TRUE)*(F160-Calc!F30)))/100)*(1+(IF(Skills!A11="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141)</f>
        <v/>
      </c>
      <c r="L141">
        <f>K141*(MIN(Inputs!$B$22+((C154=TRUE)*(F154-Calc!F24)),Inputs!$B$23+((C159=TRUE)*(F159-Calc!F29)))/100+(Inputs!$B$23+((C159=TRUE)*(F159-Calc!F29)))/100)/2</f>
        <v/>
      </c>
      <c r="M141">
        <f>L141*(1+(Inputs!$B$10+((C156=TRUE)*(F156-Calc!F26))+B170)/100)</f>
        <v/>
      </c>
      <c r="N141">
        <f>L141*(1-MIN((Inputs!$B$9+((C155=TRUE)*(F155-Calc!F25))+B163),100)/100)+M141*(MIN((Inputs!$B$9+((C155=TRUE)*(F155-Calc!F25))+B163),100)/100)</f>
        <v/>
      </c>
      <c r="O141">
        <f>IF(C141,H141*N141*IF(AND(Inputs!$B$39&lt;&gt;"pvp",Inputs!$B$44&gt;0),((Skills!G11*((R141-1)*IF(Skills!H11&gt;0,Skills!I11/Skills!H11,1)+IF(Skills!H11&gt;0,MIN(Skills!I11,MAX(0,MAX(0,Inputs!$B$44-B174)-((R141-1)*IF(Inputs!$B$39="pvp",15,MAX(0.1,Skills!D11-IF(Skills!E11=TRUE,Inputs!$B$32,0))))))/Skills!H11,1)))/Inputs!$B$44),G141*Q141)*IF(Inputs!$B$39="pvp",1,(1-Summary!$B$55)*(1)+Summary!$B$55*(MIN(Skills!W11,Inputs!$B$37))),0)</f>
        <v/>
      </c>
      <c r="P141">
        <f>IF(B175=0,0,O141/B175)</f>
        <v/>
      </c>
      <c r="Q141">
        <f>IFERROR(1/IF(Inputs!$B$39="pvp",15,MAX(0.1,Skills!D11-IF(Skills!E11=TRUE,Inputs!$B$32,0))),0)</f>
        <v/>
      </c>
      <c r="R141">
        <f>IF(AND(Inputs!$B$39&lt;&gt;"pvp",Inputs!$B$44&gt;0),IF(MAX(0,Inputs!$B$44-B174)&lt;=0,0,(INT(MAX(0,Inputs!$B$44-B174)/IF(Inputs!$B$39="pvp",15,MAX(0.1,Skills!D11-IF(Skills!E11=TRUE,Inputs!$B$32,0))))+1)),0)</f>
        <v/>
      </c>
      <c r="S141">
        <f>IFERROR(O141/N141,0)</f>
        <v/>
      </c>
    </row>
    <row r="142">
      <c r="A142">
        <f>Skills!A12</f>
        <v/>
      </c>
      <c r="B142">
        <f>Skills!B12</f>
        <v/>
      </c>
      <c r="C142">
        <f>Inputs!$B$3&gt;=105</f>
        <v/>
      </c>
      <c r="D142">
        <f>IF(Skills!C12=1,60+Inputs!$B$25+Inputs!$B$29,IF(Skills!C12=2,90+Inputs!$B$26+Inputs!$B$29,IF(Skills!C12=3,120+Inputs!$B$27+Inputs!$B$29,MAX(0,(Inputs!$B$3-100)*3)+Inputs!$B$28+Inputs!$B$29)))</f>
        <v/>
      </c>
      <c r="E142">
        <f>INDEX(FactorTable!$B$2:$Y$301, MATCH(ROUND(MIN(300,MAX(1,D142)),0), FactorTable!$A$2:$A$301,0), Skills!M12+1)</f>
        <v/>
      </c>
      <c r="F142">
        <f>IF(Skills!N12=TRUE,(Skills!L12/10)*(E142/1000),Skills!L12/10)+Skills!O12</f>
        <v/>
      </c>
      <c r="G142">
        <f>Skills!G12*IF(Skills!H12&gt;0,Skills!I12/Skills!H12,1)</f>
        <v/>
      </c>
      <c r="H142">
        <f>1-(1-Skills!J12/100)^Skills!K12</f>
        <v/>
      </c>
      <c r="I142" t="inlineStr">
        <is>
          <t>1</t>
        </is>
      </c>
      <c r="J142">
        <f>((Inputs!$B$6*(1+Inputs!$B$7/100))+(((Inputs!$B$12*(1+Inputs!$B$13/100))-(Inputs!$B$12*(1+Inputs!$B$13/100)))+0.25*((Inputs!$B$14+1)-Inputs!$B$14))*(1+Inputs!$B$7/100))*(F142/100)</f>
        <v/>
      </c>
      <c r="K142">
        <f>J142*(1+((Inputs!$B$12*(1+Inputs!$B$13/100))*0.01+(Inputs!$B$14+1)*0.0025)/100)*(1+Inputs!$B$15/100)*(1+IF(Inputs!$B$39="pvp",0,(1-Summary!$B$55)*(Inputs!$B$20+0+Skills!P12+B164)+Summary!$B$55*(Inputs!$B$21+Skills!Q12+B164))/100)*(1+Inputs!$B$16/100)*(5000/(6000+Inputs!$B$43*(1-Inputs!$B$19/100)))*(1+(Inputs!$B$24+((C160=TRUE)*(F160-Calc!F30)))/100)*(1+(IF(Skills!A12="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142)</f>
        <v/>
      </c>
      <c r="L142">
        <f>K142*(MIN(Inputs!$B$22+((C154=TRUE)*(F154-Calc!F24)),Inputs!$B$23+((C159=TRUE)*(F159-Calc!F29)))/100+(Inputs!$B$23+((C159=TRUE)*(F159-Calc!F29)))/100)/2</f>
        <v/>
      </c>
      <c r="M142">
        <f>L142*(1+(Inputs!$B$10+((C156=TRUE)*(F156-Calc!F26))+B170)/100)</f>
        <v/>
      </c>
      <c r="N142">
        <f>L142*(1-MIN((Inputs!$B$9+((C155=TRUE)*(F155-Calc!F25))+B163),100)/100)+M142*(MIN((Inputs!$B$9+((C155=TRUE)*(F155-Calc!F25))+B163),100)/100)</f>
        <v/>
      </c>
      <c r="O142">
        <f>IF(C142,H142*N142*IF(AND(Inputs!$B$39&lt;&gt;"pvp",Inputs!$B$44&gt;0),((Skills!G12*((R142-1)*IF(Skills!H12&gt;0,Skills!I12/Skills!H12,1)+IF(Skills!H12&gt;0,MIN(Skills!I12,MAX(0,MAX(0,Inputs!$B$44-B174)-((R142-1)*IF(Inputs!$B$39="pvp",15,MAX(0.1,Skills!D12-IF(Skills!E12=TRUE,Inputs!$B$32,0))))))/Skills!H12,1)))/Inputs!$B$44),G142*Q142)*IF(Inputs!$B$39="pvp",1,(1-Summary!$B$55)*(1)+Summary!$B$55*(MIN(Skills!W12,Inputs!$B$37))),0)</f>
        <v/>
      </c>
      <c r="P142">
        <f>IF(B175=0,0,O142/B175)</f>
        <v/>
      </c>
      <c r="Q142">
        <f>IFERROR(1/IF(Inputs!$B$39="pvp",15,MAX(0.1,Skills!D12-IF(Skills!E12=TRUE,Inputs!$B$32,0))),0)</f>
        <v/>
      </c>
      <c r="R142">
        <f>IF(AND(Inputs!$B$39&lt;&gt;"pvp",Inputs!$B$44&gt;0),IF(MAX(0,Inputs!$B$44-B174)&lt;=0,0,(INT(MAX(0,Inputs!$B$44-B174)/IF(Inputs!$B$39="pvp",15,MAX(0.1,Skills!D12-IF(Skills!E12=TRUE,Inputs!$B$32,0))))+1)),0)</f>
        <v/>
      </c>
      <c r="S142">
        <f>IFERROR(O142/N142,0)</f>
        <v/>
      </c>
    </row>
    <row r="143">
      <c r="A143">
        <f>Skills!A13</f>
        <v/>
      </c>
      <c r="B143">
        <f>Skills!B13</f>
        <v/>
      </c>
      <c r="C143">
        <f>Inputs!$B$3&gt;=105</f>
        <v/>
      </c>
      <c r="D143">
        <f>IF(Skills!C13=1,60+Inputs!$B$25+Inputs!$B$29,IF(Skills!C13=2,90+Inputs!$B$26+Inputs!$B$29,IF(Skills!C13=3,120+Inputs!$B$27+Inputs!$B$29,MAX(0,(Inputs!$B$3-100)*3)+Inputs!$B$28+Inputs!$B$29)))</f>
        <v/>
      </c>
      <c r="E143">
        <f>INDEX(FactorTable!$B$2:$Y$301, MATCH(ROUND(MIN(300,MAX(1,D143)),0), FactorTable!$A$2:$A$301,0), Skills!M13+1)</f>
        <v/>
      </c>
      <c r="F143">
        <f>IF(Skills!N13=TRUE,(Skills!L13/10)*(E143/1000),Skills!L13/10)+Skills!O13</f>
        <v/>
      </c>
      <c r="G143">
        <f>Skills!G13*IF(Skills!H13&gt;0,Skills!I13/Skills!H13,1)</f>
        <v/>
      </c>
      <c r="H143">
        <f>1-(1-Skills!J13/100)^Skills!K13</f>
        <v/>
      </c>
      <c r="I143" t="inlineStr">
        <is>
          <t>1</t>
        </is>
      </c>
      <c r="J143">
        <f>((Inputs!$B$6*(1+Inputs!$B$7/100))+(((Inputs!$B$12*(1+Inputs!$B$13/100))-(Inputs!$B$12*(1+Inputs!$B$13/100)))+0.25*((Inputs!$B$14+1)-Inputs!$B$14))*(1+Inputs!$B$7/100))*(F143/100)</f>
        <v/>
      </c>
      <c r="K143">
        <f>J143*(1+((Inputs!$B$12*(1+Inputs!$B$13/100))*0.01+(Inputs!$B$14+1)*0.0025)/100)*(1+Inputs!$B$15/100)*(1+IF(Inputs!$B$39="pvp",0,(1-Summary!$B$55)*(Inputs!$B$20+0+Skills!P13+B164)+Summary!$B$55*(Inputs!$B$21+Skills!Q13+B164))/100)*(1+Inputs!$B$16/100)*(5000/(6000+Inputs!$B$43*(1-Inputs!$B$19/100)))*(1+(Inputs!$B$24+((C160=TRUE)*(F160-Calc!F30)))/100)*(1+(IF(Skills!A13="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143)</f>
        <v/>
      </c>
      <c r="L143">
        <f>K143*(MIN(Inputs!$B$22+((C154=TRUE)*(F154-Calc!F24)),Inputs!$B$23+((C159=TRUE)*(F159-Calc!F29)))/100+(Inputs!$B$23+((C159=TRUE)*(F159-Calc!F29)))/100)/2</f>
        <v/>
      </c>
      <c r="M143">
        <f>L143*(1+(Inputs!$B$10+((C156=TRUE)*(F156-Calc!F26))+B170)/100)</f>
        <v/>
      </c>
      <c r="N143">
        <f>L143*(1-MIN((Inputs!$B$9+((C155=TRUE)*(F155-Calc!F25))+B163),100)/100)+M143*(MIN((Inputs!$B$9+((C155=TRUE)*(F155-Calc!F25))+B163),100)/100)</f>
        <v/>
      </c>
      <c r="O143">
        <f>IF(C143,H143*N143*IF(AND(Inputs!$B$39&lt;&gt;"pvp",Inputs!$B$44&gt;0),((Skills!G13*((R143-1)*IF(Skills!H13&gt;0,Skills!I13/Skills!H13,1)+IF(Skills!H13&gt;0,MIN(Skills!I13,MAX(0,MAX(0,Inputs!$B$44-B174)-((R143-1)*IF(Inputs!$B$39="pvp",15,MAX(0.1,Skills!D13-IF(Skills!E13=TRUE,Inputs!$B$32,0))))))/Skills!H13,1)))/Inputs!$B$44),G143*Q143)*IF(Inputs!$B$39="pvp",1,(1-Summary!$B$55)*(1)+Summary!$B$55*(MIN(Skills!W13,Inputs!$B$37))),0)</f>
        <v/>
      </c>
      <c r="P143">
        <f>IF(B175=0,0,O143/B175)</f>
        <v/>
      </c>
      <c r="Q143">
        <f>IFERROR(1/IF(Inputs!$B$39="pvp",15,MAX(0.1,Skills!D13-IF(Skills!E13=TRUE,Inputs!$B$32,0))),0)</f>
        <v/>
      </c>
      <c r="R143">
        <f>IF(AND(Inputs!$B$39&lt;&gt;"pvp",Inputs!$B$44&gt;0),IF(MAX(0,Inputs!$B$44-B174)&lt;=0,0,(INT(MAX(0,Inputs!$B$44-B174)/IF(Inputs!$B$39="pvp",15,MAX(0.1,Skills!D13-IF(Skills!E13=TRUE,Inputs!$B$32,0))))+1)),0)</f>
        <v/>
      </c>
      <c r="S143">
        <f>IFERROR(O143/N143,0)</f>
        <v/>
      </c>
    </row>
    <row r="144">
      <c r="A144">
        <f>Skills!A14</f>
        <v/>
      </c>
      <c r="B144">
        <f>Skills!B14</f>
        <v/>
      </c>
      <c r="C144">
        <f>Inputs!$B$3&gt;=107</f>
        <v/>
      </c>
      <c r="D144">
        <f>IF(Skills!C14=1,60+Inputs!$B$25+Inputs!$B$29,IF(Skills!C14=2,90+Inputs!$B$26+Inputs!$B$29,IF(Skills!C14=3,120+Inputs!$B$27+Inputs!$B$29,MAX(0,(Inputs!$B$3-100)*3)+Inputs!$B$28+Inputs!$B$29)))</f>
        <v/>
      </c>
      <c r="E144">
        <f>INDEX(FactorTable!$B$2:$Y$301, MATCH(ROUND(MIN(300,MAX(1,D144)),0), FactorTable!$A$2:$A$301,0), Skills!M14+1)</f>
        <v/>
      </c>
      <c r="F144">
        <f>IF(Skills!N14=TRUE,(Skills!L14/10)*(E144/1000),Skills!L14/10)+Skills!O14</f>
        <v/>
      </c>
      <c r="G144">
        <f>Skills!G14*IF(Skills!H14&gt;0,Skills!I14/Skills!H14,1)</f>
        <v/>
      </c>
      <c r="H144">
        <f>1-(1-Skills!J14/100)^Skills!K14</f>
        <v/>
      </c>
      <c r="I144" t="inlineStr">
        <is>
          <t>1</t>
        </is>
      </c>
      <c r="J144">
        <f>((Inputs!$B$6*(1+Inputs!$B$7/100))+(((Inputs!$B$12*(1+Inputs!$B$13/100))-(Inputs!$B$12*(1+Inputs!$B$13/100)))+0.25*((Inputs!$B$14+1)-Inputs!$B$14))*(1+Inputs!$B$7/100))*(F144/100)</f>
        <v/>
      </c>
      <c r="K144">
        <f>J144*(1+((Inputs!$B$12*(1+Inputs!$B$13/100))*0.01+(Inputs!$B$14+1)*0.0025)/100)*(1+Inputs!$B$15/100)*(1+IF(Inputs!$B$39="pvp",0,(1-Summary!$B$55)*(Inputs!$B$20+0+Skills!P14+B164)+Summary!$B$55*(Inputs!$B$21+Skills!Q14+B164))/100)*(1+Inputs!$B$16/100)*(5000/(6000+Inputs!$B$43*(1-Inputs!$B$19/100)))*(1+(Inputs!$B$24+((C160=TRUE)*(F160-Calc!F30)))/100)*(1+(IF(Skills!A14="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144)</f>
        <v/>
      </c>
      <c r="L144">
        <f>K144*(MIN(Inputs!$B$22+((C154=TRUE)*(F154-Calc!F24)),Inputs!$B$23+((C159=TRUE)*(F159-Calc!F29)))/100+(Inputs!$B$23+((C159=TRUE)*(F159-Calc!F29)))/100)/2</f>
        <v/>
      </c>
      <c r="M144">
        <f>L144*(1+(Inputs!$B$10+((C156=TRUE)*(F156-Calc!F26))+B170)/100)</f>
        <v/>
      </c>
      <c r="N144">
        <f>L144*(1-MIN((Inputs!$B$9+((C155=TRUE)*(F155-Calc!F25))+B163),100)/100)+M144*(MIN((Inputs!$B$9+((C155=TRUE)*(F155-Calc!F25))+B163),100)/100)</f>
        <v/>
      </c>
      <c r="O144">
        <f>IF(C144,H144*N144*IF(AND(Inputs!$B$39&lt;&gt;"pvp",Inputs!$B$44&gt;0),((Skills!G14*((R144-1)*IF(Skills!H14&gt;0,Skills!I14/Skills!H14,1)+IF(Skills!H14&gt;0,MIN(Skills!I14,MAX(0,MAX(0,Inputs!$B$44-B174)-((R144-1)*IF(Inputs!$B$39="pvp",15,MAX(0.1,Skills!D14-IF(Skills!E14=TRUE,Inputs!$B$32,0))))))/Skills!H14,1)))/Inputs!$B$44),G144*Q144)*IF(Inputs!$B$39="pvp",1,(1-Summary!$B$55)*(1)+Summary!$B$55*(MIN(MIN(5,0.25*B167*Skills!D4)*Skills!V14,Inputs!$B$37))),0)</f>
        <v/>
      </c>
      <c r="P144">
        <f>IF(B175=0,0,O144/B175)</f>
        <v/>
      </c>
      <c r="Q144">
        <f>IFERROR(1/IF(Inputs!$B$39="pvp",15,MAX(0.1,Skills!D14-IF(Skills!E14=TRUE,Inputs!$B$32,0))),0)</f>
        <v/>
      </c>
      <c r="R144">
        <f>IF(AND(Inputs!$B$39&lt;&gt;"pvp",Inputs!$B$44&gt;0),IF(MAX(0,Inputs!$B$44-B174)&lt;=0,0,(INT(MAX(0,Inputs!$B$44-B174)/IF(Inputs!$B$39="pvp",15,MAX(0.1,Skills!D14-IF(Skills!E14=TRUE,Inputs!$B$32,0))))+1)),0)</f>
        <v/>
      </c>
      <c r="S144">
        <f>IFERROR(O144/N144,0)</f>
        <v/>
      </c>
    </row>
    <row r="145">
      <c r="A145">
        <f>Skills!A15</f>
        <v/>
      </c>
      <c r="B145">
        <f>Skills!B15</f>
        <v/>
      </c>
      <c r="C145">
        <f>Inputs!$B$3&gt;=110</f>
        <v/>
      </c>
      <c r="D145">
        <f>IF(Skills!C15=1,60+Inputs!$B$25+Inputs!$B$29,IF(Skills!C15=2,90+Inputs!$B$26+Inputs!$B$29,IF(Skills!C15=3,120+Inputs!$B$27+Inputs!$B$29,MAX(0,(Inputs!$B$3-100)*3)+Inputs!$B$28+Inputs!$B$29)))</f>
        <v/>
      </c>
      <c r="E145">
        <f>INDEX(FactorTable!$B$2:$Y$301, MATCH(ROUND(MIN(300,MAX(1,D145)),0), FactorTable!$A$2:$A$301,0), Skills!M15+1)</f>
        <v/>
      </c>
      <c r="F145">
        <f>IF(Skills!N15=TRUE,(Skills!L15/10)*(E145/1000),Skills!L15/10)+Skills!O15</f>
        <v/>
      </c>
      <c r="G145">
        <f>Skills!G15*IF(Skills!H15&gt;0,Skills!I15/Skills!H15,1)</f>
        <v/>
      </c>
      <c r="H145">
        <f>1-(1-Skills!J15/100)^Skills!K15</f>
        <v/>
      </c>
      <c r="I145" t="inlineStr">
        <is>
          <t>1</t>
        </is>
      </c>
      <c r="J145" t="inlineStr"/>
      <c r="K145" t="inlineStr"/>
      <c r="L145" t="inlineStr"/>
      <c r="M145" t="inlineStr"/>
      <c r="N145" t="inlineStr"/>
      <c r="O145" t="n">
        <v>0</v>
      </c>
      <c r="P145">
        <f>IF(B175=0,0,O145/B175)</f>
        <v/>
      </c>
      <c r="Q145">
        <f>IFERROR(1/IF(Inputs!$B$39="pvp",15,MAX(0.1,Skills!D15-IF(Skills!E15=TRUE,Inputs!$B$32,0))),0)</f>
        <v/>
      </c>
      <c r="R145">
        <f>IF(AND(Inputs!$B$39&lt;&gt;"pvp",Inputs!$B$44&gt;0),IF(Inputs!$B$44&lt;=0,0,(INT(Inputs!$B$44/IF(Inputs!$B$39="pvp",15,MAX(0.1,Skills!D15-IF(Skills!E15=TRUE,Inputs!$B$32,0))))+1)),0)</f>
        <v/>
      </c>
      <c r="S145">
        <f>IFERROR(O145/N145,0)</f>
        <v/>
      </c>
    </row>
    <row r="146">
      <c r="A146">
        <f>Skills!A16</f>
        <v/>
      </c>
      <c r="B146">
        <f>Skills!B16</f>
        <v/>
      </c>
      <c r="C146">
        <f>Inputs!$B$3&gt;=115</f>
        <v/>
      </c>
      <c r="D146">
        <f>IF(Skills!C16=1,60+Inputs!$B$25+Inputs!$B$29,IF(Skills!C16=2,90+Inputs!$B$26+Inputs!$B$29,IF(Skills!C16=3,120+Inputs!$B$27+Inputs!$B$29,MAX(0,(Inputs!$B$3-100)*3)+Inputs!$B$28+Inputs!$B$29)))</f>
        <v/>
      </c>
      <c r="E146">
        <f>INDEX(FactorTable!$B$2:$Y$301, MATCH(ROUND(MIN(300,MAX(1,D146)),0), FactorTable!$A$2:$A$301,0), Skills!M16+1)</f>
        <v/>
      </c>
      <c r="F146">
        <f>IF(Skills!N16=TRUE,(Skills!L16/10)*(E146/1000),Skills!L16/10)+Skills!O16</f>
        <v/>
      </c>
      <c r="G146">
        <f>Skills!G16*IF(Skills!H16&gt;0,Skills!I16/Skills!H16,1)</f>
        <v/>
      </c>
      <c r="H146">
        <f>1-(1-Skills!J16/100)^Skills!K16</f>
        <v/>
      </c>
      <c r="I146" t="inlineStr">
        <is>
          <t>1</t>
        </is>
      </c>
      <c r="J146">
        <f>((Inputs!$B$6*(1+Inputs!$B$7/100))+(((Inputs!$B$12*(1+Inputs!$B$13/100))-(Inputs!$B$12*(1+Inputs!$B$13/100)))+0.25*((Inputs!$B$14+1)-Inputs!$B$14))*(1+Inputs!$B$7/100))*(F146/100)</f>
        <v/>
      </c>
      <c r="K146">
        <f>J146*(1+((Inputs!$B$12*(1+Inputs!$B$13/100))*0.01+(Inputs!$B$14+1)*0.0025)/100)*(1+Inputs!$B$15/100)*(1+IF(Inputs!$B$39="pvp",0,(1-Summary!$B$55)*(Inputs!$B$20+0+Skills!P16+B164)+Summary!$B$55*(Inputs!$B$21+Skills!Q16+B164))/100)*(1+Inputs!$B$16/100)*(5000/(6000+Inputs!$B$43*(1-Inputs!$B$19/100)))*(1+(Inputs!$B$24+((C160=TRUE)*(F160-Calc!F30)))/100)*(1+(IF(Skills!A16="CRUEL_STAB",Inputs!$B$17+((C157=TRUE)*(F157-Calc!F27)),Inputs!$B$18+((C158=TRUE)*(F158-Calc!F28))))/100)*(((1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B165*I146)</f>
        <v/>
      </c>
      <c r="L146">
        <f>K146*(MIN(Inputs!$B$22+((C154=TRUE)*(F154-Calc!F24)),Inputs!$B$23+((C159=TRUE)*(F159-Calc!F29)))/100+(Inputs!$B$23+((C159=TRUE)*(F159-Calc!F29)))/100)/2</f>
        <v/>
      </c>
      <c r="M146">
        <f>L146*(1+(Inputs!$B$10+((C156=TRUE)*(F156-Calc!F26))+B170)/100)</f>
        <v/>
      </c>
      <c r="N146">
        <f>L146*(1-MIN((Inputs!$B$9+((C155=TRUE)*(F155-Calc!F25))+B163),100)/100)+M146*(MIN((Inputs!$B$9+((C155=TRUE)*(F155-Calc!F25))+B163),100)/100)</f>
        <v/>
      </c>
      <c r="O146">
        <f>IF(C146,Inputs!$B$38*0.2*N146,0)</f>
        <v/>
      </c>
      <c r="P146">
        <f>IF(B175=0,0,O146/B175)</f>
        <v/>
      </c>
      <c r="Q146" t="n">
        <v>0</v>
      </c>
      <c r="R146" t="n">
        <v>0</v>
      </c>
      <c r="S146">
        <f>IFERROR(O146/N146,0)</f>
        <v/>
      </c>
    </row>
    <row r="147">
      <c r="A147">
        <f>Skills!A17</f>
        <v/>
      </c>
      <c r="B147">
        <f>Skills!B17</f>
        <v/>
      </c>
      <c r="C147">
        <f>Inputs!$B$3&gt;=115</f>
        <v/>
      </c>
      <c r="D147">
        <f>IF(Skills!C17=1,60+Inputs!$B$25+Inputs!$B$29,IF(Skills!C17=2,90+Inputs!$B$26+Inputs!$B$29,IF(Skills!C17=3,120+Inputs!$B$27+Inputs!$B$29,MAX(0,(Inputs!$B$3-100)*3)+Inputs!$B$28+Inputs!$B$29)))</f>
        <v/>
      </c>
      <c r="E147">
        <f>INDEX(FactorTable!$B$2:$Y$301, MATCH(ROUND(MIN(300,MAX(1,D147)),0), FactorTable!$A$2:$A$301,0), Skills!M17+1)</f>
        <v/>
      </c>
      <c r="F147">
        <f>IF(Skills!N17=TRUE,(Skills!L17/10)*(E147/1000),Skills!L17/10)+Skills!O17</f>
        <v/>
      </c>
      <c r="G147">
        <f>Skills!G17*IF(Skills!H17&gt;0,Skills!I17/Skills!H17,1)</f>
        <v/>
      </c>
      <c r="H147">
        <f>1-(1-Skills!J17/100)^Skills!K17</f>
        <v/>
      </c>
      <c r="I147" t="inlineStr">
        <is>
          <t>1</t>
        </is>
      </c>
      <c r="J147" t="inlineStr"/>
      <c r="K147" t="inlineStr"/>
      <c r="L147" t="inlineStr"/>
      <c r="M147" t="inlineStr"/>
      <c r="N147" t="inlineStr"/>
      <c r="O147" t="n">
        <v>0</v>
      </c>
      <c r="P147">
        <f>IF(B175=0,0,O147/B175)</f>
        <v/>
      </c>
      <c r="Q147" t="n">
        <v>0</v>
      </c>
      <c r="R147" t="n">
        <v>0</v>
      </c>
      <c r="S147">
        <f>IFERROR(O147/N147,0)</f>
        <v/>
      </c>
    </row>
    <row r="148">
      <c r="A148">
        <f>Skills!A18</f>
        <v/>
      </c>
      <c r="B148">
        <f>Skills!B18</f>
        <v/>
      </c>
      <c r="C148">
        <f>Inputs!$B$3&gt;=100</f>
        <v/>
      </c>
      <c r="D148">
        <f>IF(Skills!C18=1,60+Inputs!$B$25+Inputs!$B$29,IF(Skills!C18=2,90+Inputs!$B$26+Inputs!$B$29,IF(Skills!C18=3,120+Inputs!$B$27+Inputs!$B$29,MAX(0,(Inputs!$B$3-100)*3)+Inputs!$B$28+Inputs!$B$29)))</f>
        <v/>
      </c>
      <c r="E148">
        <f>INDEX(FactorTable!$B$2:$Y$301, MATCH(ROUND(MIN(300,MAX(1,D148)),0), FactorTable!$A$2:$A$301,0), Skills!M18+1)</f>
        <v/>
      </c>
      <c r="F148">
        <f>IF(Skills!N18=TRUE,(Skills!L18/10)*(E148/1000),Skills!L18/10)+Skills!O18</f>
        <v/>
      </c>
      <c r="G148">
        <f>Skills!G18*IF(Skills!H18&gt;0,Skills!I18/Skills!H18,1)</f>
        <v/>
      </c>
      <c r="H148">
        <f>1-(1-Skills!J18/100)^Skills!K18</f>
        <v/>
      </c>
      <c r="I148" t="inlineStr">
        <is>
          <t>1</t>
        </is>
      </c>
      <c r="J148" t="inlineStr"/>
      <c r="K148" t="inlineStr"/>
      <c r="L148" t="inlineStr"/>
      <c r="M148" t="inlineStr"/>
      <c r="N148" t="inlineStr"/>
      <c r="O148" t="n">
        <v>0</v>
      </c>
      <c r="P148">
        <f>IF(B175=0,0,O148/B175)</f>
        <v/>
      </c>
      <c r="Q148" t="n">
        <v>0</v>
      </c>
      <c r="R148" t="n">
        <v>0</v>
      </c>
      <c r="S148">
        <f>IFERROR(O148/N148,0)</f>
        <v/>
      </c>
    </row>
    <row r="149">
      <c r="A149">
        <f>Skills!A19</f>
        <v/>
      </c>
      <c r="B149">
        <f>Skills!B19</f>
        <v/>
      </c>
      <c r="C149">
        <f>TRUE</f>
        <v/>
      </c>
      <c r="D149">
        <f>IF(Skills!C19=1,60+Inputs!$B$25+Inputs!$B$29,IF(Skills!C19=2,90+Inputs!$B$26+Inputs!$B$29,IF(Skills!C19=3,120+Inputs!$B$27+Inputs!$B$29,MAX(0,(Inputs!$B$3-100)*3)+Inputs!$B$28+Inputs!$B$29)))</f>
        <v/>
      </c>
      <c r="E149">
        <f>INDEX(FactorTable!$B$2:$Y$301, MATCH(ROUND(MIN(300,MAX(1,D149)),0), FactorTable!$A$2:$A$301,0), Skills!M19+1)</f>
        <v/>
      </c>
      <c r="F149">
        <f>IF(Skills!N19=TRUE,(Skills!L19/10)*(E149/1000),Skills!L19/10)+Skills!O19</f>
        <v/>
      </c>
      <c r="G149">
        <f>Skills!G19*IF(Skills!H19&gt;0,Skills!I19/Skills!H19,1)</f>
        <v/>
      </c>
      <c r="H149">
        <f>1-(1-Skills!J19/100)^Skills!K19</f>
        <v/>
      </c>
      <c r="I149" t="inlineStr">
        <is>
          <t>1</t>
        </is>
      </c>
      <c r="J149" t="inlineStr"/>
      <c r="K149" t="inlineStr"/>
      <c r="L149" t="inlineStr"/>
      <c r="M149" t="inlineStr"/>
      <c r="N149" t="inlineStr"/>
      <c r="O149" t="n">
        <v>0</v>
      </c>
      <c r="P149">
        <f>IF(B175=0,0,O149/B175)</f>
        <v/>
      </c>
      <c r="Q149">
        <f>IFERROR(1/IF(Inputs!$B$39="pvp",15,MAX(0.1,Skills!D19-IF(Skills!E19=TRUE,Inputs!$B$32,0))),0)</f>
        <v/>
      </c>
      <c r="R149">
        <f>IF(AND(Inputs!$B$39&lt;&gt;"pvp",Inputs!$B$44&gt;0),IF(Inputs!$B$44&lt;=0,0,(INT(Inputs!$B$44/IF(Inputs!$B$39="pvp",15,MAX(0.1,Skills!D19-IF(Skills!E19=TRUE,Inputs!$B$32,0))))+1)),0)</f>
        <v/>
      </c>
      <c r="S149">
        <f>IFERROR(O149/N149,0)</f>
        <v/>
      </c>
    </row>
    <row r="150">
      <c r="A150">
        <f>Skills!A20</f>
        <v/>
      </c>
      <c r="B150">
        <f>Skills!B20</f>
        <v/>
      </c>
      <c r="C150">
        <f>Inputs!$B$3&gt;=15</f>
        <v/>
      </c>
      <c r="D150">
        <f>IF(Skills!C20=1,60+Inputs!$B$25+Inputs!$B$29,IF(Skills!C20=2,90+Inputs!$B$26+Inputs!$B$29,IF(Skills!C20=3,120+Inputs!$B$27+Inputs!$B$29,MAX(0,(Inputs!$B$3-100)*3)+Inputs!$B$28+Inputs!$B$29)))</f>
        <v/>
      </c>
      <c r="E150">
        <f>INDEX(FactorTable!$B$2:$Y$301, MATCH(ROUND(MIN(300,MAX(1,D150)),0), FactorTable!$A$2:$A$301,0), Skills!M20+1)</f>
        <v/>
      </c>
      <c r="F150">
        <f>IF(Skills!N20=TRUE,(Skills!L20/10)*(E150/1000),Skills!L20/10)+Skills!O20</f>
        <v/>
      </c>
      <c r="G150">
        <f>Skills!G20*IF(Skills!H20&gt;0,Skills!I20/Skills!H20,1)</f>
        <v/>
      </c>
      <c r="H150">
        <f>1-(1-Skills!J20/100)^Skills!K20</f>
        <v/>
      </c>
      <c r="I150" t="inlineStr">
        <is>
          <t>1</t>
        </is>
      </c>
      <c r="J150" t="inlineStr"/>
      <c r="K150" t="inlineStr"/>
      <c r="L150" t="inlineStr"/>
      <c r="M150" t="inlineStr"/>
      <c r="N150" t="inlineStr"/>
      <c r="O150" t="n">
        <v>0</v>
      </c>
      <c r="P150">
        <f>IF(B175=0,0,O150/B175)</f>
        <v/>
      </c>
      <c r="Q150">
        <f>IFERROR(1/IF(Inputs!$B$39="pvp",15,MAX(0.1,Skills!D20-IF(Skills!E20=TRUE,Inputs!$B$32,0))),0)</f>
        <v/>
      </c>
      <c r="R150">
        <f>IF(AND(Inputs!$B$39&lt;&gt;"pvp",Inputs!$B$44&gt;0),IF(Inputs!$B$44&lt;=0,0,(INT(Inputs!$B$44/IF(Inputs!$B$39="pvp",15,MAX(0.1,Skills!D20-IF(Skills!E20=TRUE,Inputs!$B$32,0))))+1)),0)</f>
        <v/>
      </c>
      <c r="S150">
        <f>IFERROR(O150/N150,0)</f>
        <v/>
      </c>
    </row>
    <row r="151">
      <c r="A151">
        <f>Skills!A21</f>
        <v/>
      </c>
      <c r="B151">
        <f>Skills!B21</f>
        <v/>
      </c>
      <c r="C151">
        <f>Inputs!$B$3&gt;=15</f>
        <v/>
      </c>
      <c r="D151">
        <f>IF(Skills!C21=1,60+Inputs!$B$25+Inputs!$B$29,IF(Skills!C21=2,90+Inputs!$B$26+Inputs!$B$29,IF(Skills!C21=3,120+Inputs!$B$27+Inputs!$B$29,MAX(0,(Inputs!$B$3-100)*3)+Inputs!$B$28+Inputs!$B$29)))</f>
        <v/>
      </c>
      <c r="E151">
        <f>INDEX(FactorTable!$B$2:$Y$301, MATCH(ROUND(MIN(300,MAX(1,D151)),0), FactorTable!$A$2:$A$301,0), Skills!M21+1)</f>
        <v/>
      </c>
      <c r="F151">
        <f>IF(Skills!N21=TRUE,(Skills!L21/10)*(E151/1000),Skills!L21/10)+Skills!O21</f>
        <v/>
      </c>
      <c r="G151">
        <f>Skills!G21*IF(Skills!H21&gt;0,Skills!I21/Skills!H21,1)</f>
        <v/>
      </c>
      <c r="H151">
        <f>1-(1-Skills!J21/100)^Skills!K21</f>
        <v/>
      </c>
      <c r="I151" t="inlineStr">
        <is>
          <t>1</t>
        </is>
      </c>
      <c r="J151" t="inlineStr"/>
      <c r="K151" t="inlineStr"/>
      <c r="L151" t="inlineStr"/>
      <c r="M151" t="inlineStr"/>
      <c r="N151" t="inlineStr"/>
      <c r="O151" t="n">
        <v>0</v>
      </c>
      <c r="P151">
        <f>IF(B175=0,0,O151/B175)</f>
        <v/>
      </c>
      <c r="Q151">
        <f>IFERROR(1/IF(Inputs!$B$39="pvp",15,MAX(0.1,Skills!D21-IF(Skills!E21=TRUE,Inputs!$B$32,0))),0)</f>
        <v/>
      </c>
      <c r="R151">
        <f>IF(AND(Inputs!$B$39&lt;&gt;"pvp",Inputs!$B$44&gt;0),IF(Inputs!$B$44&lt;=0,0,(INT(Inputs!$B$44/IF(Inputs!$B$39="pvp",15,MAX(0.1,Skills!D21-IF(Skills!E21=TRUE,Inputs!$B$32,0))))+1)),0)</f>
        <v/>
      </c>
      <c r="S151">
        <f>IFERROR(O151/N151,0)</f>
        <v/>
      </c>
    </row>
    <row r="152">
      <c r="A152">
        <f>Skills!A22</f>
        <v/>
      </c>
      <c r="B152">
        <f>Skills!B22</f>
        <v/>
      </c>
      <c r="C152">
        <f>Inputs!$B$3&gt;=33</f>
        <v/>
      </c>
      <c r="D152">
        <f>IF(Skills!C22=1,60+Inputs!$B$25+Inputs!$B$29,IF(Skills!C22=2,90+Inputs!$B$26+Inputs!$B$29,IF(Skills!C22=3,120+Inputs!$B$27+Inputs!$B$29,MAX(0,(Inputs!$B$3-100)*3)+Inputs!$B$28+Inputs!$B$29)))</f>
        <v/>
      </c>
      <c r="E152">
        <f>INDEX(FactorTable!$B$2:$Y$301, MATCH(ROUND(MIN(300,MAX(1,D152)),0), FactorTable!$A$2:$A$301,0), Skills!M22+1)</f>
        <v/>
      </c>
      <c r="F152">
        <f>IF(Skills!N22=TRUE,(Skills!L22/10)*(E152/1000),Skills!L22/10)+Skills!O22</f>
        <v/>
      </c>
      <c r="G152">
        <f>Skills!G22*IF(Skills!H22&gt;0,Skills!I22/Skills!H22,1)</f>
        <v/>
      </c>
      <c r="H152">
        <f>1-(1-Skills!J22/100)^Skills!K22</f>
        <v/>
      </c>
      <c r="I152" t="inlineStr">
        <is>
          <t>1</t>
        </is>
      </c>
      <c r="J152" t="inlineStr"/>
      <c r="K152" t="inlineStr"/>
      <c r="L152" t="inlineStr"/>
      <c r="M152" t="inlineStr"/>
      <c r="N152" t="inlineStr"/>
      <c r="O152" t="n">
        <v>0</v>
      </c>
      <c r="P152">
        <f>IF(B175=0,0,O152/B175)</f>
        <v/>
      </c>
      <c r="Q152" t="n">
        <v>0</v>
      </c>
      <c r="R152" t="n">
        <v>0</v>
      </c>
      <c r="S152">
        <f>IFERROR(O152/N152,0)</f>
        <v/>
      </c>
    </row>
    <row r="153">
      <c r="A153">
        <f>Skills!A23</f>
        <v/>
      </c>
      <c r="B153">
        <f>Skills!B23</f>
        <v/>
      </c>
      <c r="C153">
        <f>Inputs!$B$3&gt;=40</f>
        <v/>
      </c>
      <c r="D153">
        <f>IF(Skills!C23=1,60+Inputs!$B$25+Inputs!$B$29,IF(Skills!C23=2,90+Inputs!$B$26+Inputs!$B$29,IF(Skills!C23=3,120+Inputs!$B$27+Inputs!$B$29,MAX(0,(Inputs!$B$3-100)*3)+Inputs!$B$28+Inputs!$B$29)))</f>
        <v/>
      </c>
      <c r="E153">
        <f>INDEX(FactorTable!$B$2:$Y$301, MATCH(ROUND(MIN(300,MAX(1,D153)),0), FactorTable!$A$2:$A$301,0), Skills!M23+1)</f>
        <v/>
      </c>
      <c r="F153">
        <f>IF(Skills!N23=TRUE,(Skills!L23/10)*(E153/1000),Skills!L23/10)+Skills!O23</f>
        <v/>
      </c>
      <c r="G153">
        <f>Skills!G23*IF(Skills!H23&gt;0,Skills!I23/Skills!H23,1)</f>
        <v/>
      </c>
      <c r="H153">
        <f>1-(1-Skills!J23/100)^Skills!K23</f>
        <v/>
      </c>
      <c r="I153" t="inlineStr">
        <is>
          <t>1</t>
        </is>
      </c>
      <c r="J153" t="inlineStr"/>
      <c r="K153" t="inlineStr"/>
      <c r="L153" t="inlineStr"/>
      <c r="M153" t="inlineStr"/>
      <c r="N153" t="inlineStr"/>
      <c r="O153" t="n">
        <v>0</v>
      </c>
      <c r="P153">
        <f>IF(B175=0,0,O153/B175)</f>
        <v/>
      </c>
      <c r="Q153" t="n">
        <v>0</v>
      </c>
      <c r="R153" t="n">
        <v>0</v>
      </c>
      <c r="S153">
        <f>IFERROR(O153/N153,0)</f>
        <v/>
      </c>
    </row>
    <row r="154">
      <c r="A154">
        <f>Skills!A24</f>
        <v/>
      </c>
      <c r="B154">
        <f>Skills!B24</f>
        <v/>
      </c>
      <c r="C154">
        <f>Inputs!$B$3&gt;=43</f>
        <v/>
      </c>
      <c r="D154">
        <f>IF(Skills!C24=1,60+Inputs!$B$25+Inputs!$B$29,IF(Skills!C24=2,90+Inputs!$B$26+Inputs!$B$29,IF(Skills!C24=3,120+Inputs!$B$27+Inputs!$B$29,MAX(0,(Inputs!$B$3-100)*3)+Inputs!$B$28+Inputs!$B$29)))</f>
        <v/>
      </c>
      <c r="E154">
        <f>INDEX(FactorTable!$B$2:$Y$301, MATCH(ROUND(MIN(300,MAX(1,D154)),0), FactorTable!$A$2:$A$301,0), Skills!M24+1)</f>
        <v/>
      </c>
      <c r="F154">
        <f>IF(Skills!N24=TRUE,(Skills!L24/10)*(E154/1000),Skills!L24/10)+Skills!O24</f>
        <v/>
      </c>
      <c r="G154">
        <f>Skills!G24*IF(Skills!H24&gt;0,Skills!I24/Skills!H24,1)</f>
        <v/>
      </c>
      <c r="H154">
        <f>1-(1-Skills!J24/100)^Skills!K24</f>
        <v/>
      </c>
      <c r="I154" t="inlineStr">
        <is>
          <t>1</t>
        </is>
      </c>
      <c r="J154" t="inlineStr"/>
      <c r="K154" t="inlineStr"/>
      <c r="L154" t="inlineStr"/>
      <c r="M154" t="inlineStr"/>
      <c r="N154" t="inlineStr"/>
      <c r="O154" t="n">
        <v>0</v>
      </c>
      <c r="P154">
        <f>IF(B175=0,0,O154/B175)</f>
        <v/>
      </c>
      <c r="Q154" t="n">
        <v>0</v>
      </c>
      <c r="R154" t="n">
        <v>0</v>
      </c>
      <c r="S154">
        <f>IFERROR(O154/N154,0)</f>
        <v/>
      </c>
    </row>
    <row r="155">
      <c r="A155">
        <f>Skills!A25</f>
        <v/>
      </c>
      <c r="B155">
        <f>Skills!B25</f>
        <v/>
      </c>
      <c r="C155">
        <f>Inputs!$B$3&gt;=50</f>
        <v/>
      </c>
      <c r="D155">
        <f>IF(Skills!C25=1,60+Inputs!$B$25+Inputs!$B$29,IF(Skills!C25=2,90+Inputs!$B$26+Inputs!$B$29,IF(Skills!C25=3,120+Inputs!$B$27+Inputs!$B$29,MAX(0,(Inputs!$B$3-100)*3)+Inputs!$B$28+Inputs!$B$29)))</f>
        <v/>
      </c>
      <c r="E155">
        <f>INDEX(FactorTable!$B$2:$Y$301, MATCH(ROUND(MIN(300,MAX(1,D155)),0), FactorTable!$A$2:$A$301,0), Skills!M25+1)</f>
        <v/>
      </c>
      <c r="F155">
        <f>IF(Skills!N25=TRUE,(Skills!L25/10)*(E155/1000),Skills!L25/10)+Skills!O25</f>
        <v/>
      </c>
      <c r="G155">
        <f>Skills!G25*IF(Skills!H25&gt;0,Skills!I25/Skills!H25,1)</f>
        <v/>
      </c>
      <c r="H155">
        <f>1-(1-Skills!J25/100)^Skills!K25</f>
        <v/>
      </c>
      <c r="I155" t="inlineStr">
        <is>
          <t>1</t>
        </is>
      </c>
      <c r="J155" t="inlineStr"/>
      <c r="K155" t="inlineStr"/>
      <c r="L155" t="inlineStr"/>
      <c r="M155" t="inlineStr"/>
      <c r="N155" t="inlineStr"/>
      <c r="O155" t="n">
        <v>0</v>
      </c>
      <c r="P155">
        <f>IF(B175=0,0,O155/B175)</f>
        <v/>
      </c>
      <c r="Q155" t="n">
        <v>0</v>
      </c>
      <c r="R155" t="n">
        <v>0</v>
      </c>
      <c r="S155">
        <f>IFERROR(O155/N155,0)</f>
        <v/>
      </c>
    </row>
    <row r="156">
      <c r="A156">
        <f>Skills!A26</f>
        <v/>
      </c>
      <c r="B156">
        <f>Skills!B26</f>
        <v/>
      </c>
      <c r="C156">
        <f>Inputs!$B$3&gt;=50</f>
        <v/>
      </c>
      <c r="D156">
        <f>IF(Skills!C26=1,60+Inputs!$B$25+Inputs!$B$29,IF(Skills!C26=2,90+Inputs!$B$26+Inputs!$B$29,IF(Skills!C26=3,120+Inputs!$B$27+Inputs!$B$29,MAX(0,(Inputs!$B$3-100)*3)+Inputs!$B$28+Inputs!$B$29)))</f>
        <v/>
      </c>
      <c r="E156">
        <f>INDEX(FactorTable!$B$2:$Y$301, MATCH(ROUND(MIN(300,MAX(1,D156)),0), FactorTable!$A$2:$A$301,0), Skills!M26+1)</f>
        <v/>
      </c>
      <c r="F156">
        <f>IF(Skills!N26=TRUE,(Skills!L26/10)*(E156/1000),Skills!L26/10)+Skills!O26</f>
        <v/>
      </c>
      <c r="G156">
        <f>Skills!G26*IF(Skills!H26&gt;0,Skills!I26/Skills!H26,1)</f>
        <v/>
      </c>
      <c r="H156">
        <f>1-(1-Skills!J26/100)^Skills!K26</f>
        <v/>
      </c>
      <c r="I156" t="inlineStr">
        <is>
          <t>1</t>
        </is>
      </c>
      <c r="J156" t="inlineStr"/>
      <c r="K156" t="inlineStr"/>
      <c r="L156" t="inlineStr"/>
      <c r="M156" t="inlineStr"/>
      <c r="N156" t="inlineStr"/>
      <c r="O156" t="n">
        <v>0</v>
      </c>
      <c r="P156">
        <f>IF(B175=0,0,O156/B175)</f>
        <v/>
      </c>
      <c r="Q156" t="n">
        <v>0</v>
      </c>
      <c r="R156" t="n">
        <v>0</v>
      </c>
      <c r="S156">
        <f>IFERROR(O156/N156,0)</f>
        <v/>
      </c>
    </row>
    <row r="157">
      <c r="A157">
        <f>Skills!A27</f>
        <v/>
      </c>
      <c r="B157">
        <f>Skills!B27</f>
        <v/>
      </c>
      <c r="C157">
        <f>Inputs!$B$3&gt;=38</f>
        <v/>
      </c>
      <c r="D157">
        <f>IF(Skills!C27=1,60+Inputs!$B$25+Inputs!$B$29,IF(Skills!C27=2,90+Inputs!$B$26+Inputs!$B$29,IF(Skills!C27=3,120+Inputs!$B$27+Inputs!$B$29,MAX(0,(Inputs!$B$3-100)*3)+Inputs!$B$28+Inputs!$B$29)))</f>
        <v/>
      </c>
      <c r="E157">
        <f>INDEX(FactorTable!$B$2:$Y$301, MATCH(ROUND(MIN(300,MAX(1,D157)),0), FactorTable!$A$2:$A$301,0), Skills!M27+1)</f>
        <v/>
      </c>
      <c r="F157">
        <f>IF(Skills!N27=TRUE,(Skills!L27/10)*(E157/1000),Skills!L27/10)+Skills!O27</f>
        <v/>
      </c>
      <c r="G157">
        <f>Skills!G27*IF(Skills!H27&gt;0,Skills!I27/Skills!H27,1)</f>
        <v/>
      </c>
      <c r="H157">
        <f>1-(1-Skills!J27/100)^Skills!K27</f>
        <v/>
      </c>
      <c r="I157" t="inlineStr">
        <is>
          <t>1</t>
        </is>
      </c>
      <c r="J157" t="inlineStr"/>
      <c r="K157" t="inlineStr"/>
      <c r="L157" t="inlineStr"/>
      <c r="M157" t="inlineStr"/>
      <c r="N157" t="inlineStr"/>
      <c r="O157" t="n">
        <v>0</v>
      </c>
      <c r="P157">
        <f>IF(B175=0,0,O157/B175)</f>
        <v/>
      </c>
      <c r="Q157" t="n">
        <v>0</v>
      </c>
      <c r="R157" t="n">
        <v>0</v>
      </c>
      <c r="S157">
        <f>IFERROR(O157/N157,0)</f>
        <v/>
      </c>
    </row>
    <row r="158">
      <c r="A158">
        <f>Skills!A28</f>
        <v/>
      </c>
      <c r="B158">
        <f>Skills!B28</f>
        <v/>
      </c>
      <c r="C158">
        <f>Inputs!$B$3&gt;=120</f>
        <v/>
      </c>
      <c r="D158">
        <f>IF(Skills!C28=1,60+Inputs!$B$25+Inputs!$B$29,IF(Skills!C28=2,90+Inputs!$B$26+Inputs!$B$29,IF(Skills!C28=3,120+Inputs!$B$27+Inputs!$B$29,MAX(0,(Inputs!$B$3-100)*3)+Inputs!$B$28+Inputs!$B$29)))</f>
        <v/>
      </c>
      <c r="E158">
        <f>INDEX(FactorTable!$B$2:$Y$301, MATCH(ROUND(MIN(300,MAX(1,D158)),0), FactorTable!$A$2:$A$301,0), Skills!M28+1)</f>
        <v/>
      </c>
      <c r="F158">
        <f>IF(Skills!N28=TRUE,(Skills!L28/10)*(E158/1000),Skills!L28/10)+Skills!O28</f>
        <v/>
      </c>
      <c r="G158">
        <f>Skills!G28*IF(Skills!H28&gt;0,Skills!I28/Skills!H28,1)</f>
        <v/>
      </c>
      <c r="H158">
        <f>1-(1-Skills!J28/100)^Skills!K28</f>
        <v/>
      </c>
      <c r="I158" t="inlineStr">
        <is>
          <t>1</t>
        </is>
      </c>
      <c r="J158" t="inlineStr"/>
      <c r="K158" t="inlineStr"/>
      <c r="L158" t="inlineStr"/>
      <c r="M158" t="inlineStr"/>
      <c r="N158" t="inlineStr"/>
      <c r="O158" t="n">
        <v>0</v>
      </c>
      <c r="P158">
        <f>IF(B175=0,0,O158/B175)</f>
        <v/>
      </c>
      <c r="Q158" t="n">
        <v>0</v>
      </c>
      <c r="R158" t="n">
        <v>0</v>
      </c>
      <c r="S158">
        <f>IFERROR(O158/N158,0)</f>
        <v/>
      </c>
    </row>
    <row r="159">
      <c r="A159">
        <f>Skills!A29</f>
        <v/>
      </c>
      <c r="B159">
        <f>Skills!B29</f>
        <v/>
      </c>
      <c r="C159">
        <f>Inputs!$B$3&gt;=120</f>
        <v/>
      </c>
      <c r="D159">
        <f>IF(Skills!C29=1,60+Inputs!$B$25+Inputs!$B$29,IF(Skills!C29=2,90+Inputs!$B$26+Inputs!$B$29,IF(Skills!C29=3,120+Inputs!$B$27+Inputs!$B$29,MAX(0,(Inputs!$B$3-100)*3)+Inputs!$B$28+Inputs!$B$29)))</f>
        <v/>
      </c>
      <c r="E159">
        <f>INDEX(FactorTable!$B$2:$Y$301, MATCH(ROUND(MIN(300,MAX(1,D159)),0), FactorTable!$A$2:$A$301,0), Skills!M29+1)</f>
        <v/>
      </c>
      <c r="F159">
        <f>IF(Skills!N29=TRUE,(Skills!L29/10)*(E159/1000),Skills!L29/10)+Skills!O29</f>
        <v/>
      </c>
      <c r="G159">
        <f>Skills!G29*IF(Skills!H29&gt;0,Skills!I29/Skills!H29,1)</f>
        <v/>
      </c>
      <c r="H159">
        <f>1-(1-Skills!J29/100)^Skills!K29</f>
        <v/>
      </c>
      <c r="I159" t="inlineStr">
        <is>
          <t>1</t>
        </is>
      </c>
      <c r="J159" t="inlineStr"/>
      <c r="K159" t="inlineStr"/>
      <c r="L159" t="inlineStr"/>
      <c r="M159" t="inlineStr"/>
      <c r="N159" t="inlineStr"/>
      <c r="O159" t="n">
        <v>0</v>
      </c>
      <c r="P159">
        <f>IF(B175=0,0,O159/B175)</f>
        <v/>
      </c>
      <c r="Q159" t="n">
        <v>0</v>
      </c>
      <c r="R159" t="n">
        <v>0</v>
      </c>
      <c r="S159">
        <f>IFERROR(O159/N159,0)</f>
        <v/>
      </c>
    </row>
    <row r="160">
      <c r="A160">
        <f>Skills!A30</f>
        <v/>
      </c>
      <c r="B160">
        <f>Skills!B30</f>
        <v/>
      </c>
      <c r="C160">
        <f>Inputs!$B$3&gt;=125</f>
        <v/>
      </c>
      <c r="D160">
        <f>IF(Skills!C30=1,60+Inputs!$B$25+Inputs!$B$29,IF(Skills!C30=2,90+Inputs!$B$26+Inputs!$B$29,IF(Skills!C30=3,120+Inputs!$B$27+Inputs!$B$29,MAX(0,(Inputs!$B$3-100)*3)+Inputs!$B$28+Inputs!$B$29)))</f>
        <v/>
      </c>
      <c r="E160">
        <f>INDEX(FactorTable!$B$2:$Y$301, MATCH(ROUND(MIN(300,MAX(1,D160)),0), FactorTable!$A$2:$A$301,0), Skills!M30+1)</f>
        <v/>
      </c>
      <c r="F160">
        <f>IF(Skills!N30=TRUE,(Skills!L30/10)*(E160/1000),Skills!L30/10)+Skills!O30</f>
        <v/>
      </c>
      <c r="G160">
        <f>Skills!G30*IF(Skills!H30&gt;0,Skills!I30/Skills!H30,1)</f>
        <v/>
      </c>
      <c r="H160">
        <f>1-(1-Skills!J30/100)^Skills!K30</f>
        <v/>
      </c>
      <c r="I160" t="inlineStr">
        <is>
          <t>1</t>
        </is>
      </c>
      <c r="J160" t="inlineStr"/>
      <c r="K160" t="inlineStr"/>
      <c r="L160" t="inlineStr"/>
      <c r="M160" t="inlineStr"/>
      <c r="N160" t="inlineStr"/>
      <c r="O160" t="n">
        <v>0</v>
      </c>
      <c r="P160">
        <f>IF(B175=0,0,O160/B175)</f>
        <v/>
      </c>
      <c r="Q160" t="n">
        <v>0</v>
      </c>
      <c r="R160" t="n">
        <v>0</v>
      </c>
      <c r="S160">
        <f>IFERROR(O160/N160,0)</f>
        <v/>
      </c>
    </row>
    <row r="162">
      <c r="A162" t="inlineStr">
        <is>
          <t>Average Buff Multiplier</t>
        </is>
      </c>
      <c r="B162">
        <f>(1+(((C151=TRUE)*F151*IF(AND(Inputs!$B$39&lt;&gt;"pvp",Inputs!$B$44&gt;0),(((R151-1)*(Skills!Y21*(1+Inputs!$B$34/100))+MIN((Skills!Y21*(1+Inputs!$B$34/100)),MAX(0,Inputs!$B$44-((R151-1)*Skills!D21))))/Inputs!$B$44),IF(Inputs!$B$39="pvp",MIN((Skills!Y21*(1+Inputs!$B$34/100)),15)/15,(Skills!Y21*(1+Inputs!$B$34/100))/Skills!D21)))+((C153=TRUE)*(F153-Calc!F23))+((C147=TRUE)*(F147-Calc!F17)))/100)*(1+((C140=TRUE)*F140*IF(AND(Inputs!$B$39&lt;&gt;"pvp",Inputs!$B$44&gt;0),(((R140-1)*(Skills!Y10*(1+Inputs!$B$34/100))+MIN((Skills!Y10*(1+Inputs!$B$34/100)),MAX(0,Inputs!$B$44-((R140-1)*Skills!D10))))/Inputs!$B$44),IF(Inputs!$B$39="pvp",MIN((Skills!Y10*(1+Inputs!$B$34/100)),15)/15,(Skills!Y10*(1+Inputs!$B$34/100))/Skills!D10)))/100)*(1+((C145=TRUE)*F145*IF(AND(Inputs!$B$39&lt;&gt;"pvp",Inputs!$B$44&gt;0),(((R145-1)*(Skills!Y15*(1+Inputs!$B$34/100))+MIN((Skills!Y15*(1+Inputs!$B$34/100)),MAX(0,Inputs!$B$44-((R145-1)*Skills!D15))))/Inputs!$B$44),IF(Inputs!$B$39="pvp",MIN((Skills!Y15*(1+Inputs!$B$34/100)),15)/15,(Skills!Y15*(1+Inputs!$B$34/100))/Skills!D15)))/100)</f>
        <v/>
      </c>
    </row>
    <row r="163">
      <c r="A163" t="inlineStr">
        <is>
          <t>Global Crit Rate Bonus %</t>
        </is>
      </c>
      <c r="B163">
        <f>((C150=TRUE)*F150*IF(AND(Inputs!$B$39&lt;&gt;"pvp",Inputs!$B$44&gt;0),(((R150-1)*(Skills!Y20*(1+Inputs!$B$34/100))+MIN((Skills!Y20*(1+Inputs!$B$34/100)),MAX(0,Inputs!$B$44-((R150-1)*Skills!D20))))/Inputs!$B$44),IF(Inputs!$B$39="pvp",MIN((Skills!Y20*(1+Inputs!$B$34/100)),15)/15,(Skills!Y20*(1+Inputs!$B$34/100))/Skills!D20)))</f>
        <v/>
      </c>
    </row>
    <row r="164">
      <c r="A164" t="inlineStr">
        <is>
          <t>Global Monster Damage-Taken Bonus %</t>
        </is>
      </c>
      <c r="B164">
        <f>IF(Inputs!$B$3&gt;=82,15,0)</f>
        <v/>
      </c>
    </row>
    <row r="165">
      <c r="A165" t="inlineStr">
        <is>
          <t>Shadow Partner Average Multiplier</t>
        </is>
      </c>
      <c r="B165">
        <f>1+((C137=TRUE)*F137*(1+3.3333333333333335*IF(C148=TRUE,F148,0)/100)*I137*Skills!J7/100)/100</f>
        <v/>
      </c>
    </row>
    <row r="166">
      <c r="A166" t="inlineStr">
        <is>
          <t>Attack Speed Buff Bonus %</t>
        </is>
      </c>
      <c r="B166">
        <f>((C149=TRUE)*F149*IF(AND(Inputs!$B$39&lt;&gt;"pvp",Inputs!$B$44&gt;0),(((R149-1)*(Skills!Y19*(1+Inputs!$B$34/100))+MIN((Skills!Y19*(1+Inputs!$B$34/100)),MAX(0,Inputs!$B$44-((R149-1)*Skills!D19))))/Inputs!$B$44),IF(Inputs!$B$39="pvp",MIN((Skills!Y19*(1+Inputs!$B$34/100)),15)/15,(Skills!Y19*(1+Inputs!$B$34/100))/Skills!D19)))+((C133=TRUE)*F133*3)</f>
        <v/>
      </c>
    </row>
    <row r="167">
      <c r="A167" t="inlineStr">
        <is>
          <t>Actions Per Second</t>
        </is>
      </c>
      <c r="B167">
        <f>1+MIN(150,150*(1-(1-(Inputs!$B$11+((C152=TRUE)*(F152-Calc!F22)))/150)*(1-B166/150)))/100</f>
        <v/>
      </c>
    </row>
    <row r="168">
      <c r="A168" t="inlineStr">
        <is>
          <t>Skill + Buff Cast Rate</t>
        </is>
      </c>
      <c r="B168">
        <f>IF(AND(Inputs!$B$39&lt;&gt;"pvp",Inputs!$B$44&gt;0),SUMPRODUCT((Skills!E2:E30=TRUE)*(C132:C160=TRUE)*R132:R160*Skills!F2:F30)/Inputs!$B$44,SUMPRODUCT((Skills!E2:E30=TRUE)*(C132:C160=TRUE)*Q132:Q160*Skills!F2:F30))</f>
        <v/>
      </c>
    </row>
    <row r="169">
      <c r="A169" t="inlineStr">
        <is>
          <t>Cruel Stab Casts Per Second</t>
        </is>
      </c>
      <c r="B169">
        <f>MAX(0,B167-B168)</f>
        <v/>
      </c>
    </row>
    <row r="170">
      <c r="A170" t="inlineStr">
        <is>
          <t>Global Critical Damage Bonus % (Smokescreen Mastery Lv.113)</t>
        </is>
      </c>
      <c r="B170">
        <f>IF(Inputs!$B$3&gt;=113,30,0)*IF(AND(Inputs!$B$39&lt;&gt;"pvp",Inputs!$B$44&gt;0),(((R145-1)*(Skills!Y15*(1+Inputs!$B$34/100))+MIN((Skills!Y15*(1+Inputs!$B$34/100)),MAX(0,Inputs!$B$44-((R145-1)*Skills!D15))))/Inputs!$B$44),IF(Inputs!$B$39="pvp",MIN((Skills!Y15*(1+Inputs!$B$34/100)),15)/15,(Skills!Y15*(1+Inputs!$B$34/100))/Skills!D15))</f>
        <v/>
      </c>
    </row>
    <row r="171">
      <c r="A171" t="inlineStr">
        <is>
          <t>Meso Explosion average stack count</t>
        </is>
      </c>
      <c r="B171">
        <f>MIN(10,0.5*B167*Skills!D4)</f>
        <v/>
      </c>
    </row>
    <row r="172">
      <c r="A172" t="inlineStr">
        <is>
          <t>Blood Money average stack count</t>
        </is>
      </c>
      <c r="B172">
        <f>MIN(5,0.25*B167*Skills!D4)</f>
        <v/>
      </c>
    </row>
    <row r="173">
      <c r="A173" t="inlineStr">
        <is>
          <t>Assassinate Murderous Intent Multiplier</t>
        </is>
      </c>
      <c r="B173">
        <f>1+IFERROR(MIN(1,Q144*2/Q141),0)</f>
        <v/>
      </c>
    </row>
    <row r="174">
      <c r="A174" t="inlineStr">
        <is>
          <t>Buff-Casting Startup Delay (s, fixed-duration only)</t>
        </is>
      </c>
      <c r="B174">
        <f>IF(AND(Inputs!$B$39&lt;&gt;"pvp",Inputs!$B$44&gt;0),SUMPRODUCT((Skills!Y2:Y30&gt;0)*(Skills!E2:E30=TRUE)*(C132:C160=TRUE))/B167,0)</f>
        <v/>
      </c>
    </row>
    <row r="175">
      <c r="A175" s="5" t="inlineStr">
        <is>
          <t>TOTAL DPS</t>
        </is>
      </c>
      <c r="B175" s="5">
        <f>SUM(O132:O160)</f>
        <v/>
      </c>
    </row>
    <row r="178">
      <c r="A178" s="5" t="inlineStr">
        <is>
          <t>Stat: DAMAGE %</t>
        </is>
      </c>
    </row>
    <row r="179">
      <c r="A179" s="9" t="inlineStr">
        <is>
          <t>Key</t>
        </is>
      </c>
      <c r="B179" s="9" t="inlineStr">
        <is>
          <t>Name</t>
        </is>
      </c>
      <c r="C179" s="9" t="inlineStr">
        <is>
          <t>Unlocked</t>
        </is>
      </c>
      <c r="D179" s="9" t="inlineStr">
        <is>
          <t>InputLevel</t>
        </is>
      </c>
      <c r="E179" s="9" t="inlineStr">
        <is>
          <t>Factor</t>
        </is>
      </c>
      <c r="F179" s="9" t="inlineStr">
        <is>
          <t>CoefficientPercent</t>
        </is>
      </c>
      <c r="G179" s="9" t="inlineStr">
        <is>
          <t>EffectiveHits</t>
        </is>
      </c>
      <c r="H179" s="9" t="inlineStr">
        <is>
          <t>ProcProbability</t>
        </is>
      </c>
      <c r="I179" s="9" t="inlineStr">
        <is>
          <t>MapleHeroMultiplier</t>
        </is>
      </c>
      <c r="J179" s="9" t="inlineStr">
        <is>
          <t>BaseDamage</t>
        </is>
      </c>
      <c r="K179" s="9" t="inlineStr">
        <is>
          <t>BaseHitDamage</t>
        </is>
      </c>
      <c r="L179" s="9" t="inlineStr">
        <is>
          <t>NonCritAvg</t>
        </is>
      </c>
      <c r="M179" s="9" t="inlineStr">
        <is>
          <t>CritAvg</t>
        </is>
      </c>
      <c r="N179" s="9" t="inlineStr">
        <is>
          <t>ExpectedDamage(perHit)</t>
        </is>
      </c>
      <c r="O179" s="9" t="inlineStr">
        <is>
          <t>DPS</t>
        </is>
      </c>
      <c r="P179" s="9" t="inlineStr">
        <is>
          <t>% of Total</t>
        </is>
      </c>
      <c r="Q179" s="9" t="inlineStr">
        <is>
          <t>InvCooldown</t>
        </is>
      </c>
      <c r="R179" s="9" t="inlineStr">
        <is>
          <t>CastsInFight</t>
        </is>
      </c>
      <c r="S179" s="9" t="inlineStr">
        <is>
          <t>HitRate(perSec)</t>
        </is>
      </c>
      <c r="U179" t="inlineStr">
        <is>
          <t>helpers</t>
        </is>
      </c>
    </row>
    <row r="180">
      <c r="A180">
        <f>Skills!A2</f>
        <v/>
      </c>
      <c r="B180">
        <f>Skills!B2</f>
        <v/>
      </c>
      <c r="C180">
        <f>Inputs!$B$3&gt;=100</f>
        <v/>
      </c>
      <c r="D180" t="inlineStr"/>
      <c r="E180" t="inlineStr"/>
      <c r="F180">
        <f>U182+Skills!O2</f>
        <v/>
      </c>
      <c r="G180">
        <f>Skills!G2*IF(Skills!H2&gt;0,Skills!I2/Skills!H2,1)</f>
        <v/>
      </c>
      <c r="H180">
        <f>1-(1-Skills!J2/100)^Skills!K2</f>
        <v/>
      </c>
      <c r="I180" t="inlineStr">
        <is>
          <t>1</t>
        </is>
      </c>
      <c r="J180">
        <f>((Inputs!$B$6*(1+Inputs!$B$7/100))+(((Inputs!$B$12*(1+Inputs!$B$13/100))-(Inputs!$B$12*(1+Inputs!$B$13/100)))+0.25*(Inputs!$B$14-Inputs!$B$14))*(1+Inputs!$B$7/100))*(F180/100)</f>
        <v/>
      </c>
      <c r="K180">
        <f>J180*(1+((Inputs!$B$12*(1+Inputs!$B$13/100))*0.01+Inputs!$B$14*0.0025)/100)*(1+(Inputs!$B$15+1)/100)*(1+IF(Inputs!$B$39="pvp",0,(1-Summary!$B$55)*(Inputs!$B$20+0+Skills!P2+B212)+Summary!$B$55*(Inputs!$B$21+Skills!Q2+B212))/100)*(1+Inputs!$B$16/100)*(5000/(6000+Inputs!$B$43*(1-Inputs!$B$19/100)))*(1+(Inputs!$B$24+((C208=TRUE)*(F208-Calc!F30)))/100)*(1+(IF(Skills!A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180)</f>
        <v/>
      </c>
      <c r="L180">
        <f>K180*(MIN(Inputs!$B$22+((C202=TRUE)*(F202-Calc!F24)),Inputs!$B$23+((C207=TRUE)*(F207-Calc!F29)))/100+(Inputs!$B$23+((C207=TRUE)*(F207-Calc!F29)))/100)/2</f>
        <v/>
      </c>
      <c r="M180">
        <f>L180*(1+(Inputs!$B$10+((C204=TRUE)*(F204-Calc!F26))+B218)/100)</f>
        <v/>
      </c>
      <c r="N180">
        <f>L180*(1-MIN((Inputs!$B$9+((C203=TRUE)*(F203-Calc!F25))+B211),100)/100)+M180*(MIN((Inputs!$B$9+((C203=TRUE)*(F203-Calc!F25))+B211),100)/100)</f>
        <v/>
      </c>
      <c r="O180">
        <f>IF(C180,Skills!G2*N180*B217*IF(Inputs!$B$39="pvp",1,(1-Summary!$B$55)*(1)+Summary!$B$55*(MIN((6+Inputs!$B$33),Inputs!$B$37))),0)</f>
        <v/>
      </c>
      <c r="P180">
        <f>IF(B223=0,0,O180/B223)</f>
        <v/>
      </c>
      <c r="Q180" t="n">
        <v>0</v>
      </c>
      <c r="R180" t="n">
        <v>0</v>
      </c>
      <c r="S180">
        <f>IFERROR(O180/N180,0)</f>
        <v/>
      </c>
      <c r="U180">
        <f>MAX(0,(Inputs!$B$3-100)*3)+Inputs!$B$28+Inputs!$B$29</f>
        <v/>
      </c>
    </row>
    <row r="181">
      <c r="A181">
        <f>Skills!A3</f>
        <v/>
      </c>
      <c r="B181">
        <f>Skills!B3</f>
        <v/>
      </c>
      <c r="C181">
        <f>Inputs!$B$3&gt;=35</f>
        <v/>
      </c>
      <c r="D181">
        <f>IF(Skills!C3=1,60+Inputs!$B$25+Inputs!$B$29,IF(Skills!C3=2,90+Inputs!$B$26+Inputs!$B$29,IF(Skills!C3=3,120+Inputs!$B$27+Inputs!$B$29,MAX(0,(Inputs!$B$3-100)*3)+Inputs!$B$28+Inputs!$B$29)))</f>
        <v/>
      </c>
      <c r="E181">
        <f>INDEX(FactorTable!$B$2:$Y$301, MATCH(ROUND(MIN(300,MAX(1,D181)),0), FactorTable!$A$2:$A$301,0), Skills!M3+1)</f>
        <v/>
      </c>
      <c r="F181">
        <f>IF(Skills!N3=TRUE,(Skills!L3/10)*(E181/1000),Skills!L3/10)+Skills!O3</f>
        <v/>
      </c>
      <c r="G181">
        <f>Skills!G3*IF(Skills!H3&gt;0,Skills!I3/Skills!H3,1)</f>
        <v/>
      </c>
      <c r="H181">
        <f>1-(1-Skills!J3/100)^Skills!K3</f>
        <v/>
      </c>
      <c r="I181" t="inlineStr">
        <is>
          <t>1</t>
        </is>
      </c>
      <c r="J181" t="inlineStr"/>
      <c r="K181" t="inlineStr"/>
      <c r="L181" t="inlineStr"/>
      <c r="M181" t="inlineStr"/>
      <c r="N181" t="inlineStr"/>
      <c r="O181" t="n">
        <v>0</v>
      </c>
      <c r="P181">
        <f>IF(B223=0,0,O181/B223)</f>
        <v/>
      </c>
      <c r="Q181" t="n">
        <v>0</v>
      </c>
      <c r="R181" t="n">
        <v>0</v>
      </c>
      <c r="S181">
        <f>IFERROR(O181/N181,0)</f>
        <v/>
      </c>
      <c r="U181">
        <f>INDEX(FactorTable!$B$2:$Y$301, MATCH(ROUND(MIN(300,MAX(1,U180)),0), FactorTable!$A$2:$A$301,0), 22)</f>
        <v/>
      </c>
    </row>
    <row r="182">
      <c r="A182">
        <f>Skills!A4</f>
        <v/>
      </c>
      <c r="B182">
        <f>Skills!B4</f>
        <v/>
      </c>
      <c r="C182">
        <f>Inputs!$B$3&gt;=66</f>
        <v/>
      </c>
      <c r="D182">
        <f>IF(Skills!C4=1,60+Inputs!$B$25+Inputs!$B$29,IF(Skills!C4=2,90+Inputs!$B$26+Inputs!$B$29,IF(Skills!C4=3,120+Inputs!$B$27+Inputs!$B$29,MAX(0,(Inputs!$B$3-100)*3)+Inputs!$B$28+Inputs!$B$29)))</f>
        <v/>
      </c>
      <c r="E182">
        <f>INDEX(FactorTable!$B$2:$Y$301, MATCH(ROUND(MIN(300,MAX(1,D182)),0), FactorTable!$A$2:$A$301,0), Skills!M4+1)</f>
        <v/>
      </c>
      <c r="F182">
        <f>IF(Skills!N4=TRUE,(Skills!L4/10)*(E182/1000),Skills!L4/10)+Skills!O4</f>
        <v/>
      </c>
      <c r="G182">
        <f>Skills!G4*IF(Skills!H4&gt;0,Skills!I4/Skills!H4,1)</f>
        <v/>
      </c>
      <c r="H182">
        <f>1-(1-Skills!J4/100)^Skills!K4</f>
        <v/>
      </c>
      <c r="I182" t="inlineStr">
        <is>
          <t>1</t>
        </is>
      </c>
      <c r="J182">
        <f>((Inputs!$B$6*(1+Inputs!$B$7/100))+(((Inputs!$B$12*(1+Inputs!$B$13/100))-(Inputs!$B$12*(1+Inputs!$B$13/100)))+0.25*(Inputs!$B$14-Inputs!$B$14))*(1+Inputs!$B$7/100))*(F182/100)</f>
        <v/>
      </c>
      <c r="K182">
        <f>J182*(1+((Inputs!$B$12*(1+Inputs!$B$13/100))*0.01+Inputs!$B$14*0.0025)/100)*(1+(Inputs!$B$15+1)/100)*(1+IF(Inputs!$B$39="pvp",0,(1-Summary!$B$55)*(Inputs!$B$20+0+Skills!P4+B212)+Summary!$B$55*(Inputs!$B$21+Skills!Q4+B212))/100)*(1+Inputs!$B$16/100)*(5000/(6000+Inputs!$B$43*(1-Inputs!$B$19/100)))*(1+(Inputs!$B$24+((C208=TRUE)*(F208-Calc!F30)))/100)*(1+(IF(Skills!A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182)</f>
        <v/>
      </c>
      <c r="L182">
        <f>K182*(MIN(Inputs!$B$22+((C202=TRUE)*(F202-Calc!F24)),Inputs!$B$23+((C207=TRUE)*(F207-Calc!F29)))/100+(Inputs!$B$23+((C207=TRUE)*(F207-Calc!F29)))/100)/2</f>
        <v/>
      </c>
      <c r="M182">
        <f>L182*(1+(Inputs!$B$10+((C204=TRUE)*(F204-Calc!F26))+B218)/100)</f>
        <v/>
      </c>
      <c r="N182">
        <f>L182*(1-MIN((Inputs!$B$9+((C203=TRUE)*(F203-Calc!F25))+B211),100)/100)+M182*(MIN((Inputs!$B$9+((C203=TRUE)*(F203-Calc!F25))+B211),100)/100)</f>
        <v/>
      </c>
      <c r="O182">
        <f>IF(C182,H182*N182*IF(AND(Inputs!$B$39&lt;&gt;"pvp",Inputs!$B$44&gt;0),((Skills!G4*((R182-1)*IF(Skills!H4&gt;0,Skills!I4/Skills!H4,1)+IF(Skills!H4&gt;0,MIN(Skills!I4,MAX(0,MAX(0,Inputs!$B$44-B222)-((R182-1)*IF(Inputs!$B$39="pvp",15,MAX(0.1,Skills!D4-IF(Skills!E4=TRUE,Inputs!$B$32,0))))))/Skills!H4,1)))/Inputs!$B$44),G182*Q182)*IF(Inputs!$B$39="pvp",1,(1-Summary!$B$55)*(1)+Summary!$B$55*(MIN(MIN(10,0.5*B215*Skills!D4),Inputs!$B$37))),0)</f>
        <v/>
      </c>
      <c r="P182">
        <f>IF(B223=0,0,O182/B223)</f>
        <v/>
      </c>
      <c r="Q182">
        <f>IFERROR(1/IF(Inputs!$B$39="pvp",15,MAX(0.1,Skills!D4-IF(Skills!E4=TRUE,Inputs!$B$32,0))),0)</f>
        <v/>
      </c>
      <c r="R182">
        <f>IF(AND(Inputs!$B$39&lt;&gt;"pvp",Inputs!$B$44&gt;0),IF(MAX(0,Inputs!$B$44-B222)&lt;=0,0,(INT(MAX(0,Inputs!$B$44-B222)/IF(Inputs!$B$39="pvp",15,MAX(0.1,Skills!D4-IF(Skills!E4=TRUE,Inputs!$B$32,0))))+1)),0)</f>
        <v/>
      </c>
      <c r="S182">
        <f>IFERROR(O182/N182,0)</f>
        <v/>
      </c>
      <c r="U182">
        <f>290*U181/1000</f>
        <v/>
      </c>
    </row>
    <row r="183">
      <c r="A183">
        <f>Skills!A5</f>
        <v/>
      </c>
      <c r="B183">
        <f>Skills!B5</f>
        <v/>
      </c>
      <c r="C183">
        <f>Inputs!$B$3&gt;=63</f>
        <v/>
      </c>
      <c r="D183">
        <f>IF(Skills!C5=1,60+Inputs!$B$25+Inputs!$B$29,IF(Skills!C5=2,90+Inputs!$B$26+Inputs!$B$29,IF(Skills!C5=3,120+Inputs!$B$27+Inputs!$B$29,MAX(0,(Inputs!$B$3-100)*3)+Inputs!$B$28+Inputs!$B$29)))</f>
        <v/>
      </c>
      <c r="E183">
        <f>INDEX(FactorTable!$B$2:$Y$301, MATCH(ROUND(MIN(300,MAX(1,D183)),0), FactorTable!$A$2:$A$301,0), Skills!M5+1)</f>
        <v/>
      </c>
      <c r="F183">
        <f>IF(Skills!N5=TRUE,(Skills!L5/10)*(E183/1000),Skills!L5/10)+Skills!O5</f>
        <v/>
      </c>
      <c r="G183">
        <f>Skills!G5*IF(Skills!H5&gt;0,Skills!I5/Skills!H5,1)</f>
        <v/>
      </c>
      <c r="H183">
        <f>1-(1-Skills!J5/100)^Skills!K5</f>
        <v/>
      </c>
      <c r="I183" t="inlineStr">
        <is>
          <t>1</t>
        </is>
      </c>
      <c r="J183">
        <f>((Inputs!$B$6*(1+Inputs!$B$7/100))+(((Inputs!$B$12*(1+Inputs!$B$13/100))-(Inputs!$B$12*(1+Inputs!$B$13/100)))+0.25*(Inputs!$B$14-Inputs!$B$14))*(1+Inputs!$B$7/100))*(F183/100)</f>
        <v/>
      </c>
      <c r="K183">
        <f>J183*(1+((Inputs!$B$12*(1+Inputs!$B$13/100))*0.01+Inputs!$B$14*0.0025)/100)*(1+(Inputs!$B$15+1)/100)*(1+IF(Inputs!$B$39="pvp",0,(1-Summary!$B$55)*(Inputs!$B$20+0+Skills!P5+B212)+Summary!$B$55*(Inputs!$B$21+Skills!Q5+B212))/100)*(1+Inputs!$B$16/100)*(5000/(6000+Inputs!$B$43*(1-Inputs!$B$19/100)))*(1+(Inputs!$B$24+((C208=TRUE)*(F208-Calc!F30)))/100)*(1+2.6666666666666665*IF(C196=TRUE,F196,0)/100)*(1+(IF(Skills!A5="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183)</f>
        <v/>
      </c>
      <c r="L183">
        <f>K183*(MIN(Inputs!$B$22+((C202=TRUE)*(F202-Calc!F24)),Inputs!$B$23+((C207=TRUE)*(F207-Calc!F29)))/100+(Inputs!$B$23+((C207=TRUE)*(F207-Calc!F29)))/100)/2</f>
        <v/>
      </c>
      <c r="M183">
        <f>L183*(1+(Inputs!$B$10+((C204=TRUE)*(F204-Calc!F26))+B218)/100)</f>
        <v/>
      </c>
      <c r="N183">
        <f>L183*(1-MIN((Inputs!$B$9+((C203=TRUE)*(F203-Calc!F25))+B211),100)/100)+M183*(MIN((Inputs!$B$9+((C203=TRUE)*(F203-Calc!F25))+B211),100)/100)</f>
        <v/>
      </c>
      <c r="O183">
        <f>IF(C183,H183*N183*IF(AND(Inputs!$B$39&lt;&gt;"pvp",Inputs!$B$44&gt;0),((Skills!G5*((R183-1)*IF(Skills!H5&gt;0,Skills!I5/Skills!H5,1)+IF(Skills!H5&gt;0,MIN(Skills!I5,MAX(0,MAX(0,Inputs!$B$44-B222)-((R183-1)*IF(Inputs!$B$39="pvp",15,MAX(0.1,Skills!D5-IF(Skills!E5=TRUE,Inputs!$B$32,0))))))/Skills!H5,1)))/Inputs!$B$44),G183*Q183)*IF(Inputs!$B$39="pvp",1,(1-Summary!$B$55)*(1)+Summary!$B$55*(MIN(Skills!W5,Inputs!$B$37))),0)</f>
        <v/>
      </c>
      <c r="P183">
        <f>IF(B223=0,0,O183/B223)</f>
        <v/>
      </c>
      <c r="Q183">
        <f>IFERROR(1/IF(Inputs!$B$39="pvp",15,MAX(0.1,Skills!D5-IF(Skills!E5=TRUE,Inputs!$B$32,0))),0)</f>
        <v/>
      </c>
      <c r="R183">
        <f>IF(AND(Inputs!$B$39&lt;&gt;"pvp",Inputs!$B$44&gt;0),IF(MAX(0,Inputs!$B$44-B222)&lt;=0,0,(INT(MAX(0,Inputs!$B$44-B222)/IF(Inputs!$B$39="pvp",15,MAX(0.1,Skills!D5-IF(Skills!E5=TRUE,Inputs!$B$32,0))))+1)),0)</f>
        <v/>
      </c>
      <c r="S183">
        <f>IFERROR(O183/N183,0)</f>
        <v/>
      </c>
    </row>
    <row r="184">
      <c r="A184">
        <f>Skills!A6</f>
        <v/>
      </c>
      <c r="B184">
        <f>Skills!B6</f>
        <v/>
      </c>
      <c r="C184">
        <f>Inputs!$B$3&gt;=69</f>
        <v/>
      </c>
      <c r="D184">
        <f>IF(Skills!C6=1,60+Inputs!$B$25+Inputs!$B$29,IF(Skills!C6=2,90+Inputs!$B$26+Inputs!$B$29,IF(Skills!C6=3,120+Inputs!$B$27+Inputs!$B$29,MAX(0,(Inputs!$B$3-100)*3)+Inputs!$B$28+Inputs!$B$29)))</f>
        <v/>
      </c>
      <c r="E184">
        <f>INDEX(FactorTable!$B$2:$Y$301, MATCH(ROUND(MIN(300,MAX(1,D184)),0), FactorTable!$A$2:$A$301,0), Skills!M6+1)</f>
        <v/>
      </c>
      <c r="F184">
        <f>IF(Skills!N6=TRUE,(Skills!L6/10)*(E184/1000),Skills!L6/10)+Skills!O6</f>
        <v/>
      </c>
      <c r="G184">
        <f>Skills!G6*IF(Skills!H6&gt;0,Skills!I6/Skills!H6,1)</f>
        <v/>
      </c>
      <c r="H184">
        <f>1-(1-Skills!J6/100)^Skills!K6</f>
        <v/>
      </c>
      <c r="I184" t="inlineStr">
        <is>
          <t>1</t>
        </is>
      </c>
      <c r="J184">
        <f>((Inputs!$B$6*(1+Inputs!$B$7/100))+(((Inputs!$B$12*(1+Inputs!$B$13/100))-(Inputs!$B$12*(1+Inputs!$B$13/100)))+0.25*(Inputs!$B$14-Inputs!$B$14))*(1+Inputs!$B$7/100))*(F184/100)</f>
        <v/>
      </c>
      <c r="K184">
        <f>J184*(1+((Inputs!$B$12*(1+Inputs!$B$13/100))*0.01+Inputs!$B$14*0.0025)/100)*(1+(Inputs!$B$15+1)/100)*(1+IF(Inputs!$B$39="pvp",0,(1-Summary!$B$55)*(Inputs!$B$20+0+Skills!P6+B212)+Summary!$B$55*(Inputs!$B$21+Skills!Q6+B212))/100)*(1+Inputs!$B$16/100)*(5000/(6000+Inputs!$B$43*(1-Inputs!$B$19/100)))*(1+(Inputs!$B$24+((C208=TRUE)*(F208-Calc!F30)))/100)*(1+1.0*IF(C196=TRUE,F196,0)/100)*(1+(IF(Skills!A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184)</f>
        <v/>
      </c>
      <c r="L184">
        <f>K184*(MIN(Inputs!$B$22+((C202=TRUE)*(F202-Calc!F24)),Inputs!$B$23+((C207=TRUE)*(F207-Calc!F29)))/100+(Inputs!$B$23+((C207=TRUE)*(F207-Calc!F29)))/100)/2</f>
        <v/>
      </c>
      <c r="M184">
        <f>L184*(1+(Inputs!$B$10+((C204=TRUE)*(F204-Calc!F26))+B218)/100)</f>
        <v/>
      </c>
      <c r="N184">
        <f>L184*(1-MIN((Inputs!$B$9+((C203=TRUE)*(F203-Calc!F25))+B211),100)/100)+M184*(MIN((Inputs!$B$9+((C203=TRUE)*(F203-Calc!F25))+B211),100)/100)</f>
        <v/>
      </c>
      <c r="O184">
        <f>IF(C184,H184*N184*IF(AND(Inputs!$B$39&lt;&gt;"pvp",Inputs!$B$44&gt;0),((Skills!G6*((R184-1)*IF(Skills!H6&gt;0,Skills!I6/Skills!H6,1)+IF(Skills!H6&gt;0,MIN(Skills!I6,MAX(0,MAX(0,Inputs!$B$44-B222)-((R184-1)*IF(Inputs!$B$39="pvp",15,MAX(0.1,Skills!D6-IF(Skills!E6=TRUE,Inputs!$B$32,0))))))/Skills!H6,1)))/Inputs!$B$44),G184*Q184)*IF(Inputs!$B$39="pvp",1,(1-Summary!$B$55)*(1)+Summary!$B$55*(MIN(Skills!W6,Inputs!$B$37))),0)</f>
        <v/>
      </c>
      <c r="P184">
        <f>IF(B223=0,0,O184/B223)</f>
        <v/>
      </c>
      <c r="Q184">
        <f>IFERROR(1/IF(Inputs!$B$39="pvp",15,MAX(0.1,Skills!D6-IF(Skills!E6=TRUE,Inputs!$B$32,0))),0)</f>
        <v/>
      </c>
      <c r="R184">
        <f>IF(AND(Inputs!$B$39&lt;&gt;"pvp",Inputs!$B$44&gt;0),IF(MAX(0,Inputs!$B$44-B222)&lt;=0,0,(INT(MAX(0,Inputs!$B$44-B222)/IF(Inputs!$B$39="pvp",15,MAX(0.1,Skills!D6-IF(Skills!E6=TRUE,Inputs!$B$32,0))))+1)),0)</f>
        <v/>
      </c>
      <c r="S184">
        <f>IFERROR(O184/N184,0)</f>
        <v/>
      </c>
    </row>
    <row r="185">
      <c r="A185">
        <f>Skills!A7</f>
        <v/>
      </c>
      <c r="B185">
        <f>Skills!B7</f>
        <v/>
      </c>
      <c r="C185">
        <f>Inputs!$B$3&gt;=60</f>
        <v/>
      </c>
      <c r="D185">
        <f>IF(Skills!C7=1,60+Inputs!$B$25+Inputs!$B$29,IF(Skills!C7=2,90+Inputs!$B$26+Inputs!$B$29,IF(Skills!C7=3,120+Inputs!$B$27+Inputs!$B$29,MAX(0,(Inputs!$B$3-100)*3)+Inputs!$B$28+Inputs!$B$29)))</f>
        <v/>
      </c>
      <c r="E185">
        <f>INDEX(FactorTable!$B$2:$Y$301, MATCH(ROUND(MIN(300,MAX(1,D185)),0), FactorTable!$A$2:$A$301,0), Skills!M7+1)</f>
        <v/>
      </c>
      <c r="F185">
        <f>IF(Skills!N7=TRUE,(Skills!L7/10)*(E185/1000),Skills!L7/10)+Skills!O7</f>
        <v/>
      </c>
      <c r="G185">
        <f>Skills!G7*IF(Skills!H7&gt;0,Skills!I7/Skills!H7,1)</f>
        <v/>
      </c>
      <c r="H185">
        <f>1-(1-Skills!J7/100)^Skills!K7</f>
        <v/>
      </c>
      <c r="I185" t="inlineStr">
        <is>
          <t>1</t>
        </is>
      </c>
      <c r="J185" t="inlineStr"/>
      <c r="K185" t="inlineStr"/>
      <c r="L185" t="inlineStr"/>
      <c r="M185" t="inlineStr"/>
      <c r="N185" t="inlineStr"/>
      <c r="O185" t="n">
        <v>0</v>
      </c>
      <c r="P185">
        <f>IF(B223=0,0,O185/B223)</f>
        <v/>
      </c>
      <c r="Q185" t="n">
        <v>0</v>
      </c>
      <c r="R185" t="n">
        <v>0</v>
      </c>
      <c r="S185">
        <f>IFERROR(O185/N185,0)</f>
        <v/>
      </c>
    </row>
    <row r="186">
      <c r="A186">
        <f>Skills!A8</f>
        <v/>
      </c>
      <c r="B186">
        <f>Skills!B8</f>
        <v/>
      </c>
      <c r="C186">
        <f>Inputs!$B$3&gt;=72</f>
        <v/>
      </c>
      <c r="D186">
        <f>IF(Skills!C8=1,60+Inputs!$B$25+Inputs!$B$29,IF(Skills!C8=2,90+Inputs!$B$26+Inputs!$B$29,IF(Skills!C8=3,120+Inputs!$B$27+Inputs!$B$29,MAX(0,(Inputs!$B$3-100)*3)+Inputs!$B$28+Inputs!$B$29)))</f>
        <v/>
      </c>
      <c r="E186">
        <f>INDEX(FactorTable!$B$2:$Y$301, MATCH(ROUND(MIN(300,MAX(1,D186)),0), FactorTable!$A$2:$A$301,0), Skills!M8+1)</f>
        <v/>
      </c>
      <c r="F186">
        <f>IF(Skills!N8=TRUE,(Skills!L8/10)*(E186/1000),Skills!L8/10)+Skills!O8</f>
        <v/>
      </c>
      <c r="G186">
        <f>Skills!G8*IF(Skills!H8&gt;0,Skills!I8/Skills!H8,1)</f>
        <v/>
      </c>
      <c r="H186">
        <f>1-(1-Skills!J8/100)^Skills!K8</f>
        <v/>
      </c>
      <c r="I186" t="inlineStr">
        <is>
          <t>1</t>
        </is>
      </c>
      <c r="J186">
        <f>((Inputs!$B$6*(1+Inputs!$B$7/100))+(((Inputs!$B$12*(1+Inputs!$B$13/100))-(Inputs!$B$12*(1+Inputs!$B$13/100)))+0.25*(Inputs!$B$14-Inputs!$B$14))*(1+Inputs!$B$7/100))*(F186/100)</f>
        <v/>
      </c>
      <c r="K186">
        <f>J186*(1+((Inputs!$B$12*(1+Inputs!$B$13/100))*0.01+Inputs!$B$14*0.0025)/100)*(1+(Inputs!$B$15+1)/100)*(1+IF(Inputs!$B$39="pvp",0,(1-Summary!$B$55)*(Inputs!$B$20+0+Skills!P8+B212)+Summary!$B$55*(Inputs!$B$21+Skills!Q8+B212))/100)*(1+Inputs!$B$16/100)*(5000/(6000+Inputs!$B$43*(1-Inputs!$B$19/100)))*(1+(Inputs!$B$24+((C208=TRUE)*(F208-Calc!F30)))/100)*(1+3.3333333333333335*IF(C196=TRUE,F196,0)/100)*(1+(IF(Skills!A8="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186)</f>
        <v/>
      </c>
      <c r="L186">
        <f>K186*(MIN(Inputs!$B$22+((C202=TRUE)*(F202-Calc!F24)),Inputs!$B$23+((C207=TRUE)*(F207-Calc!F29)))/100+(Inputs!$B$23+((C207=TRUE)*(F207-Calc!F29)))/100)/2</f>
        <v/>
      </c>
      <c r="M186">
        <f>L186*(1+(Inputs!$B$10+((C204=TRUE)*(F204-Calc!F26))+B218)/100)</f>
        <v/>
      </c>
      <c r="N186">
        <f>L186*(1-MIN((Inputs!$B$9+((C203=TRUE)*(F203-Calc!F25))+B211),100)/100)+M186*(MIN((Inputs!$B$9+((C203=TRUE)*(F203-Calc!F25))+B211),100)/100)</f>
        <v/>
      </c>
      <c r="O186">
        <f>IF(C186,H186*N186*IF(AND(Inputs!$B$39&lt;&gt;"pvp",Inputs!$B$44&gt;0),((Skills!G8*((R186-1)*IF(Skills!H8&gt;0,Skills!I8/Skills!H8,1)+IF(Skills!H8&gt;0,MIN(Skills!I8,MAX(0,MAX(0,Inputs!$B$44-B222)-((R186-1)*IF(Inputs!$B$39="pvp",15,MAX(0.1,Skills!D8-IF(Skills!E8=TRUE,Inputs!$B$32,0))))))/Skills!H8,1)))/Inputs!$B$44),G186*Q186)*IF(Inputs!$B$39="pvp",1,(1-Summary!$B$55)*(1)+Summary!$B$55*(MIN(Skills!W8,Inputs!$B$37))),0)</f>
        <v/>
      </c>
      <c r="P186">
        <f>IF(B223=0,0,O186/B223)</f>
        <v/>
      </c>
      <c r="Q186">
        <f>IFERROR(1/IF(Inputs!$B$39="pvp",15,MAX(0.1,Skills!D8-IF(Skills!E8=TRUE,Inputs!$B$32,0))),0)</f>
        <v/>
      </c>
      <c r="R186">
        <f>IF(AND(Inputs!$B$39&lt;&gt;"pvp",Inputs!$B$44&gt;0),IF(MAX(0,Inputs!$B$44-B222)&lt;=0,0,(INT(MAX(0,Inputs!$B$44-B222)/IF(Inputs!$B$39="pvp",15,MAX(0.1,Skills!D8-IF(Skills!E8=TRUE,Inputs!$B$32,0))))+1)),0)</f>
        <v/>
      </c>
      <c r="S186">
        <f>IFERROR(O186/N186,0)</f>
        <v/>
      </c>
    </row>
    <row r="187">
      <c r="A187">
        <f>Skills!A9</f>
        <v/>
      </c>
      <c r="B187">
        <f>Skills!B9</f>
        <v/>
      </c>
      <c r="C187">
        <f>Inputs!$B$3&gt;=117</f>
        <v/>
      </c>
      <c r="D187">
        <f>IF(Skills!C9=1,60+Inputs!$B$25+Inputs!$B$29,IF(Skills!C9=2,90+Inputs!$B$26+Inputs!$B$29,IF(Skills!C9=3,120+Inputs!$B$27+Inputs!$B$29,MAX(0,(Inputs!$B$3-100)*3)+Inputs!$B$28+Inputs!$B$29)))</f>
        <v/>
      </c>
      <c r="E187">
        <f>INDEX(FactorTable!$B$2:$Y$301, MATCH(ROUND(MIN(300,MAX(1,D187)),0), FactorTable!$A$2:$A$301,0), Skills!M9+1)</f>
        <v/>
      </c>
      <c r="F187">
        <f>IF(Skills!N9=TRUE,(Skills!L9/10)*(E187/1000),Skills!L9/10)+Skills!O9</f>
        <v/>
      </c>
      <c r="G187">
        <f>Skills!G9*IF(Skills!H9&gt;0,Skills!I9/Skills!H9,1)</f>
        <v/>
      </c>
      <c r="H187">
        <f>1-(1-Skills!J9/100)^Skills!K9</f>
        <v/>
      </c>
      <c r="I187" t="inlineStr">
        <is>
          <t>1</t>
        </is>
      </c>
      <c r="J187">
        <f>((Inputs!$B$6*(1+Inputs!$B$7/100))+(((Inputs!$B$12*(1+Inputs!$B$13/100))-(Inputs!$B$12*(1+Inputs!$B$13/100)))+0.25*(Inputs!$B$14-Inputs!$B$14))*(1+Inputs!$B$7/100))*(F187/100)</f>
        <v/>
      </c>
      <c r="K187">
        <f>J187*(1+((Inputs!$B$12*(1+Inputs!$B$13/100))*0.01+Inputs!$B$14*0.0025)/100)*(1+(Inputs!$B$15+1)/100)*(1+IF(Inputs!$B$39="pvp",0,(1-Summary!$B$55)*(Inputs!$B$20+0+Skills!P9+B212)+Summary!$B$55*(Inputs!$B$21+Skills!Q9+B212))/100)*(1+Inputs!$B$16/100)*(5000/(6000+Inputs!$B$43*(1-Inputs!$B$19/100)))*(1+(Inputs!$B$24+((C208=TRUE)*(F208-Calc!F30)))/100)*(1+(IF(Skills!A9="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187)</f>
        <v/>
      </c>
      <c r="L187">
        <f>K187*(MIN(Inputs!$B$22+((C202=TRUE)*(F202-Calc!F24)),Inputs!$B$23+((C207=TRUE)*(F207-Calc!F29)))/100+(Inputs!$B$23+((C207=TRUE)*(F207-Calc!F29)))/100)/2</f>
        <v/>
      </c>
      <c r="M187">
        <f>L187*(1+(Inputs!$B$10+((C204=TRUE)*(F204-Calc!F26))+B218)/100)</f>
        <v/>
      </c>
      <c r="N187">
        <f>L187*(1-MIN((Inputs!$B$9+((C203=TRUE)*(F203-Calc!F25))+B211),100)/100)+M187*(MIN((Inputs!$B$9+((C203=TRUE)*(F203-Calc!F25))+B211),100)/100)</f>
        <v/>
      </c>
      <c r="O187">
        <f>IF(C187,0.2*SUMPRODUCT((Skills!Z2:Z30=TRUE)*(C180:C208=TRUE)*S180:S208)*N187,0)</f>
        <v/>
      </c>
      <c r="P187">
        <f>IF(B223=0,0,O187/B223)</f>
        <v/>
      </c>
      <c r="Q187" t="n">
        <v>0</v>
      </c>
      <c r="R187" t="n">
        <v>0</v>
      </c>
      <c r="S187" t="n">
        <v>0</v>
      </c>
    </row>
    <row r="188">
      <c r="A188">
        <f>Skills!A10</f>
        <v/>
      </c>
      <c r="B188">
        <f>Skills!B10</f>
        <v/>
      </c>
      <c r="C188">
        <f>Inputs!$B$3&gt;=74</f>
        <v/>
      </c>
      <c r="D188">
        <f>IF(Skills!C10=1,60+Inputs!$B$25+Inputs!$B$29,IF(Skills!C10=2,90+Inputs!$B$26+Inputs!$B$29,IF(Skills!C10=3,120+Inputs!$B$27+Inputs!$B$29,MAX(0,(Inputs!$B$3-100)*3)+Inputs!$B$28+Inputs!$B$29)))</f>
        <v/>
      </c>
      <c r="E188">
        <f>INDEX(FactorTable!$B$2:$Y$301, MATCH(ROUND(MIN(300,MAX(1,D188)),0), FactorTable!$A$2:$A$301,0), Skills!M10+1)</f>
        <v/>
      </c>
      <c r="F188">
        <f>IF(Skills!N10=TRUE,(Skills!L10/10)*(E188/1000),Skills!L10/10)+Skills!O10</f>
        <v/>
      </c>
      <c r="G188">
        <f>Skills!G10*IF(Skills!H10&gt;0,Skills!I10/Skills!H10,1)</f>
        <v/>
      </c>
      <c r="H188">
        <f>1-(1-Skills!J10/100)^Skills!K10</f>
        <v/>
      </c>
      <c r="I188" t="inlineStr">
        <is>
          <t>1</t>
        </is>
      </c>
      <c r="J188" t="inlineStr"/>
      <c r="K188" t="inlineStr"/>
      <c r="L188" t="inlineStr"/>
      <c r="M188" t="inlineStr"/>
      <c r="N188" t="inlineStr"/>
      <c r="O188" t="n">
        <v>0</v>
      </c>
      <c r="P188">
        <f>IF(B223=0,0,O188/B223)</f>
        <v/>
      </c>
      <c r="Q188">
        <f>IFERROR(1/IF(Inputs!$B$39="pvp",15,MAX(0.1,Skills!D10-IF(Skills!E10=TRUE,Inputs!$B$32,0))),0)</f>
        <v/>
      </c>
      <c r="R188">
        <f>IF(AND(Inputs!$B$39&lt;&gt;"pvp",Inputs!$B$44&gt;0),IF(Inputs!$B$44&lt;=0,0,(INT(Inputs!$B$44/IF(Inputs!$B$39="pvp",15,MAX(0.1,Skills!D10-IF(Skills!E10=TRUE,Inputs!$B$32,0))))+1)),0)</f>
        <v/>
      </c>
      <c r="S188">
        <f>IFERROR(O188/N188,0)</f>
        <v/>
      </c>
    </row>
    <row r="189">
      <c r="A189">
        <f>Skills!A11</f>
        <v/>
      </c>
      <c r="B189">
        <f>Skills!B11</f>
        <v/>
      </c>
      <c r="C189">
        <f>Inputs!$B$3&gt;=103</f>
        <v/>
      </c>
      <c r="D189">
        <f>IF(Skills!C11=1,60+Inputs!$B$25+Inputs!$B$29,IF(Skills!C11=2,90+Inputs!$B$26+Inputs!$B$29,IF(Skills!C11=3,120+Inputs!$B$27+Inputs!$B$29,MAX(0,(Inputs!$B$3-100)*3)+Inputs!$B$28+Inputs!$B$29)))</f>
        <v/>
      </c>
      <c r="E189">
        <f>INDEX(FactorTable!$B$2:$Y$301, MATCH(ROUND(MIN(300,MAX(1,D189)),0), FactorTable!$A$2:$A$301,0), Skills!M11+1)</f>
        <v/>
      </c>
      <c r="F189">
        <f>(Skills!L11/10)*(E189/1000)+IF(Inputs!$B$3&gt;=134,50,0)+0.5*(30000/10)*(INDEX(FactorTable!$B$2:$Y$301, MATCH(ROUND(MIN(300,MAX(1,D189)),0), FactorTable!$A$2:$A$301,0), 13)/1000)*B221</f>
        <v/>
      </c>
      <c r="G189">
        <f>Skills!G11*IF(Skills!H11&gt;0,Skills!I11/Skills!H11,1)</f>
        <v/>
      </c>
      <c r="H189">
        <f>1-(1-Skills!J11/100)^Skills!K11</f>
        <v/>
      </c>
      <c r="I189" t="inlineStr">
        <is>
          <t>1</t>
        </is>
      </c>
      <c r="J189">
        <f>((Inputs!$B$6*(1+Inputs!$B$7/100))+(((Inputs!$B$12*(1+Inputs!$B$13/100))-(Inputs!$B$12*(1+Inputs!$B$13/100)))+0.25*(Inputs!$B$14-Inputs!$B$14))*(1+Inputs!$B$7/100))*(F189/100)</f>
        <v/>
      </c>
      <c r="K189">
        <f>J189*(1+((Inputs!$B$12*(1+Inputs!$B$13/100))*0.01+Inputs!$B$14*0.0025)/100)*(1+(Inputs!$B$15+1)/100)*(1+IF(Inputs!$B$39="pvp",0,(1-Summary!$B$55)*(Inputs!$B$20+0+Skills!P11+B212)+Summary!$B$55*(Inputs!$B$21+Skills!Q11+B212))/100)*(1+Inputs!$B$16/100)*(5000/(6000+Inputs!$B$43*(1-Inputs!$B$19/100)))*(1+(Inputs!$B$24+((C208=TRUE)*(F208-Calc!F30)))/100)*(1+(IF(Skills!A11="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189)</f>
        <v/>
      </c>
      <c r="L189">
        <f>K189*(MIN(Inputs!$B$22+((C202=TRUE)*(F202-Calc!F24)),Inputs!$B$23+((C207=TRUE)*(F207-Calc!F29)))/100+(Inputs!$B$23+((C207=TRUE)*(F207-Calc!F29)))/100)/2</f>
        <v/>
      </c>
      <c r="M189">
        <f>L189*(1+(Inputs!$B$10+((C204=TRUE)*(F204-Calc!F26))+B218)/100)</f>
        <v/>
      </c>
      <c r="N189">
        <f>L189*(1-MIN((Inputs!$B$9+((C203=TRUE)*(F203-Calc!F25))+B211),100)/100)+M189*(MIN((Inputs!$B$9+((C203=TRUE)*(F203-Calc!F25))+B211),100)/100)</f>
        <v/>
      </c>
      <c r="O189">
        <f>IF(C189,H189*N189*IF(AND(Inputs!$B$39&lt;&gt;"pvp",Inputs!$B$44&gt;0),((Skills!G11*((R189-1)*IF(Skills!H11&gt;0,Skills!I11/Skills!H11,1)+IF(Skills!H11&gt;0,MIN(Skills!I11,MAX(0,MAX(0,Inputs!$B$44-B222)-((R189-1)*IF(Inputs!$B$39="pvp",15,MAX(0.1,Skills!D11-IF(Skills!E11=TRUE,Inputs!$B$32,0))))))/Skills!H11,1)))/Inputs!$B$44),G189*Q189)*IF(Inputs!$B$39="pvp",1,(1-Summary!$B$55)*(1)+Summary!$B$55*(MIN(Skills!W11,Inputs!$B$37))),0)</f>
        <v/>
      </c>
      <c r="P189">
        <f>IF(B223=0,0,O189/B223)</f>
        <v/>
      </c>
      <c r="Q189">
        <f>IFERROR(1/IF(Inputs!$B$39="pvp",15,MAX(0.1,Skills!D11-IF(Skills!E11=TRUE,Inputs!$B$32,0))),0)</f>
        <v/>
      </c>
      <c r="R189">
        <f>IF(AND(Inputs!$B$39&lt;&gt;"pvp",Inputs!$B$44&gt;0),IF(MAX(0,Inputs!$B$44-B222)&lt;=0,0,(INT(MAX(0,Inputs!$B$44-B222)/IF(Inputs!$B$39="pvp",15,MAX(0.1,Skills!D11-IF(Skills!E11=TRUE,Inputs!$B$32,0))))+1)),0)</f>
        <v/>
      </c>
      <c r="S189">
        <f>IFERROR(O189/N189,0)</f>
        <v/>
      </c>
    </row>
    <row r="190">
      <c r="A190">
        <f>Skills!A12</f>
        <v/>
      </c>
      <c r="B190">
        <f>Skills!B12</f>
        <v/>
      </c>
      <c r="C190">
        <f>Inputs!$B$3&gt;=105</f>
        <v/>
      </c>
      <c r="D190">
        <f>IF(Skills!C12=1,60+Inputs!$B$25+Inputs!$B$29,IF(Skills!C12=2,90+Inputs!$B$26+Inputs!$B$29,IF(Skills!C12=3,120+Inputs!$B$27+Inputs!$B$29,MAX(0,(Inputs!$B$3-100)*3)+Inputs!$B$28+Inputs!$B$29)))</f>
        <v/>
      </c>
      <c r="E190">
        <f>INDEX(FactorTable!$B$2:$Y$301, MATCH(ROUND(MIN(300,MAX(1,D190)),0), FactorTable!$A$2:$A$301,0), Skills!M12+1)</f>
        <v/>
      </c>
      <c r="F190">
        <f>IF(Skills!N12=TRUE,(Skills!L12/10)*(E190/1000),Skills!L12/10)+Skills!O12</f>
        <v/>
      </c>
      <c r="G190">
        <f>Skills!G12*IF(Skills!H12&gt;0,Skills!I12/Skills!H12,1)</f>
        <v/>
      </c>
      <c r="H190">
        <f>1-(1-Skills!J12/100)^Skills!K12</f>
        <v/>
      </c>
      <c r="I190" t="inlineStr">
        <is>
          <t>1</t>
        </is>
      </c>
      <c r="J190">
        <f>((Inputs!$B$6*(1+Inputs!$B$7/100))+(((Inputs!$B$12*(1+Inputs!$B$13/100))-(Inputs!$B$12*(1+Inputs!$B$13/100)))+0.25*(Inputs!$B$14-Inputs!$B$14))*(1+Inputs!$B$7/100))*(F190/100)</f>
        <v/>
      </c>
      <c r="K190">
        <f>J190*(1+((Inputs!$B$12*(1+Inputs!$B$13/100))*0.01+Inputs!$B$14*0.0025)/100)*(1+(Inputs!$B$15+1)/100)*(1+IF(Inputs!$B$39="pvp",0,(1-Summary!$B$55)*(Inputs!$B$20+0+Skills!P12+B212)+Summary!$B$55*(Inputs!$B$21+Skills!Q12+B212))/100)*(1+Inputs!$B$16/100)*(5000/(6000+Inputs!$B$43*(1-Inputs!$B$19/100)))*(1+(Inputs!$B$24+((C208=TRUE)*(F208-Calc!F30)))/100)*(1+(IF(Skills!A12="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190)</f>
        <v/>
      </c>
      <c r="L190">
        <f>K190*(MIN(Inputs!$B$22+((C202=TRUE)*(F202-Calc!F24)),Inputs!$B$23+((C207=TRUE)*(F207-Calc!F29)))/100+(Inputs!$B$23+((C207=TRUE)*(F207-Calc!F29)))/100)/2</f>
        <v/>
      </c>
      <c r="M190">
        <f>L190*(1+(Inputs!$B$10+((C204=TRUE)*(F204-Calc!F26))+B218)/100)</f>
        <v/>
      </c>
      <c r="N190">
        <f>L190*(1-MIN((Inputs!$B$9+((C203=TRUE)*(F203-Calc!F25))+B211),100)/100)+M190*(MIN((Inputs!$B$9+((C203=TRUE)*(F203-Calc!F25))+B211),100)/100)</f>
        <v/>
      </c>
      <c r="O190">
        <f>IF(C190,H190*N190*IF(AND(Inputs!$B$39&lt;&gt;"pvp",Inputs!$B$44&gt;0),((Skills!G12*((R190-1)*IF(Skills!H12&gt;0,Skills!I12/Skills!H12,1)+IF(Skills!H12&gt;0,MIN(Skills!I12,MAX(0,MAX(0,Inputs!$B$44-B222)-((R190-1)*IF(Inputs!$B$39="pvp",15,MAX(0.1,Skills!D12-IF(Skills!E12=TRUE,Inputs!$B$32,0))))))/Skills!H12,1)))/Inputs!$B$44),G190*Q190)*IF(Inputs!$B$39="pvp",1,(1-Summary!$B$55)*(1)+Summary!$B$55*(MIN(Skills!W12,Inputs!$B$37))),0)</f>
        <v/>
      </c>
      <c r="P190">
        <f>IF(B223=0,0,O190/B223)</f>
        <v/>
      </c>
      <c r="Q190">
        <f>IFERROR(1/IF(Inputs!$B$39="pvp",15,MAX(0.1,Skills!D12-IF(Skills!E12=TRUE,Inputs!$B$32,0))),0)</f>
        <v/>
      </c>
      <c r="R190">
        <f>IF(AND(Inputs!$B$39&lt;&gt;"pvp",Inputs!$B$44&gt;0),IF(MAX(0,Inputs!$B$44-B222)&lt;=0,0,(INT(MAX(0,Inputs!$B$44-B222)/IF(Inputs!$B$39="pvp",15,MAX(0.1,Skills!D12-IF(Skills!E12=TRUE,Inputs!$B$32,0))))+1)),0)</f>
        <v/>
      </c>
      <c r="S190">
        <f>IFERROR(O190/N190,0)</f>
        <v/>
      </c>
    </row>
    <row r="191">
      <c r="A191">
        <f>Skills!A13</f>
        <v/>
      </c>
      <c r="B191">
        <f>Skills!B13</f>
        <v/>
      </c>
      <c r="C191">
        <f>Inputs!$B$3&gt;=105</f>
        <v/>
      </c>
      <c r="D191">
        <f>IF(Skills!C13=1,60+Inputs!$B$25+Inputs!$B$29,IF(Skills!C13=2,90+Inputs!$B$26+Inputs!$B$29,IF(Skills!C13=3,120+Inputs!$B$27+Inputs!$B$29,MAX(0,(Inputs!$B$3-100)*3)+Inputs!$B$28+Inputs!$B$29)))</f>
        <v/>
      </c>
      <c r="E191">
        <f>INDEX(FactorTable!$B$2:$Y$301, MATCH(ROUND(MIN(300,MAX(1,D191)),0), FactorTable!$A$2:$A$301,0), Skills!M13+1)</f>
        <v/>
      </c>
      <c r="F191">
        <f>IF(Skills!N13=TRUE,(Skills!L13/10)*(E191/1000),Skills!L13/10)+Skills!O13</f>
        <v/>
      </c>
      <c r="G191">
        <f>Skills!G13*IF(Skills!H13&gt;0,Skills!I13/Skills!H13,1)</f>
        <v/>
      </c>
      <c r="H191">
        <f>1-(1-Skills!J13/100)^Skills!K13</f>
        <v/>
      </c>
      <c r="I191" t="inlineStr">
        <is>
          <t>1</t>
        </is>
      </c>
      <c r="J191">
        <f>((Inputs!$B$6*(1+Inputs!$B$7/100))+(((Inputs!$B$12*(1+Inputs!$B$13/100))-(Inputs!$B$12*(1+Inputs!$B$13/100)))+0.25*(Inputs!$B$14-Inputs!$B$14))*(1+Inputs!$B$7/100))*(F191/100)</f>
        <v/>
      </c>
      <c r="K191">
        <f>J191*(1+((Inputs!$B$12*(1+Inputs!$B$13/100))*0.01+Inputs!$B$14*0.0025)/100)*(1+(Inputs!$B$15+1)/100)*(1+IF(Inputs!$B$39="pvp",0,(1-Summary!$B$55)*(Inputs!$B$20+0+Skills!P13+B212)+Summary!$B$55*(Inputs!$B$21+Skills!Q13+B212))/100)*(1+Inputs!$B$16/100)*(5000/(6000+Inputs!$B$43*(1-Inputs!$B$19/100)))*(1+(Inputs!$B$24+((C208=TRUE)*(F208-Calc!F30)))/100)*(1+(IF(Skills!A13="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191)</f>
        <v/>
      </c>
      <c r="L191">
        <f>K191*(MIN(Inputs!$B$22+((C202=TRUE)*(F202-Calc!F24)),Inputs!$B$23+((C207=TRUE)*(F207-Calc!F29)))/100+(Inputs!$B$23+((C207=TRUE)*(F207-Calc!F29)))/100)/2</f>
        <v/>
      </c>
      <c r="M191">
        <f>L191*(1+(Inputs!$B$10+((C204=TRUE)*(F204-Calc!F26))+B218)/100)</f>
        <v/>
      </c>
      <c r="N191">
        <f>L191*(1-MIN((Inputs!$B$9+((C203=TRUE)*(F203-Calc!F25))+B211),100)/100)+M191*(MIN((Inputs!$B$9+((C203=TRUE)*(F203-Calc!F25))+B211),100)/100)</f>
        <v/>
      </c>
      <c r="O191">
        <f>IF(C191,H191*N191*IF(AND(Inputs!$B$39&lt;&gt;"pvp",Inputs!$B$44&gt;0),((Skills!G13*((R191-1)*IF(Skills!H13&gt;0,Skills!I13/Skills!H13,1)+IF(Skills!H13&gt;0,MIN(Skills!I13,MAX(0,MAX(0,Inputs!$B$44-B222)-((R191-1)*IF(Inputs!$B$39="pvp",15,MAX(0.1,Skills!D13-IF(Skills!E13=TRUE,Inputs!$B$32,0))))))/Skills!H13,1)))/Inputs!$B$44),G191*Q191)*IF(Inputs!$B$39="pvp",1,(1-Summary!$B$55)*(1)+Summary!$B$55*(MIN(Skills!W13,Inputs!$B$37))),0)</f>
        <v/>
      </c>
      <c r="P191">
        <f>IF(B223=0,0,O191/B223)</f>
        <v/>
      </c>
      <c r="Q191">
        <f>IFERROR(1/IF(Inputs!$B$39="pvp",15,MAX(0.1,Skills!D13-IF(Skills!E13=TRUE,Inputs!$B$32,0))),0)</f>
        <v/>
      </c>
      <c r="R191">
        <f>IF(AND(Inputs!$B$39&lt;&gt;"pvp",Inputs!$B$44&gt;0),IF(MAX(0,Inputs!$B$44-B222)&lt;=0,0,(INT(MAX(0,Inputs!$B$44-B222)/IF(Inputs!$B$39="pvp",15,MAX(0.1,Skills!D13-IF(Skills!E13=TRUE,Inputs!$B$32,0))))+1)),0)</f>
        <v/>
      </c>
      <c r="S191">
        <f>IFERROR(O191/N191,0)</f>
        <v/>
      </c>
    </row>
    <row r="192">
      <c r="A192">
        <f>Skills!A14</f>
        <v/>
      </c>
      <c r="B192">
        <f>Skills!B14</f>
        <v/>
      </c>
      <c r="C192">
        <f>Inputs!$B$3&gt;=107</f>
        <v/>
      </c>
      <c r="D192">
        <f>IF(Skills!C14=1,60+Inputs!$B$25+Inputs!$B$29,IF(Skills!C14=2,90+Inputs!$B$26+Inputs!$B$29,IF(Skills!C14=3,120+Inputs!$B$27+Inputs!$B$29,MAX(0,(Inputs!$B$3-100)*3)+Inputs!$B$28+Inputs!$B$29)))</f>
        <v/>
      </c>
      <c r="E192">
        <f>INDEX(FactorTable!$B$2:$Y$301, MATCH(ROUND(MIN(300,MAX(1,D192)),0), FactorTable!$A$2:$A$301,0), Skills!M14+1)</f>
        <v/>
      </c>
      <c r="F192">
        <f>IF(Skills!N14=TRUE,(Skills!L14/10)*(E192/1000),Skills!L14/10)+Skills!O14</f>
        <v/>
      </c>
      <c r="G192">
        <f>Skills!G14*IF(Skills!H14&gt;0,Skills!I14/Skills!H14,1)</f>
        <v/>
      </c>
      <c r="H192">
        <f>1-(1-Skills!J14/100)^Skills!K14</f>
        <v/>
      </c>
      <c r="I192" t="inlineStr">
        <is>
          <t>1</t>
        </is>
      </c>
      <c r="J192">
        <f>((Inputs!$B$6*(1+Inputs!$B$7/100))+(((Inputs!$B$12*(1+Inputs!$B$13/100))-(Inputs!$B$12*(1+Inputs!$B$13/100)))+0.25*(Inputs!$B$14-Inputs!$B$14))*(1+Inputs!$B$7/100))*(F192/100)</f>
        <v/>
      </c>
      <c r="K192">
        <f>J192*(1+((Inputs!$B$12*(1+Inputs!$B$13/100))*0.01+Inputs!$B$14*0.0025)/100)*(1+(Inputs!$B$15+1)/100)*(1+IF(Inputs!$B$39="pvp",0,(1-Summary!$B$55)*(Inputs!$B$20+0+Skills!P14+B212)+Summary!$B$55*(Inputs!$B$21+Skills!Q14+B212))/100)*(1+Inputs!$B$16/100)*(5000/(6000+Inputs!$B$43*(1-Inputs!$B$19/100)))*(1+(Inputs!$B$24+((C208=TRUE)*(F208-Calc!F30)))/100)*(1+(IF(Skills!A14="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192)</f>
        <v/>
      </c>
      <c r="L192">
        <f>K192*(MIN(Inputs!$B$22+((C202=TRUE)*(F202-Calc!F24)),Inputs!$B$23+((C207=TRUE)*(F207-Calc!F29)))/100+(Inputs!$B$23+((C207=TRUE)*(F207-Calc!F29)))/100)/2</f>
        <v/>
      </c>
      <c r="M192">
        <f>L192*(1+(Inputs!$B$10+((C204=TRUE)*(F204-Calc!F26))+B218)/100)</f>
        <v/>
      </c>
      <c r="N192">
        <f>L192*(1-MIN((Inputs!$B$9+((C203=TRUE)*(F203-Calc!F25))+B211),100)/100)+M192*(MIN((Inputs!$B$9+((C203=TRUE)*(F203-Calc!F25))+B211),100)/100)</f>
        <v/>
      </c>
      <c r="O192">
        <f>IF(C192,H192*N192*IF(AND(Inputs!$B$39&lt;&gt;"pvp",Inputs!$B$44&gt;0),((Skills!G14*((R192-1)*IF(Skills!H14&gt;0,Skills!I14/Skills!H14,1)+IF(Skills!H14&gt;0,MIN(Skills!I14,MAX(0,MAX(0,Inputs!$B$44-B222)-((R192-1)*IF(Inputs!$B$39="pvp",15,MAX(0.1,Skills!D14-IF(Skills!E14=TRUE,Inputs!$B$32,0))))))/Skills!H14,1)))/Inputs!$B$44),G192*Q192)*IF(Inputs!$B$39="pvp",1,(1-Summary!$B$55)*(1)+Summary!$B$55*(MIN(MIN(5,0.25*B215*Skills!D4)*Skills!V14,Inputs!$B$37))),0)</f>
        <v/>
      </c>
      <c r="P192">
        <f>IF(B223=0,0,O192/B223)</f>
        <v/>
      </c>
      <c r="Q192">
        <f>IFERROR(1/IF(Inputs!$B$39="pvp",15,MAX(0.1,Skills!D14-IF(Skills!E14=TRUE,Inputs!$B$32,0))),0)</f>
        <v/>
      </c>
      <c r="R192">
        <f>IF(AND(Inputs!$B$39&lt;&gt;"pvp",Inputs!$B$44&gt;0),IF(MAX(0,Inputs!$B$44-B222)&lt;=0,0,(INT(MAX(0,Inputs!$B$44-B222)/IF(Inputs!$B$39="pvp",15,MAX(0.1,Skills!D14-IF(Skills!E14=TRUE,Inputs!$B$32,0))))+1)),0)</f>
        <v/>
      </c>
      <c r="S192">
        <f>IFERROR(O192/N192,0)</f>
        <v/>
      </c>
    </row>
    <row r="193">
      <c r="A193">
        <f>Skills!A15</f>
        <v/>
      </c>
      <c r="B193">
        <f>Skills!B15</f>
        <v/>
      </c>
      <c r="C193">
        <f>Inputs!$B$3&gt;=110</f>
        <v/>
      </c>
      <c r="D193">
        <f>IF(Skills!C15=1,60+Inputs!$B$25+Inputs!$B$29,IF(Skills!C15=2,90+Inputs!$B$26+Inputs!$B$29,IF(Skills!C15=3,120+Inputs!$B$27+Inputs!$B$29,MAX(0,(Inputs!$B$3-100)*3)+Inputs!$B$28+Inputs!$B$29)))</f>
        <v/>
      </c>
      <c r="E193">
        <f>INDEX(FactorTable!$B$2:$Y$301, MATCH(ROUND(MIN(300,MAX(1,D193)),0), FactorTable!$A$2:$A$301,0), Skills!M15+1)</f>
        <v/>
      </c>
      <c r="F193">
        <f>IF(Skills!N15=TRUE,(Skills!L15/10)*(E193/1000),Skills!L15/10)+Skills!O15</f>
        <v/>
      </c>
      <c r="G193">
        <f>Skills!G15*IF(Skills!H15&gt;0,Skills!I15/Skills!H15,1)</f>
        <v/>
      </c>
      <c r="H193">
        <f>1-(1-Skills!J15/100)^Skills!K15</f>
        <v/>
      </c>
      <c r="I193" t="inlineStr">
        <is>
          <t>1</t>
        </is>
      </c>
      <c r="J193" t="inlineStr"/>
      <c r="K193" t="inlineStr"/>
      <c r="L193" t="inlineStr"/>
      <c r="M193" t="inlineStr"/>
      <c r="N193" t="inlineStr"/>
      <c r="O193" t="n">
        <v>0</v>
      </c>
      <c r="P193">
        <f>IF(B223=0,0,O193/B223)</f>
        <v/>
      </c>
      <c r="Q193">
        <f>IFERROR(1/IF(Inputs!$B$39="pvp",15,MAX(0.1,Skills!D15-IF(Skills!E15=TRUE,Inputs!$B$32,0))),0)</f>
        <v/>
      </c>
      <c r="R193">
        <f>IF(AND(Inputs!$B$39&lt;&gt;"pvp",Inputs!$B$44&gt;0),IF(Inputs!$B$44&lt;=0,0,(INT(Inputs!$B$44/IF(Inputs!$B$39="pvp",15,MAX(0.1,Skills!D15-IF(Skills!E15=TRUE,Inputs!$B$32,0))))+1)),0)</f>
        <v/>
      </c>
      <c r="S193">
        <f>IFERROR(O193/N193,0)</f>
        <v/>
      </c>
    </row>
    <row r="194">
      <c r="A194">
        <f>Skills!A16</f>
        <v/>
      </c>
      <c r="B194">
        <f>Skills!B16</f>
        <v/>
      </c>
      <c r="C194">
        <f>Inputs!$B$3&gt;=115</f>
        <v/>
      </c>
      <c r="D194">
        <f>IF(Skills!C16=1,60+Inputs!$B$25+Inputs!$B$29,IF(Skills!C16=2,90+Inputs!$B$26+Inputs!$B$29,IF(Skills!C16=3,120+Inputs!$B$27+Inputs!$B$29,MAX(0,(Inputs!$B$3-100)*3)+Inputs!$B$28+Inputs!$B$29)))</f>
        <v/>
      </c>
      <c r="E194">
        <f>INDEX(FactorTable!$B$2:$Y$301, MATCH(ROUND(MIN(300,MAX(1,D194)),0), FactorTable!$A$2:$A$301,0), Skills!M16+1)</f>
        <v/>
      </c>
      <c r="F194">
        <f>IF(Skills!N16=TRUE,(Skills!L16/10)*(E194/1000),Skills!L16/10)+Skills!O16</f>
        <v/>
      </c>
      <c r="G194">
        <f>Skills!G16*IF(Skills!H16&gt;0,Skills!I16/Skills!H16,1)</f>
        <v/>
      </c>
      <c r="H194">
        <f>1-(1-Skills!J16/100)^Skills!K16</f>
        <v/>
      </c>
      <c r="I194" t="inlineStr">
        <is>
          <t>1</t>
        </is>
      </c>
      <c r="J194">
        <f>((Inputs!$B$6*(1+Inputs!$B$7/100))+(((Inputs!$B$12*(1+Inputs!$B$13/100))-(Inputs!$B$12*(1+Inputs!$B$13/100)))+0.25*(Inputs!$B$14-Inputs!$B$14))*(1+Inputs!$B$7/100))*(F194/100)</f>
        <v/>
      </c>
      <c r="K194">
        <f>J194*(1+((Inputs!$B$12*(1+Inputs!$B$13/100))*0.01+Inputs!$B$14*0.0025)/100)*(1+(Inputs!$B$15+1)/100)*(1+IF(Inputs!$B$39="pvp",0,(1-Summary!$B$55)*(Inputs!$B$20+0+Skills!P16+B212)+Summary!$B$55*(Inputs!$B$21+Skills!Q16+B212))/100)*(1+Inputs!$B$16/100)*(5000/(6000+Inputs!$B$43*(1-Inputs!$B$19/100)))*(1+(Inputs!$B$24+((C208=TRUE)*(F208-Calc!F30)))/100)*(1+(IF(Skills!A16="CRUEL_STAB",Inputs!$B$17+((C205=TRUE)*(F205-Calc!F27)),Inputs!$B$18+((C206=TRUE)*(F206-Calc!F28))))/100)*(((1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B213*I194)</f>
        <v/>
      </c>
      <c r="L194">
        <f>K194*(MIN(Inputs!$B$22+((C202=TRUE)*(F202-Calc!F24)),Inputs!$B$23+((C207=TRUE)*(F207-Calc!F29)))/100+(Inputs!$B$23+((C207=TRUE)*(F207-Calc!F29)))/100)/2</f>
        <v/>
      </c>
      <c r="M194">
        <f>L194*(1+(Inputs!$B$10+((C204=TRUE)*(F204-Calc!F26))+B218)/100)</f>
        <v/>
      </c>
      <c r="N194">
        <f>L194*(1-MIN((Inputs!$B$9+((C203=TRUE)*(F203-Calc!F25))+B211),100)/100)+M194*(MIN((Inputs!$B$9+((C203=TRUE)*(F203-Calc!F25))+B211),100)/100)</f>
        <v/>
      </c>
      <c r="O194">
        <f>IF(C194,Inputs!$B$38*0.2*N194,0)</f>
        <v/>
      </c>
      <c r="P194">
        <f>IF(B223=0,0,O194/B223)</f>
        <v/>
      </c>
      <c r="Q194" t="n">
        <v>0</v>
      </c>
      <c r="R194" t="n">
        <v>0</v>
      </c>
      <c r="S194">
        <f>IFERROR(O194/N194,0)</f>
        <v/>
      </c>
    </row>
    <row r="195">
      <c r="A195">
        <f>Skills!A17</f>
        <v/>
      </c>
      <c r="B195">
        <f>Skills!B17</f>
        <v/>
      </c>
      <c r="C195">
        <f>Inputs!$B$3&gt;=115</f>
        <v/>
      </c>
      <c r="D195">
        <f>IF(Skills!C17=1,60+Inputs!$B$25+Inputs!$B$29,IF(Skills!C17=2,90+Inputs!$B$26+Inputs!$B$29,IF(Skills!C17=3,120+Inputs!$B$27+Inputs!$B$29,MAX(0,(Inputs!$B$3-100)*3)+Inputs!$B$28+Inputs!$B$29)))</f>
        <v/>
      </c>
      <c r="E195">
        <f>INDEX(FactorTable!$B$2:$Y$301, MATCH(ROUND(MIN(300,MAX(1,D195)),0), FactorTable!$A$2:$A$301,0), Skills!M17+1)</f>
        <v/>
      </c>
      <c r="F195">
        <f>IF(Skills!N17=TRUE,(Skills!L17/10)*(E195/1000),Skills!L17/10)+Skills!O17</f>
        <v/>
      </c>
      <c r="G195">
        <f>Skills!G17*IF(Skills!H17&gt;0,Skills!I17/Skills!H17,1)</f>
        <v/>
      </c>
      <c r="H195">
        <f>1-(1-Skills!J17/100)^Skills!K17</f>
        <v/>
      </c>
      <c r="I195" t="inlineStr">
        <is>
          <t>1</t>
        </is>
      </c>
      <c r="J195" t="inlineStr"/>
      <c r="K195" t="inlineStr"/>
      <c r="L195" t="inlineStr"/>
      <c r="M195" t="inlineStr"/>
      <c r="N195" t="inlineStr"/>
      <c r="O195" t="n">
        <v>0</v>
      </c>
      <c r="P195">
        <f>IF(B223=0,0,O195/B223)</f>
        <v/>
      </c>
      <c r="Q195" t="n">
        <v>0</v>
      </c>
      <c r="R195" t="n">
        <v>0</v>
      </c>
      <c r="S195">
        <f>IFERROR(O195/N195,0)</f>
        <v/>
      </c>
    </row>
    <row r="196">
      <c r="A196">
        <f>Skills!A18</f>
        <v/>
      </c>
      <c r="B196">
        <f>Skills!B18</f>
        <v/>
      </c>
      <c r="C196">
        <f>Inputs!$B$3&gt;=100</f>
        <v/>
      </c>
      <c r="D196">
        <f>IF(Skills!C18=1,60+Inputs!$B$25+Inputs!$B$29,IF(Skills!C18=2,90+Inputs!$B$26+Inputs!$B$29,IF(Skills!C18=3,120+Inputs!$B$27+Inputs!$B$29,MAX(0,(Inputs!$B$3-100)*3)+Inputs!$B$28+Inputs!$B$29)))</f>
        <v/>
      </c>
      <c r="E196">
        <f>INDEX(FactorTable!$B$2:$Y$301, MATCH(ROUND(MIN(300,MAX(1,D196)),0), FactorTable!$A$2:$A$301,0), Skills!M18+1)</f>
        <v/>
      </c>
      <c r="F196">
        <f>IF(Skills!N18=TRUE,(Skills!L18/10)*(E196/1000),Skills!L18/10)+Skills!O18</f>
        <v/>
      </c>
      <c r="G196">
        <f>Skills!G18*IF(Skills!H18&gt;0,Skills!I18/Skills!H18,1)</f>
        <v/>
      </c>
      <c r="H196">
        <f>1-(1-Skills!J18/100)^Skills!K18</f>
        <v/>
      </c>
      <c r="I196" t="inlineStr">
        <is>
          <t>1</t>
        </is>
      </c>
      <c r="J196" t="inlineStr"/>
      <c r="K196" t="inlineStr"/>
      <c r="L196" t="inlineStr"/>
      <c r="M196" t="inlineStr"/>
      <c r="N196" t="inlineStr"/>
      <c r="O196" t="n">
        <v>0</v>
      </c>
      <c r="P196">
        <f>IF(B223=0,0,O196/B223)</f>
        <v/>
      </c>
      <c r="Q196" t="n">
        <v>0</v>
      </c>
      <c r="R196" t="n">
        <v>0</v>
      </c>
      <c r="S196">
        <f>IFERROR(O196/N196,0)</f>
        <v/>
      </c>
    </row>
    <row r="197">
      <c r="A197">
        <f>Skills!A19</f>
        <v/>
      </c>
      <c r="B197">
        <f>Skills!B19</f>
        <v/>
      </c>
      <c r="C197">
        <f>TRUE</f>
        <v/>
      </c>
      <c r="D197">
        <f>IF(Skills!C19=1,60+Inputs!$B$25+Inputs!$B$29,IF(Skills!C19=2,90+Inputs!$B$26+Inputs!$B$29,IF(Skills!C19=3,120+Inputs!$B$27+Inputs!$B$29,MAX(0,(Inputs!$B$3-100)*3)+Inputs!$B$28+Inputs!$B$29)))</f>
        <v/>
      </c>
      <c r="E197">
        <f>INDEX(FactorTable!$B$2:$Y$301, MATCH(ROUND(MIN(300,MAX(1,D197)),0), FactorTable!$A$2:$A$301,0), Skills!M19+1)</f>
        <v/>
      </c>
      <c r="F197">
        <f>IF(Skills!N19=TRUE,(Skills!L19/10)*(E197/1000),Skills!L19/10)+Skills!O19</f>
        <v/>
      </c>
      <c r="G197">
        <f>Skills!G19*IF(Skills!H19&gt;0,Skills!I19/Skills!H19,1)</f>
        <v/>
      </c>
      <c r="H197">
        <f>1-(1-Skills!J19/100)^Skills!K19</f>
        <v/>
      </c>
      <c r="I197" t="inlineStr">
        <is>
          <t>1</t>
        </is>
      </c>
      <c r="J197" t="inlineStr"/>
      <c r="K197" t="inlineStr"/>
      <c r="L197" t="inlineStr"/>
      <c r="M197" t="inlineStr"/>
      <c r="N197" t="inlineStr"/>
      <c r="O197" t="n">
        <v>0</v>
      </c>
      <c r="P197">
        <f>IF(B223=0,0,O197/B223)</f>
        <v/>
      </c>
      <c r="Q197">
        <f>IFERROR(1/IF(Inputs!$B$39="pvp",15,MAX(0.1,Skills!D19-IF(Skills!E19=TRUE,Inputs!$B$32,0))),0)</f>
        <v/>
      </c>
      <c r="R197">
        <f>IF(AND(Inputs!$B$39&lt;&gt;"pvp",Inputs!$B$44&gt;0),IF(Inputs!$B$44&lt;=0,0,(INT(Inputs!$B$44/IF(Inputs!$B$39="pvp",15,MAX(0.1,Skills!D19-IF(Skills!E19=TRUE,Inputs!$B$32,0))))+1)),0)</f>
        <v/>
      </c>
      <c r="S197">
        <f>IFERROR(O197/N197,0)</f>
        <v/>
      </c>
    </row>
    <row r="198">
      <c r="A198">
        <f>Skills!A20</f>
        <v/>
      </c>
      <c r="B198">
        <f>Skills!B20</f>
        <v/>
      </c>
      <c r="C198">
        <f>Inputs!$B$3&gt;=15</f>
        <v/>
      </c>
      <c r="D198">
        <f>IF(Skills!C20=1,60+Inputs!$B$25+Inputs!$B$29,IF(Skills!C20=2,90+Inputs!$B$26+Inputs!$B$29,IF(Skills!C20=3,120+Inputs!$B$27+Inputs!$B$29,MAX(0,(Inputs!$B$3-100)*3)+Inputs!$B$28+Inputs!$B$29)))</f>
        <v/>
      </c>
      <c r="E198">
        <f>INDEX(FactorTable!$B$2:$Y$301, MATCH(ROUND(MIN(300,MAX(1,D198)),0), FactorTable!$A$2:$A$301,0), Skills!M20+1)</f>
        <v/>
      </c>
      <c r="F198">
        <f>IF(Skills!N20=TRUE,(Skills!L20/10)*(E198/1000),Skills!L20/10)+Skills!O20</f>
        <v/>
      </c>
      <c r="G198">
        <f>Skills!G20*IF(Skills!H20&gt;0,Skills!I20/Skills!H20,1)</f>
        <v/>
      </c>
      <c r="H198">
        <f>1-(1-Skills!J20/100)^Skills!K20</f>
        <v/>
      </c>
      <c r="I198" t="inlineStr">
        <is>
          <t>1</t>
        </is>
      </c>
      <c r="J198" t="inlineStr"/>
      <c r="K198" t="inlineStr"/>
      <c r="L198" t="inlineStr"/>
      <c r="M198" t="inlineStr"/>
      <c r="N198" t="inlineStr"/>
      <c r="O198" t="n">
        <v>0</v>
      </c>
      <c r="P198">
        <f>IF(B223=0,0,O198/B223)</f>
        <v/>
      </c>
      <c r="Q198">
        <f>IFERROR(1/IF(Inputs!$B$39="pvp",15,MAX(0.1,Skills!D20-IF(Skills!E20=TRUE,Inputs!$B$32,0))),0)</f>
        <v/>
      </c>
      <c r="R198">
        <f>IF(AND(Inputs!$B$39&lt;&gt;"pvp",Inputs!$B$44&gt;0),IF(Inputs!$B$44&lt;=0,0,(INT(Inputs!$B$44/IF(Inputs!$B$39="pvp",15,MAX(0.1,Skills!D20-IF(Skills!E20=TRUE,Inputs!$B$32,0))))+1)),0)</f>
        <v/>
      </c>
      <c r="S198">
        <f>IFERROR(O198/N198,0)</f>
        <v/>
      </c>
    </row>
    <row r="199">
      <c r="A199">
        <f>Skills!A21</f>
        <v/>
      </c>
      <c r="B199">
        <f>Skills!B21</f>
        <v/>
      </c>
      <c r="C199">
        <f>Inputs!$B$3&gt;=15</f>
        <v/>
      </c>
      <c r="D199">
        <f>IF(Skills!C21=1,60+Inputs!$B$25+Inputs!$B$29,IF(Skills!C21=2,90+Inputs!$B$26+Inputs!$B$29,IF(Skills!C21=3,120+Inputs!$B$27+Inputs!$B$29,MAX(0,(Inputs!$B$3-100)*3)+Inputs!$B$28+Inputs!$B$29)))</f>
        <v/>
      </c>
      <c r="E199">
        <f>INDEX(FactorTable!$B$2:$Y$301, MATCH(ROUND(MIN(300,MAX(1,D199)),0), FactorTable!$A$2:$A$301,0), Skills!M21+1)</f>
        <v/>
      </c>
      <c r="F199">
        <f>IF(Skills!N21=TRUE,(Skills!L21/10)*(E199/1000),Skills!L21/10)+Skills!O21</f>
        <v/>
      </c>
      <c r="G199">
        <f>Skills!G21*IF(Skills!H21&gt;0,Skills!I21/Skills!H21,1)</f>
        <v/>
      </c>
      <c r="H199">
        <f>1-(1-Skills!J21/100)^Skills!K21</f>
        <v/>
      </c>
      <c r="I199" t="inlineStr">
        <is>
          <t>1</t>
        </is>
      </c>
      <c r="J199" t="inlineStr"/>
      <c r="K199" t="inlineStr"/>
      <c r="L199" t="inlineStr"/>
      <c r="M199" t="inlineStr"/>
      <c r="N199" t="inlineStr"/>
      <c r="O199" t="n">
        <v>0</v>
      </c>
      <c r="P199">
        <f>IF(B223=0,0,O199/B223)</f>
        <v/>
      </c>
      <c r="Q199">
        <f>IFERROR(1/IF(Inputs!$B$39="pvp",15,MAX(0.1,Skills!D21-IF(Skills!E21=TRUE,Inputs!$B$32,0))),0)</f>
        <v/>
      </c>
      <c r="R199">
        <f>IF(AND(Inputs!$B$39&lt;&gt;"pvp",Inputs!$B$44&gt;0),IF(Inputs!$B$44&lt;=0,0,(INT(Inputs!$B$44/IF(Inputs!$B$39="pvp",15,MAX(0.1,Skills!D21-IF(Skills!E21=TRUE,Inputs!$B$32,0))))+1)),0)</f>
        <v/>
      </c>
      <c r="S199">
        <f>IFERROR(O199/N199,0)</f>
        <v/>
      </c>
    </row>
    <row r="200">
      <c r="A200">
        <f>Skills!A22</f>
        <v/>
      </c>
      <c r="B200">
        <f>Skills!B22</f>
        <v/>
      </c>
      <c r="C200">
        <f>Inputs!$B$3&gt;=33</f>
        <v/>
      </c>
      <c r="D200">
        <f>IF(Skills!C22=1,60+Inputs!$B$25+Inputs!$B$29,IF(Skills!C22=2,90+Inputs!$B$26+Inputs!$B$29,IF(Skills!C22=3,120+Inputs!$B$27+Inputs!$B$29,MAX(0,(Inputs!$B$3-100)*3)+Inputs!$B$28+Inputs!$B$29)))</f>
        <v/>
      </c>
      <c r="E200">
        <f>INDEX(FactorTable!$B$2:$Y$301, MATCH(ROUND(MIN(300,MAX(1,D200)),0), FactorTable!$A$2:$A$301,0), Skills!M22+1)</f>
        <v/>
      </c>
      <c r="F200">
        <f>IF(Skills!N22=TRUE,(Skills!L22/10)*(E200/1000),Skills!L22/10)+Skills!O22</f>
        <v/>
      </c>
      <c r="G200">
        <f>Skills!G22*IF(Skills!H22&gt;0,Skills!I22/Skills!H22,1)</f>
        <v/>
      </c>
      <c r="H200">
        <f>1-(1-Skills!J22/100)^Skills!K22</f>
        <v/>
      </c>
      <c r="I200" t="inlineStr">
        <is>
          <t>1</t>
        </is>
      </c>
      <c r="J200" t="inlineStr"/>
      <c r="K200" t="inlineStr"/>
      <c r="L200" t="inlineStr"/>
      <c r="M200" t="inlineStr"/>
      <c r="N200" t="inlineStr"/>
      <c r="O200" t="n">
        <v>0</v>
      </c>
      <c r="P200">
        <f>IF(B223=0,0,O200/B223)</f>
        <v/>
      </c>
      <c r="Q200" t="n">
        <v>0</v>
      </c>
      <c r="R200" t="n">
        <v>0</v>
      </c>
      <c r="S200">
        <f>IFERROR(O200/N200,0)</f>
        <v/>
      </c>
    </row>
    <row r="201">
      <c r="A201">
        <f>Skills!A23</f>
        <v/>
      </c>
      <c r="B201">
        <f>Skills!B23</f>
        <v/>
      </c>
      <c r="C201">
        <f>Inputs!$B$3&gt;=40</f>
        <v/>
      </c>
      <c r="D201">
        <f>IF(Skills!C23=1,60+Inputs!$B$25+Inputs!$B$29,IF(Skills!C23=2,90+Inputs!$B$26+Inputs!$B$29,IF(Skills!C23=3,120+Inputs!$B$27+Inputs!$B$29,MAX(0,(Inputs!$B$3-100)*3)+Inputs!$B$28+Inputs!$B$29)))</f>
        <v/>
      </c>
      <c r="E201">
        <f>INDEX(FactorTable!$B$2:$Y$301, MATCH(ROUND(MIN(300,MAX(1,D201)),0), FactorTable!$A$2:$A$301,0), Skills!M23+1)</f>
        <v/>
      </c>
      <c r="F201">
        <f>IF(Skills!N23=TRUE,(Skills!L23/10)*(E201/1000),Skills!L23/10)+Skills!O23</f>
        <v/>
      </c>
      <c r="G201">
        <f>Skills!G23*IF(Skills!H23&gt;0,Skills!I23/Skills!H23,1)</f>
        <v/>
      </c>
      <c r="H201">
        <f>1-(1-Skills!J23/100)^Skills!K23</f>
        <v/>
      </c>
      <c r="I201" t="inlineStr">
        <is>
          <t>1</t>
        </is>
      </c>
      <c r="J201" t="inlineStr"/>
      <c r="K201" t="inlineStr"/>
      <c r="L201" t="inlineStr"/>
      <c r="M201" t="inlineStr"/>
      <c r="N201" t="inlineStr"/>
      <c r="O201" t="n">
        <v>0</v>
      </c>
      <c r="P201">
        <f>IF(B223=0,0,O201/B223)</f>
        <v/>
      </c>
      <c r="Q201" t="n">
        <v>0</v>
      </c>
      <c r="R201" t="n">
        <v>0</v>
      </c>
      <c r="S201">
        <f>IFERROR(O201/N201,0)</f>
        <v/>
      </c>
    </row>
    <row r="202">
      <c r="A202">
        <f>Skills!A24</f>
        <v/>
      </c>
      <c r="B202">
        <f>Skills!B24</f>
        <v/>
      </c>
      <c r="C202">
        <f>Inputs!$B$3&gt;=43</f>
        <v/>
      </c>
      <c r="D202">
        <f>IF(Skills!C24=1,60+Inputs!$B$25+Inputs!$B$29,IF(Skills!C24=2,90+Inputs!$B$26+Inputs!$B$29,IF(Skills!C24=3,120+Inputs!$B$27+Inputs!$B$29,MAX(0,(Inputs!$B$3-100)*3)+Inputs!$B$28+Inputs!$B$29)))</f>
        <v/>
      </c>
      <c r="E202">
        <f>INDEX(FactorTable!$B$2:$Y$301, MATCH(ROUND(MIN(300,MAX(1,D202)),0), FactorTable!$A$2:$A$301,0), Skills!M24+1)</f>
        <v/>
      </c>
      <c r="F202">
        <f>IF(Skills!N24=TRUE,(Skills!L24/10)*(E202/1000),Skills!L24/10)+Skills!O24</f>
        <v/>
      </c>
      <c r="G202">
        <f>Skills!G24*IF(Skills!H24&gt;0,Skills!I24/Skills!H24,1)</f>
        <v/>
      </c>
      <c r="H202">
        <f>1-(1-Skills!J24/100)^Skills!K24</f>
        <v/>
      </c>
      <c r="I202" t="inlineStr">
        <is>
          <t>1</t>
        </is>
      </c>
      <c r="J202" t="inlineStr"/>
      <c r="K202" t="inlineStr"/>
      <c r="L202" t="inlineStr"/>
      <c r="M202" t="inlineStr"/>
      <c r="N202" t="inlineStr"/>
      <c r="O202" t="n">
        <v>0</v>
      </c>
      <c r="P202">
        <f>IF(B223=0,0,O202/B223)</f>
        <v/>
      </c>
      <c r="Q202" t="n">
        <v>0</v>
      </c>
      <c r="R202" t="n">
        <v>0</v>
      </c>
      <c r="S202">
        <f>IFERROR(O202/N202,0)</f>
        <v/>
      </c>
    </row>
    <row r="203">
      <c r="A203">
        <f>Skills!A25</f>
        <v/>
      </c>
      <c r="B203">
        <f>Skills!B25</f>
        <v/>
      </c>
      <c r="C203">
        <f>Inputs!$B$3&gt;=50</f>
        <v/>
      </c>
      <c r="D203">
        <f>IF(Skills!C25=1,60+Inputs!$B$25+Inputs!$B$29,IF(Skills!C25=2,90+Inputs!$B$26+Inputs!$B$29,IF(Skills!C25=3,120+Inputs!$B$27+Inputs!$B$29,MAX(0,(Inputs!$B$3-100)*3)+Inputs!$B$28+Inputs!$B$29)))</f>
        <v/>
      </c>
      <c r="E203">
        <f>INDEX(FactorTable!$B$2:$Y$301, MATCH(ROUND(MIN(300,MAX(1,D203)),0), FactorTable!$A$2:$A$301,0), Skills!M25+1)</f>
        <v/>
      </c>
      <c r="F203">
        <f>IF(Skills!N25=TRUE,(Skills!L25/10)*(E203/1000),Skills!L25/10)+Skills!O25</f>
        <v/>
      </c>
      <c r="G203">
        <f>Skills!G25*IF(Skills!H25&gt;0,Skills!I25/Skills!H25,1)</f>
        <v/>
      </c>
      <c r="H203">
        <f>1-(1-Skills!J25/100)^Skills!K25</f>
        <v/>
      </c>
      <c r="I203" t="inlineStr">
        <is>
          <t>1</t>
        </is>
      </c>
      <c r="J203" t="inlineStr"/>
      <c r="K203" t="inlineStr"/>
      <c r="L203" t="inlineStr"/>
      <c r="M203" t="inlineStr"/>
      <c r="N203" t="inlineStr"/>
      <c r="O203" t="n">
        <v>0</v>
      </c>
      <c r="P203">
        <f>IF(B223=0,0,O203/B223)</f>
        <v/>
      </c>
      <c r="Q203" t="n">
        <v>0</v>
      </c>
      <c r="R203" t="n">
        <v>0</v>
      </c>
      <c r="S203">
        <f>IFERROR(O203/N203,0)</f>
        <v/>
      </c>
    </row>
    <row r="204">
      <c r="A204">
        <f>Skills!A26</f>
        <v/>
      </c>
      <c r="B204">
        <f>Skills!B26</f>
        <v/>
      </c>
      <c r="C204">
        <f>Inputs!$B$3&gt;=50</f>
        <v/>
      </c>
      <c r="D204">
        <f>IF(Skills!C26=1,60+Inputs!$B$25+Inputs!$B$29,IF(Skills!C26=2,90+Inputs!$B$26+Inputs!$B$29,IF(Skills!C26=3,120+Inputs!$B$27+Inputs!$B$29,MAX(0,(Inputs!$B$3-100)*3)+Inputs!$B$28+Inputs!$B$29)))</f>
        <v/>
      </c>
      <c r="E204">
        <f>INDEX(FactorTable!$B$2:$Y$301, MATCH(ROUND(MIN(300,MAX(1,D204)),0), FactorTable!$A$2:$A$301,0), Skills!M26+1)</f>
        <v/>
      </c>
      <c r="F204">
        <f>IF(Skills!N26=TRUE,(Skills!L26/10)*(E204/1000),Skills!L26/10)+Skills!O26</f>
        <v/>
      </c>
      <c r="G204">
        <f>Skills!G26*IF(Skills!H26&gt;0,Skills!I26/Skills!H26,1)</f>
        <v/>
      </c>
      <c r="H204">
        <f>1-(1-Skills!J26/100)^Skills!K26</f>
        <v/>
      </c>
      <c r="I204" t="inlineStr">
        <is>
          <t>1</t>
        </is>
      </c>
      <c r="J204" t="inlineStr"/>
      <c r="K204" t="inlineStr"/>
      <c r="L204" t="inlineStr"/>
      <c r="M204" t="inlineStr"/>
      <c r="N204" t="inlineStr"/>
      <c r="O204" t="n">
        <v>0</v>
      </c>
      <c r="P204">
        <f>IF(B223=0,0,O204/B223)</f>
        <v/>
      </c>
      <c r="Q204" t="n">
        <v>0</v>
      </c>
      <c r="R204" t="n">
        <v>0</v>
      </c>
      <c r="S204">
        <f>IFERROR(O204/N204,0)</f>
        <v/>
      </c>
    </row>
    <row r="205">
      <c r="A205">
        <f>Skills!A27</f>
        <v/>
      </c>
      <c r="B205">
        <f>Skills!B27</f>
        <v/>
      </c>
      <c r="C205">
        <f>Inputs!$B$3&gt;=38</f>
        <v/>
      </c>
      <c r="D205">
        <f>IF(Skills!C27=1,60+Inputs!$B$25+Inputs!$B$29,IF(Skills!C27=2,90+Inputs!$B$26+Inputs!$B$29,IF(Skills!C27=3,120+Inputs!$B$27+Inputs!$B$29,MAX(0,(Inputs!$B$3-100)*3)+Inputs!$B$28+Inputs!$B$29)))</f>
        <v/>
      </c>
      <c r="E205">
        <f>INDEX(FactorTable!$B$2:$Y$301, MATCH(ROUND(MIN(300,MAX(1,D205)),0), FactorTable!$A$2:$A$301,0), Skills!M27+1)</f>
        <v/>
      </c>
      <c r="F205">
        <f>IF(Skills!N27=TRUE,(Skills!L27/10)*(E205/1000),Skills!L27/10)+Skills!O27</f>
        <v/>
      </c>
      <c r="G205">
        <f>Skills!G27*IF(Skills!H27&gt;0,Skills!I27/Skills!H27,1)</f>
        <v/>
      </c>
      <c r="H205">
        <f>1-(1-Skills!J27/100)^Skills!K27</f>
        <v/>
      </c>
      <c r="I205" t="inlineStr">
        <is>
          <t>1</t>
        </is>
      </c>
      <c r="J205" t="inlineStr"/>
      <c r="K205" t="inlineStr"/>
      <c r="L205" t="inlineStr"/>
      <c r="M205" t="inlineStr"/>
      <c r="N205" t="inlineStr"/>
      <c r="O205" t="n">
        <v>0</v>
      </c>
      <c r="P205">
        <f>IF(B223=0,0,O205/B223)</f>
        <v/>
      </c>
      <c r="Q205" t="n">
        <v>0</v>
      </c>
      <c r="R205" t="n">
        <v>0</v>
      </c>
      <c r="S205">
        <f>IFERROR(O205/N205,0)</f>
        <v/>
      </c>
    </row>
    <row r="206">
      <c r="A206">
        <f>Skills!A28</f>
        <v/>
      </c>
      <c r="B206">
        <f>Skills!B28</f>
        <v/>
      </c>
      <c r="C206">
        <f>Inputs!$B$3&gt;=120</f>
        <v/>
      </c>
      <c r="D206">
        <f>IF(Skills!C28=1,60+Inputs!$B$25+Inputs!$B$29,IF(Skills!C28=2,90+Inputs!$B$26+Inputs!$B$29,IF(Skills!C28=3,120+Inputs!$B$27+Inputs!$B$29,MAX(0,(Inputs!$B$3-100)*3)+Inputs!$B$28+Inputs!$B$29)))</f>
        <v/>
      </c>
      <c r="E206">
        <f>INDEX(FactorTable!$B$2:$Y$301, MATCH(ROUND(MIN(300,MAX(1,D206)),0), FactorTable!$A$2:$A$301,0), Skills!M28+1)</f>
        <v/>
      </c>
      <c r="F206">
        <f>IF(Skills!N28=TRUE,(Skills!L28/10)*(E206/1000),Skills!L28/10)+Skills!O28</f>
        <v/>
      </c>
      <c r="G206">
        <f>Skills!G28*IF(Skills!H28&gt;0,Skills!I28/Skills!H28,1)</f>
        <v/>
      </c>
      <c r="H206">
        <f>1-(1-Skills!J28/100)^Skills!K28</f>
        <v/>
      </c>
      <c r="I206" t="inlineStr">
        <is>
          <t>1</t>
        </is>
      </c>
      <c r="J206" t="inlineStr"/>
      <c r="K206" t="inlineStr"/>
      <c r="L206" t="inlineStr"/>
      <c r="M206" t="inlineStr"/>
      <c r="N206" t="inlineStr"/>
      <c r="O206" t="n">
        <v>0</v>
      </c>
      <c r="P206">
        <f>IF(B223=0,0,O206/B223)</f>
        <v/>
      </c>
      <c r="Q206" t="n">
        <v>0</v>
      </c>
      <c r="R206" t="n">
        <v>0</v>
      </c>
      <c r="S206">
        <f>IFERROR(O206/N206,0)</f>
        <v/>
      </c>
    </row>
    <row r="207">
      <c r="A207">
        <f>Skills!A29</f>
        <v/>
      </c>
      <c r="B207">
        <f>Skills!B29</f>
        <v/>
      </c>
      <c r="C207">
        <f>Inputs!$B$3&gt;=120</f>
        <v/>
      </c>
      <c r="D207">
        <f>IF(Skills!C29=1,60+Inputs!$B$25+Inputs!$B$29,IF(Skills!C29=2,90+Inputs!$B$26+Inputs!$B$29,IF(Skills!C29=3,120+Inputs!$B$27+Inputs!$B$29,MAX(0,(Inputs!$B$3-100)*3)+Inputs!$B$28+Inputs!$B$29)))</f>
        <v/>
      </c>
      <c r="E207">
        <f>INDEX(FactorTable!$B$2:$Y$301, MATCH(ROUND(MIN(300,MAX(1,D207)),0), FactorTable!$A$2:$A$301,0), Skills!M29+1)</f>
        <v/>
      </c>
      <c r="F207">
        <f>IF(Skills!N29=TRUE,(Skills!L29/10)*(E207/1000),Skills!L29/10)+Skills!O29</f>
        <v/>
      </c>
      <c r="G207">
        <f>Skills!G29*IF(Skills!H29&gt;0,Skills!I29/Skills!H29,1)</f>
        <v/>
      </c>
      <c r="H207">
        <f>1-(1-Skills!J29/100)^Skills!K29</f>
        <v/>
      </c>
      <c r="I207" t="inlineStr">
        <is>
          <t>1</t>
        </is>
      </c>
      <c r="J207" t="inlineStr"/>
      <c r="K207" t="inlineStr"/>
      <c r="L207" t="inlineStr"/>
      <c r="M207" t="inlineStr"/>
      <c r="N207" t="inlineStr"/>
      <c r="O207" t="n">
        <v>0</v>
      </c>
      <c r="P207">
        <f>IF(B223=0,0,O207/B223)</f>
        <v/>
      </c>
      <c r="Q207" t="n">
        <v>0</v>
      </c>
      <c r="R207" t="n">
        <v>0</v>
      </c>
      <c r="S207">
        <f>IFERROR(O207/N207,0)</f>
        <v/>
      </c>
    </row>
    <row r="208">
      <c r="A208">
        <f>Skills!A30</f>
        <v/>
      </c>
      <c r="B208">
        <f>Skills!B30</f>
        <v/>
      </c>
      <c r="C208">
        <f>Inputs!$B$3&gt;=125</f>
        <v/>
      </c>
      <c r="D208">
        <f>IF(Skills!C30=1,60+Inputs!$B$25+Inputs!$B$29,IF(Skills!C30=2,90+Inputs!$B$26+Inputs!$B$29,IF(Skills!C30=3,120+Inputs!$B$27+Inputs!$B$29,MAX(0,(Inputs!$B$3-100)*3)+Inputs!$B$28+Inputs!$B$29)))</f>
        <v/>
      </c>
      <c r="E208">
        <f>INDEX(FactorTable!$B$2:$Y$301, MATCH(ROUND(MIN(300,MAX(1,D208)),0), FactorTable!$A$2:$A$301,0), Skills!M30+1)</f>
        <v/>
      </c>
      <c r="F208">
        <f>IF(Skills!N30=TRUE,(Skills!L30/10)*(E208/1000),Skills!L30/10)+Skills!O30</f>
        <v/>
      </c>
      <c r="G208">
        <f>Skills!G30*IF(Skills!H30&gt;0,Skills!I30/Skills!H30,1)</f>
        <v/>
      </c>
      <c r="H208">
        <f>1-(1-Skills!J30/100)^Skills!K30</f>
        <v/>
      </c>
      <c r="I208" t="inlineStr">
        <is>
          <t>1</t>
        </is>
      </c>
      <c r="J208" t="inlineStr"/>
      <c r="K208" t="inlineStr"/>
      <c r="L208" t="inlineStr"/>
      <c r="M208" t="inlineStr"/>
      <c r="N208" t="inlineStr"/>
      <c r="O208" t="n">
        <v>0</v>
      </c>
      <c r="P208">
        <f>IF(B223=0,0,O208/B223)</f>
        <v/>
      </c>
      <c r="Q208" t="n">
        <v>0</v>
      </c>
      <c r="R208" t="n">
        <v>0</v>
      </c>
      <c r="S208">
        <f>IFERROR(O208/N208,0)</f>
        <v/>
      </c>
    </row>
    <row r="210">
      <c r="A210" t="inlineStr">
        <is>
          <t>Average Buff Multiplier</t>
        </is>
      </c>
      <c r="B210">
        <f>(1+(((C199=TRUE)*F199*IF(AND(Inputs!$B$39&lt;&gt;"pvp",Inputs!$B$44&gt;0),(((R199-1)*(Skills!Y21*(1+Inputs!$B$34/100))+MIN((Skills!Y21*(1+Inputs!$B$34/100)),MAX(0,Inputs!$B$44-((R199-1)*Skills!D21))))/Inputs!$B$44),IF(Inputs!$B$39="pvp",MIN((Skills!Y21*(1+Inputs!$B$34/100)),15)/15,(Skills!Y21*(1+Inputs!$B$34/100))/Skills!D21)))+((C201=TRUE)*(F201-Calc!F23))+((C195=TRUE)*(F195-Calc!F17)))/100)*(1+((C188=TRUE)*F188*IF(AND(Inputs!$B$39&lt;&gt;"pvp",Inputs!$B$44&gt;0),(((R188-1)*(Skills!Y10*(1+Inputs!$B$34/100))+MIN((Skills!Y10*(1+Inputs!$B$34/100)),MAX(0,Inputs!$B$44-((R188-1)*Skills!D10))))/Inputs!$B$44),IF(Inputs!$B$39="pvp",MIN((Skills!Y10*(1+Inputs!$B$34/100)),15)/15,(Skills!Y10*(1+Inputs!$B$34/100))/Skills!D10)))/100)*(1+((C193=TRUE)*F193*IF(AND(Inputs!$B$39&lt;&gt;"pvp",Inputs!$B$44&gt;0),(((R193-1)*(Skills!Y15*(1+Inputs!$B$34/100))+MIN((Skills!Y15*(1+Inputs!$B$34/100)),MAX(0,Inputs!$B$44-((R193-1)*Skills!D15))))/Inputs!$B$44),IF(Inputs!$B$39="pvp",MIN((Skills!Y15*(1+Inputs!$B$34/100)),15)/15,(Skills!Y15*(1+Inputs!$B$34/100))/Skills!D15)))/100)</f>
        <v/>
      </c>
    </row>
    <row r="211">
      <c r="A211" t="inlineStr">
        <is>
          <t>Global Crit Rate Bonus %</t>
        </is>
      </c>
      <c r="B211">
        <f>((C198=TRUE)*F198*IF(AND(Inputs!$B$39&lt;&gt;"pvp",Inputs!$B$44&gt;0),(((R198-1)*(Skills!Y20*(1+Inputs!$B$34/100))+MIN((Skills!Y20*(1+Inputs!$B$34/100)),MAX(0,Inputs!$B$44-((R198-1)*Skills!D20))))/Inputs!$B$44),IF(Inputs!$B$39="pvp",MIN((Skills!Y20*(1+Inputs!$B$34/100)),15)/15,(Skills!Y20*(1+Inputs!$B$34/100))/Skills!D20)))</f>
        <v/>
      </c>
    </row>
    <row r="212">
      <c r="A212" t="inlineStr">
        <is>
          <t>Global Monster Damage-Taken Bonus %</t>
        </is>
      </c>
      <c r="B212">
        <f>IF(Inputs!$B$3&gt;=82,15,0)</f>
        <v/>
      </c>
    </row>
    <row r="213">
      <c r="A213" t="inlineStr">
        <is>
          <t>Shadow Partner Average Multiplier</t>
        </is>
      </c>
      <c r="B213">
        <f>1+((C185=TRUE)*F185*(1+3.3333333333333335*IF(C196=TRUE,F196,0)/100)*I185*Skills!J7/100)/100</f>
        <v/>
      </c>
    </row>
    <row r="214">
      <c r="A214" t="inlineStr">
        <is>
          <t>Attack Speed Buff Bonus %</t>
        </is>
      </c>
      <c r="B214">
        <f>((C197=TRUE)*F197*IF(AND(Inputs!$B$39&lt;&gt;"pvp",Inputs!$B$44&gt;0),(((R197-1)*(Skills!Y19*(1+Inputs!$B$34/100))+MIN((Skills!Y19*(1+Inputs!$B$34/100)),MAX(0,Inputs!$B$44-((R197-1)*Skills!D19))))/Inputs!$B$44),IF(Inputs!$B$39="pvp",MIN((Skills!Y19*(1+Inputs!$B$34/100)),15)/15,(Skills!Y19*(1+Inputs!$B$34/100))/Skills!D19)))+((C181=TRUE)*F181*3)</f>
        <v/>
      </c>
    </row>
    <row r="215">
      <c r="A215" t="inlineStr">
        <is>
          <t>Actions Per Second</t>
        </is>
      </c>
      <c r="B215">
        <f>1+MIN(150,150*(1-(1-(Inputs!$B$11+((C200=TRUE)*(F200-Calc!F22)))/150)*(1-B214/150)))/100</f>
        <v/>
      </c>
    </row>
    <row r="216">
      <c r="A216" t="inlineStr">
        <is>
          <t>Skill + Buff Cast Rate</t>
        </is>
      </c>
      <c r="B216">
        <f>IF(AND(Inputs!$B$39&lt;&gt;"pvp",Inputs!$B$44&gt;0),SUMPRODUCT((Skills!E2:E30=TRUE)*(C180:C208=TRUE)*R180:R208*Skills!F2:F30)/Inputs!$B$44,SUMPRODUCT((Skills!E2:E30=TRUE)*(C180:C208=TRUE)*Q180:Q208*Skills!F2:F30))</f>
        <v/>
      </c>
    </row>
    <row r="217">
      <c r="A217" t="inlineStr">
        <is>
          <t>Cruel Stab Casts Per Second</t>
        </is>
      </c>
      <c r="B217">
        <f>MAX(0,B215-B216)</f>
        <v/>
      </c>
    </row>
    <row r="218">
      <c r="A218" t="inlineStr">
        <is>
          <t>Global Critical Damage Bonus % (Smokescreen Mastery Lv.113)</t>
        </is>
      </c>
      <c r="B218">
        <f>IF(Inputs!$B$3&gt;=113,30,0)*IF(AND(Inputs!$B$39&lt;&gt;"pvp",Inputs!$B$44&gt;0),(((R193-1)*(Skills!Y15*(1+Inputs!$B$34/100))+MIN((Skills!Y15*(1+Inputs!$B$34/100)),MAX(0,Inputs!$B$44-((R193-1)*Skills!D15))))/Inputs!$B$44),IF(Inputs!$B$39="pvp",MIN((Skills!Y15*(1+Inputs!$B$34/100)),15)/15,(Skills!Y15*(1+Inputs!$B$34/100))/Skills!D15))</f>
        <v/>
      </c>
    </row>
    <row r="219">
      <c r="A219" t="inlineStr">
        <is>
          <t>Meso Explosion average stack count</t>
        </is>
      </c>
      <c r="B219">
        <f>MIN(10,0.5*B215*Skills!D4)</f>
        <v/>
      </c>
    </row>
    <row r="220">
      <c r="A220" t="inlineStr">
        <is>
          <t>Blood Money average stack count</t>
        </is>
      </c>
      <c r="B220">
        <f>MIN(5,0.25*B215*Skills!D4)</f>
        <v/>
      </c>
    </row>
    <row r="221">
      <c r="A221" t="inlineStr">
        <is>
          <t>Assassinate Murderous Intent Multiplier</t>
        </is>
      </c>
      <c r="B221">
        <f>1+IFERROR(MIN(1,Q192*2/Q189),0)</f>
        <v/>
      </c>
    </row>
    <row r="222">
      <c r="A222" t="inlineStr">
        <is>
          <t>Buff-Casting Startup Delay (s, fixed-duration only)</t>
        </is>
      </c>
      <c r="B222">
        <f>IF(AND(Inputs!$B$39&lt;&gt;"pvp",Inputs!$B$44&gt;0),SUMPRODUCT((Skills!Y2:Y30&gt;0)*(Skills!E2:E30=TRUE)*(C180:C208=TRUE))/B215,0)</f>
        <v/>
      </c>
    </row>
    <row r="223">
      <c r="A223" s="5" t="inlineStr">
        <is>
          <t>TOTAL DPS</t>
        </is>
      </c>
      <c r="B223" s="5">
        <f>SUM(O180:O208)</f>
        <v/>
      </c>
    </row>
    <row r="226">
      <c r="A226" s="5" t="inlineStr">
        <is>
          <t>Stat: DAMAGE_AMP %</t>
        </is>
      </c>
    </row>
    <row r="227">
      <c r="A227" s="9" t="inlineStr">
        <is>
          <t>Key</t>
        </is>
      </c>
      <c r="B227" s="9" t="inlineStr">
        <is>
          <t>Name</t>
        </is>
      </c>
      <c r="C227" s="9" t="inlineStr">
        <is>
          <t>Unlocked</t>
        </is>
      </c>
      <c r="D227" s="9" t="inlineStr">
        <is>
          <t>InputLevel</t>
        </is>
      </c>
      <c r="E227" s="9" t="inlineStr">
        <is>
          <t>Factor</t>
        </is>
      </c>
      <c r="F227" s="9" t="inlineStr">
        <is>
          <t>CoefficientPercent</t>
        </is>
      </c>
      <c r="G227" s="9" t="inlineStr">
        <is>
          <t>EffectiveHits</t>
        </is>
      </c>
      <c r="H227" s="9" t="inlineStr">
        <is>
          <t>ProcProbability</t>
        </is>
      </c>
      <c r="I227" s="9" t="inlineStr">
        <is>
          <t>MapleHeroMultiplier</t>
        </is>
      </c>
      <c r="J227" s="9" t="inlineStr">
        <is>
          <t>BaseDamage</t>
        </is>
      </c>
      <c r="K227" s="9" t="inlineStr">
        <is>
          <t>BaseHitDamage</t>
        </is>
      </c>
      <c r="L227" s="9" t="inlineStr">
        <is>
          <t>NonCritAvg</t>
        </is>
      </c>
      <c r="M227" s="9" t="inlineStr">
        <is>
          <t>CritAvg</t>
        </is>
      </c>
      <c r="N227" s="9" t="inlineStr">
        <is>
          <t>ExpectedDamage(perHit)</t>
        </is>
      </c>
      <c r="O227" s="9" t="inlineStr">
        <is>
          <t>DPS</t>
        </is>
      </c>
      <c r="P227" s="9" t="inlineStr">
        <is>
          <t>% of Total</t>
        </is>
      </c>
      <c r="Q227" s="9" t="inlineStr">
        <is>
          <t>InvCooldown</t>
        </is>
      </c>
      <c r="R227" s="9" t="inlineStr">
        <is>
          <t>CastsInFight</t>
        </is>
      </c>
      <c r="S227" s="9" t="inlineStr">
        <is>
          <t>HitRate(perSec)</t>
        </is>
      </c>
      <c r="U227" t="inlineStr">
        <is>
          <t>helpers</t>
        </is>
      </c>
    </row>
    <row r="228">
      <c r="A228">
        <f>Skills!A2</f>
        <v/>
      </c>
      <c r="B228">
        <f>Skills!B2</f>
        <v/>
      </c>
      <c r="C228">
        <f>Inputs!$B$3&gt;=100</f>
        <v/>
      </c>
      <c r="D228" t="inlineStr"/>
      <c r="E228" t="inlineStr"/>
      <c r="F228">
        <f>U230+Skills!O2</f>
        <v/>
      </c>
      <c r="G228">
        <f>Skills!G2*IF(Skills!H2&gt;0,Skills!I2/Skills!H2,1)</f>
        <v/>
      </c>
      <c r="H228">
        <f>1-(1-Skills!J2/100)^Skills!K2</f>
        <v/>
      </c>
      <c r="I228" t="inlineStr">
        <is>
          <t>1</t>
        </is>
      </c>
      <c r="J228">
        <f>((Inputs!$B$6*(1+Inputs!$B$7/100))+(((Inputs!$B$12*(1+Inputs!$B$13/100))-(Inputs!$B$12*(1+Inputs!$B$13/100)))+0.25*(Inputs!$B$14-Inputs!$B$14))*(1+Inputs!$B$7/100))*(F228/100)</f>
        <v/>
      </c>
      <c r="K228">
        <f>J228*(1+((Inputs!$B$12*(1+Inputs!$B$13/100))*0.01+Inputs!$B$14*0.0025)/100)*(1+Inputs!$B$15/100)*(1+IF(Inputs!$B$39="pvp",0,(1-Summary!$B$55)*(Inputs!$B$20+0+Skills!P2+B260)+Summary!$B$55*(Inputs!$B$21+Skills!Q2+B260))/100)*(1+(Inputs!$B$16+1)/100)*(5000/(6000+Inputs!$B$43*(1-Inputs!$B$19/100)))*(1+(Inputs!$B$24+((C256=TRUE)*(F256-Calc!F30)))/100)*(1+(IF(Skills!A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228)</f>
        <v/>
      </c>
      <c r="L228">
        <f>K228*(MIN(Inputs!$B$22+((C250=TRUE)*(F250-Calc!F24)),Inputs!$B$23+((C255=TRUE)*(F255-Calc!F29)))/100+(Inputs!$B$23+((C255=TRUE)*(F255-Calc!F29)))/100)/2</f>
        <v/>
      </c>
      <c r="M228">
        <f>L228*(1+(Inputs!$B$10+((C252=TRUE)*(F252-Calc!F26))+B266)/100)</f>
        <v/>
      </c>
      <c r="N228">
        <f>L228*(1-MIN((Inputs!$B$9+((C251=TRUE)*(F251-Calc!F25))+B259),100)/100)+M228*(MIN((Inputs!$B$9+((C251=TRUE)*(F251-Calc!F25))+B259),100)/100)</f>
        <v/>
      </c>
      <c r="O228">
        <f>IF(C228,Skills!G2*N228*B265*IF(Inputs!$B$39="pvp",1,(1-Summary!$B$55)*(1)+Summary!$B$55*(MIN((6+Inputs!$B$33),Inputs!$B$37))),0)</f>
        <v/>
      </c>
      <c r="P228">
        <f>IF(B271=0,0,O228/B271)</f>
        <v/>
      </c>
      <c r="Q228" t="n">
        <v>0</v>
      </c>
      <c r="R228" t="n">
        <v>0</v>
      </c>
      <c r="S228">
        <f>IFERROR(O228/N228,0)</f>
        <v/>
      </c>
      <c r="U228">
        <f>MAX(0,(Inputs!$B$3-100)*3)+Inputs!$B$28+Inputs!$B$29</f>
        <v/>
      </c>
    </row>
    <row r="229">
      <c r="A229">
        <f>Skills!A3</f>
        <v/>
      </c>
      <c r="B229">
        <f>Skills!B3</f>
        <v/>
      </c>
      <c r="C229">
        <f>Inputs!$B$3&gt;=35</f>
        <v/>
      </c>
      <c r="D229">
        <f>IF(Skills!C3=1,60+Inputs!$B$25+Inputs!$B$29,IF(Skills!C3=2,90+Inputs!$B$26+Inputs!$B$29,IF(Skills!C3=3,120+Inputs!$B$27+Inputs!$B$29,MAX(0,(Inputs!$B$3-100)*3)+Inputs!$B$28+Inputs!$B$29)))</f>
        <v/>
      </c>
      <c r="E229">
        <f>INDEX(FactorTable!$B$2:$Y$301, MATCH(ROUND(MIN(300,MAX(1,D229)),0), FactorTable!$A$2:$A$301,0), Skills!M3+1)</f>
        <v/>
      </c>
      <c r="F229">
        <f>IF(Skills!N3=TRUE,(Skills!L3/10)*(E229/1000),Skills!L3/10)+Skills!O3</f>
        <v/>
      </c>
      <c r="G229">
        <f>Skills!G3*IF(Skills!H3&gt;0,Skills!I3/Skills!H3,1)</f>
        <v/>
      </c>
      <c r="H229">
        <f>1-(1-Skills!J3/100)^Skills!K3</f>
        <v/>
      </c>
      <c r="I229" t="inlineStr">
        <is>
          <t>1</t>
        </is>
      </c>
      <c r="J229" t="inlineStr"/>
      <c r="K229" t="inlineStr"/>
      <c r="L229" t="inlineStr"/>
      <c r="M229" t="inlineStr"/>
      <c r="N229" t="inlineStr"/>
      <c r="O229" t="n">
        <v>0</v>
      </c>
      <c r="P229">
        <f>IF(B271=0,0,O229/B271)</f>
        <v/>
      </c>
      <c r="Q229" t="n">
        <v>0</v>
      </c>
      <c r="R229" t="n">
        <v>0</v>
      </c>
      <c r="S229">
        <f>IFERROR(O229/N229,0)</f>
        <v/>
      </c>
      <c r="U229">
        <f>INDEX(FactorTable!$B$2:$Y$301, MATCH(ROUND(MIN(300,MAX(1,U228)),0), FactorTable!$A$2:$A$301,0), 22)</f>
        <v/>
      </c>
    </row>
    <row r="230">
      <c r="A230">
        <f>Skills!A4</f>
        <v/>
      </c>
      <c r="B230">
        <f>Skills!B4</f>
        <v/>
      </c>
      <c r="C230">
        <f>Inputs!$B$3&gt;=66</f>
        <v/>
      </c>
      <c r="D230">
        <f>IF(Skills!C4=1,60+Inputs!$B$25+Inputs!$B$29,IF(Skills!C4=2,90+Inputs!$B$26+Inputs!$B$29,IF(Skills!C4=3,120+Inputs!$B$27+Inputs!$B$29,MAX(0,(Inputs!$B$3-100)*3)+Inputs!$B$28+Inputs!$B$29)))</f>
        <v/>
      </c>
      <c r="E230">
        <f>INDEX(FactorTable!$B$2:$Y$301, MATCH(ROUND(MIN(300,MAX(1,D230)),0), FactorTable!$A$2:$A$301,0), Skills!M4+1)</f>
        <v/>
      </c>
      <c r="F230">
        <f>IF(Skills!N4=TRUE,(Skills!L4/10)*(E230/1000),Skills!L4/10)+Skills!O4</f>
        <v/>
      </c>
      <c r="G230">
        <f>Skills!G4*IF(Skills!H4&gt;0,Skills!I4/Skills!H4,1)</f>
        <v/>
      </c>
      <c r="H230">
        <f>1-(1-Skills!J4/100)^Skills!K4</f>
        <v/>
      </c>
      <c r="I230" t="inlineStr">
        <is>
          <t>1</t>
        </is>
      </c>
      <c r="J230">
        <f>((Inputs!$B$6*(1+Inputs!$B$7/100))+(((Inputs!$B$12*(1+Inputs!$B$13/100))-(Inputs!$B$12*(1+Inputs!$B$13/100)))+0.25*(Inputs!$B$14-Inputs!$B$14))*(1+Inputs!$B$7/100))*(F230/100)</f>
        <v/>
      </c>
      <c r="K230">
        <f>J230*(1+((Inputs!$B$12*(1+Inputs!$B$13/100))*0.01+Inputs!$B$14*0.0025)/100)*(1+Inputs!$B$15/100)*(1+IF(Inputs!$B$39="pvp",0,(1-Summary!$B$55)*(Inputs!$B$20+0+Skills!P4+B260)+Summary!$B$55*(Inputs!$B$21+Skills!Q4+B260))/100)*(1+(Inputs!$B$16+1)/100)*(5000/(6000+Inputs!$B$43*(1-Inputs!$B$19/100)))*(1+(Inputs!$B$24+((C256=TRUE)*(F256-Calc!F30)))/100)*(1+(IF(Skills!A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230)</f>
        <v/>
      </c>
      <c r="L230">
        <f>K230*(MIN(Inputs!$B$22+((C250=TRUE)*(F250-Calc!F24)),Inputs!$B$23+((C255=TRUE)*(F255-Calc!F29)))/100+(Inputs!$B$23+((C255=TRUE)*(F255-Calc!F29)))/100)/2</f>
        <v/>
      </c>
      <c r="M230">
        <f>L230*(1+(Inputs!$B$10+((C252=TRUE)*(F252-Calc!F26))+B266)/100)</f>
        <v/>
      </c>
      <c r="N230">
        <f>L230*(1-MIN((Inputs!$B$9+((C251=TRUE)*(F251-Calc!F25))+B259),100)/100)+M230*(MIN((Inputs!$B$9+((C251=TRUE)*(F251-Calc!F25))+B259),100)/100)</f>
        <v/>
      </c>
      <c r="O230">
        <f>IF(C230,H230*N230*IF(AND(Inputs!$B$39&lt;&gt;"pvp",Inputs!$B$44&gt;0),((Skills!G4*((R230-1)*IF(Skills!H4&gt;0,Skills!I4/Skills!H4,1)+IF(Skills!H4&gt;0,MIN(Skills!I4,MAX(0,MAX(0,Inputs!$B$44-B270)-((R230-1)*IF(Inputs!$B$39="pvp",15,MAX(0.1,Skills!D4-IF(Skills!E4=TRUE,Inputs!$B$32,0))))))/Skills!H4,1)))/Inputs!$B$44),G230*Q230)*IF(Inputs!$B$39="pvp",1,(1-Summary!$B$55)*(1)+Summary!$B$55*(MIN(MIN(10,0.5*B263*Skills!D4),Inputs!$B$37))),0)</f>
        <v/>
      </c>
      <c r="P230">
        <f>IF(B271=0,0,O230/B271)</f>
        <v/>
      </c>
      <c r="Q230">
        <f>IFERROR(1/IF(Inputs!$B$39="pvp",15,MAX(0.1,Skills!D4-IF(Skills!E4=TRUE,Inputs!$B$32,0))),0)</f>
        <v/>
      </c>
      <c r="R230">
        <f>IF(AND(Inputs!$B$39&lt;&gt;"pvp",Inputs!$B$44&gt;0),IF(MAX(0,Inputs!$B$44-B270)&lt;=0,0,(INT(MAX(0,Inputs!$B$44-B270)/IF(Inputs!$B$39="pvp",15,MAX(0.1,Skills!D4-IF(Skills!E4=TRUE,Inputs!$B$32,0))))+1)),0)</f>
        <v/>
      </c>
      <c r="S230">
        <f>IFERROR(O230/N230,0)</f>
        <v/>
      </c>
      <c r="U230">
        <f>290*U229/1000</f>
        <v/>
      </c>
    </row>
    <row r="231">
      <c r="A231">
        <f>Skills!A5</f>
        <v/>
      </c>
      <c r="B231">
        <f>Skills!B5</f>
        <v/>
      </c>
      <c r="C231">
        <f>Inputs!$B$3&gt;=63</f>
        <v/>
      </c>
      <c r="D231">
        <f>IF(Skills!C5=1,60+Inputs!$B$25+Inputs!$B$29,IF(Skills!C5=2,90+Inputs!$B$26+Inputs!$B$29,IF(Skills!C5=3,120+Inputs!$B$27+Inputs!$B$29,MAX(0,(Inputs!$B$3-100)*3)+Inputs!$B$28+Inputs!$B$29)))</f>
        <v/>
      </c>
      <c r="E231">
        <f>INDEX(FactorTable!$B$2:$Y$301, MATCH(ROUND(MIN(300,MAX(1,D231)),0), FactorTable!$A$2:$A$301,0), Skills!M5+1)</f>
        <v/>
      </c>
      <c r="F231">
        <f>IF(Skills!N5=TRUE,(Skills!L5/10)*(E231/1000),Skills!L5/10)+Skills!O5</f>
        <v/>
      </c>
      <c r="G231">
        <f>Skills!G5*IF(Skills!H5&gt;0,Skills!I5/Skills!H5,1)</f>
        <v/>
      </c>
      <c r="H231">
        <f>1-(1-Skills!J5/100)^Skills!K5</f>
        <v/>
      </c>
      <c r="I231" t="inlineStr">
        <is>
          <t>1</t>
        </is>
      </c>
      <c r="J231">
        <f>((Inputs!$B$6*(1+Inputs!$B$7/100))+(((Inputs!$B$12*(1+Inputs!$B$13/100))-(Inputs!$B$12*(1+Inputs!$B$13/100)))+0.25*(Inputs!$B$14-Inputs!$B$14))*(1+Inputs!$B$7/100))*(F231/100)</f>
        <v/>
      </c>
      <c r="K231">
        <f>J231*(1+((Inputs!$B$12*(1+Inputs!$B$13/100))*0.01+Inputs!$B$14*0.0025)/100)*(1+Inputs!$B$15/100)*(1+IF(Inputs!$B$39="pvp",0,(1-Summary!$B$55)*(Inputs!$B$20+0+Skills!P5+B260)+Summary!$B$55*(Inputs!$B$21+Skills!Q5+B260))/100)*(1+(Inputs!$B$16+1)/100)*(5000/(6000+Inputs!$B$43*(1-Inputs!$B$19/100)))*(1+(Inputs!$B$24+((C256=TRUE)*(F256-Calc!F30)))/100)*(1+2.6666666666666665*IF(C244=TRUE,F244,0)/100)*(1+(IF(Skills!A5="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231)</f>
        <v/>
      </c>
      <c r="L231">
        <f>K231*(MIN(Inputs!$B$22+((C250=TRUE)*(F250-Calc!F24)),Inputs!$B$23+((C255=TRUE)*(F255-Calc!F29)))/100+(Inputs!$B$23+((C255=TRUE)*(F255-Calc!F29)))/100)/2</f>
        <v/>
      </c>
      <c r="M231">
        <f>L231*(1+(Inputs!$B$10+((C252=TRUE)*(F252-Calc!F26))+B266)/100)</f>
        <v/>
      </c>
      <c r="N231">
        <f>L231*(1-MIN((Inputs!$B$9+((C251=TRUE)*(F251-Calc!F25))+B259),100)/100)+M231*(MIN((Inputs!$B$9+((C251=TRUE)*(F251-Calc!F25))+B259),100)/100)</f>
        <v/>
      </c>
      <c r="O231">
        <f>IF(C231,H231*N231*IF(AND(Inputs!$B$39&lt;&gt;"pvp",Inputs!$B$44&gt;0),((Skills!G5*((R231-1)*IF(Skills!H5&gt;0,Skills!I5/Skills!H5,1)+IF(Skills!H5&gt;0,MIN(Skills!I5,MAX(0,MAX(0,Inputs!$B$44-B270)-((R231-1)*IF(Inputs!$B$39="pvp",15,MAX(0.1,Skills!D5-IF(Skills!E5=TRUE,Inputs!$B$32,0))))))/Skills!H5,1)))/Inputs!$B$44),G231*Q231)*IF(Inputs!$B$39="pvp",1,(1-Summary!$B$55)*(1)+Summary!$B$55*(MIN(Skills!W5,Inputs!$B$37))),0)</f>
        <v/>
      </c>
      <c r="P231">
        <f>IF(B271=0,0,O231/B271)</f>
        <v/>
      </c>
      <c r="Q231">
        <f>IFERROR(1/IF(Inputs!$B$39="pvp",15,MAX(0.1,Skills!D5-IF(Skills!E5=TRUE,Inputs!$B$32,0))),0)</f>
        <v/>
      </c>
      <c r="R231">
        <f>IF(AND(Inputs!$B$39&lt;&gt;"pvp",Inputs!$B$44&gt;0),IF(MAX(0,Inputs!$B$44-B270)&lt;=0,0,(INT(MAX(0,Inputs!$B$44-B270)/IF(Inputs!$B$39="pvp",15,MAX(0.1,Skills!D5-IF(Skills!E5=TRUE,Inputs!$B$32,0))))+1)),0)</f>
        <v/>
      </c>
      <c r="S231">
        <f>IFERROR(O231/N231,0)</f>
        <v/>
      </c>
    </row>
    <row r="232">
      <c r="A232">
        <f>Skills!A6</f>
        <v/>
      </c>
      <c r="B232">
        <f>Skills!B6</f>
        <v/>
      </c>
      <c r="C232">
        <f>Inputs!$B$3&gt;=69</f>
        <v/>
      </c>
      <c r="D232">
        <f>IF(Skills!C6=1,60+Inputs!$B$25+Inputs!$B$29,IF(Skills!C6=2,90+Inputs!$B$26+Inputs!$B$29,IF(Skills!C6=3,120+Inputs!$B$27+Inputs!$B$29,MAX(0,(Inputs!$B$3-100)*3)+Inputs!$B$28+Inputs!$B$29)))</f>
        <v/>
      </c>
      <c r="E232">
        <f>INDEX(FactorTable!$B$2:$Y$301, MATCH(ROUND(MIN(300,MAX(1,D232)),0), FactorTable!$A$2:$A$301,0), Skills!M6+1)</f>
        <v/>
      </c>
      <c r="F232">
        <f>IF(Skills!N6=TRUE,(Skills!L6/10)*(E232/1000),Skills!L6/10)+Skills!O6</f>
        <v/>
      </c>
      <c r="G232">
        <f>Skills!G6*IF(Skills!H6&gt;0,Skills!I6/Skills!H6,1)</f>
        <v/>
      </c>
      <c r="H232">
        <f>1-(1-Skills!J6/100)^Skills!K6</f>
        <v/>
      </c>
      <c r="I232" t="inlineStr">
        <is>
          <t>1</t>
        </is>
      </c>
      <c r="J232">
        <f>((Inputs!$B$6*(1+Inputs!$B$7/100))+(((Inputs!$B$12*(1+Inputs!$B$13/100))-(Inputs!$B$12*(1+Inputs!$B$13/100)))+0.25*(Inputs!$B$14-Inputs!$B$14))*(1+Inputs!$B$7/100))*(F232/100)</f>
        <v/>
      </c>
      <c r="K232">
        <f>J232*(1+((Inputs!$B$12*(1+Inputs!$B$13/100))*0.01+Inputs!$B$14*0.0025)/100)*(1+Inputs!$B$15/100)*(1+IF(Inputs!$B$39="pvp",0,(1-Summary!$B$55)*(Inputs!$B$20+0+Skills!P6+B260)+Summary!$B$55*(Inputs!$B$21+Skills!Q6+B260))/100)*(1+(Inputs!$B$16+1)/100)*(5000/(6000+Inputs!$B$43*(1-Inputs!$B$19/100)))*(1+(Inputs!$B$24+((C256=TRUE)*(F256-Calc!F30)))/100)*(1+1.0*IF(C244=TRUE,F244,0)/100)*(1+(IF(Skills!A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232)</f>
        <v/>
      </c>
      <c r="L232">
        <f>K232*(MIN(Inputs!$B$22+((C250=TRUE)*(F250-Calc!F24)),Inputs!$B$23+((C255=TRUE)*(F255-Calc!F29)))/100+(Inputs!$B$23+((C255=TRUE)*(F255-Calc!F29)))/100)/2</f>
        <v/>
      </c>
      <c r="M232">
        <f>L232*(1+(Inputs!$B$10+((C252=TRUE)*(F252-Calc!F26))+B266)/100)</f>
        <v/>
      </c>
      <c r="N232">
        <f>L232*(1-MIN((Inputs!$B$9+((C251=TRUE)*(F251-Calc!F25))+B259),100)/100)+M232*(MIN((Inputs!$B$9+((C251=TRUE)*(F251-Calc!F25))+B259),100)/100)</f>
        <v/>
      </c>
      <c r="O232">
        <f>IF(C232,H232*N232*IF(AND(Inputs!$B$39&lt;&gt;"pvp",Inputs!$B$44&gt;0),((Skills!G6*((R232-1)*IF(Skills!H6&gt;0,Skills!I6/Skills!H6,1)+IF(Skills!H6&gt;0,MIN(Skills!I6,MAX(0,MAX(0,Inputs!$B$44-B270)-((R232-1)*IF(Inputs!$B$39="pvp",15,MAX(0.1,Skills!D6-IF(Skills!E6=TRUE,Inputs!$B$32,0))))))/Skills!H6,1)))/Inputs!$B$44),G232*Q232)*IF(Inputs!$B$39="pvp",1,(1-Summary!$B$55)*(1)+Summary!$B$55*(MIN(Skills!W6,Inputs!$B$37))),0)</f>
        <v/>
      </c>
      <c r="P232">
        <f>IF(B271=0,0,O232/B271)</f>
        <v/>
      </c>
      <c r="Q232">
        <f>IFERROR(1/IF(Inputs!$B$39="pvp",15,MAX(0.1,Skills!D6-IF(Skills!E6=TRUE,Inputs!$B$32,0))),0)</f>
        <v/>
      </c>
      <c r="R232">
        <f>IF(AND(Inputs!$B$39&lt;&gt;"pvp",Inputs!$B$44&gt;0),IF(MAX(0,Inputs!$B$44-B270)&lt;=0,0,(INT(MAX(0,Inputs!$B$44-B270)/IF(Inputs!$B$39="pvp",15,MAX(0.1,Skills!D6-IF(Skills!E6=TRUE,Inputs!$B$32,0))))+1)),0)</f>
        <v/>
      </c>
      <c r="S232">
        <f>IFERROR(O232/N232,0)</f>
        <v/>
      </c>
    </row>
    <row r="233">
      <c r="A233">
        <f>Skills!A7</f>
        <v/>
      </c>
      <c r="B233">
        <f>Skills!B7</f>
        <v/>
      </c>
      <c r="C233">
        <f>Inputs!$B$3&gt;=60</f>
        <v/>
      </c>
      <c r="D233">
        <f>IF(Skills!C7=1,60+Inputs!$B$25+Inputs!$B$29,IF(Skills!C7=2,90+Inputs!$B$26+Inputs!$B$29,IF(Skills!C7=3,120+Inputs!$B$27+Inputs!$B$29,MAX(0,(Inputs!$B$3-100)*3)+Inputs!$B$28+Inputs!$B$29)))</f>
        <v/>
      </c>
      <c r="E233">
        <f>INDEX(FactorTable!$B$2:$Y$301, MATCH(ROUND(MIN(300,MAX(1,D233)),0), FactorTable!$A$2:$A$301,0), Skills!M7+1)</f>
        <v/>
      </c>
      <c r="F233">
        <f>IF(Skills!N7=TRUE,(Skills!L7/10)*(E233/1000),Skills!L7/10)+Skills!O7</f>
        <v/>
      </c>
      <c r="G233">
        <f>Skills!G7*IF(Skills!H7&gt;0,Skills!I7/Skills!H7,1)</f>
        <v/>
      </c>
      <c r="H233">
        <f>1-(1-Skills!J7/100)^Skills!K7</f>
        <v/>
      </c>
      <c r="I233" t="inlineStr">
        <is>
          <t>1</t>
        </is>
      </c>
      <c r="J233" t="inlineStr"/>
      <c r="K233" t="inlineStr"/>
      <c r="L233" t="inlineStr"/>
      <c r="M233" t="inlineStr"/>
      <c r="N233" t="inlineStr"/>
      <c r="O233" t="n">
        <v>0</v>
      </c>
      <c r="P233">
        <f>IF(B271=0,0,O233/B271)</f>
        <v/>
      </c>
      <c r="Q233" t="n">
        <v>0</v>
      </c>
      <c r="R233" t="n">
        <v>0</v>
      </c>
      <c r="S233">
        <f>IFERROR(O233/N233,0)</f>
        <v/>
      </c>
    </row>
    <row r="234">
      <c r="A234">
        <f>Skills!A8</f>
        <v/>
      </c>
      <c r="B234">
        <f>Skills!B8</f>
        <v/>
      </c>
      <c r="C234">
        <f>Inputs!$B$3&gt;=72</f>
        <v/>
      </c>
      <c r="D234">
        <f>IF(Skills!C8=1,60+Inputs!$B$25+Inputs!$B$29,IF(Skills!C8=2,90+Inputs!$B$26+Inputs!$B$29,IF(Skills!C8=3,120+Inputs!$B$27+Inputs!$B$29,MAX(0,(Inputs!$B$3-100)*3)+Inputs!$B$28+Inputs!$B$29)))</f>
        <v/>
      </c>
      <c r="E234">
        <f>INDEX(FactorTable!$B$2:$Y$301, MATCH(ROUND(MIN(300,MAX(1,D234)),0), FactorTable!$A$2:$A$301,0), Skills!M8+1)</f>
        <v/>
      </c>
      <c r="F234">
        <f>IF(Skills!N8=TRUE,(Skills!L8/10)*(E234/1000),Skills!L8/10)+Skills!O8</f>
        <v/>
      </c>
      <c r="G234">
        <f>Skills!G8*IF(Skills!H8&gt;0,Skills!I8/Skills!H8,1)</f>
        <v/>
      </c>
      <c r="H234">
        <f>1-(1-Skills!J8/100)^Skills!K8</f>
        <v/>
      </c>
      <c r="I234" t="inlineStr">
        <is>
          <t>1</t>
        </is>
      </c>
      <c r="J234">
        <f>((Inputs!$B$6*(1+Inputs!$B$7/100))+(((Inputs!$B$12*(1+Inputs!$B$13/100))-(Inputs!$B$12*(1+Inputs!$B$13/100)))+0.25*(Inputs!$B$14-Inputs!$B$14))*(1+Inputs!$B$7/100))*(F234/100)</f>
        <v/>
      </c>
      <c r="K234">
        <f>J234*(1+((Inputs!$B$12*(1+Inputs!$B$13/100))*0.01+Inputs!$B$14*0.0025)/100)*(1+Inputs!$B$15/100)*(1+IF(Inputs!$B$39="pvp",0,(1-Summary!$B$55)*(Inputs!$B$20+0+Skills!P8+B260)+Summary!$B$55*(Inputs!$B$21+Skills!Q8+B260))/100)*(1+(Inputs!$B$16+1)/100)*(5000/(6000+Inputs!$B$43*(1-Inputs!$B$19/100)))*(1+(Inputs!$B$24+((C256=TRUE)*(F256-Calc!F30)))/100)*(1+3.3333333333333335*IF(C244=TRUE,F244,0)/100)*(1+(IF(Skills!A8="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234)</f>
        <v/>
      </c>
      <c r="L234">
        <f>K234*(MIN(Inputs!$B$22+((C250=TRUE)*(F250-Calc!F24)),Inputs!$B$23+((C255=TRUE)*(F255-Calc!F29)))/100+(Inputs!$B$23+((C255=TRUE)*(F255-Calc!F29)))/100)/2</f>
        <v/>
      </c>
      <c r="M234">
        <f>L234*(1+(Inputs!$B$10+((C252=TRUE)*(F252-Calc!F26))+B266)/100)</f>
        <v/>
      </c>
      <c r="N234">
        <f>L234*(1-MIN((Inputs!$B$9+((C251=TRUE)*(F251-Calc!F25))+B259),100)/100)+M234*(MIN((Inputs!$B$9+((C251=TRUE)*(F251-Calc!F25))+B259),100)/100)</f>
        <v/>
      </c>
      <c r="O234">
        <f>IF(C234,H234*N234*IF(AND(Inputs!$B$39&lt;&gt;"pvp",Inputs!$B$44&gt;0),((Skills!G8*((R234-1)*IF(Skills!H8&gt;0,Skills!I8/Skills!H8,1)+IF(Skills!H8&gt;0,MIN(Skills!I8,MAX(0,MAX(0,Inputs!$B$44-B270)-((R234-1)*IF(Inputs!$B$39="pvp",15,MAX(0.1,Skills!D8-IF(Skills!E8=TRUE,Inputs!$B$32,0))))))/Skills!H8,1)))/Inputs!$B$44),G234*Q234)*IF(Inputs!$B$39="pvp",1,(1-Summary!$B$55)*(1)+Summary!$B$55*(MIN(Skills!W8,Inputs!$B$37))),0)</f>
        <v/>
      </c>
      <c r="P234">
        <f>IF(B271=0,0,O234/B271)</f>
        <v/>
      </c>
      <c r="Q234">
        <f>IFERROR(1/IF(Inputs!$B$39="pvp",15,MAX(0.1,Skills!D8-IF(Skills!E8=TRUE,Inputs!$B$32,0))),0)</f>
        <v/>
      </c>
      <c r="R234">
        <f>IF(AND(Inputs!$B$39&lt;&gt;"pvp",Inputs!$B$44&gt;0),IF(MAX(0,Inputs!$B$44-B270)&lt;=0,0,(INT(MAX(0,Inputs!$B$44-B270)/IF(Inputs!$B$39="pvp",15,MAX(0.1,Skills!D8-IF(Skills!E8=TRUE,Inputs!$B$32,0))))+1)),0)</f>
        <v/>
      </c>
      <c r="S234">
        <f>IFERROR(O234/N234,0)</f>
        <v/>
      </c>
    </row>
    <row r="235">
      <c r="A235">
        <f>Skills!A9</f>
        <v/>
      </c>
      <c r="B235">
        <f>Skills!B9</f>
        <v/>
      </c>
      <c r="C235">
        <f>Inputs!$B$3&gt;=117</f>
        <v/>
      </c>
      <c r="D235">
        <f>IF(Skills!C9=1,60+Inputs!$B$25+Inputs!$B$29,IF(Skills!C9=2,90+Inputs!$B$26+Inputs!$B$29,IF(Skills!C9=3,120+Inputs!$B$27+Inputs!$B$29,MAX(0,(Inputs!$B$3-100)*3)+Inputs!$B$28+Inputs!$B$29)))</f>
        <v/>
      </c>
      <c r="E235">
        <f>INDEX(FactorTable!$B$2:$Y$301, MATCH(ROUND(MIN(300,MAX(1,D235)),0), FactorTable!$A$2:$A$301,0), Skills!M9+1)</f>
        <v/>
      </c>
      <c r="F235">
        <f>IF(Skills!N9=TRUE,(Skills!L9/10)*(E235/1000),Skills!L9/10)+Skills!O9</f>
        <v/>
      </c>
      <c r="G235">
        <f>Skills!G9*IF(Skills!H9&gt;0,Skills!I9/Skills!H9,1)</f>
        <v/>
      </c>
      <c r="H235">
        <f>1-(1-Skills!J9/100)^Skills!K9</f>
        <v/>
      </c>
      <c r="I235" t="inlineStr">
        <is>
          <t>1</t>
        </is>
      </c>
      <c r="J235">
        <f>((Inputs!$B$6*(1+Inputs!$B$7/100))+(((Inputs!$B$12*(1+Inputs!$B$13/100))-(Inputs!$B$12*(1+Inputs!$B$13/100)))+0.25*(Inputs!$B$14-Inputs!$B$14))*(1+Inputs!$B$7/100))*(F235/100)</f>
        <v/>
      </c>
      <c r="K235">
        <f>J235*(1+((Inputs!$B$12*(1+Inputs!$B$13/100))*0.01+Inputs!$B$14*0.0025)/100)*(1+Inputs!$B$15/100)*(1+IF(Inputs!$B$39="pvp",0,(1-Summary!$B$55)*(Inputs!$B$20+0+Skills!P9+B260)+Summary!$B$55*(Inputs!$B$21+Skills!Q9+B260))/100)*(1+(Inputs!$B$16+1)/100)*(5000/(6000+Inputs!$B$43*(1-Inputs!$B$19/100)))*(1+(Inputs!$B$24+((C256=TRUE)*(F256-Calc!F30)))/100)*(1+(IF(Skills!A9="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235)</f>
        <v/>
      </c>
      <c r="L235">
        <f>K235*(MIN(Inputs!$B$22+((C250=TRUE)*(F250-Calc!F24)),Inputs!$B$23+((C255=TRUE)*(F255-Calc!F29)))/100+(Inputs!$B$23+((C255=TRUE)*(F255-Calc!F29)))/100)/2</f>
        <v/>
      </c>
      <c r="M235">
        <f>L235*(1+(Inputs!$B$10+((C252=TRUE)*(F252-Calc!F26))+B266)/100)</f>
        <v/>
      </c>
      <c r="N235">
        <f>L235*(1-MIN((Inputs!$B$9+((C251=TRUE)*(F251-Calc!F25))+B259),100)/100)+M235*(MIN((Inputs!$B$9+((C251=TRUE)*(F251-Calc!F25))+B259),100)/100)</f>
        <v/>
      </c>
      <c r="O235">
        <f>IF(C235,0.2*SUMPRODUCT((Skills!Z2:Z30=TRUE)*(C228:C256=TRUE)*S228:S256)*N235,0)</f>
        <v/>
      </c>
      <c r="P235">
        <f>IF(B271=0,0,O235/B271)</f>
        <v/>
      </c>
      <c r="Q235" t="n">
        <v>0</v>
      </c>
      <c r="R235" t="n">
        <v>0</v>
      </c>
      <c r="S235" t="n">
        <v>0</v>
      </c>
    </row>
    <row r="236">
      <c r="A236">
        <f>Skills!A10</f>
        <v/>
      </c>
      <c r="B236">
        <f>Skills!B10</f>
        <v/>
      </c>
      <c r="C236">
        <f>Inputs!$B$3&gt;=74</f>
        <v/>
      </c>
      <c r="D236">
        <f>IF(Skills!C10=1,60+Inputs!$B$25+Inputs!$B$29,IF(Skills!C10=2,90+Inputs!$B$26+Inputs!$B$29,IF(Skills!C10=3,120+Inputs!$B$27+Inputs!$B$29,MAX(0,(Inputs!$B$3-100)*3)+Inputs!$B$28+Inputs!$B$29)))</f>
        <v/>
      </c>
      <c r="E236">
        <f>INDEX(FactorTable!$B$2:$Y$301, MATCH(ROUND(MIN(300,MAX(1,D236)),0), FactorTable!$A$2:$A$301,0), Skills!M10+1)</f>
        <v/>
      </c>
      <c r="F236">
        <f>IF(Skills!N10=TRUE,(Skills!L10/10)*(E236/1000),Skills!L10/10)+Skills!O10</f>
        <v/>
      </c>
      <c r="G236">
        <f>Skills!G10*IF(Skills!H10&gt;0,Skills!I10/Skills!H10,1)</f>
        <v/>
      </c>
      <c r="H236">
        <f>1-(1-Skills!J10/100)^Skills!K10</f>
        <v/>
      </c>
      <c r="I236" t="inlineStr">
        <is>
          <t>1</t>
        </is>
      </c>
      <c r="J236" t="inlineStr"/>
      <c r="K236" t="inlineStr"/>
      <c r="L236" t="inlineStr"/>
      <c r="M236" t="inlineStr"/>
      <c r="N236" t="inlineStr"/>
      <c r="O236" t="n">
        <v>0</v>
      </c>
      <c r="P236">
        <f>IF(B271=0,0,O236/B271)</f>
        <v/>
      </c>
      <c r="Q236">
        <f>IFERROR(1/IF(Inputs!$B$39="pvp",15,MAX(0.1,Skills!D10-IF(Skills!E10=TRUE,Inputs!$B$32,0))),0)</f>
        <v/>
      </c>
      <c r="R236">
        <f>IF(AND(Inputs!$B$39&lt;&gt;"pvp",Inputs!$B$44&gt;0),IF(Inputs!$B$44&lt;=0,0,(INT(Inputs!$B$44/IF(Inputs!$B$39="pvp",15,MAX(0.1,Skills!D10-IF(Skills!E10=TRUE,Inputs!$B$32,0))))+1)),0)</f>
        <v/>
      </c>
      <c r="S236">
        <f>IFERROR(O236/N236,0)</f>
        <v/>
      </c>
    </row>
    <row r="237">
      <c r="A237">
        <f>Skills!A11</f>
        <v/>
      </c>
      <c r="B237">
        <f>Skills!B11</f>
        <v/>
      </c>
      <c r="C237">
        <f>Inputs!$B$3&gt;=103</f>
        <v/>
      </c>
      <c r="D237">
        <f>IF(Skills!C11=1,60+Inputs!$B$25+Inputs!$B$29,IF(Skills!C11=2,90+Inputs!$B$26+Inputs!$B$29,IF(Skills!C11=3,120+Inputs!$B$27+Inputs!$B$29,MAX(0,(Inputs!$B$3-100)*3)+Inputs!$B$28+Inputs!$B$29)))</f>
        <v/>
      </c>
      <c r="E237">
        <f>INDEX(FactorTable!$B$2:$Y$301, MATCH(ROUND(MIN(300,MAX(1,D237)),0), FactorTable!$A$2:$A$301,0), Skills!M11+1)</f>
        <v/>
      </c>
      <c r="F237">
        <f>(Skills!L11/10)*(E237/1000)+IF(Inputs!$B$3&gt;=134,50,0)+0.5*(30000/10)*(INDEX(FactorTable!$B$2:$Y$301, MATCH(ROUND(MIN(300,MAX(1,D237)),0), FactorTable!$A$2:$A$301,0), 13)/1000)*B269</f>
        <v/>
      </c>
      <c r="G237">
        <f>Skills!G11*IF(Skills!H11&gt;0,Skills!I11/Skills!H11,1)</f>
        <v/>
      </c>
      <c r="H237">
        <f>1-(1-Skills!J11/100)^Skills!K11</f>
        <v/>
      </c>
      <c r="I237" t="inlineStr">
        <is>
          <t>1</t>
        </is>
      </c>
      <c r="J237">
        <f>((Inputs!$B$6*(1+Inputs!$B$7/100))+(((Inputs!$B$12*(1+Inputs!$B$13/100))-(Inputs!$B$12*(1+Inputs!$B$13/100)))+0.25*(Inputs!$B$14-Inputs!$B$14))*(1+Inputs!$B$7/100))*(F237/100)</f>
        <v/>
      </c>
      <c r="K237">
        <f>J237*(1+((Inputs!$B$12*(1+Inputs!$B$13/100))*0.01+Inputs!$B$14*0.0025)/100)*(1+Inputs!$B$15/100)*(1+IF(Inputs!$B$39="pvp",0,(1-Summary!$B$55)*(Inputs!$B$20+0+Skills!P11+B260)+Summary!$B$55*(Inputs!$B$21+Skills!Q11+B260))/100)*(1+(Inputs!$B$16+1)/100)*(5000/(6000+Inputs!$B$43*(1-Inputs!$B$19/100)))*(1+(Inputs!$B$24+((C256=TRUE)*(F256-Calc!F30)))/100)*(1+(IF(Skills!A11="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237)</f>
        <v/>
      </c>
      <c r="L237">
        <f>K237*(MIN(Inputs!$B$22+((C250=TRUE)*(F250-Calc!F24)),Inputs!$B$23+((C255=TRUE)*(F255-Calc!F29)))/100+(Inputs!$B$23+((C255=TRUE)*(F255-Calc!F29)))/100)/2</f>
        <v/>
      </c>
      <c r="M237">
        <f>L237*(1+(Inputs!$B$10+((C252=TRUE)*(F252-Calc!F26))+B266)/100)</f>
        <v/>
      </c>
      <c r="N237">
        <f>L237*(1-MIN((Inputs!$B$9+((C251=TRUE)*(F251-Calc!F25))+B259),100)/100)+M237*(MIN((Inputs!$B$9+((C251=TRUE)*(F251-Calc!F25))+B259),100)/100)</f>
        <v/>
      </c>
      <c r="O237">
        <f>IF(C237,H237*N237*IF(AND(Inputs!$B$39&lt;&gt;"pvp",Inputs!$B$44&gt;0),((Skills!G11*((R237-1)*IF(Skills!H11&gt;0,Skills!I11/Skills!H11,1)+IF(Skills!H11&gt;0,MIN(Skills!I11,MAX(0,MAX(0,Inputs!$B$44-B270)-((R237-1)*IF(Inputs!$B$39="pvp",15,MAX(0.1,Skills!D11-IF(Skills!E11=TRUE,Inputs!$B$32,0))))))/Skills!H11,1)))/Inputs!$B$44),G237*Q237)*IF(Inputs!$B$39="pvp",1,(1-Summary!$B$55)*(1)+Summary!$B$55*(MIN(Skills!W11,Inputs!$B$37))),0)</f>
        <v/>
      </c>
      <c r="P237">
        <f>IF(B271=0,0,O237/B271)</f>
        <v/>
      </c>
      <c r="Q237">
        <f>IFERROR(1/IF(Inputs!$B$39="pvp",15,MAX(0.1,Skills!D11-IF(Skills!E11=TRUE,Inputs!$B$32,0))),0)</f>
        <v/>
      </c>
      <c r="R237">
        <f>IF(AND(Inputs!$B$39&lt;&gt;"pvp",Inputs!$B$44&gt;0),IF(MAX(0,Inputs!$B$44-B270)&lt;=0,0,(INT(MAX(0,Inputs!$B$44-B270)/IF(Inputs!$B$39="pvp",15,MAX(0.1,Skills!D11-IF(Skills!E11=TRUE,Inputs!$B$32,0))))+1)),0)</f>
        <v/>
      </c>
      <c r="S237">
        <f>IFERROR(O237/N237,0)</f>
        <v/>
      </c>
    </row>
    <row r="238">
      <c r="A238">
        <f>Skills!A12</f>
        <v/>
      </c>
      <c r="B238">
        <f>Skills!B12</f>
        <v/>
      </c>
      <c r="C238">
        <f>Inputs!$B$3&gt;=105</f>
        <v/>
      </c>
      <c r="D238">
        <f>IF(Skills!C12=1,60+Inputs!$B$25+Inputs!$B$29,IF(Skills!C12=2,90+Inputs!$B$26+Inputs!$B$29,IF(Skills!C12=3,120+Inputs!$B$27+Inputs!$B$29,MAX(0,(Inputs!$B$3-100)*3)+Inputs!$B$28+Inputs!$B$29)))</f>
        <v/>
      </c>
      <c r="E238">
        <f>INDEX(FactorTable!$B$2:$Y$301, MATCH(ROUND(MIN(300,MAX(1,D238)),0), FactorTable!$A$2:$A$301,0), Skills!M12+1)</f>
        <v/>
      </c>
      <c r="F238">
        <f>IF(Skills!N12=TRUE,(Skills!L12/10)*(E238/1000),Skills!L12/10)+Skills!O12</f>
        <v/>
      </c>
      <c r="G238">
        <f>Skills!G12*IF(Skills!H12&gt;0,Skills!I12/Skills!H12,1)</f>
        <v/>
      </c>
      <c r="H238">
        <f>1-(1-Skills!J12/100)^Skills!K12</f>
        <v/>
      </c>
      <c r="I238" t="inlineStr">
        <is>
          <t>1</t>
        </is>
      </c>
      <c r="J238">
        <f>((Inputs!$B$6*(1+Inputs!$B$7/100))+(((Inputs!$B$12*(1+Inputs!$B$13/100))-(Inputs!$B$12*(1+Inputs!$B$13/100)))+0.25*(Inputs!$B$14-Inputs!$B$14))*(1+Inputs!$B$7/100))*(F238/100)</f>
        <v/>
      </c>
      <c r="K238">
        <f>J238*(1+((Inputs!$B$12*(1+Inputs!$B$13/100))*0.01+Inputs!$B$14*0.0025)/100)*(1+Inputs!$B$15/100)*(1+IF(Inputs!$B$39="pvp",0,(1-Summary!$B$55)*(Inputs!$B$20+0+Skills!P12+B260)+Summary!$B$55*(Inputs!$B$21+Skills!Q12+B260))/100)*(1+(Inputs!$B$16+1)/100)*(5000/(6000+Inputs!$B$43*(1-Inputs!$B$19/100)))*(1+(Inputs!$B$24+((C256=TRUE)*(F256-Calc!F30)))/100)*(1+(IF(Skills!A12="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238)</f>
        <v/>
      </c>
      <c r="L238">
        <f>K238*(MIN(Inputs!$B$22+((C250=TRUE)*(F250-Calc!F24)),Inputs!$B$23+((C255=TRUE)*(F255-Calc!F29)))/100+(Inputs!$B$23+((C255=TRUE)*(F255-Calc!F29)))/100)/2</f>
        <v/>
      </c>
      <c r="M238">
        <f>L238*(1+(Inputs!$B$10+((C252=TRUE)*(F252-Calc!F26))+B266)/100)</f>
        <v/>
      </c>
      <c r="N238">
        <f>L238*(1-MIN((Inputs!$B$9+((C251=TRUE)*(F251-Calc!F25))+B259),100)/100)+M238*(MIN((Inputs!$B$9+((C251=TRUE)*(F251-Calc!F25))+B259),100)/100)</f>
        <v/>
      </c>
      <c r="O238">
        <f>IF(C238,H238*N238*IF(AND(Inputs!$B$39&lt;&gt;"pvp",Inputs!$B$44&gt;0),((Skills!G12*((R238-1)*IF(Skills!H12&gt;0,Skills!I12/Skills!H12,1)+IF(Skills!H12&gt;0,MIN(Skills!I12,MAX(0,MAX(0,Inputs!$B$44-B270)-((R238-1)*IF(Inputs!$B$39="pvp",15,MAX(0.1,Skills!D12-IF(Skills!E12=TRUE,Inputs!$B$32,0))))))/Skills!H12,1)))/Inputs!$B$44),G238*Q238)*IF(Inputs!$B$39="pvp",1,(1-Summary!$B$55)*(1)+Summary!$B$55*(MIN(Skills!W12,Inputs!$B$37))),0)</f>
        <v/>
      </c>
      <c r="P238">
        <f>IF(B271=0,0,O238/B271)</f>
        <v/>
      </c>
      <c r="Q238">
        <f>IFERROR(1/IF(Inputs!$B$39="pvp",15,MAX(0.1,Skills!D12-IF(Skills!E12=TRUE,Inputs!$B$32,0))),0)</f>
        <v/>
      </c>
      <c r="R238">
        <f>IF(AND(Inputs!$B$39&lt;&gt;"pvp",Inputs!$B$44&gt;0),IF(MAX(0,Inputs!$B$44-B270)&lt;=0,0,(INT(MAX(0,Inputs!$B$44-B270)/IF(Inputs!$B$39="pvp",15,MAX(0.1,Skills!D12-IF(Skills!E12=TRUE,Inputs!$B$32,0))))+1)),0)</f>
        <v/>
      </c>
      <c r="S238">
        <f>IFERROR(O238/N238,0)</f>
        <v/>
      </c>
    </row>
    <row r="239">
      <c r="A239">
        <f>Skills!A13</f>
        <v/>
      </c>
      <c r="B239">
        <f>Skills!B13</f>
        <v/>
      </c>
      <c r="C239">
        <f>Inputs!$B$3&gt;=105</f>
        <v/>
      </c>
      <c r="D239">
        <f>IF(Skills!C13=1,60+Inputs!$B$25+Inputs!$B$29,IF(Skills!C13=2,90+Inputs!$B$26+Inputs!$B$29,IF(Skills!C13=3,120+Inputs!$B$27+Inputs!$B$29,MAX(0,(Inputs!$B$3-100)*3)+Inputs!$B$28+Inputs!$B$29)))</f>
        <v/>
      </c>
      <c r="E239">
        <f>INDEX(FactorTable!$B$2:$Y$301, MATCH(ROUND(MIN(300,MAX(1,D239)),0), FactorTable!$A$2:$A$301,0), Skills!M13+1)</f>
        <v/>
      </c>
      <c r="F239">
        <f>IF(Skills!N13=TRUE,(Skills!L13/10)*(E239/1000),Skills!L13/10)+Skills!O13</f>
        <v/>
      </c>
      <c r="G239">
        <f>Skills!G13*IF(Skills!H13&gt;0,Skills!I13/Skills!H13,1)</f>
        <v/>
      </c>
      <c r="H239">
        <f>1-(1-Skills!J13/100)^Skills!K13</f>
        <v/>
      </c>
      <c r="I239" t="inlineStr">
        <is>
          <t>1</t>
        </is>
      </c>
      <c r="J239">
        <f>((Inputs!$B$6*(1+Inputs!$B$7/100))+(((Inputs!$B$12*(1+Inputs!$B$13/100))-(Inputs!$B$12*(1+Inputs!$B$13/100)))+0.25*(Inputs!$B$14-Inputs!$B$14))*(1+Inputs!$B$7/100))*(F239/100)</f>
        <v/>
      </c>
      <c r="K239">
        <f>J239*(1+((Inputs!$B$12*(1+Inputs!$B$13/100))*0.01+Inputs!$B$14*0.0025)/100)*(1+Inputs!$B$15/100)*(1+IF(Inputs!$B$39="pvp",0,(1-Summary!$B$55)*(Inputs!$B$20+0+Skills!P13+B260)+Summary!$B$55*(Inputs!$B$21+Skills!Q13+B260))/100)*(1+(Inputs!$B$16+1)/100)*(5000/(6000+Inputs!$B$43*(1-Inputs!$B$19/100)))*(1+(Inputs!$B$24+((C256=TRUE)*(F256-Calc!F30)))/100)*(1+(IF(Skills!A13="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239)</f>
        <v/>
      </c>
      <c r="L239">
        <f>K239*(MIN(Inputs!$B$22+((C250=TRUE)*(F250-Calc!F24)),Inputs!$B$23+((C255=TRUE)*(F255-Calc!F29)))/100+(Inputs!$B$23+((C255=TRUE)*(F255-Calc!F29)))/100)/2</f>
        <v/>
      </c>
      <c r="M239">
        <f>L239*(1+(Inputs!$B$10+((C252=TRUE)*(F252-Calc!F26))+B266)/100)</f>
        <v/>
      </c>
      <c r="N239">
        <f>L239*(1-MIN((Inputs!$B$9+((C251=TRUE)*(F251-Calc!F25))+B259),100)/100)+M239*(MIN((Inputs!$B$9+((C251=TRUE)*(F251-Calc!F25))+B259),100)/100)</f>
        <v/>
      </c>
      <c r="O239">
        <f>IF(C239,H239*N239*IF(AND(Inputs!$B$39&lt;&gt;"pvp",Inputs!$B$44&gt;0),((Skills!G13*((R239-1)*IF(Skills!H13&gt;0,Skills!I13/Skills!H13,1)+IF(Skills!H13&gt;0,MIN(Skills!I13,MAX(0,MAX(0,Inputs!$B$44-B270)-((R239-1)*IF(Inputs!$B$39="pvp",15,MAX(0.1,Skills!D13-IF(Skills!E13=TRUE,Inputs!$B$32,0))))))/Skills!H13,1)))/Inputs!$B$44),G239*Q239)*IF(Inputs!$B$39="pvp",1,(1-Summary!$B$55)*(1)+Summary!$B$55*(MIN(Skills!W13,Inputs!$B$37))),0)</f>
        <v/>
      </c>
      <c r="P239">
        <f>IF(B271=0,0,O239/B271)</f>
        <v/>
      </c>
      <c r="Q239">
        <f>IFERROR(1/IF(Inputs!$B$39="pvp",15,MAX(0.1,Skills!D13-IF(Skills!E13=TRUE,Inputs!$B$32,0))),0)</f>
        <v/>
      </c>
      <c r="R239">
        <f>IF(AND(Inputs!$B$39&lt;&gt;"pvp",Inputs!$B$44&gt;0),IF(MAX(0,Inputs!$B$44-B270)&lt;=0,0,(INT(MAX(0,Inputs!$B$44-B270)/IF(Inputs!$B$39="pvp",15,MAX(0.1,Skills!D13-IF(Skills!E13=TRUE,Inputs!$B$32,0))))+1)),0)</f>
        <v/>
      </c>
      <c r="S239">
        <f>IFERROR(O239/N239,0)</f>
        <v/>
      </c>
    </row>
    <row r="240">
      <c r="A240">
        <f>Skills!A14</f>
        <v/>
      </c>
      <c r="B240">
        <f>Skills!B14</f>
        <v/>
      </c>
      <c r="C240">
        <f>Inputs!$B$3&gt;=107</f>
        <v/>
      </c>
      <c r="D240">
        <f>IF(Skills!C14=1,60+Inputs!$B$25+Inputs!$B$29,IF(Skills!C14=2,90+Inputs!$B$26+Inputs!$B$29,IF(Skills!C14=3,120+Inputs!$B$27+Inputs!$B$29,MAX(0,(Inputs!$B$3-100)*3)+Inputs!$B$28+Inputs!$B$29)))</f>
        <v/>
      </c>
      <c r="E240">
        <f>INDEX(FactorTable!$B$2:$Y$301, MATCH(ROUND(MIN(300,MAX(1,D240)),0), FactorTable!$A$2:$A$301,0), Skills!M14+1)</f>
        <v/>
      </c>
      <c r="F240">
        <f>IF(Skills!N14=TRUE,(Skills!L14/10)*(E240/1000),Skills!L14/10)+Skills!O14</f>
        <v/>
      </c>
      <c r="G240">
        <f>Skills!G14*IF(Skills!H14&gt;0,Skills!I14/Skills!H14,1)</f>
        <v/>
      </c>
      <c r="H240">
        <f>1-(1-Skills!J14/100)^Skills!K14</f>
        <v/>
      </c>
      <c r="I240" t="inlineStr">
        <is>
          <t>1</t>
        </is>
      </c>
      <c r="J240">
        <f>((Inputs!$B$6*(1+Inputs!$B$7/100))+(((Inputs!$B$12*(1+Inputs!$B$13/100))-(Inputs!$B$12*(1+Inputs!$B$13/100)))+0.25*(Inputs!$B$14-Inputs!$B$14))*(1+Inputs!$B$7/100))*(F240/100)</f>
        <v/>
      </c>
      <c r="K240">
        <f>J240*(1+((Inputs!$B$12*(1+Inputs!$B$13/100))*0.01+Inputs!$B$14*0.0025)/100)*(1+Inputs!$B$15/100)*(1+IF(Inputs!$B$39="pvp",0,(1-Summary!$B$55)*(Inputs!$B$20+0+Skills!P14+B260)+Summary!$B$55*(Inputs!$B$21+Skills!Q14+B260))/100)*(1+(Inputs!$B$16+1)/100)*(5000/(6000+Inputs!$B$43*(1-Inputs!$B$19/100)))*(1+(Inputs!$B$24+((C256=TRUE)*(F256-Calc!F30)))/100)*(1+(IF(Skills!A14="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240)</f>
        <v/>
      </c>
      <c r="L240">
        <f>K240*(MIN(Inputs!$B$22+((C250=TRUE)*(F250-Calc!F24)),Inputs!$B$23+((C255=TRUE)*(F255-Calc!F29)))/100+(Inputs!$B$23+((C255=TRUE)*(F255-Calc!F29)))/100)/2</f>
        <v/>
      </c>
      <c r="M240">
        <f>L240*(1+(Inputs!$B$10+((C252=TRUE)*(F252-Calc!F26))+B266)/100)</f>
        <v/>
      </c>
      <c r="N240">
        <f>L240*(1-MIN((Inputs!$B$9+((C251=TRUE)*(F251-Calc!F25))+B259),100)/100)+M240*(MIN((Inputs!$B$9+((C251=TRUE)*(F251-Calc!F25))+B259),100)/100)</f>
        <v/>
      </c>
      <c r="O240">
        <f>IF(C240,H240*N240*IF(AND(Inputs!$B$39&lt;&gt;"pvp",Inputs!$B$44&gt;0),((Skills!G14*((R240-1)*IF(Skills!H14&gt;0,Skills!I14/Skills!H14,1)+IF(Skills!H14&gt;0,MIN(Skills!I14,MAX(0,MAX(0,Inputs!$B$44-B270)-((R240-1)*IF(Inputs!$B$39="pvp",15,MAX(0.1,Skills!D14-IF(Skills!E14=TRUE,Inputs!$B$32,0))))))/Skills!H14,1)))/Inputs!$B$44),G240*Q240)*IF(Inputs!$B$39="pvp",1,(1-Summary!$B$55)*(1)+Summary!$B$55*(MIN(MIN(5,0.25*B263*Skills!D4)*Skills!V14,Inputs!$B$37))),0)</f>
        <v/>
      </c>
      <c r="P240">
        <f>IF(B271=0,0,O240/B271)</f>
        <v/>
      </c>
      <c r="Q240">
        <f>IFERROR(1/IF(Inputs!$B$39="pvp",15,MAX(0.1,Skills!D14-IF(Skills!E14=TRUE,Inputs!$B$32,0))),0)</f>
        <v/>
      </c>
      <c r="R240">
        <f>IF(AND(Inputs!$B$39&lt;&gt;"pvp",Inputs!$B$44&gt;0),IF(MAX(0,Inputs!$B$44-B270)&lt;=0,0,(INT(MAX(0,Inputs!$B$44-B270)/IF(Inputs!$B$39="pvp",15,MAX(0.1,Skills!D14-IF(Skills!E14=TRUE,Inputs!$B$32,0))))+1)),0)</f>
        <v/>
      </c>
      <c r="S240">
        <f>IFERROR(O240/N240,0)</f>
        <v/>
      </c>
    </row>
    <row r="241">
      <c r="A241">
        <f>Skills!A15</f>
        <v/>
      </c>
      <c r="B241">
        <f>Skills!B15</f>
        <v/>
      </c>
      <c r="C241">
        <f>Inputs!$B$3&gt;=110</f>
        <v/>
      </c>
      <c r="D241">
        <f>IF(Skills!C15=1,60+Inputs!$B$25+Inputs!$B$29,IF(Skills!C15=2,90+Inputs!$B$26+Inputs!$B$29,IF(Skills!C15=3,120+Inputs!$B$27+Inputs!$B$29,MAX(0,(Inputs!$B$3-100)*3)+Inputs!$B$28+Inputs!$B$29)))</f>
        <v/>
      </c>
      <c r="E241">
        <f>INDEX(FactorTable!$B$2:$Y$301, MATCH(ROUND(MIN(300,MAX(1,D241)),0), FactorTable!$A$2:$A$301,0), Skills!M15+1)</f>
        <v/>
      </c>
      <c r="F241">
        <f>IF(Skills!N15=TRUE,(Skills!L15/10)*(E241/1000),Skills!L15/10)+Skills!O15</f>
        <v/>
      </c>
      <c r="G241">
        <f>Skills!G15*IF(Skills!H15&gt;0,Skills!I15/Skills!H15,1)</f>
        <v/>
      </c>
      <c r="H241">
        <f>1-(1-Skills!J15/100)^Skills!K15</f>
        <v/>
      </c>
      <c r="I241" t="inlineStr">
        <is>
          <t>1</t>
        </is>
      </c>
      <c r="J241" t="inlineStr"/>
      <c r="K241" t="inlineStr"/>
      <c r="L241" t="inlineStr"/>
      <c r="M241" t="inlineStr"/>
      <c r="N241" t="inlineStr"/>
      <c r="O241" t="n">
        <v>0</v>
      </c>
      <c r="P241">
        <f>IF(B271=0,0,O241/B271)</f>
        <v/>
      </c>
      <c r="Q241">
        <f>IFERROR(1/IF(Inputs!$B$39="pvp",15,MAX(0.1,Skills!D15-IF(Skills!E15=TRUE,Inputs!$B$32,0))),0)</f>
        <v/>
      </c>
      <c r="R241">
        <f>IF(AND(Inputs!$B$39&lt;&gt;"pvp",Inputs!$B$44&gt;0),IF(Inputs!$B$44&lt;=0,0,(INT(Inputs!$B$44/IF(Inputs!$B$39="pvp",15,MAX(0.1,Skills!D15-IF(Skills!E15=TRUE,Inputs!$B$32,0))))+1)),0)</f>
        <v/>
      </c>
      <c r="S241">
        <f>IFERROR(O241/N241,0)</f>
        <v/>
      </c>
    </row>
    <row r="242">
      <c r="A242">
        <f>Skills!A16</f>
        <v/>
      </c>
      <c r="B242">
        <f>Skills!B16</f>
        <v/>
      </c>
      <c r="C242">
        <f>Inputs!$B$3&gt;=115</f>
        <v/>
      </c>
      <c r="D242">
        <f>IF(Skills!C16=1,60+Inputs!$B$25+Inputs!$B$29,IF(Skills!C16=2,90+Inputs!$B$26+Inputs!$B$29,IF(Skills!C16=3,120+Inputs!$B$27+Inputs!$B$29,MAX(0,(Inputs!$B$3-100)*3)+Inputs!$B$28+Inputs!$B$29)))</f>
        <v/>
      </c>
      <c r="E242">
        <f>INDEX(FactorTable!$B$2:$Y$301, MATCH(ROUND(MIN(300,MAX(1,D242)),0), FactorTable!$A$2:$A$301,0), Skills!M16+1)</f>
        <v/>
      </c>
      <c r="F242">
        <f>IF(Skills!N16=TRUE,(Skills!L16/10)*(E242/1000),Skills!L16/10)+Skills!O16</f>
        <v/>
      </c>
      <c r="G242">
        <f>Skills!G16*IF(Skills!H16&gt;0,Skills!I16/Skills!H16,1)</f>
        <v/>
      </c>
      <c r="H242">
        <f>1-(1-Skills!J16/100)^Skills!K16</f>
        <v/>
      </c>
      <c r="I242" t="inlineStr">
        <is>
          <t>1</t>
        </is>
      </c>
      <c r="J242">
        <f>((Inputs!$B$6*(1+Inputs!$B$7/100))+(((Inputs!$B$12*(1+Inputs!$B$13/100))-(Inputs!$B$12*(1+Inputs!$B$13/100)))+0.25*(Inputs!$B$14-Inputs!$B$14))*(1+Inputs!$B$7/100))*(F242/100)</f>
        <v/>
      </c>
      <c r="K242">
        <f>J242*(1+((Inputs!$B$12*(1+Inputs!$B$13/100))*0.01+Inputs!$B$14*0.0025)/100)*(1+Inputs!$B$15/100)*(1+IF(Inputs!$B$39="pvp",0,(1-Summary!$B$55)*(Inputs!$B$20+0+Skills!P16+B260)+Summary!$B$55*(Inputs!$B$21+Skills!Q16+B260))/100)*(1+(Inputs!$B$16+1)/100)*(5000/(6000+Inputs!$B$43*(1-Inputs!$B$19/100)))*(1+(Inputs!$B$24+((C256=TRUE)*(F256-Calc!F30)))/100)*(1+(IF(Skills!A16="CRUEL_STAB",Inputs!$B$17+((C253=TRUE)*(F253-Calc!F27)),Inputs!$B$18+((C254=TRUE)*(F254-Calc!F28))))/100)*(((1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B261*I242)</f>
        <v/>
      </c>
      <c r="L242">
        <f>K242*(MIN(Inputs!$B$22+((C250=TRUE)*(F250-Calc!F24)),Inputs!$B$23+((C255=TRUE)*(F255-Calc!F29)))/100+(Inputs!$B$23+((C255=TRUE)*(F255-Calc!F29)))/100)/2</f>
        <v/>
      </c>
      <c r="M242">
        <f>L242*(1+(Inputs!$B$10+((C252=TRUE)*(F252-Calc!F26))+B266)/100)</f>
        <v/>
      </c>
      <c r="N242">
        <f>L242*(1-MIN((Inputs!$B$9+((C251=TRUE)*(F251-Calc!F25))+B259),100)/100)+M242*(MIN((Inputs!$B$9+((C251=TRUE)*(F251-Calc!F25))+B259),100)/100)</f>
        <v/>
      </c>
      <c r="O242">
        <f>IF(C242,Inputs!$B$38*0.2*N242,0)</f>
        <v/>
      </c>
      <c r="P242">
        <f>IF(B271=0,0,O242/B271)</f>
        <v/>
      </c>
      <c r="Q242" t="n">
        <v>0</v>
      </c>
      <c r="R242" t="n">
        <v>0</v>
      </c>
      <c r="S242">
        <f>IFERROR(O242/N242,0)</f>
        <v/>
      </c>
    </row>
    <row r="243">
      <c r="A243">
        <f>Skills!A17</f>
        <v/>
      </c>
      <c r="B243">
        <f>Skills!B17</f>
        <v/>
      </c>
      <c r="C243">
        <f>Inputs!$B$3&gt;=115</f>
        <v/>
      </c>
      <c r="D243">
        <f>IF(Skills!C17=1,60+Inputs!$B$25+Inputs!$B$29,IF(Skills!C17=2,90+Inputs!$B$26+Inputs!$B$29,IF(Skills!C17=3,120+Inputs!$B$27+Inputs!$B$29,MAX(0,(Inputs!$B$3-100)*3)+Inputs!$B$28+Inputs!$B$29)))</f>
        <v/>
      </c>
      <c r="E243">
        <f>INDEX(FactorTable!$B$2:$Y$301, MATCH(ROUND(MIN(300,MAX(1,D243)),0), FactorTable!$A$2:$A$301,0), Skills!M17+1)</f>
        <v/>
      </c>
      <c r="F243">
        <f>IF(Skills!N17=TRUE,(Skills!L17/10)*(E243/1000),Skills!L17/10)+Skills!O17</f>
        <v/>
      </c>
      <c r="G243">
        <f>Skills!G17*IF(Skills!H17&gt;0,Skills!I17/Skills!H17,1)</f>
        <v/>
      </c>
      <c r="H243">
        <f>1-(1-Skills!J17/100)^Skills!K17</f>
        <v/>
      </c>
      <c r="I243" t="inlineStr">
        <is>
          <t>1</t>
        </is>
      </c>
      <c r="J243" t="inlineStr"/>
      <c r="K243" t="inlineStr"/>
      <c r="L243" t="inlineStr"/>
      <c r="M243" t="inlineStr"/>
      <c r="N243" t="inlineStr"/>
      <c r="O243" t="n">
        <v>0</v>
      </c>
      <c r="P243">
        <f>IF(B271=0,0,O243/B271)</f>
        <v/>
      </c>
      <c r="Q243" t="n">
        <v>0</v>
      </c>
      <c r="R243" t="n">
        <v>0</v>
      </c>
      <c r="S243">
        <f>IFERROR(O243/N243,0)</f>
        <v/>
      </c>
    </row>
    <row r="244">
      <c r="A244">
        <f>Skills!A18</f>
        <v/>
      </c>
      <c r="B244">
        <f>Skills!B18</f>
        <v/>
      </c>
      <c r="C244">
        <f>Inputs!$B$3&gt;=100</f>
        <v/>
      </c>
      <c r="D244">
        <f>IF(Skills!C18=1,60+Inputs!$B$25+Inputs!$B$29,IF(Skills!C18=2,90+Inputs!$B$26+Inputs!$B$29,IF(Skills!C18=3,120+Inputs!$B$27+Inputs!$B$29,MAX(0,(Inputs!$B$3-100)*3)+Inputs!$B$28+Inputs!$B$29)))</f>
        <v/>
      </c>
      <c r="E244">
        <f>INDEX(FactorTable!$B$2:$Y$301, MATCH(ROUND(MIN(300,MAX(1,D244)),0), FactorTable!$A$2:$A$301,0), Skills!M18+1)</f>
        <v/>
      </c>
      <c r="F244">
        <f>IF(Skills!N18=TRUE,(Skills!L18/10)*(E244/1000),Skills!L18/10)+Skills!O18</f>
        <v/>
      </c>
      <c r="G244">
        <f>Skills!G18*IF(Skills!H18&gt;0,Skills!I18/Skills!H18,1)</f>
        <v/>
      </c>
      <c r="H244">
        <f>1-(1-Skills!J18/100)^Skills!K18</f>
        <v/>
      </c>
      <c r="I244" t="inlineStr">
        <is>
          <t>1</t>
        </is>
      </c>
      <c r="J244" t="inlineStr"/>
      <c r="K244" t="inlineStr"/>
      <c r="L244" t="inlineStr"/>
      <c r="M244" t="inlineStr"/>
      <c r="N244" t="inlineStr"/>
      <c r="O244" t="n">
        <v>0</v>
      </c>
      <c r="P244">
        <f>IF(B271=0,0,O244/B271)</f>
        <v/>
      </c>
      <c r="Q244" t="n">
        <v>0</v>
      </c>
      <c r="R244" t="n">
        <v>0</v>
      </c>
      <c r="S244">
        <f>IFERROR(O244/N244,0)</f>
        <v/>
      </c>
    </row>
    <row r="245">
      <c r="A245">
        <f>Skills!A19</f>
        <v/>
      </c>
      <c r="B245">
        <f>Skills!B19</f>
        <v/>
      </c>
      <c r="C245">
        <f>TRUE</f>
        <v/>
      </c>
      <c r="D245">
        <f>IF(Skills!C19=1,60+Inputs!$B$25+Inputs!$B$29,IF(Skills!C19=2,90+Inputs!$B$26+Inputs!$B$29,IF(Skills!C19=3,120+Inputs!$B$27+Inputs!$B$29,MAX(0,(Inputs!$B$3-100)*3)+Inputs!$B$28+Inputs!$B$29)))</f>
        <v/>
      </c>
      <c r="E245">
        <f>INDEX(FactorTable!$B$2:$Y$301, MATCH(ROUND(MIN(300,MAX(1,D245)),0), FactorTable!$A$2:$A$301,0), Skills!M19+1)</f>
        <v/>
      </c>
      <c r="F245">
        <f>IF(Skills!N19=TRUE,(Skills!L19/10)*(E245/1000),Skills!L19/10)+Skills!O19</f>
        <v/>
      </c>
      <c r="G245">
        <f>Skills!G19*IF(Skills!H19&gt;0,Skills!I19/Skills!H19,1)</f>
        <v/>
      </c>
      <c r="H245">
        <f>1-(1-Skills!J19/100)^Skills!K19</f>
        <v/>
      </c>
      <c r="I245" t="inlineStr">
        <is>
          <t>1</t>
        </is>
      </c>
      <c r="J245" t="inlineStr"/>
      <c r="K245" t="inlineStr"/>
      <c r="L245" t="inlineStr"/>
      <c r="M245" t="inlineStr"/>
      <c r="N245" t="inlineStr"/>
      <c r="O245" t="n">
        <v>0</v>
      </c>
      <c r="P245">
        <f>IF(B271=0,0,O245/B271)</f>
        <v/>
      </c>
      <c r="Q245">
        <f>IFERROR(1/IF(Inputs!$B$39="pvp",15,MAX(0.1,Skills!D19-IF(Skills!E19=TRUE,Inputs!$B$32,0))),0)</f>
        <v/>
      </c>
      <c r="R245">
        <f>IF(AND(Inputs!$B$39&lt;&gt;"pvp",Inputs!$B$44&gt;0),IF(Inputs!$B$44&lt;=0,0,(INT(Inputs!$B$44/IF(Inputs!$B$39="pvp",15,MAX(0.1,Skills!D19-IF(Skills!E19=TRUE,Inputs!$B$32,0))))+1)),0)</f>
        <v/>
      </c>
      <c r="S245">
        <f>IFERROR(O245/N245,0)</f>
        <v/>
      </c>
    </row>
    <row r="246">
      <c r="A246">
        <f>Skills!A20</f>
        <v/>
      </c>
      <c r="B246">
        <f>Skills!B20</f>
        <v/>
      </c>
      <c r="C246">
        <f>Inputs!$B$3&gt;=15</f>
        <v/>
      </c>
      <c r="D246">
        <f>IF(Skills!C20=1,60+Inputs!$B$25+Inputs!$B$29,IF(Skills!C20=2,90+Inputs!$B$26+Inputs!$B$29,IF(Skills!C20=3,120+Inputs!$B$27+Inputs!$B$29,MAX(0,(Inputs!$B$3-100)*3)+Inputs!$B$28+Inputs!$B$29)))</f>
        <v/>
      </c>
      <c r="E246">
        <f>INDEX(FactorTable!$B$2:$Y$301, MATCH(ROUND(MIN(300,MAX(1,D246)),0), FactorTable!$A$2:$A$301,0), Skills!M20+1)</f>
        <v/>
      </c>
      <c r="F246">
        <f>IF(Skills!N20=TRUE,(Skills!L20/10)*(E246/1000),Skills!L20/10)+Skills!O20</f>
        <v/>
      </c>
      <c r="G246">
        <f>Skills!G20*IF(Skills!H20&gt;0,Skills!I20/Skills!H20,1)</f>
        <v/>
      </c>
      <c r="H246">
        <f>1-(1-Skills!J20/100)^Skills!K20</f>
        <v/>
      </c>
      <c r="I246" t="inlineStr">
        <is>
          <t>1</t>
        </is>
      </c>
      <c r="J246" t="inlineStr"/>
      <c r="K246" t="inlineStr"/>
      <c r="L246" t="inlineStr"/>
      <c r="M246" t="inlineStr"/>
      <c r="N246" t="inlineStr"/>
      <c r="O246" t="n">
        <v>0</v>
      </c>
      <c r="P246">
        <f>IF(B271=0,0,O246/B271)</f>
        <v/>
      </c>
      <c r="Q246">
        <f>IFERROR(1/IF(Inputs!$B$39="pvp",15,MAX(0.1,Skills!D20-IF(Skills!E20=TRUE,Inputs!$B$32,0))),0)</f>
        <v/>
      </c>
      <c r="R246">
        <f>IF(AND(Inputs!$B$39&lt;&gt;"pvp",Inputs!$B$44&gt;0),IF(Inputs!$B$44&lt;=0,0,(INT(Inputs!$B$44/IF(Inputs!$B$39="pvp",15,MAX(0.1,Skills!D20-IF(Skills!E20=TRUE,Inputs!$B$32,0))))+1)),0)</f>
        <v/>
      </c>
      <c r="S246">
        <f>IFERROR(O246/N246,0)</f>
        <v/>
      </c>
    </row>
    <row r="247">
      <c r="A247">
        <f>Skills!A21</f>
        <v/>
      </c>
      <c r="B247">
        <f>Skills!B21</f>
        <v/>
      </c>
      <c r="C247">
        <f>Inputs!$B$3&gt;=15</f>
        <v/>
      </c>
      <c r="D247">
        <f>IF(Skills!C21=1,60+Inputs!$B$25+Inputs!$B$29,IF(Skills!C21=2,90+Inputs!$B$26+Inputs!$B$29,IF(Skills!C21=3,120+Inputs!$B$27+Inputs!$B$29,MAX(0,(Inputs!$B$3-100)*3)+Inputs!$B$28+Inputs!$B$29)))</f>
        <v/>
      </c>
      <c r="E247">
        <f>INDEX(FactorTable!$B$2:$Y$301, MATCH(ROUND(MIN(300,MAX(1,D247)),0), FactorTable!$A$2:$A$301,0), Skills!M21+1)</f>
        <v/>
      </c>
      <c r="F247">
        <f>IF(Skills!N21=TRUE,(Skills!L21/10)*(E247/1000),Skills!L21/10)+Skills!O21</f>
        <v/>
      </c>
      <c r="G247">
        <f>Skills!G21*IF(Skills!H21&gt;0,Skills!I21/Skills!H21,1)</f>
        <v/>
      </c>
      <c r="H247">
        <f>1-(1-Skills!J21/100)^Skills!K21</f>
        <v/>
      </c>
      <c r="I247" t="inlineStr">
        <is>
          <t>1</t>
        </is>
      </c>
      <c r="J247" t="inlineStr"/>
      <c r="K247" t="inlineStr"/>
      <c r="L247" t="inlineStr"/>
      <c r="M247" t="inlineStr"/>
      <c r="N247" t="inlineStr"/>
      <c r="O247" t="n">
        <v>0</v>
      </c>
      <c r="P247">
        <f>IF(B271=0,0,O247/B271)</f>
        <v/>
      </c>
      <c r="Q247">
        <f>IFERROR(1/IF(Inputs!$B$39="pvp",15,MAX(0.1,Skills!D21-IF(Skills!E21=TRUE,Inputs!$B$32,0))),0)</f>
        <v/>
      </c>
      <c r="R247">
        <f>IF(AND(Inputs!$B$39&lt;&gt;"pvp",Inputs!$B$44&gt;0),IF(Inputs!$B$44&lt;=0,0,(INT(Inputs!$B$44/IF(Inputs!$B$39="pvp",15,MAX(0.1,Skills!D21-IF(Skills!E21=TRUE,Inputs!$B$32,0))))+1)),0)</f>
        <v/>
      </c>
      <c r="S247">
        <f>IFERROR(O247/N247,0)</f>
        <v/>
      </c>
    </row>
    <row r="248">
      <c r="A248">
        <f>Skills!A22</f>
        <v/>
      </c>
      <c r="B248">
        <f>Skills!B22</f>
        <v/>
      </c>
      <c r="C248">
        <f>Inputs!$B$3&gt;=33</f>
        <v/>
      </c>
      <c r="D248">
        <f>IF(Skills!C22=1,60+Inputs!$B$25+Inputs!$B$29,IF(Skills!C22=2,90+Inputs!$B$26+Inputs!$B$29,IF(Skills!C22=3,120+Inputs!$B$27+Inputs!$B$29,MAX(0,(Inputs!$B$3-100)*3)+Inputs!$B$28+Inputs!$B$29)))</f>
        <v/>
      </c>
      <c r="E248">
        <f>INDEX(FactorTable!$B$2:$Y$301, MATCH(ROUND(MIN(300,MAX(1,D248)),0), FactorTable!$A$2:$A$301,0), Skills!M22+1)</f>
        <v/>
      </c>
      <c r="F248">
        <f>IF(Skills!N22=TRUE,(Skills!L22/10)*(E248/1000),Skills!L22/10)+Skills!O22</f>
        <v/>
      </c>
      <c r="G248">
        <f>Skills!G22*IF(Skills!H22&gt;0,Skills!I22/Skills!H22,1)</f>
        <v/>
      </c>
      <c r="H248">
        <f>1-(1-Skills!J22/100)^Skills!K22</f>
        <v/>
      </c>
      <c r="I248" t="inlineStr">
        <is>
          <t>1</t>
        </is>
      </c>
      <c r="J248" t="inlineStr"/>
      <c r="K248" t="inlineStr"/>
      <c r="L248" t="inlineStr"/>
      <c r="M248" t="inlineStr"/>
      <c r="N248" t="inlineStr"/>
      <c r="O248" t="n">
        <v>0</v>
      </c>
      <c r="P248">
        <f>IF(B271=0,0,O248/B271)</f>
        <v/>
      </c>
      <c r="Q248" t="n">
        <v>0</v>
      </c>
      <c r="R248" t="n">
        <v>0</v>
      </c>
      <c r="S248">
        <f>IFERROR(O248/N248,0)</f>
        <v/>
      </c>
    </row>
    <row r="249">
      <c r="A249">
        <f>Skills!A23</f>
        <v/>
      </c>
      <c r="B249">
        <f>Skills!B23</f>
        <v/>
      </c>
      <c r="C249">
        <f>Inputs!$B$3&gt;=40</f>
        <v/>
      </c>
      <c r="D249">
        <f>IF(Skills!C23=1,60+Inputs!$B$25+Inputs!$B$29,IF(Skills!C23=2,90+Inputs!$B$26+Inputs!$B$29,IF(Skills!C23=3,120+Inputs!$B$27+Inputs!$B$29,MAX(0,(Inputs!$B$3-100)*3)+Inputs!$B$28+Inputs!$B$29)))</f>
        <v/>
      </c>
      <c r="E249">
        <f>INDEX(FactorTable!$B$2:$Y$301, MATCH(ROUND(MIN(300,MAX(1,D249)),0), FactorTable!$A$2:$A$301,0), Skills!M23+1)</f>
        <v/>
      </c>
      <c r="F249">
        <f>IF(Skills!N23=TRUE,(Skills!L23/10)*(E249/1000),Skills!L23/10)+Skills!O23</f>
        <v/>
      </c>
      <c r="G249">
        <f>Skills!G23*IF(Skills!H23&gt;0,Skills!I23/Skills!H23,1)</f>
        <v/>
      </c>
      <c r="H249">
        <f>1-(1-Skills!J23/100)^Skills!K23</f>
        <v/>
      </c>
      <c r="I249" t="inlineStr">
        <is>
          <t>1</t>
        </is>
      </c>
      <c r="J249" t="inlineStr"/>
      <c r="K249" t="inlineStr"/>
      <c r="L249" t="inlineStr"/>
      <c r="M249" t="inlineStr"/>
      <c r="N249" t="inlineStr"/>
      <c r="O249" t="n">
        <v>0</v>
      </c>
      <c r="P249">
        <f>IF(B271=0,0,O249/B271)</f>
        <v/>
      </c>
      <c r="Q249" t="n">
        <v>0</v>
      </c>
      <c r="R249" t="n">
        <v>0</v>
      </c>
      <c r="S249">
        <f>IFERROR(O249/N249,0)</f>
        <v/>
      </c>
    </row>
    <row r="250">
      <c r="A250">
        <f>Skills!A24</f>
        <v/>
      </c>
      <c r="B250">
        <f>Skills!B24</f>
        <v/>
      </c>
      <c r="C250">
        <f>Inputs!$B$3&gt;=43</f>
        <v/>
      </c>
      <c r="D250">
        <f>IF(Skills!C24=1,60+Inputs!$B$25+Inputs!$B$29,IF(Skills!C24=2,90+Inputs!$B$26+Inputs!$B$29,IF(Skills!C24=3,120+Inputs!$B$27+Inputs!$B$29,MAX(0,(Inputs!$B$3-100)*3)+Inputs!$B$28+Inputs!$B$29)))</f>
        <v/>
      </c>
      <c r="E250">
        <f>INDEX(FactorTable!$B$2:$Y$301, MATCH(ROUND(MIN(300,MAX(1,D250)),0), FactorTable!$A$2:$A$301,0), Skills!M24+1)</f>
        <v/>
      </c>
      <c r="F250">
        <f>IF(Skills!N24=TRUE,(Skills!L24/10)*(E250/1000),Skills!L24/10)+Skills!O24</f>
        <v/>
      </c>
      <c r="G250">
        <f>Skills!G24*IF(Skills!H24&gt;0,Skills!I24/Skills!H24,1)</f>
        <v/>
      </c>
      <c r="H250">
        <f>1-(1-Skills!J24/100)^Skills!K24</f>
        <v/>
      </c>
      <c r="I250" t="inlineStr">
        <is>
          <t>1</t>
        </is>
      </c>
      <c r="J250" t="inlineStr"/>
      <c r="K250" t="inlineStr"/>
      <c r="L250" t="inlineStr"/>
      <c r="M250" t="inlineStr"/>
      <c r="N250" t="inlineStr"/>
      <c r="O250" t="n">
        <v>0</v>
      </c>
      <c r="P250">
        <f>IF(B271=0,0,O250/B271)</f>
        <v/>
      </c>
      <c r="Q250" t="n">
        <v>0</v>
      </c>
      <c r="R250" t="n">
        <v>0</v>
      </c>
      <c r="S250">
        <f>IFERROR(O250/N250,0)</f>
        <v/>
      </c>
    </row>
    <row r="251">
      <c r="A251">
        <f>Skills!A25</f>
        <v/>
      </c>
      <c r="B251">
        <f>Skills!B25</f>
        <v/>
      </c>
      <c r="C251">
        <f>Inputs!$B$3&gt;=50</f>
        <v/>
      </c>
      <c r="D251">
        <f>IF(Skills!C25=1,60+Inputs!$B$25+Inputs!$B$29,IF(Skills!C25=2,90+Inputs!$B$26+Inputs!$B$29,IF(Skills!C25=3,120+Inputs!$B$27+Inputs!$B$29,MAX(0,(Inputs!$B$3-100)*3)+Inputs!$B$28+Inputs!$B$29)))</f>
        <v/>
      </c>
      <c r="E251">
        <f>INDEX(FactorTable!$B$2:$Y$301, MATCH(ROUND(MIN(300,MAX(1,D251)),0), FactorTable!$A$2:$A$301,0), Skills!M25+1)</f>
        <v/>
      </c>
      <c r="F251">
        <f>IF(Skills!N25=TRUE,(Skills!L25/10)*(E251/1000),Skills!L25/10)+Skills!O25</f>
        <v/>
      </c>
      <c r="G251">
        <f>Skills!G25*IF(Skills!H25&gt;0,Skills!I25/Skills!H25,1)</f>
        <v/>
      </c>
      <c r="H251">
        <f>1-(1-Skills!J25/100)^Skills!K25</f>
        <v/>
      </c>
      <c r="I251" t="inlineStr">
        <is>
          <t>1</t>
        </is>
      </c>
      <c r="J251" t="inlineStr"/>
      <c r="K251" t="inlineStr"/>
      <c r="L251" t="inlineStr"/>
      <c r="M251" t="inlineStr"/>
      <c r="N251" t="inlineStr"/>
      <c r="O251" t="n">
        <v>0</v>
      </c>
      <c r="P251">
        <f>IF(B271=0,0,O251/B271)</f>
        <v/>
      </c>
      <c r="Q251" t="n">
        <v>0</v>
      </c>
      <c r="R251" t="n">
        <v>0</v>
      </c>
      <c r="S251">
        <f>IFERROR(O251/N251,0)</f>
        <v/>
      </c>
    </row>
    <row r="252">
      <c r="A252">
        <f>Skills!A26</f>
        <v/>
      </c>
      <c r="B252">
        <f>Skills!B26</f>
        <v/>
      </c>
      <c r="C252">
        <f>Inputs!$B$3&gt;=50</f>
        <v/>
      </c>
      <c r="D252">
        <f>IF(Skills!C26=1,60+Inputs!$B$25+Inputs!$B$29,IF(Skills!C26=2,90+Inputs!$B$26+Inputs!$B$29,IF(Skills!C26=3,120+Inputs!$B$27+Inputs!$B$29,MAX(0,(Inputs!$B$3-100)*3)+Inputs!$B$28+Inputs!$B$29)))</f>
        <v/>
      </c>
      <c r="E252">
        <f>INDEX(FactorTable!$B$2:$Y$301, MATCH(ROUND(MIN(300,MAX(1,D252)),0), FactorTable!$A$2:$A$301,0), Skills!M26+1)</f>
        <v/>
      </c>
      <c r="F252">
        <f>IF(Skills!N26=TRUE,(Skills!L26/10)*(E252/1000),Skills!L26/10)+Skills!O26</f>
        <v/>
      </c>
      <c r="G252">
        <f>Skills!G26*IF(Skills!H26&gt;0,Skills!I26/Skills!H26,1)</f>
        <v/>
      </c>
      <c r="H252">
        <f>1-(1-Skills!J26/100)^Skills!K26</f>
        <v/>
      </c>
      <c r="I252" t="inlineStr">
        <is>
          <t>1</t>
        </is>
      </c>
      <c r="J252" t="inlineStr"/>
      <c r="K252" t="inlineStr"/>
      <c r="L252" t="inlineStr"/>
      <c r="M252" t="inlineStr"/>
      <c r="N252" t="inlineStr"/>
      <c r="O252" t="n">
        <v>0</v>
      </c>
      <c r="P252">
        <f>IF(B271=0,0,O252/B271)</f>
        <v/>
      </c>
      <c r="Q252" t="n">
        <v>0</v>
      </c>
      <c r="R252" t="n">
        <v>0</v>
      </c>
      <c r="S252">
        <f>IFERROR(O252/N252,0)</f>
        <v/>
      </c>
    </row>
    <row r="253">
      <c r="A253">
        <f>Skills!A27</f>
        <v/>
      </c>
      <c r="B253">
        <f>Skills!B27</f>
        <v/>
      </c>
      <c r="C253">
        <f>Inputs!$B$3&gt;=38</f>
        <v/>
      </c>
      <c r="D253">
        <f>IF(Skills!C27=1,60+Inputs!$B$25+Inputs!$B$29,IF(Skills!C27=2,90+Inputs!$B$26+Inputs!$B$29,IF(Skills!C27=3,120+Inputs!$B$27+Inputs!$B$29,MAX(0,(Inputs!$B$3-100)*3)+Inputs!$B$28+Inputs!$B$29)))</f>
        <v/>
      </c>
      <c r="E253">
        <f>INDEX(FactorTable!$B$2:$Y$301, MATCH(ROUND(MIN(300,MAX(1,D253)),0), FactorTable!$A$2:$A$301,0), Skills!M27+1)</f>
        <v/>
      </c>
      <c r="F253">
        <f>IF(Skills!N27=TRUE,(Skills!L27/10)*(E253/1000),Skills!L27/10)+Skills!O27</f>
        <v/>
      </c>
      <c r="G253">
        <f>Skills!G27*IF(Skills!H27&gt;0,Skills!I27/Skills!H27,1)</f>
        <v/>
      </c>
      <c r="H253">
        <f>1-(1-Skills!J27/100)^Skills!K27</f>
        <v/>
      </c>
      <c r="I253" t="inlineStr">
        <is>
          <t>1</t>
        </is>
      </c>
      <c r="J253" t="inlineStr"/>
      <c r="K253" t="inlineStr"/>
      <c r="L253" t="inlineStr"/>
      <c r="M253" t="inlineStr"/>
      <c r="N253" t="inlineStr"/>
      <c r="O253" t="n">
        <v>0</v>
      </c>
      <c r="P253">
        <f>IF(B271=0,0,O253/B271)</f>
        <v/>
      </c>
      <c r="Q253" t="n">
        <v>0</v>
      </c>
      <c r="R253" t="n">
        <v>0</v>
      </c>
      <c r="S253">
        <f>IFERROR(O253/N253,0)</f>
        <v/>
      </c>
    </row>
    <row r="254">
      <c r="A254">
        <f>Skills!A28</f>
        <v/>
      </c>
      <c r="B254">
        <f>Skills!B28</f>
        <v/>
      </c>
      <c r="C254">
        <f>Inputs!$B$3&gt;=120</f>
        <v/>
      </c>
      <c r="D254">
        <f>IF(Skills!C28=1,60+Inputs!$B$25+Inputs!$B$29,IF(Skills!C28=2,90+Inputs!$B$26+Inputs!$B$29,IF(Skills!C28=3,120+Inputs!$B$27+Inputs!$B$29,MAX(0,(Inputs!$B$3-100)*3)+Inputs!$B$28+Inputs!$B$29)))</f>
        <v/>
      </c>
      <c r="E254">
        <f>INDEX(FactorTable!$B$2:$Y$301, MATCH(ROUND(MIN(300,MAX(1,D254)),0), FactorTable!$A$2:$A$301,0), Skills!M28+1)</f>
        <v/>
      </c>
      <c r="F254">
        <f>IF(Skills!N28=TRUE,(Skills!L28/10)*(E254/1000),Skills!L28/10)+Skills!O28</f>
        <v/>
      </c>
      <c r="G254">
        <f>Skills!G28*IF(Skills!H28&gt;0,Skills!I28/Skills!H28,1)</f>
        <v/>
      </c>
      <c r="H254">
        <f>1-(1-Skills!J28/100)^Skills!K28</f>
        <v/>
      </c>
      <c r="I254" t="inlineStr">
        <is>
          <t>1</t>
        </is>
      </c>
      <c r="J254" t="inlineStr"/>
      <c r="K254" t="inlineStr"/>
      <c r="L254" t="inlineStr"/>
      <c r="M254" t="inlineStr"/>
      <c r="N254" t="inlineStr"/>
      <c r="O254" t="n">
        <v>0</v>
      </c>
      <c r="P254">
        <f>IF(B271=0,0,O254/B271)</f>
        <v/>
      </c>
      <c r="Q254" t="n">
        <v>0</v>
      </c>
      <c r="R254" t="n">
        <v>0</v>
      </c>
      <c r="S254">
        <f>IFERROR(O254/N254,0)</f>
        <v/>
      </c>
    </row>
    <row r="255">
      <c r="A255">
        <f>Skills!A29</f>
        <v/>
      </c>
      <c r="B255">
        <f>Skills!B29</f>
        <v/>
      </c>
      <c r="C255">
        <f>Inputs!$B$3&gt;=120</f>
        <v/>
      </c>
      <c r="D255">
        <f>IF(Skills!C29=1,60+Inputs!$B$25+Inputs!$B$29,IF(Skills!C29=2,90+Inputs!$B$26+Inputs!$B$29,IF(Skills!C29=3,120+Inputs!$B$27+Inputs!$B$29,MAX(0,(Inputs!$B$3-100)*3)+Inputs!$B$28+Inputs!$B$29)))</f>
        <v/>
      </c>
      <c r="E255">
        <f>INDEX(FactorTable!$B$2:$Y$301, MATCH(ROUND(MIN(300,MAX(1,D255)),0), FactorTable!$A$2:$A$301,0), Skills!M29+1)</f>
        <v/>
      </c>
      <c r="F255">
        <f>IF(Skills!N29=TRUE,(Skills!L29/10)*(E255/1000),Skills!L29/10)+Skills!O29</f>
        <v/>
      </c>
      <c r="G255">
        <f>Skills!G29*IF(Skills!H29&gt;0,Skills!I29/Skills!H29,1)</f>
        <v/>
      </c>
      <c r="H255">
        <f>1-(1-Skills!J29/100)^Skills!K29</f>
        <v/>
      </c>
      <c r="I255" t="inlineStr">
        <is>
          <t>1</t>
        </is>
      </c>
      <c r="J255" t="inlineStr"/>
      <c r="K255" t="inlineStr"/>
      <c r="L255" t="inlineStr"/>
      <c r="M255" t="inlineStr"/>
      <c r="N255" t="inlineStr"/>
      <c r="O255" t="n">
        <v>0</v>
      </c>
      <c r="P255">
        <f>IF(B271=0,0,O255/B271)</f>
        <v/>
      </c>
      <c r="Q255" t="n">
        <v>0</v>
      </c>
      <c r="R255" t="n">
        <v>0</v>
      </c>
      <c r="S255">
        <f>IFERROR(O255/N255,0)</f>
        <v/>
      </c>
    </row>
    <row r="256">
      <c r="A256">
        <f>Skills!A30</f>
        <v/>
      </c>
      <c r="B256">
        <f>Skills!B30</f>
        <v/>
      </c>
      <c r="C256">
        <f>Inputs!$B$3&gt;=125</f>
        <v/>
      </c>
      <c r="D256">
        <f>IF(Skills!C30=1,60+Inputs!$B$25+Inputs!$B$29,IF(Skills!C30=2,90+Inputs!$B$26+Inputs!$B$29,IF(Skills!C30=3,120+Inputs!$B$27+Inputs!$B$29,MAX(0,(Inputs!$B$3-100)*3)+Inputs!$B$28+Inputs!$B$29)))</f>
        <v/>
      </c>
      <c r="E256">
        <f>INDEX(FactorTable!$B$2:$Y$301, MATCH(ROUND(MIN(300,MAX(1,D256)),0), FactorTable!$A$2:$A$301,0), Skills!M30+1)</f>
        <v/>
      </c>
      <c r="F256">
        <f>IF(Skills!N30=TRUE,(Skills!L30/10)*(E256/1000),Skills!L30/10)+Skills!O30</f>
        <v/>
      </c>
      <c r="G256">
        <f>Skills!G30*IF(Skills!H30&gt;0,Skills!I30/Skills!H30,1)</f>
        <v/>
      </c>
      <c r="H256">
        <f>1-(1-Skills!J30/100)^Skills!K30</f>
        <v/>
      </c>
      <c r="I256" t="inlineStr">
        <is>
          <t>1</t>
        </is>
      </c>
      <c r="J256" t="inlineStr"/>
      <c r="K256" t="inlineStr"/>
      <c r="L256" t="inlineStr"/>
      <c r="M256" t="inlineStr"/>
      <c r="N256" t="inlineStr"/>
      <c r="O256" t="n">
        <v>0</v>
      </c>
      <c r="P256">
        <f>IF(B271=0,0,O256/B271)</f>
        <v/>
      </c>
      <c r="Q256" t="n">
        <v>0</v>
      </c>
      <c r="R256" t="n">
        <v>0</v>
      </c>
      <c r="S256">
        <f>IFERROR(O256/N256,0)</f>
        <v/>
      </c>
    </row>
    <row r="258">
      <c r="A258" t="inlineStr">
        <is>
          <t>Average Buff Multiplier</t>
        </is>
      </c>
      <c r="B258">
        <f>(1+(((C247=TRUE)*F247*IF(AND(Inputs!$B$39&lt;&gt;"pvp",Inputs!$B$44&gt;0),(((R247-1)*(Skills!Y21*(1+Inputs!$B$34/100))+MIN((Skills!Y21*(1+Inputs!$B$34/100)),MAX(0,Inputs!$B$44-((R247-1)*Skills!D21))))/Inputs!$B$44),IF(Inputs!$B$39="pvp",MIN((Skills!Y21*(1+Inputs!$B$34/100)),15)/15,(Skills!Y21*(1+Inputs!$B$34/100))/Skills!D21)))+((C249=TRUE)*(F249-Calc!F23))+((C243=TRUE)*(F243-Calc!F17)))/100)*(1+((C236=TRUE)*F236*IF(AND(Inputs!$B$39&lt;&gt;"pvp",Inputs!$B$44&gt;0),(((R236-1)*(Skills!Y10*(1+Inputs!$B$34/100))+MIN((Skills!Y10*(1+Inputs!$B$34/100)),MAX(0,Inputs!$B$44-((R236-1)*Skills!D10))))/Inputs!$B$44),IF(Inputs!$B$39="pvp",MIN((Skills!Y10*(1+Inputs!$B$34/100)),15)/15,(Skills!Y10*(1+Inputs!$B$34/100))/Skills!D10)))/100)*(1+((C241=TRUE)*F241*IF(AND(Inputs!$B$39&lt;&gt;"pvp",Inputs!$B$44&gt;0),(((R241-1)*(Skills!Y15*(1+Inputs!$B$34/100))+MIN((Skills!Y15*(1+Inputs!$B$34/100)),MAX(0,Inputs!$B$44-((R241-1)*Skills!D15))))/Inputs!$B$44),IF(Inputs!$B$39="pvp",MIN((Skills!Y15*(1+Inputs!$B$34/100)),15)/15,(Skills!Y15*(1+Inputs!$B$34/100))/Skills!D15)))/100)</f>
        <v/>
      </c>
    </row>
    <row r="259">
      <c r="A259" t="inlineStr">
        <is>
          <t>Global Crit Rate Bonus %</t>
        </is>
      </c>
      <c r="B259">
        <f>((C246=TRUE)*F246*IF(AND(Inputs!$B$39&lt;&gt;"pvp",Inputs!$B$44&gt;0),(((R246-1)*(Skills!Y20*(1+Inputs!$B$34/100))+MIN((Skills!Y20*(1+Inputs!$B$34/100)),MAX(0,Inputs!$B$44-((R246-1)*Skills!D20))))/Inputs!$B$44),IF(Inputs!$B$39="pvp",MIN((Skills!Y20*(1+Inputs!$B$34/100)),15)/15,(Skills!Y20*(1+Inputs!$B$34/100))/Skills!D20)))</f>
        <v/>
      </c>
    </row>
    <row r="260">
      <c r="A260" t="inlineStr">
        <is>
          <t>Global Monster Damage-Taken Bonus %</t>
        </is>
      </c>
      <c r="B260">
        <f>IF(Inputs!$B$3&gt;=82,15,0)</f>
        <v/>
      </c>
    </row>
    <row r="261">
      <c r="A261" t="inlineStr">
        <is>
          <t>Shadow Partner Average Multiplier</t>
        </is>
      </c>
      <c r="B261">
        <f>1+((C233=TRUE)*F233*(1+3.3333333333333335*IF(C244=TRUE,F244,0)/100)*I233*Skills!J7/100)/100</f>
        <v/>
      </c>
    </row>
    <row r="262">
      <c r="A262" t="inlineStr">
        <is>
          <t>Attack Speed Buff Bonus %</t>
        </is>
      </c>
      <c r="B262">
        <f>((C245=TRUE)*F245*IF(AND(Inputs!$B$39&lt;&gt;"pvp",Inputs!$B$44&gt;0),(((R245-1)*(Skills!Y19*(1+Inputs!$B$34/100))+MIN((Skills!Y19*(1+Inputs!$B$34/100)),MAX(0,Inputs!$B$44-((R245-1)*Skills!D19))))/Inputs!$B$44),IF(Inputs!$B$39="pvp",MIN((Skills!Y19*(1+Inputs!$B$34/100)),15)/15,(Skills!Y19*(1+Inputs!$B$34/100))/Skills!D19)))+((C229=TRUE)*F229*3)</f>
        <v/>
      </c>
    </row>
    <row r="263">
      <c r="A263" t="inlineStr">
        <is>
          <t>Actions Per Second</t>
        </is>
      </c>
      <c r="B263">
        <f>1+MIN(150,150*(1-(1-(Inputs!$B$11+((C248=TRUE)*(F248-Calc!F22)))/150)*(1-B262/150)))/100</f>
        <v/>
      </c>
    </row>
    <row r="264">
      <c r="A264" t="inlineStr">
        <is>
          <t>Skill + Buff Cast Rate</t>
        </is>
      </c>
      <c r="B264">
        <f>IF(AND(Inputs!$B$39&lt;&gt;"pvp",Inputs!$B$44&gt;0),SUMPRODUCT((Skills!E2:E30=TRUE)*(C228:C256=TRUE)*R228:R256*Skills!F2:F30)/Inputs!$B$44,SUMPRODUCT((Skills!E2:E30=TRUE)*(C228:C256=TRUE)*Q228:Q256*Skills!F2:F30))</f>
        <v/>
      </c>
    </row>
    <row r="265">
      <c r="A265" t="inlineStr">
        <is>
          <t>Cruel Stab Casts Per Second</t>
        </is>
      </c>
      <c r="B265">
        <f>MAX(0,B263-B264)</f>
        <v/>
      </c>
    </row>
    <row r="266">
      <c r="A266" t="inlineStr">
        <is>
          <t>Global Critical Damage Bonus % (Smokescreen Mastery Lv.113)</t>
        </is>
      </c>
      <c r="B266">
        <f>IF(Inputs!$B$3&gt;=113,30,0)*IF(AND(Inputs!$B$39&lt;&gt;"pvp",Inputs!$B$44&gt;0),(((R241-1)*(Skills!Y15*(1+Inputs!$B$34/100))+MIN((Skills!Y15*(1+Inputs!$B$34/100)),MAX(0,Inputs!$B$44-((R241-1)*Skills!D15))))/Inputs!$B$44),IF(Inputs!$B$39="pvp",MIN((Skills!Y15*(1+Inputs!$B$34/100)),15)/15,(Skills!Y15*(1+Inputs!$B$34/100))/Skills!D15))</f>
        <v/>
      </c>
    </row>
    <row r="267">
      <c r="A267" t="inlineStr">
        <is>
          <t>Meso Explosion average stack count</t>
        </is>
      </c>
      <c r="B267">
        <f>MIN(10,0.5*B263*Skills!D4)</f>
        <v/>
      </c>
    </row>
    <row r="268">
      <c r="A268" t="inlineStr">
        <is>
          <t>Blood Money average stack count</t>
        </is>
      </c>
      <c r="B268">
        <f>MIN(5,0.25*B263*Skills!D4)</f>
        <v/>
      </c>
    </row>
    <row r="269">
      <c r="A269" t="inlineStr">
        <is>
          <t>Assassinate Murderous Intent Multiplier</t>
        </is>
      </c>
      <c r="B269">
        <f>1+IFERROR(MIN(1,Q240*2/Q237),0)</f>
        <v/>
      </c>
    </row>
    <row r="270">
      <c r="A270" t="inlineStr">
        <is>
          <t>Buff-Casting Startup Delay (s, fixed-duration only)</t>
        </is>
      </c>
      <c r="B270">
        <f>IF(AND(Inputs!$B$39&lt;&gt;"pvp",Inputs!$B$44&gt;0),SUMPRODUCT((Skills!Y2:Y30&gt;0)*(Skills!E2:E30=TRUE)*(C228:C256=TRUE))/B263,0)</f>
        <v/>
      </c>
    </row>
    <row r="271">
      <c r="A271" s="5" t="inlineStr">
        <is>
          <t>TOTAL DPS</t>
        </is>
      </c>
      <c r="B271" s="5">
        <f>SUM(O228:O256)</f>
        <v/>
      </c>
    </row>
    <row r="274">
      <c r="A274" s="5" t="inlineStr">
        <is>
          <t>Stat: BOSS_DAMAGE %</t>
        </is>
      </c>
    </row>
    <row r="275">
      <c r="A275" s="9" t="inlineStr">
        <is>
          <t>Key</t>
        </is>
      </c>
      <c r="B275" s="9" t="inlineStr">
        <is>
          <t>Name</t>
        </is>
      </c>
      <c r="C275" s="9" t="inlineStr">
        <is>
          <t>Unlocked</t>
        </is>
      </c>
      <c r="D275" s="9" t="inlineStr">
        <is>
          <t>InputLevel</t>
        </is>
      </c>
      <c r="E275" s="9" t="inlineStr">
        <is>
          <t>Factor</t>
        </is>
      </c>
      <c r="F275" s="9" t="inlineStr">
        <is>
          <t>CoefficientPercent</t>
        </is>
      </c>
      <c r="G275" s="9" t="inlineStr">
        <is>
          <t>EffectiveHits</t>
        </is>
      </c>
      <c r="H275" s="9" t="inlineStr">
        <is>
          <t>ProcProbability</t>
        </is>
      </c>
      <c r="I275" s="9" t="inlineStr">
        <is>
          <t>MapleHeroMultiplier</t>
        </is>
      </c>
      <c r="J275" s="9" t="inlineStr">
        <is>
          <t>BaseDamage</t>
        </is>
      </c>
      <c r="K275" s="9" t="inlineStr">
        <is>
          <t>BaseHitDamage</t>
        </is>
      </c>
      <c r="L275" s="9" t="inlineStr">
        <is>
          <t>NonCritAvg</t>
        </is>
      </c>
      <c r="M275" s="9" t="inlineStr">
        <is>
          <t>CritAvg</t>
        </is>
      </c>
      <c r="N275" s="9" t="inlineStr">
        <is>
          <t>ExpectedDamage(perHit)</t>
        </is>
      </c>
      <c r="O275" s="9" t="inlineStr">
        <is>
          <t>DPS</t>
        </is>
      </c>
      <c r="P275" s="9" t="inlineStr">
        <is>
          <t>% of Total</t>
        </is>
      </c>
      <c r="Q275" s="9" t="inlineStr">
        <is>
          <t>InvCooldown</t>
        </is>
      </c>
      <c r="R275" s="9" t="inlineStr">
        <is>
          <t>CastsInFight</t>
        </is>
      </c>
      <c r="S275" s="9" t="inlineStr">
        <is>
          <t>HitRate(perSec)</t>
        </is>
      </c>
      <c r="U275" t="inlineStr">
        <is>
          <t>helpers</t>
        </is>
      </c>
    </row>
    <row r="276">
      <c r="A276">
        <f>Skills!A2</f>
        <v/>
      </c>
      <c r="B276">
        <f>Skills!B2</f>
        <v/>
      </c>
      <c r="C276">
        <f>Inputs!$B$3&gt;=100</f>
        <v/>
      </c>
      <c r="D276" t="inlineStr"/>
      <c r="E276" t="inlineStr"/>
      <c r="F276">
        <f>U278+Skills!O2</f>
        <v/>
      </c>
      <c r="G276">
        <f>Skills!G2*IF(Skills!H2&gt;0,Skills!I2/Skills!H2,1)</f>
        <v/>
      </c>
      <c r="H276">
        <f>1-(1-Skills!J2/100)^Skills!K2</f>
        <v/>
      </c>
      <c r="I276" t="inlineStr">
        <is>
          <t>1</t>
        </is>
      </c>
      <c r="J276">
        <f>((Inputs!$B$6*(1+Inputs!$B$7/100))+(((Inputs!$B$12*(1+Inputs!$B$13/100))-(Inputs!$B$12*(1+Inputs!$B$13/100)))+0.25*(Inputs!$B$14-Inputs!$B$14))*(1+Inputs!$B$7/100))*(F276/100)</f>
        <v/>
      </c>
      <c r="K276">
        <f>J276*(1+((Inputs!$B$12*(1+Inputs!$B$13/100))*0.01+Inputs!$B$14*0.0025)/100)*(1+Inputs!$B$15/100)*(1+IF(Inputs!$B$39="pvp",0,(1-Summary!$B$55)*((Inputs!$B$20+1)+0+Skills!P2+B308)+Summary!$B$55*(Inputs!$B$21+Skills!Q2+B308))/100)*(1+Inputs!$B$16/100)*(5000/(6000+Inputs!$B$43*(1-Inputs!$B$19/100)))*(1+(Inputs!$B$24+((C304=TRUE)*(F304-Calc!F30)))/100)*(1+(IF(Skills!A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276)</f>
        <v/>
      </c>
      <c r="L276">
        <f>K276*(MIN(Inputs!$B$22+((C298=TRUE)*(F298-Calc!F24)),Inputs!$B$23+((C303=TRUE)*(F303-Calc!F29)))/100+(Inputs!$B$23+((C303=TRUE)*(F303-Calc!F29)))/100)/2</f>
        <v/>
      </c>
      <c r="M276">
        <f>L276*(1+(Inputs!$B$10+((C300=TRUE)*(F300-Calc!F26))+B314)/100)</f>
        <v/>
      </c>
      <c r="N276">
        <f>L276*(1-MIN((Inputs!$B$9+((C299=TRUE)*(F299-Calc!F25))+B307),100)/100)+M276*(MIN((Inputs!$B$9+((C299=TRUE)*(F299-Calc!F25))+B307),100)/100)</f>
        <v/>
      </c>
      <c r="O276">
        <f>IF(C276,Skills!G2*N276*B313*IF(Inputs!$B$39="pvp",1,(1-Summary!$B$55)*(1)+Summary!$B$55*(MIN((6+Inputs!$B$33),Inputs!$B$37))),0)</f>
        <v/>
      </c>
      <c r="P276">
        <f>IF(B319=0,0,O276/B319)</f>
        <v/>
      </c>
      <c r="Q276" t="n">
        <v>0</v>
      </c>
      <c r="R276" t="n">
        <v>0</v>
      </c>
      <c r="S276">
        <f>IFERROR(O276/N276,0)</f>
        <v/>
      </c>
      <c r="U276">
        <f>MAX(0,(Inputs!$B$3-100)*3)+Inputs!$B$28+Inputs!$B$29</f>
        <v/>
      </c>
    </row>
    <row r="277">
      <c r="A277">
        <f>Skills!A3</f>
        <v/>
      </c>
      <c r="B277">
        <f>Skills!B3</f>
        <v/>
      </c>
      <c r="C277">
        <f>Inputs!$B$3&gt;=35</f>
        <v/>
      </c>
      <c r="D277">
        <f>IF(Skills!C3=1,60+Inputs!$B$25+Inputs!$B$29,IF(Skills!C3=2,90+Inputs!$B$26+Inputs!$B$29,IF(Skills!C3=3,120+Inputs!$B$27+Inputs!$B$29,MAX(0,(Inputs!$B$3-100)*3)+Inputs!$B$28+Inputs!$B$29)))</f>
        <v/>
      </c>
      <c r="E277">
        <f>INDEX(FactorTable!$B$2:$Y$301, MATCH(ROUND(MIN(300,MAX(1,D277)),0), FactorTable!$A$2:$A$301,0), Skills!M3+1)</f>
        <v/>
      </c>
      <c r="F277">
        <f>IF(Skills!N3=TRUE,(Skills!L3/10)*(E277/1000),Skills!L3/10)+Skills!O3</f>
        <v/>
      </c>
      <c r="G277">
        <f>Skills!G3*IF(Skills!H3&gt;0,Skills!I3/Skills!H3,1)</f>
        <v/>
      </c>
      <c r="H277">
        <f>1-(1-Skills!J3/100)^Skills!K3</f>
        <v/>
      </c>
      <c r="I277" t="inlineStr">
        <is>
          <t>1</t>
        </is>
      </c>
      <c r="J277" t="inlineStr"/>
      <c r="K277" t="inlineStr"/>
      <c r="L277" t="inlineStr"/>
      <c r="M277" t="inlineStr"/>
      <c r="N277" t="inlineStr"/>
      <c r="O277" t="n">
        <v>0</v>
      </c>
      <c r="P277">
        <f>IF(B319=0,0,O277/B319)</f>
        <v/>
      </c>
      <c r="Q277" t="n">
        <v>0</v>
      </c>
      <c r="R277" t="n">
        <v>0</v>
      </c>
      <c r="S277">
        <f>IFERROR(O277/N277,0)</f>
        <v/>
      </c>
      <c r="U277">
        <f>INDEX(FactorTable!$B$2:$Y$301, MATCH(ROUND(MIN(300,MAX(1,U276)),0), FactorTable!$A$2:$A$301,0), 22)</f>
        <v/>
      </c>
    </row>
    <row r="278">
      <c r="A278">
        <f>Skills!A4</f>
        <v/>
      </c>
      <c r="B278">
        <f>Skills!B4</f>
        <v/>
      </c>
      <c r="C278">
        <f>Inputs!$B$3&gt;=66</f>
        <v/>
      </c>
      <c r="D278">
        <f>IF(Skills!C4=1,60+Inputs!$B$25+Inputs!$B$29,IF(Skills!C4=2,90+Inputs!$B$26+Inputs!$B$29,IF(Skills!C4=3,120+Inputs!$B$27+Inputs!$B$29,MAX(0,(Inputs!$B$3-100)*3)+Inputs!$B$28+Inputs!$B$29)))</f>
        <v/>
      </c>
      <c r="E278">
        <f>INDEX(FactorTable!$B$2:$Y$301, MATCH(ROUND(MIN(300,MAX(1,D278)),0), FactorTable!$A$2:$A$301,0), Skills!M4+1)</f>
        <v/>
      </c>
      <c r="F278">
        <f>IF(Skills!N4=TRUE,(Skills!L4/10)*(E278/1000),Skills!L4/10)+Skills!O4</f>
        <v/>
      </c>
      <c r="G278">
        <f>Skills!G4*IF(Skills!H4&gt;0,Skills!I4/Skills!H4,1)</f>
        <v/>
      </c>
      <c r="H278">
        <f>1-(1-Skills!J4/100)^Skills!K4</f>
        <v/>
      </c>
      <c r="I278" t="inlineStr">
        <is>
          <t>1</t>
        </is>
      </c>
      <c r="J278">
        <f>((Inputs!$B$6*(1+Inputs!$B$7/100))+(((Inputs!$B$12*(1+Inputs!$B$13/100))-(Inputs!$B$12*(1+Inputs!$B$13/100)))+0.25*(Inputs!$B$14-Inputs!$B$14))*(1+Inputs!$B$7/100))*(F278/100)</f>
        <v/>
      </c>
      <c r="K278">
        <f>J278*(1+((Inputs!$B$12*(1+Inputs!$B$13/100))*0.01+Inputs!$B$14*0.0025)/100)*(1+Inputs!$B$15/100)*(1+IF(Inputs!$B$39="pvp",0,(1-Summary!$B$55)*((Inputs!$B$20+1)+0+Skills!P4+B308)+Summary!$B$55*(Inputs!$B$21+Skills!Q4+B308))/100)*(1+Inputs!$B$16/100)*(5000/(6000+Inputs!$B$43*(1-Inputs!$B$19/100)))*(1+(Inputs!$B$24+((C304=TRUE)*(F304-Calc!F30)))/100)*(1+(IF(Skills!A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278)</f>
        <v/>
      </c>
      <c r="L278">
        <f>K278*(MIN(Inputs!$B$22+((C298=TRUE)*(F298-Calc!F24)),Inputs!$B$23+((C303=TRUE)*(F303-Calc!F29)))/100+(Inputs!$B$23+((C303=TRUE)*(F303-Calc!F29)))/100)/2</f>
        <v/>
      </c>
      <c r="M278">
        <f>L278*(1+(Inputs!$B$10+((C300=TRUE)*(F300-Calc!F26))+B314)/100)</f>
        <v/>
      </c>
      <c r="N278">
        <f>L278*(1-MIN((Inputs!$B$9+((C299=TRUE)*(F299-Calc!F25))+B307),100)/100)+M278*(MIN((Inputs!$B$9+((C299=TRUE)*(F299-Calc!F25))+B307),100)/100)</f>
        <v/>
      </c>
      <c r="O278">
        <f>IF(C278,H278*N278*IF(AND(Inputs!$B$39&lt;&gt;"pvp",Inputs!$B$44&gt;0),((Skills!G4*((R278-1)*IF(Skills!H4&gt;0,Skills!I4/Skills!H4,1)+IF(Skills!H4&gt;0,MIN(Skills!I4,MAX(0,MAX(0,Inputs!$B$44-B318)-((R278-1)*IF(Inputs!$B$39="pvp",15,MAX(0.1,Skills!D4-IF(Skills!E4=TRUE,Inputs!$B$32,0))))))/Skills!H4,1)))/Inputs!$B$44),G278*Q278)*IF(Inputs!$B$39="pvp",1,(1-Summary!$B$55)*(1)+Summary!$B$55*(MIN(MIN(10,0.5*B311*Skills!D4),Inputs!$B$37))),0)</f>
        <v/>
      </c>
      <c r="P278">
        <f>IF(B319=0,0,O278/B319)</f>
        <v/>
      </c>
      <c r="Q278">
        <f>IFERROR(1/IF(Inputs!$B$39="pvp",15,MAX(0.1,Skills!D4-IF(Skills!E4=TRUE,Inputs!$B$32,0))),0)</f>
        <v/>
      </c>
      <c r="R278">
        <f>IF(AND(Inputs!$B$39&lt;&gt;"pvp",Inputs!$B$44&gt;0),IF(MAX(0,Inputs!$B$44-B318)&lt;=0,0,(INT(MAX(0,Inputs!$B$44-B318)/IF(Inputs!$B$39="pvp",15,MAX(0.1,Skills!D4-IF(Skills!E4=TRUE,Inputs!$B$32,0))))+1)),0)</f>
        <v/>
      </c>
      <c r="S278">
        <f>IFERROR(O278/N278,0)</f>
        <v/>
      </c>
      <c r="U278">
        <f>290*U277/1000</f>
        <v/>
      </c>
    </row>
    <row r="279">
      <c r="A279">
        <f>Skills!A5</f>
        <v/>
      </c>
      <c r="B279">
        <f>Skills!B5</f>
        <v/>
      </c>
      <c r="C279">
        <f>Inputs!$B$3&gt;=63</f>
        <v/>
      </c>
      <c r="D279">
        <f>IF(Skills!C5=1,60+Inputs!$B$25+Inputs!$B$29,IF(Skills!C5=2,90+Inputs!$B$26+Inputs!$B$29,IF(Skills!C5=3,120+Inputs!$B$27+Inputs!$B$29,MAX(0,(Inputs!$B$3-100)*3)+Inputs!$B$28+Inputs!$B$29)))</f>
        <v/>
      </c>
      <c r="E279">
        <f>INDEX(FactorTable!$B$2:$Y$301, MATCH(ROUND(MIN(300,MAX(1,D279)),0), FactorTable!$A$2:$A$301,0), Skills!M5+1)</f>
        <v/>
      </c>
      <c r="F279">
        <f>IF(Skills!N5=TRUE,(Skills!L5/10)*(E279/1000),Skills!L5/10)+Skills!O5</f>
        <v/>
      </c>
      <c r="G279">
        <f>Skills!G5*IF(Skills!H5&gt;0,Skills!I5/Skills!H5,1)</f>
        <v/>
      </c>
      <c r="H279">
        <f>1-(1-Skills!J5/100)^Skills!K5</f>
        <v/>
      </c>
      <c r="I279" t="inlineStr">
        <is>
          <t>1</t>
        </is>
      </c>
      <c r="J279">
        <f>((Inputs!$B$6*(1+Inputs!$B$7/100))+(((Inputs!$B$12*(1+Inputs!$B$13/100))-(Inputs!$B$12*(1+Inputs!$B$13/100)))+0.25*(Inputs!$B$14-Inputs!$B$14))*(1+Inputs!$B$7/100))*(F279/100)</f>
        <v/>
      </c>
      <c r="K279">
        <f>J279*(1+((Inputs!$B$12*(1+Inputs!$B$13/100))*0.01+Inputs!$B$14*0.0025)/100)*(1+Inputs!$B$15/100)*(1+IF(Inputs!$B$39="pvp",0,(1-Summary!$B$55)*((Inputs!$B$20+1)+0+Skills!P5+B308)+Summary!$B$55*(Inputs!$B$21+Skills!Q5+B308))/100)*(1+Inputs!$B$16/100)*(5000/(6000+Inputs!$B$43*(1-Inputs!$B$19/100)))*(1+(Inputs!$B$24+((C304=TRUE)*(F304-Calc!F30)))/100)*(1+2.6666666666666665*IF(C292=TRUE,F292,0)/100)*(1+(IF(Skills!A5="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279)</f>
        <v/>
      </c>
      <c r="L279">
        <f>K279*(MIN(Inputs!$B$22+((C298=TRUE)*(F298-Calc!F24)),Inputs!$B$23+((C303=TRUE)*(F303-Calc!F29)))/100+(Inputs!$B$23+((C303=TRUE)*(F303-Calc!F29)))/100)/2</f>
        <v/>
      </c>
      <c r="M279">
        <f>L279*(1+(Inputs!$B$10+((C300=TRUE)*(F300-Calc!F26))+B314)/100)</f>
        <v/>
      </c>
      <c r="N279">
        <f>L279*(1-MIN((Inputs!$B$9+((C299=TRUE)*(F299-Calc!F25))+B307),100)/100)+M279*(MIN((Inputs!$B$9+((C299=TRUE)*(F299-Calc!F25))+B307),100)/100)</f>
        <v/>
      </c>
      <c r="O279">
        <f>IF(C279,H279*N279*IF(AND(Inputs!$B$39&lt;&gt;"pvp",Inputs!$B$44&gt;0),((Skills!G5*((R279-1)*IF(Skills!H5&gt;0,Skills!I5/Skills!H5,1)+IF(Skills!H5&gt;0,MIN(Skills!I5,MAX(0,MAX(0,Inputs!$B$44-B318)-((R279-1)*IF(Inputs!$B$39="pvp",15,MAX(0.1,Skills!D5-IF(Skills!E5=TRUE,Inputs!$B$32,0))))))/Skills!H5,1)))/Inputs!$B$44),G279*Q279)*IF(Inputs!$B$39="pvp",1,(1-Summary!$B$55)*(1)+Summary!$B$55*(MIN(Skills!W5,Inputs!$B$37))),0)</f>
        <v/>
      </c>
      <c r="P279">
        <f>IF(B319=0,0,O279/B319)</f>
        <v/>
      </c>
      <c r="Q279">
        <f>IFERROR(1/IF(Inputs!$B$39="pvp",15,MAX(0.1,Skills!D5-IF(Skills!E5=TRUE,Inputs!$B$32,0))),0)</f>
        <v/>
      </c>
      <c r="R279">
        <f>IF(AND(Inputs!$B$39&lt;&gt;"pvp",Inputs!$B$44&gt;0),IF(MAX(0,Inputs!$B$44-B318)&lt;=0,0,(INT(MAX(0,Inputs!$B$44-B318)/IF(Inputs!$B$39="pvp",15,MAX(0.1,Skills!D5-IF(Skills!E5=TRUE,Inputs!$B$32,0))))+1)),0)</f>
        <v/>
      </c>
      <c r="S279">
        <f>IFERROR(O279/N279,0)</f>
        <v/>
      </c>
    </row>
    <row r="280">
      <c r="A280">
        <f>Skills!A6</f>
        <v/>
      </c>
      <c r="B280">
        <f>Skills!B6</f>
        <v/>
      </c>
      <c r="C280">
        <f>Inputs!$B$3&gt;=69</f>
        <v/>
      </c>
      <c r="D280">
        <f>IF(Skills!C6=1,60+Inputs!$B$25+Inputs!$B$29,IF(Skills!C6=2,90+Inputs!$B$26+Inputs!$B$29,IF(Skills!C6=3,120+Inputs!$B$27+Inputs!$B$29,MAX(0,(Inputs!$B$3-100)*3)+Inputs!$B$28+Inputs!$B$29)))</f>
        <v/>
      </c>
      <c r="E280">
        <f>INDEX(FactorTable!$B$2:$Y$301, MATCH(ROUND(MIN(300,MAX(1,D280)),0), FactorTable!$A$2:$A$301,0), Skills!M6+1)</f>
        <v/>
      </c>
      <c r="F280">
        <f>IF(Skills!N6=TRUE,(Skills!L6/10)*(E280/1000),Skills!L6/10)+Skills!O6</f>
        <v/>
      </c>
      <c r="G280">
        <f>Skills!G6*IF(Skills!H6&gt;0,Skills!I6/Skills!H6,1)</f>
        <v/>
      </c>
      <c r="H280">
        <f>1-(1-Skills!J6/100)^Skills!K6</f>
        <v/>
      </c>
      <c r="I280" t="inlineStr">
        <is>
          <t>1</t>
        </is>
      </c>
      <c r="J280">
        <f>((Inputs!$B$6*(1+Inputs!$B$7/100))+(((Inputs!$B$12*(1+Inputs!$B$13/100))-(Inputs!$B$12*(1+Inputs!$B$13/100)))+0.25*(Inputs!$B$14-Inputs!$B$14))*(1+Inputs!$B$7/100))*(F280/100)</f>
        <v/>
      </c>
      <c r="K280">
        <f>J280*(1+((Inputs!$B$12*(1+Inputs!$B$13/100))*0.01+Inputs!$B$14*0.0025)/100)*(1+Inputs!$B$15/100)*(1+IF(Inputs!$B$39="pvp",0,(1-Summary!$B$55)*((Inputs!$B$20+1)+0+Skills!P6+B308)+Summary!$B$55*(Inputs!$B$21+Skills!Q6+B308))/100)*(1+Inputs!$B$16/100)*(5000/(6000+Inputs!$B$43*(1-Inputs!$B$19/100)))*(1+(Inputs!$B$24+((C304=TRUE)*(F304-Calc!F30)))/100)*(1+1.0*IF(C292=TRUE,F292,0)/100)*(1+(IF(Skills!A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280)</f>
        <v/>
      </c>
      <c r="L280">
        <f>K280*(MIN(Inputs!$B$22+((C298=TRUE)*(F298-Calc!F24)),Inputs!$B$23+((C303=TRUE)*(F303-Calc!F29)))/100+(Inputs!$B$23+((C303=TRUE)*(F303-Calc!F29)))/100)/2</f>
        <v/>
      </c>
      <c r="M280">
        <f>L280*(1+(Inputs!$B$10+((C300=TRUE)*(F300-Calc!F26))+B314)/100)</f>
        <v/>
      </c>
      <c r="N280">
        <f>L280*(1-MIN((Inputs!$B$9+((C299=TRUE)*(F299-Calc!F25))+B307),100)/100)+M280*(MIN((Inputs!$B$9+((C299=TRUE)*(F299-Calc!F25))+B307),100)/100)</f>
        <v/>
      </c>
      <c r="O280">
        <f>IF(C280,H280*N280*IF(AND(Inputs!$B$39&lt;&gt;"pvp",Inputs!$B$44&gt;0),((Skills!G6*((R280-1)*IF(Skills!H6&gt;0,Skills!I6/Skills!H6,1)+IF(Skills!H6&gt;0,MIN(Skills!I6,MAX(0,MAX(0,Inputs!$B$44-B318)-((R280-1)*IF(Inputs!$B$39="pvp",15,MAX(0.1,Skills!D6-IF(Skills!E6=TRUE,Inputs!$B$32,0))))))/Skills!H6,1)))/Inputs!$B$44),G280*Q280)*IF(Inputs!$B$39="pvp",1,(1-Summary!$B$55)*(1)+Summary!$B$55*(MIN(Skills!W6,Inputs!$B$37))),0)</f>
        <v/>
      </c>
      <c r="P280">
        <f>IF(B319=0,0,O280/B319)</f>
        <v/>
      </c>
      <c r="Q280">
        <f>IFERROR(1/IF(Inputs!$B$39="pvp",15,MAX(0.1,Skills!D6-IF(Skills!E6=TRUE,Inputs!$B$32,0))),0)</f>
        <v/>
      </c>
      <c r="R280">
        <f>IF(AND(Inputs!$B$39&lt;&gt;"pvp",Inputs!$B$44&gt;0),IF(MAX(0,Inputs!$B$44-B318)&lt;=0,0,(INT(MAX(0,Inputs!$B$44-B318)/IF(Inputs!$B$39="pvp",15,MAX(0.1,Skills!D6-IF(Skills!E6=TRUE,Inputs!$B$32,0))))+1)),0)</f>
        <v/>
      </c>
      <c r="S280">
        <f>IFERROR(O280/N280,0)</f>
        <v/>
      </c>
    </row>
    <row r="281">
      <c r="A281">
        <f>Skills!A7</f>
        <v/>
      </c>
      <c r="B281">
        <f>Skills!B7</f>
        <v/>
      </c>
      <c r="C281">
        <f>Inputs!$B$3&gt;=60</f>
        <v/>
      </c>
      <c r="D281">
        <f>IF(Skills!C7=1,60+Inputs!$B$25+Inputs!$B$29,IF(Skills!C7=2,90+Inputs!$B$26+Inputs!$B$29,IF(Skills!C7=3,120+Inputs!$B$27+Inputs!$B$29,MAX(0,(Inputs!$B$3-100)*3)+Inputs!$B$28+Inputs!$B$29)))</f>
        <v/>
      </c>
      <c r="E281">
        <f>INDEX(FactorTable!$B$2:$Y$301, MATCH(ROUND(MIN(300,MAX(1,D281)),0), FactorTable!$A$2:$A$301,0), Skills!M7+1)</f>
        <v/>
      </c>
      <c r="F281">
        <f>IF(Skills!N7=TRUE,(Skills!L7/10)*(E281/1000),Skills!L7/10)+Skills!O7</f>
        <v/>
      </c>
      <c r="G281">
        <f>Skills!G7*IF(Skills!H7&gt;0,Skills!I7/Skills!H7,1)</f>
        <v/>
      </c>
      <c r="H281">
        <f>1-(1-Skills!J7/100)^Skills!K7</f>
        <v/>
      </c>
      <c r="I281" t="inlineStr">
        <is>
          <t>1</t>
        </is>
      </c>
      <c r="J281" t="inlineStr"/>
      <c r="K281" t="inlineStr"/>
      <c r="L281" t="inlineStr"/>
      <c r="M281" t="inlineStr"/>
      <c r="N281" t="inlineStr"/>
      <c r="O281" t="n">
        <v>0</v>
      </c>
      <c r="P281">
        <f>IF(B319=0,0,O281/B319)</f>
        <v/>
      </c>
      <c r="Q281" t="n">
        <v>0</v>
      </c>
      <c r="R281" t="n">
        <v>0</v>
      </c>
      <c r="S281">
        <f>IFERROR(O281/N281,0)</f>
        <v/>
      </c>
    </row>
    <row r="282">
      <c r="A282">
        <f>Skills!A8</f>
        <v/>
      </c>
      <c r="B282">
        <f>Skills!B8</f>
        <v/>
      </c>
      <c r="C282">
        <f>Inputs!$B$3&gt;=72</f>
        <v/>
      </c>
      <c r="D282">
        <f>IF(Skills!C8=1,60+Inputs!$B$25+Inputs!$B$29,IF(Skills!C8=2,90+Inputs!$B$26+Inputs!$B$29,IF(Skills!C8=3,120+Inputs!$B$27+Inputs!$B$29,MAX(0,(Inputs!$B$3-100)*3)+Inputs!$B$28+Inputs!$B$29)))</f>
        <v/>
      </c>
      <c r="E282">
        <f>INDEX(FactorTable!$B$2:$Y$301, MATCH(ROUND(MIN(300,MAX(1,D282)),0), FactorTable!$A$2:$A$301,0), Skills!M8+1)</f>
        <v/>
      </c>
      <c r="F282">
        <f>IF(Skills!N8=TRUE,(Skills!L8/10)*(E282/1000),Skills!L8/10)+Skills!O8</f>
        <v/>
      </c>
      <c r="G282">
        <f>Skills!G8*IF(Skills!H8&gt;0,Skills!I8/Skills!H8,1)</f>
        <v/>
      </c>
      <c r="H282">
        <f>1-(1-Skills!J8/100)^Skills!K8</f>
        <v/>
      </c>
      <c r="I282" t="inlineStr">
        <is>
          <t>1</t>
        </is>
      </c>
      <c r="J282">
        <f>((Inputs!$B$6*(1+Inputs!$B$7/100))+(((Inputs!$B$12*(1+Inputs!$B$13/100))-(Inputs!$B$12*(1+Inputs!$B$13/100)))+0.25*(Inputs!$B$14-Inputs!$B$14))*(1+Inputs!$B$7/100))*(F282/100)</f>
        <v/>
      </c>
      <c r="K282">
        <f>J282*(1+((Inputs!$B$12*(1+Inputs!$B$13/100))*0.01+Inputs!$B$14*0.0025)/100)*(1+Inputs!$B$15/100)*(1+IF(Inputs!$B$39="pvp",0,(1-Summary!$B$55)*((Inputs!$B$20+1)+0+Skills!P8+B308)+Summary!$B$55*(Inputs!$B$21+Skills!Q8+B308))/100)*(1+Inputs!$B$16/100)*(5000/(6000+Inputs!$B$43*(1-Inputs!$B$19/100)))*(1+(Inputs!$B$24+((C304=TRUE)*(F304-Calc!F30)))/100)*(1+3.3333333333333335*IF(C292=TRUE,F292,0)/100)*(1+(IF(Skills!A8="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282)</f>
        <v/>
      </c>
      <c r="L282">
        <f>K282*(MIN(Inputs!$B$22+((C298=TRUE)*(F298-Calc!F24)),Inputs!$B$23+((C303=TRUE)*(F303-Calc!F29)))/100+(Inputs!$B$23+((C303=TRUE)*(F303-Calc!F29)))/100)/2</f>
        <v/>
      </c>
      <c r="M282">
        <f>L282*(1+(Inputs!$B$10+((C300=TRUE)*(F300-Calc!F26))+B314)/100)</f>
        <v/>
      </c>
      <c r="N282">
        <f>L282*(1-MIN((Inputs!$B$9+((C299=TRUE)*(F299-Calc!F25))+B307),100)/100)+M282*(MIN((Inputs!$B$9+((C299=TRUE)*(F299-Calc!F25))+B307),100)/100)</f>
        <v/>
      </c>
      <c r="O282">
        <f>IF(C282,H282*N282*IF(AND(Inputs!$B$39&lt;&gt;"pvp",Inputs!$B$44&gt;0),((Skills!G8*((R282-1)*IF(Skills!H8&gt;0,Skills!I8/Skills!H8,1)+IF(Skills!H8&gt;0,MIN(Skills!I8,MAX(0,MAX(0,Inputs!$B$44-B318)-((R282-1)*IF(Inputs!$B$39="pvp",15,MAX(0.1,Skills!D8-IF(Skills!E8=TRUE,Inputs!$B$32,0))))))/Skills!H8,1)))/Inputs!$B$44),G282*Q282)*IF(Inputs!$B$39="pvp",1,(1-Summary!$B$55)*(1)+Summary!$B$55*(MIN(Skills!W8,Inputs!$B$37))),0)</f>
        <v/>
      </c>
      <c r="P282">
        <f>IF(B319=0,0,O282/B319)</f>
        <v/>
      </c>
      <c r="Q282">
        <f>IFERROR(1/IF(Inputs!$B$39="pvp",15,MAX(0.1,Skills!D8-IF(Skills!E8=TRUE,Inputs!$B$32,0))),0)</f>
        <v/>
      </c>
      <c r="R282">
        <f>IF(AND(Inputs!$B$39&lt;&gt;"pvp",Inputs!$B$44&gt;0),IF(MAX(0,Inputs!$B$44-B318)&lt;=0,0,(INT(MAX(0,Inputs!$B$44-B318)/IF(Inputs!$B$39="pvp",15,MAX(0.1,Skills!D8-IF(Skills!E8=TRUE,Inputs!$B$32,0))))+1)),0)</f>
        <v/>
      </c>
      <c r="S282">
        <f>IFERROR(O282/N282,0)</f>
        <v/>
      </c>
    </row>
    <row r="283">
      <c r="A283">
        <f>Skills!A9</f>
        <v/>
      </c>
      <c r="B283">
        <f>Skills!B9</f>
        <v/>
      </c>
      <c r="C283">
        <f>Inputs!$B$3&gt;=117</f>
        <v/>
      </c>
      <c r="D283">
        <f>IF(Skills!C9=1,60+Inputs!$B$25+Inputs!$B$29,IF(Skills!C9=2,90+Inputs!$B$26+Inputs!$B$29,IF(Skills!C9=3,120+Inputs!$B$27+Inputs!$B$29,MAX(0,(Inputs!$B$3-100)*3)+Inputs!$B$28+Inputs!$B$29)))</f>
        <v/>
      </c>
      <c r="E283">
        <f>INDEX(FactorTable!$B$2:$Y$301, MATCH(ROUND(MIN(300,MAX(1,D283)),0), FactorTable!$A$2:$A$301,0), Skills!M9+1)</f>
        <v/>
      </c>
      <c r="F283">
        <f>IF(Skills!N9=TRUE,(Skills!L9/10)*(E283/1000),Skills!L9/10)+Skills!O9</f>
        <v/>
      </c>
      <c r="G283">
        <f>Skills!G9*IF(Skills!H9&gt;0,Skills!I9/Skills!H9,1)</f>
        <v/>
      </c>
      <c r="H283">
        <f>1-(1-Skills!J9/100)^Skills!K9</f>
        <v/>
      </c>
      <c r="I283" t="inlineStr">
        <is>
          <t>1</t>
        </is>
      </c>
      <c r="J283">
        <f>((Inputs!$B$6*(1+Inputs!$B$7/100))+(((Inputs!$B$12*(1+Inputs!$B$13/100))-(Inputs!$B$12*(1+Inputs!$B$13/100)))+0.25*(Inputs!$B$14-Inputs!$B$14))*(1+Inputs!$B$7/100))*(F283/100)</f>
        <v/>
      </c>
      <c r="K283">
        <f>J283*(1+((Inputs!$B$12*(1+Inputs!$B$13/100))*0.01+Inputs!$B$14*0.0025)/100)*(1+Inputs!$B$15/100)*(1+IF(Inputs!$B$39="pvp",0,(1-Summary!$B$55)*((Inputs!$B$20+1)+0+Skills!P9+B308)+Summary!$B$55*(Inputs!$B$21+Skills!Q9+B308))/100)*(1+Inputs!$B$16/100)*(5000/(6000+Inputs!$B$43*(1-Inputs!$B$19/100)))*(1+(Inputs!$B$24+((C304=TRUE)*(F304-Calc!F30)))/100)*(1+(IF(Skills!A9="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283)</f>
        <v/>
      </c>
      <c r="L283">
        <f>K283*(MIN(Inputs!$B$22+((C298=TRUE)*(F298-Calc!F24)),Inputs!$B$23+((C303=TRUE)*(F303-Calc!F29)))/100+(Inputs!$B$23+((C303=TRUE)*(F303-Calc!F29)))/100)/2</f>
        <v/>
      </c>
      <c r="M283">
        <f>L283*(1+(Inputs!$B$10+((C300=TRUE)*(F300-Calc!F26))+B314)/100)</f>
        <v/>
      </c>
      <c r="N283">
        <f>L283*(1-MIN((Inputs!$B$9+((C299=TRUE)*(F299-Calc!F25))+B307),100)/100)+M283*(MIN((Inputs!$B$9+((C299=TRUE)*(F299-Calc!F25))+B307),100)/100)</f>
        <v/>
      </c>
      <c r="O283">
        <f>IF(C283,0.2*SUMPRODUCT((Skills!Z2:Z30=TRUE)*(C276:C304=TRUE)*S276:S304)*N283,0)</f>
        <v/>
      </c>
      <c r="P283">
        <f>IF(B319=0,0,O283/B319)</f>
        <v/>
      </c>
      <c r="Q283" t="n">
        <v>0</v>
      </c>
      <c r="R283" t="n">
        <v>0</v>
      </c>
      <c r="S283" t="n">
        <v>0</v>
      </c>
    </row>
    <row r="284">
      <c r="A284">
        <f>Skills!A10</f>
        <v/>
      </c>
      <c r="B284">
        <f>Skills!B10</f>
        <v/>
      </c>
      <c r="C284">
        <f>Inputs!$B$3&gt;=74</f>
        <v/>
      </c>
      <c r="D284">
        <f>IF(Skills!C10=1,60+Inputs!$B$25+Inputs!$B$29,IF(Skills!C10=2,90+Inputs!$B$26+Inputs!$B$29,IF(Skills!C10=3,120+Inputs!$B$27+Inputs!$B$29,MAX(0,(Inputs!$B$3-100)*3)+Inputs!$B$28+Inputs!$B$29)))</f>
        <v/>
      </c>
      <c r="E284">
        <f>INDEX(FactorTable!$B$2:$Y$301, MATCH(ROUND(MIN(300,MAX(1,D284)),0), FactorTable!$A$2:$A$301,0), Skills!M10+1)</f>
        <v/>
      </c>
      <c r="F284">
        <f>IF(Skills!N10=TRUE,(Skills!L10/10)*(E284/1000),Skills!L10/10)+Skills!O10</f>
        <v/>
      </c>
      <c r="G284">
        <f>Skills!G10*IF(Skills!H10&gt;0,Skills!I10/Skills!H10,1)</f>
        <v/>
      </c>
      <c r="H284">
        <f>1-(1-Skills!J10/100)^Skills!K10</f>
        <v/>
      </c>
      <c r="I284" t="inlineStr">
        <is>
          <t>1</t>
        </is>
      </c>
      <c r="J284" t="inlineStr"/>
      <c r="K284" t="inlineStr"/>
      <c r="L284" t="inlineStr"/>
      <c r="M284" t="inlineStr"/>
      <c r="N284" t="inlineStr"/>
      <c r="O284" t="n">
        <v>0</v>
      </c>
      <c r="P284">
        <f>IF(B319=0,0,O284/B319)</f>
        <v/>
      </c>
      <c r="Q284">
        <f>IFERROR(1/IF(Inputs!$B$39="pvp",15,MAX(0.1,Skills!D10-IF(Skills!E10=TRUE,Inputs!$B$32,0))),0)</f>
        <v/>
      </c>
      <c r="R284">
        <f>IF(AND(Inputs!$B$39&lt;&gt;"pvp",Inputs!$B$44&gt;0),IF(Inputs!$B$44&lt;=0,0,(INT(Inputs!$B$44/IF(Inputs!$B$39="pvp",15,MAX(0.1,Skills!D10-IF(Skills!E10=TRUE,Inputs!$B$32,0))))+1)),0)</f>
        <v/>
      </c>
      <c r="S284">
        <f>IFERROR(O284/N284,0)</f>
        <v/>
      </c>
    </row>
    <row r="285">
      <c r="A285">
        <f>Skills!A11</f>
        <v/>
      </c>
      <c r="B285">
        <f>Skills!B11</f>
        <v/>
      </c>
      <c r="C285">
        <f>Inputs!$B$3&gt;=103</f>
        <v/>
      </c>
      <c r="D285">
        <f>IF(Skills!C11=1,60+Inputs!$B$25+Inputs!$B$29,IF(Skills!C11=2,90+Inputs!$B$26+Inputs!$B$29,IF(Skills!C11=3,120+Inputs!$B$27+Inputs!$B$29,MAX(0,(Inputs!$B$3-100)*3)+Inputs!$B$28+Inputs!$B$29)))</f>
        <v/>
      </c>
      <c r="E285">
        <f>INDEX(FactorTable!$B$2:$Y$301, MATCH(ROUND(MIN(300,MAX(1,D285)),0), FactorTable!$A$2:$A$301,0), Skills!M11+1)</f>
        <v/>
      </c>
      <c r="F285">
        <f>(Skills!L11/10)*(E285/1000)+IF(Inputs!$B$3&gt;=134,50,0)+0.5*(30000/10)*(INDEX(FactorTable!$B$2:$Y$301, MATCH(ROUND(MIN(300,MAX(1,D285)),0), FactorTable!$A$2:$A$301,0), 13)/1000)*B317</f>
        <v/>
      </c>
      <c r="G285">
        <f>Skills!G11*IF(Skills!H11&gt;0,Skills!I11/Skills!H11,1)</f>
        <v/>
      </c>
      <c r="H285">
        <f>1-(1-Skills!J11/100)^Skills!K11</f>
        <v/>
      </c>
      <c r="I285" t="inlineStr">
        <is>
          <t>1</t>
        </is>
      </c>
      <c r="J285">
        <f>((Inputs!$B$6*(1+Inputs!$B$7/100))+(((Inputs!$B$12*(1+Inputs!$B$13/100))-(Inputs!$B$12*(1+Inputs!$B$13/100)))+0.25*(Inputs!$B$14-Inputs!$B$14))*(1+Inputs!$B$7/100))*(F285/100)</f>
        <v/>
      </c>
      <c r="K285">
        <f>J285*(1+((Inputs!$B$12*(1+Inputs!$B$13/100))*0.01+Inputs!$B$14*0.0025)/100)*(1+Inputs!$B$15/100)*(1+IF(Inputs!$B$39="pvp",0,(1-Summary!$B$55)*((Inputs!$B$20+1)+0+Skills!P11+B308)+Summary!$B$55*(Inputs!$B$21+Skills!Q11+B308))/100)*(1+Inputs!$B$16/100)*(5000/(6000+Inputs!$B$43*(1-Inputs!$B$19/100)))*(1+(Inputs!$B$24+((C304=TRUE)*(F304-Calc!F30)))/100)*(1+(IF(Skills!A11="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285)</f>
        <v/>
      </c>
      <c r="L285">
        <f>K285*(MIN(Inputs!$B$22+((C298=TRUE)*(F298-Calc!F24)),Inputs!$B$23+((C303=TRUE)*(F303-Calc!F29)))/100+(Inputs!$B$23+((C303=TRUE)*(F303-Calc!F29)))/100)/2</f>
        <v/>
      </c>
      <c r="M285">
        <f>L285*(1+(Inputs!$B$10+((C300=TRUE)*(F300-Calc!F26))+B314)/100)</f>
        <v/>
      </c>
      <c r="N285">
        <f>L285*(1-MIN((Inputs!$B$9+((C299=TRUE)*(F299-Calc!F25))+B307),100)/100)+M285*(MIN((Inputs!$B$9+((C299=TRUE)*(F299-Calc!F25))+B307),100)/100)</f>
        <v/>
      </c>
      <c r="O285">
        <f>IF(C285,H285*N285*IF(AND(Inputs!$B$39&lt;&gt;"pvp",Inputs!$B$44&gt;0),((Skills!G11*((R285-1)*IF(Skills!H11&gt;0,Skills!I11/Skills!H11,1)+IF(Skills!H11&gt;0,MIN(Skills!I11,MAX(0,MAX(0,Inputs!$B$44-B318)-((R285-1)*IF(Inputs!$B$39="pvp",15,MAX(0.1,Skills!D11-IF(Skills!E11=TRUE,Inputs!$B$32,0))))))/Skills!H11,1)))/Inputs!$B$44),G285*Q285)*IF(Inputs!$B$39="pvp",1,(1-Summary!$B$55)*(1)+Summary!$B$55*(MIN(Skills!W11,Inputs!$B$37))),0)</f>
        <v/>
      </c>
      <c r="P285">
        <f>IF(B319=0,0,O285/B319)</f>
        <v/>
      </c>
      <c r="Q285">
        <f>IFERROR(1/IF(Inputs!$B$39="pvp",15,MAX(0.1,Skills!D11-IF(Skills!E11=TRUE,Inputs!$B$32,0))),0)</f>
        <v/>
      </c>
      <c r="R285">
        <f>IF(AND(Inputs!$B$39&lt;&gt;"pvp",Inputs!$B$44&gt;0),IF(MAX(0,Inputs!$B$44-B318)&lt;=0,0,(INT(MAX(0,Inputs!$B$44-B318)/IF(Inputs!$B$39="pvp",15,MAX(0.1,Skills!D11-IF(Skills!E11=TRUE,Inputs!$B$32,0))))+1)),0)</f>
        <v/>
      </c>
      <c r="S285">
        <f>IFERROR(O285/N285,0)</f>
        <v/>
      </c>
    </row>
    <row r="286">
      <c r="A286">
        <f>Skills!A12</f>
        <v/>
      </c>
      <c r="B286">
        <f>Skills!B12</f>
        <v/>
      </c>
      <c r="C286">
        <f>Inputs!$B$3&gt;=105</f>
        <v/>
      </c>
      <c r="D286">
        <f>IF(Skills!C12=1,60+Inputs!$B$25+Inputs!$B$29,IF(Skills!C12=2,90+Inputs!$B$26+Inputs!$B$29,IF(Skills!C12=3,120+Inputs!$B$27+Inputs!$B$29,MAX(0,(Inputs!$B$3-100)*3)+Inputs!$B$28+Inputs!$B$29)))</f>
        <v/>
      </c>
      <c r="E286">
        <f>INDEX(FactorTable!$B$2:$Y$301, MATCH(ROUND(MIN(300,MAX(1,D286)),0), FactorTable!$A$2:$A$301,0), Skills!M12+1)</f>
        <v/>
      </c>
      <c r="F286">
        <f>IF(Skills!N12=TRUE,(Skills!L12/10)*(E286/1000),Skills!L12/10)+Skills!O12</f>
        <v/>
      </c>
      <c r="G286">
        <f>Skills!G12*IF(Skills!H12&gt;0,Skills!I12/Skills!H12,1)</f>
        <v/>
      </c>
      <c r="H286">
        <f>1-(1-Skills!J12/100)^Skills!K12</f>
        <v/>
      </c>
      <c r="I286" t="inlineStr">
        <is>
          <t>1</t>
        </is>
      </c>
      <c r="J286">
        <f>((Inputs!$B$6*(1+Inputs!$B$7/100))+(((Inputs!$B$12*(1+Inputs!$B$13/100))-(Inputs!$B$12*(1+Inputs!$B$13/100)))+0.25*(Inputs!$B$14-Inputs!$B$14))*(1+Inputs!$B$7/100))*(F286/100)</f>
        <v/>
      </c>
      <c r="K286">
        <f>J286*(1+((Inputs!$B$12*(1+Inputs!$B$13/100))*0.01+Inputs!$B$14*0.0025)/100)*(1+Inputs!$B$15/100)*(1+IF(Inputs!$B$39="pvp",0,(1-Summary!$B$55)*((Inputs!$B$20+1)+0+Skills!P12+B308)+Summary!$B$55*(Inputs!$B$21+Skills!Q12+B308))/100)*(1+Inputs!$B$16/100)*(5000/(6000+Inputs!$B$43*(1-Inputs!$B$19/100)))*(1+(Inputs!$B$24+((C304=TRUE)*(F304-Calc!F30)))/100)*(1+(IF(Skills!A12="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286)</f>
        <v/>
      </c>
      <c r="L286">
        <f>K286*(MIN(Inputs!$B$22+((C298=TRUE)*(F298-Calc!F24)),Inputs!$B$23+((C303=TRUE)*(F303-Calc!F29)))/100+(Inputs!$B$23+((C303=TRUE)*(F303-Calc!F29)))/100)/2</f>
        <v/>
      </c>
      <c r="M286">
        <f>L286*(1+(Inputs!$B$10+((C300=TRUE)*(F300-Calc!F26))+B314)/100)</f>
        <v/>
      </c>
      <c r="N286">
        <f>L286*(1-MIN((Inputs!$B$9+((C299=TRUE)*(F299-Calc!F25))+B307),100)/100)+M286*(MIN((Inputs!$B$9+((C299=TRUE)*(F299-Calc!F25))+B307),100)/100)</f>
        <v/>
      </c>
      <c r="O286">
        <f>IF(C286,H286*N286*IF(AND(Inputs!$B$39&lt;&gt;"pvp",Inputs!$B$44&gt;0),((Skills!G12*((R286-1)*IF(Skills!H12&gt;0,Skills!I12/Skills!H12,1)+IF(Skills!H12&gt;0,MIN(Skills!I12,MAX(0,MAX(0,Inputs!$B$44-B318)-((R286-1)*IF(Inputs!$B$39="pvp",15,MAX(0.1,Skills!D12-IF(Skills!E12=TRUE,Inputs!$B$32,0))))))/Skills!H12,1)))/Inputs!$B$44),G286*Q286)*IF(Inputs!$B$39="pvp",1,(1-Summary!$B$55)*(1)+Summary!$B$55*(MIN(Skills!W12,Inputs!$B$37))),0)</f>
        <v/>
      </c>
      <c r="P286">
        <f>IF(B319=0,0,O286/B319)</f>
        <v/>
      </c>
      <c r="Q286">
        <f>IFERROR(1/IF(Inputs!$B$39="pvp",15,MAX(0.1,Skills!D12-IF(Skills!E12=TRUE,Inputs!$B$32,0))),0)</f>
        <v/>
      </c>
      <c r="R286">
        <f>IF(AND(Inputs!$B$39&lt;&gt;"pvp",Inputs!$B$44&gt;0),IF(MAX(0,Inputs!$B$44-B318)&lt;=0,0,(INT(MAX(0,Inputs!$B$44-B318)/IF(Inputs!$B$39="pvp",15,MAX(0.1,Skills!D12-IF(Skills!E12=TRUE,Inputs!$B$32,0))))+1)),0)</f>
        <v/>
      </c>
      <c r="S286">
        <f>IFERROR(O286/N286,0)</f>
        <v/>
      </c>
    </row>
    <row r="287">
      <c r="A287">
        <f>Skills!A13</f>
        <v/>
      </c>
      <c r="B287">
        <f>Skills!B13</f>
        <v/>
      </c>
      <c r="C287">
        <f>Inputs!$B$3&gt;=105</f>
        <v/>
      </c>
      <c r="D287">
        <f>IF(Skills!C13=1,60+Inputs!$B$25+Inputs!$B$29,IF(Skills!C13=2,90+Inputs!$B$26+Inputs!$B$29,IF(Skills!C13=3,120+Inputs!$B$27+Inputs!$B$29,MAX(0,(Inputs!$B$3-100)*3)+Inputs!$B$28+Inputs!$B$29)))</f>
        <v/>
      </c>
      <c r="E287">
        <f>INDEX(FactorTable!$B$2:$Y$301, MATCH(ROUND(MIN(300,MAX(1,D287)),0), FactorTable!$A$2:$A$301,0), Skills!M13+1)</f>
        <v/>
      </c>
      <c r="F287">
        <f>IF(Skills!N13=TRUE,(Skills!L13/10)*(E287/1000),Skills!L13/10)+Skills!O13</f>
        <v/>
      </c>
      <c r="G287">
        <f>Skills!G13*IF(Skills!H13&gt;0,Skills!I13/Skills!H13,1)</f>
        <v/>
      </c>
      <c r="H287">
        <f>1-(1-Skills!J13/100)^Skills!K13</f>
        <v/>
      </c>
      <c r="I287" t="inlineStr">
        <is>
          <t>1</t>
        </is>
      </c>
      <c r="J287">
        <f>((Inputs!$B$6*(1+Inputs!$B$7/100))+(((Inputs!$B$12*(1+Inputs!$B$13/100))-(Inputs!$B$12*(1+Inputs!$B$13/100)))+0.25*(Inputs!$B$14-Inputs!$B$14))*(1+Inputs!$B$7/100))*(F287/100)</f>
        <v/>
      </c>
      <c r="K287">
        <f>J287*(1+((Inputs!$B$12*(1+Inputs!$B$13/100))*0.01+Inputs!$B$14*0.0025)/100)*(1+Inputs!$B$15/100)*(1+IF(Inputs!$B$39="pvp",0,(1-Summary!$B$55)*((Inputs!$B$20+1)+0+Skills!P13+B308)+Summary!$B$55*(Inputs!$B$21+Skills!Q13+B308))/100)*(1+Inputs!$B$16/100)*(5000/(6000+Inputs!$B$43*(1-Inputs!$B$19/100)))*(1+(Inputs!$B$24+((C304=TRUE)*(F304-Calc!F30)))/100)*(1+(IF(Skills!A13="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287)</f>
        <v/>
      </c>
      <c r="L287">
        <f>K287*(MIN(Inputs!$B$22+((C298=TRUE)*(F298-Calc!F24)),Inputs!$B$23+((C303=TRUE)*(F303-Calc!F29)))/100+(Inputs!$B$23+((C303=TRUE)*(F303-Calc!F29)))/100)/2</f>
        <v/>
      </c>
      <c r="M287">
        <f>L287*(1+(Inputs!$B$10+((C300=TRUE)*(F300-Calc!F26))+B314)/100)</f>
        <v/>
      </c>
      <c r="N287">
        <f>L287*(1-MIN((Inputs!$B$9+((C299=TRUE)*(F299-Calc!F25))+B307),100)/100)+M287*(MIN((Inputs!$B$9+((C299=TRUE)*(F299-Calc!F25))+B307),100)/100)</f>
        <v/>
      </c>
      <c r="O287">
        <f>IF(C287,H287*N287*IF(AND(Inputs!$B$39&lt;&gt;"pvp",Inputs!$B$44&gt;0),((Skills!G13*((R287-1)*IF(Skills!H13&gt;0,Skills!I13/Skills!H13,1)+IF(Skills!H13&gt;0,MIN(Skills!I13,MAX(0,MAX(0,Inputs!$B$44-B318)-((R287-1)*IF(Inputs!$B$39="pvp",15,MAX(0.1,Skills!D13-IF(Skills!E13=TRUE,Inputs!$B$32,0))))))/Skills!H13,1)))/Inputs!$B$44),G287*Q287)*IF(Inputs!$B$39="pvp",1,(1-Summary!$B$55)*(1)+Summary!$B$55*(MIN(Skills!W13,Inputs!$B$37))),0)</f>
        <v/>
      </c>
      <c r="P287">
        <f>IF(B319=0,0,O287/B319)</f>
        <v/>
      </c>
      <c r="Q287">
        <f>IFERROR(1/IF(Inputs!$B$39="pvp",15,MAX(0.1,Skills!D13-IF(Skills!E13=TRUE,Inputs!$B$32,0))),0)</f>
        <v/>
      </c>
      <c r="R287">
        <f>IF(AND(Inputs!$B$39&lt;&gt;"pvp",Inputs!$B$44&gt;0),IF(MAX(0,Inputs!$B$44-B318)&lt;=0,0,(INT(MAX(0,Inputs!$B$44-B318)/IF(Inputs!$B$39="pvp",15,MAX(0.1,Skills!D13-IF(Skills!E13=TRUE,Inputs!$B$32,0))))+1)),0)</f>
        <v/>
      </c>
      <c r="S287">
        <f>IFERROR(O287/N287,0)</f>
        <v/>
      </c>
    </row>
    <row r="288">
      <c r="A288">
        <f>Skills!A14</f>
        <v/>
      </c>
      <c r="B288">
        <f>Skills!B14</f>
        <v/>
      </c>
      <c r="C288">
        <f>Inputs!$B$3&gt;=107</f>
        <v/>
      </c>
      <c r="D288">
        <f>IF(Skills!C14=1,60+Inputs!$B$25+Inputs!$B$29,IF(Skills!C14=2,90+Inputs!$B$26+Inputs!$B$29,IF(Skills!C14=3,120+Inputs!$B$27+Inputs!$B$29,MAX(0,(Inputs!$B$3-100)*3)+Inputs!$B$28+Inputs!$B$29)))</f>
        <v/>
      </c>
      <c r="E288">
        <f>INDEX(FactorTable!$B$2:$Y$301, MATCH(ROUND(MIN(300,MAX(1,D288)),0), FactorTable!$A$2:$A$301,0), Skills!M14+1)</f>
        <v/>
      </c>
      <c r="F288">
        <f>IF(Skills!N14=TRUE,(Skills!L14/10)*(E288/1000),Skills!L14/10)+Skills!O14</f>
        <v/>
      </c>
      <c r="G288">
        <f>Skills!G14*IF(Skills!H14&gt;0,Skills!I14/Skills!H14,1)</f>
        <v/>
      </c>
      <c r="H288">
        <f>1-(1-Skills!J14/100)^Skills!K14</f>
        <v/>
      </c>
      <c r="I288" t="inlineStr">
        <is>
          <t>1</t>
        </is>
      </c>
      <c r="J288">
        <f>((Inputs!$B$6*(1+Inputs!$B$7/100))+(((Inputs!$B$12*(1+Inputs!$B$13/100))-(Inputs!$B$12*(1+Inputs!$B$13/100)))+0.25*(Inputs!$B$14-Inputs!$B$14))*(1+Inputs!$B$7/100))*(F288/100)</f>
        <v/>
      </c>
      <c r="K288">
        <f>J288*(1+((Inputs!$B$12*(1+Inputs!$B$13/100))*0.01+Inputs!$B$14*0.0025)/100)*(1+Inputs!$B$15/100)*(1+IF(Inputs!$B$39="pvp",0,(1-Summary!$B$55)*((Inputs!$B$20+1)+0+Skills!P14+B308)+Summary!$B$55*(Inputs!$B$21+Skills!Q14+B308))/100)*(1+Inputs!$B$16/100)*(5000/(6000+Inputs!$B$43*(1-Inputs!$B$19/100)))*(1+(Inputs!$B$24+((C304=TRUE)*(F304-Calc!F30)))/100)*(1+(IF(Skills!A14="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288)</f>
        <v/>
      </c>
      <c r="L288">
        <f>K288*(MIN(Inputs!$B$22+((C298=TRUE)*(F298-Calc!F24)),Inputs!$B$23+((C303=TRUE)*(F303-Calc!F29)))/100+(Inputs!$B$23+((C303=TRUE)*(F303-Calc!F29)))/100)/2</f>
        <v/>
      </c>
      <c r="M288">
        <f>L288*(1+(Inputs!$B$10+((C300=TRUE)*(F300-Calc!F26))+B314)/100)</f>
        <v/>
      </c>
      <c r="N288">
        <f>L288*(1-MIN((Inputs!$B$9+((C299=TRUE)*(F299-Calc!F25))+B307),100)/100)+M288*(MIN((Inputs!$B$9+((C299=TRUE)*(F299-Calc!F25))+B307),100)/100)</f>
        <v/>
      </c>
      <c r="O288">
        <f>IF(C288,H288*N288*IF(AND(Inputs!$B$39&lt;&gt;"pvp",Inputs!$B$44&gt;0),((Skills!G14*((R288-1)*IF(Skills!H14&gt;0,Skills!I14/Skills!H14,1)+IF(Skills!H14&gt;0,MIN(Skills!I14,MAX(0,MAX(0,Inputs!$B$44-B318)-((R288-1)*IF(Inputs!$B$39="pvp",15,MAX(0.1,Skills!D14-IF(Skills!E14=TRUE,Inputs!$B$32,0))))))/Skills!H14,1)))/Inputs!$B$44),G288*Q288)*IF(Inputs!$B$39="pvp",1,(1-Summary!$B$55)*(1)+Summary!$B$55*(MIN(MIN(5,0.25*B311*Skills!D4)*Skills!V14,Inputs!$B$37))),0)</f>
        <v/>
      </c>
      <c r="P288">
        <f>IF(B319=0,0,O288/B319)</f>
        <v/>
      </c>
      <c r="Q288">
        <f>IFERROR(1/IF(Inputs!$B$39="pvp",15,MAX(0.1,Skills!D14-IF(Skills!E14=TRUE,Inputs!$B$32,0))),0)</f>
        <v/>
      </c>
      <c r="R288">
        <f>IF(AND(Inputs!$B$39&lt;&gt;"pvp",Inputs!$B$44&gt;0),IF(MAX(0,Inputs!$B$44-B318)&lt;=0,0,(INT(MAX(0,Inputs!$B$44-B318)/IF(Inputs!$B$39="pvp",15,MAX(0.1,Skills!D14-IF(Skills!E14=TRUE,Inputs!$B$32,0))))+1)),0)</f>
        <v/>
      </c>
      <c r="S288">
        <f>IFERROR(O288/N288,0)</f>
        <v/>
      </c>
    </row>
    <row r="289">
      <c r="A289">
        <f>Skills!A15</f>
        <v/>
      </c>
      <c r="B289">
        <f>Skills!B15</f>
        <v/>
      </c>
      <c r="C289">
        <f>Inputs!$B$3&gt;=110</f>
        <v/>
      </c>
      <c r="D289">
        <f>IF(Skills!C15=1,60+Inputs!$B$25+Inputs!$B$29,IF(Skills!C15=2,90+Inputs!$B$26+Inputs!$B$29,IF(Skills!C15=3,120+Inputs!$B$27+Inputs!$B$29,MAX(0,(Inputs!$B$3-100)*3)+Inputs!$B$28+Inputs!$B$29)))</f>
        <v/>
      </c>
      <c r="E289">
        <f>INDEX(FactorTable!$B$2:$Y$301, MATCH(ROUND(MIN(300,MAX(1,D289)),0), FactorTable!$A$2:$A$301,0), Skills!M15+1)</f>
        <v/>
      </c>
      <c r="F289">
        <f>IF(Skills!N15=TRUE,(Skills!L15/10)*(E289/1000),Skills!L15/10)+Skills!O15</f>
        <v/>
      </c>
      <c r="G289">
        <f>Skills!G15*IF(Skills!H15&gt;0,Skills!I15/Skills!H15,1)</f>
        <v/>
      </c>
      <c r="H289">
        <f>1-(1-Skills!J15/100)^Skills!K15</f>
        <v/>
      </c>
      <c r="I289" t="inlineStr">
        <is>
          <t>1</t>
        </is>
      </c>
      <c r="J289" t="inlineStr"/>
      <c r="K289" t="inlineStr"/>
      <c r="L289" t="inlineStr"/>
      <c r="M289" t="inlineStr"/>
      <c r="N289" t="inlineStr"/>
      <c r="O289" t="n">
        <v>0</v>
      </c>
      <c r="P289">
        <f>IF(B319=0,0,O289/B319)</f>
        <v/>
      </c>
      <c r="Q289">
        <f>IFERROR(1/IF(Inputs!$B$39="pvp",15,MAX(0.1,Skills!D15-IF(Skills!E15=TRUE,Inputs!$B$32,0))),0)</f>
        <v/>
      </c>
      <c r="R289">
        <f>IF(AND(Inputs!$B$39&lt;&gt;"pvp",Inputs!$B$44&gt;0),IF(Inputs!$B$44&lt;=0,0,(INT(Inputs!$B$44/IF(Inputs!$B$39="pvp",15,MAX(0.1,Skills!D15-IF(Skills!E15=TRUE,Inputs!$B$32,0))))+1)),0)</f>
        <v/>
      </c>
      <c r="S289">
        <f>IFERROR(O289/N289,0)</f>
        <v/>
      </c>
    </row>
    <row r="290">
      <c r="A290">
        <f>Skills!A16</f>
        <v/>
      </c>
      <c r="B290">
        <f>Skills!B16</f>
        <v/>
      </c>
      <c r="C290">
        <f>Inputs!$B$3&gt;=115</f>
        <v/>
      </c>
      <c r="D290">
        <f>IF(Skills!C16=1,60+Inputs!$B$25+Inputs!$B$29,IF(Skills!C16=2,90+Inputs!$B$26+Inputs!$B$29,IF(Skills!C16=3,120+Inputs!$B$27+Inputs!$B$29,MAX(0,(Inputs!$B$3-100)*3)+Inputs!$B$28+Inputs!$B$29)))</f>
        <v/>
      </c>
      <c r="E290">
        <f>INDEX(FactorTable!$B$2:$Y$301, MATCH(ROUND(MIN(300,MAX(1,D290)),0), FactorTable!$A$2:$A$301,0), Skills!M16+1)</f>
        <v/>
      </c>
      <c r="F290">
        <f>IF(Skills!N16=TRUE,(Skills!L16/10)*(E290/1000),Skills!L16/10)+Skills!O16</f>
        <v/>
      </c>
      <c r="G290">
        <f>Skills!G16*IF(Skills!H16&gt;0,Skills!I16/Skills!H16,1)</f>
        <v/>
      </c>
      <c r="H290">
        <f>1-(1-Skills!J16/100)^Skills!K16</f>
        <v/>
      </c>
      <c r="I290" t="inlineStr">
        <is>
          <t>1</t>
        </is>
      </c>
      <c r="J290">
        <f>((Inputs!$B$6*(1+Inputs!$B$7/100))+(((Inputs!$B$12*(1+Inputs!$B$13/100))-(Inputs!$B$12*(1+Inputs!$B$13/100)))+0.25*(Inputs!$B$14-Inputs!$B$14))*(1+Inputs!$B$7/100))*(F290/100)</f>
        <v/>
      </c>
      <c r="K290">
        <f>J290*(1+((Inputs!$B$12*(1+Inputs!$B$13/100))*0.01+Inputs!$B$14*0.0025)/100)*(1+Inputs!$B$15/100)*(1+IF(Inputs!$B$39="pvp",0,(1-Summary!$B$55)*((Inputs!$B$20+1)+0+Skills!P16+B308)+Summary!$B$55*(Inputs!$B$21+Skills!Q16+B308))/100)*(1+Inputs!$B$16/100)*(5000/(6000+Inputs!$B$43*(1-Inputs!$B$19/100)))*(1+(Inputs!$B$24+((C304=TRUE)*(F304-Calc!F30)))/100)*(1+(IF(Skills!A16="CRUEL_STAB",Inputs!$B$17+((C301=TRUE)*(F301-Calc!F27)),Inputs!$B$18+((C302=TRUE)*(F302-Calc!F28))))/100)*(((1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B309*I290)</f>
        <v/>
      </c>
      <c r="L290">
        <f>K290*(MIN(Inputs!$B$22+((C298=TRUE)*(F298-Calc!F24)),Inputs!$B$23+((C303=TRUE)*(F303-Calc!F29)))/100+(Inputs!$B$23+((C303=TRUE)*(F303-Calc!F29)))/100)/2</f>
        <v/>
      </c>
      <c r="M290">
        <f>L290*(1+(Inputs!$B$10+((C300=TRUE)*(F300-Calc!F26))+B314)/100)</f>
        <v/>
      </c>
      <c r="N290">
        <f>L290*(1-MIN((Inputs!$B$9+((C299=TRUE)*(F299-Calc!F25))+B307),100)/100)+M290*(MIN((Inputs!$B$9+((C299=TRUE)*(F299-Calc!F25))+B307),100)/100)</f>
        <v/>
      </c>
      <c r="O290">
        <f>IF(C290,Inputs!$B$38*0.2*N290,0)</f>
        <v/>
      </c>
      <c r="P290">
        <f>IF(B319=0,0,O290/B319)</f>
        <v/>
      </c>
      <c r="Q290" t="n">
        <v>0</v>
      </c>
      <c r="R290" t="n">
        <v>0</v>
      </c>
      <c r="S290">
        <f>IFERROR(O290/N290,0)</f>
        <v/>
      </c>
    </row>
    <row r="291">
      <c r="A291">
        <f>Skills!A17</f>
        <v/>
      </c>
      <c r="B291">
        <f>Skills!B17</f>
        <v/>
      </c>
      <c r="C291">
        <f>Inputs!$B$3&gt;=115</f>
        <v/>
      </c>
      <c r="D291">
        <f>IF(Skills!C17=1,60+Inputs!$B$25+Inputs!$B$29,IF(Skills!C17=2,90+Inputs!$B$26+Inputs!$B$29,IF(Skills!C17=3,120+Inputs!$B$27+Inputs!$B$29,MAX(0,(Inputs!$B$3-100)*3)+Inputs!$B$28+Inputs!$B$29)))</f>
        <v/>
      </c>
      <c r="E291">
        <f>INDEX(FactorTable!$B$2:$Y$301, MATCH(ROUND(MIN(300,MAX(1,D291)),0), FactorTable!$A$2:$A$301,0), Skills!M17+1)</f>
        <v/>
      </c>
      <c r="F291">
        <f>IF(Skills!N17=TRUE,(Skills!L17/10)*(E291/1000),Skills!L17/10)+Skills!O17</f>
        <v/>
      </c>
      <c r="G291">
        <f>Skills!G17*IF(Skills!H17&gt;0,Skills!I17/Skills!H17,1)</f>
        <v/>
      </c>
      <c r="H291">
        <f>1-(1-Skills!J17/100)^Skills!K17</f>
        <v/>
      </c>
      <c r="I291" t="inlineStr">
        <is>
          <t>1</t>
        </is>
      </c>
      <c r="J291" t="inlineStr"/>
      <c r="K291" t="inlineStr"/>
      <c r="L291" t="inlineStr"/>
      <c r="M291" t="inlineStr"/>
      <c r="N291" t="inlineStr"/>
      <c r="O291" t="n">
        <v>0</v>
      </c>
      <c r="P291">
        <f>IF(B319=0,0,O291/B319)</f>
        <v/>
      </c>
      <c r="Q291" t="n">
        <v>0</v>
      </c>
      <c r="R291" t="n">
        <v>0</v>
      </c>
      <c r="S291">
        <f>IFERROR(O291/N291,0)</f>
        <v/>
      </c>
    </row>
    <row r="292">
      <c r="A292">
        <f>Skills!A18</f>
        <v/>
      </c>
      <c r="B292">
        <f>Skills!B18</f>
        <v/>
      </c>
      <c r="C292">
        <f>Inputs!$B$3&gt;=100</f>
        <v/>
      </c>
      <c r="D292">
        <f>IF(Skills!C18=1,60+Inputs!$B$25+Inputs!$B$29,IF(Skills!C18=2,90+Inputs!$B$26+Inputs!$B$29,IF(Skills!C18=3,120+Inputs!$B$27+Inputs!$B$29,MAX(0,(Inputs!$B$3-100)*3)+Inputs!$B$28+Inputs!$B$29)))</f>
        <v/>
      </c>
      <c r="E292">
        <f>INDEX(FactorTable!$B$2:$Y$301, MATCH(ROUND(MIN(300,MAX(1,D292)),0), FactorTable!$A$2:$A$301,0), Skills!M18+1)</f>
        <v/>
      </c>
      <c r="F292">
        <f>IF(Skills!N18=TRUE,(Skills!L18/10)*(E292/1000),Skills!L18/10)+Skills!O18</f>
        <v/>
      </c>
      <c r="G292">
        <f>Skills!G18*IF(Skills!H18&gt;0,Skills!I18/Skills!H18,1)</f>
        <v/>
      </c>
      <c r="H292">
        <f>1-(1-Skills!J18/100)^Skills!K18</f>
        <v/>
      </c>
      <c r="I292" t="inlineStr">
        <is>
          <t>1</t>
        </is>
      </c>
      <c r="J292" t="inlineStr"/>
      <c r="K292" t="inlineStr"/>
      <c r="L292" t="inlineStr"/>
      <c r="M292" t="inlineStr"/>
      <c r="N292" t="inlineStr"/>
      <c r="O292" t="n">
        <v>0</v>
      </c>
      <c r="P292">
        <f>IF(B319=0,0,O292/B319)</f>
        <v/>
      </c>
      <c r="Q292" t="n">
        <v>0</v>
      </c>
      <c r="R292" t="n">
        <v>0</v>
      </c>
      <c r="S292">
        <f>IFERROR(O292/N292,0)</f>
        <v/>
      </c>
    </row>
    <row r="293">
      <c r="A293">
        <f>Skills!A19</f>
        <v/>
      </c>
      <c r="B293">
        <f>Skills!B19</f>
        <v/>
      </c>
      <c r="C293">
        <f>TRUE</f>
        <v/>
      </c>
      <c r="D293">
        <f>IF(Skills!C19=1,60+Inputs!$B$25+Inputs!$B$29,IF(Skills!C19=2,90+Inputs!$B$26+Inputs!$B$29,IF(Skills!C19=3,120+Inputs!$B$27+Inputs!$B$29,MAX(0,(Inputs!$B$3-100)*3)+Inputs!$B$28+Inputs!$B$29)))</f>
        <v/>
      </c>
      <c r="E293">
        <f>INDEX(FactorTable!$B$2:$Y$301, MATCH(ROUND(MIN(300,MAX(1,D293)),0), FactorTable!$A$2:$A$301,0), Skills!M19+1)</f>
        <v/>
      </c>
      <c r="F293">
        <f>IF(Skills!N19=TRUE,(Skills!L19/10)*(E293/1000),Skills!L19/10)+Skills!O19</f>
        <v/>
      </c>
      <c r="G293">
        <f>Skills!G19*IF(Skills!H19&gt;0,Skills!I19/Skills!H19,1)</f>
        <v/>
      </c>
      <c r="H293">
        <f>1-(1-Skills!J19/100)^Skills!K19</f>
        <v/>
      </c>
      <c r="I293" t="inlineStr">
        <is>
          <t>1</t>
        </is>
      </c>
      <c r="J293" t="inlineStr"/>
      <c r="K293" t="inlineStr"/>
      <c r="L293" t="inlineStr"/>
      <c r="M293" t="inlineStr"/>
      <c r="N293" t="inlineStr"/>
      <c r="O293" t="n">
        <v>0</v>
      </c>
      <c r="P293">
        <f>IF(B319=0,0,O293/B319)</f>
        <v/>
      </c>
      <c r="Q293">
        <f>IFERROR(1/IF(Inputs!$B$39="pvp",15,MAX(0.1,Skills!D19-IF(Skills!E19=TRUE,Inputs!$B$32,0))),0)</f>
        <v/>
      </c>
      <c r="R293">
        <f>IF(AND(Inputs!$B$39&lt;&gt;"pvp",Inputs!$B$44&gt;0),IF(Inputs!$B$44&lt;=0,0,(INT(Inputs!$B$44/IF(Inputs!$B$39="pvp",15,MAX(0.1,Skills!D19-IF(Skills!E19=TRUE,Inputs!$B$32,0))))+1)),0)</f>
        <v/>
      </c>
      <c r="S293">
        <f>IFERROR(O293/N293,0)</f>
        <v/>
      </c>
    </row>
    <row r="294">
      <c r="A294">
        <f>Skills!A20</f>
        <v/>
      </c>
      <c r="B294">
        <f>Skills!B20</f>
        <v/>
      </c>
      <c r="C294">
        <f>Inputs!$B$3&gt;=15</f>
        <v/>
      </c>
      <c r="D294">
        <f>IF(Skills!C20=1,60+Inputs!$B$25+Inputs!$B$29,IF(Skills!C20=2,90+Inputs!$B$26+Inputs!$B$29,IF(Skills!C20=3,120+Inputs!$B$27+Inputs!$B$29,MAX(0,(Inputs!$B$3-100)*3)+Inputs!$B$28+Inputs!$B$29)))</f>
        <v/>
      </c>
      <c r="E294">
        <f>INDEX(FactorTable!$B$2:$Y$301, MATCH(ROUND(MIN(300,MAX(1,D294)),0), FactorTable!$A$2:$A$301,0), Skills!M20+1)</f>
        <v/>
      </c>
      <c r="F294">
        <f>IF(Skills!N20=TRUE,(Skills!L20/10)*(E294/1000),Skills!L20/10)+Skills!O20</f>
        <v/>
      </c>
      <c r="G294">
        <f>Skills!G20*IF(Skills!H20&gt;0,Skills!I20/Skills!H20,1)</f>
        <v/>
      </c>
      <c r="H294">
        <f>1-(1-Skills!J20/100)^Skills!K20</f>
        <v/>
      </c>
      <c r="I294" t="inlineStr">
        <is>
          <t>1</t>
        </is>
      </c>
      <c r="J294" t="inlineStr"/>
      <c r="K294" t="inlineStr"/>
      <c r="L294" t="inlineStr"/>
      <c r="M294" t="inlineStr"/>
      <c r="N294" t="inlineStr"/>
      <c r="O294" t="n">
        <v>0</v>
      </c>
      <c r="P294">
        <f>IF(B319=0,0,O294/B319)</f>
        <v/>
      </c>
      <c r="Q294">
        <f>IFERROR(1/IF(Inputs!$B$39="pvp",15,MAX(0.1,Skills!D20-IF(Skills!E20=TRUE,Inputs!$B$32,0))),0)</f>
        <v/>
      </c>
      <c r="R294">
        <f>IF(AND(Inputs!$B$39&lt;&gt;"pvp",Inputs!$B$44&gt;0),IF(Inputs!$B$44&lt;=0,0,(INT(Inputs!$B$44/IF(Inputs!$B$39="pvp",15,MAX(0.1,Skills!D20-IF(Skills!E20=TRUE,Inputs!$B$32,0))))+1)),0)</f>
        <v/>
      </c>
      <c r="S294">
        <f>IFERROR(O294/N294,0)</f>
        <v/>
      </c>
    </row>
    <row r="295">
      <c r="A295">
        <f>Skills!A21</f>
        <v/>
      </c>
      <c r="B295">
        <f>Skills!B21</f>
        <v/>
      </c>
      <c r="C295">
        <f>Inputs!$B$3&gt;=15</f>
        <v/>
      </c>
      <c r="D295">
        <f>IF(Skills!C21=1,60+Inputs!$B$25+Inputs!$B$29,IF(Skills!C21=2,90+Inputs!$B$26+Inputs!$B$29,IF(Skills!C21=3,120+Inputs!$B$27+Inputs!$B$29,MAX(0,(Inputs!$B$3-100)*3)+Inputs!$B$28+Inputs!$B$29)))</f>
        <v/>
      </c>
      <c r="E295">
        <f>INDEX(FactorTable!$B$2:$Y$301, MATCH(ROUND(MIN(300,MAX(1,D295)),0), FactorTable!$A$2:$A$301,0), Skills!M21+1)</f>
        <v/>
      </c>
      <c r="F295">
        <f>IF(Skills!N21=TRUE,(Skills!L21/10)*(E295/1000),Skills!L21/10)+Skills!O21</f>
        <v/>
      </c>
      <c r="G295">
        <f>Skills!G21*IF(Skills!H21&gt;0,Skills!I21/Skills!H21,1)</f>
        <v/>
      </c>
      <c r="H295">
        <f>1-(1-Skills!J21/100)^Skills!K21</f>
        <v/>
      </c>
      <c r="I295" t="inlineStr">
        <is>
          <t>1</t>
        </is>
      </c>
      <c r="J295" t="inlineStr"/>
      <c r="K295" t="inlineStr"/>
      <c r="L295" t="inlineStr"/>
      <c r="M295" t="inlineStr"/>
      <c r="N295" t="inlineStr"/>
      <c r="O295" t="n">
        <v>0</v>
      </c>
      <c r="P295">
        <f>IF(B319=0,0,O295/B319)</f>
        <v/>
      </c>
      <c r="Q295">
        <f>IFERROR(1/IF(Inputs!$B$39="pvp",15,MAX(0.1,Skills!D21-IF(Skills!E21=TRUE,Inputs!$B$32,0))),0)</f>
        <v/>
      </c>
      <c r="R295">
        <f>IF(AND(Inputs!$B$39&lt;&gt;"pvp",Inputs!$B$44&gt;0),IF(Inputs!$B$44&lt;=0,0,(INT(Inputs!$B$44/IF(Inputs!$B$39="pvp",15,MAX(0.1,Skills!D21-IF(Skills!E21=TRUE,Inputs!$B$32,0))))+1)),0)</f>
        <v/>
      </c>
      <c r="S295">
        <f>IFERROR(O295/N295,0)</f>
        <v/>
      </c>
    </row>
    <row r="296">
      <c r="A296">
        <f>Skills!A22</f>
        <v/>
      </c>
      <c r="B296">
        <f>Skills!B22</f>
        <v/>
      </c>
      <c r="C296">
        <f>Inputs!$B$3&gt;=33</f>
        <v/>
      </c>
      <c r="D296">
        <f>IF(Skills!C22=1,60+Inputs!$B$25+Inputs!$B$29,IF(Skills!C22=2,90+Inputs!$B$26+Inputs!$B$29,IF(Skills!C22=3,120+Inputs!$B$27+Inputs!$B$29,MAX(0,(Inputs!$B$3-100)*3)+Inputs!$B$28+Inputs!$B$29)))</f>
        <v/>
      </c>
      <c r="E296">
        <f>INDEX(FactorTable!$B$2:$Y$301, MATCH(ROUND(MIN(300,MAX(1,D296)),0), FactorTable!$A$2:$A$301,0), Skills!M22+1)</f>
        <v/>
      </c>
      <c r="F296">
        <f>IF(Skills!N22=TRUE,(Skills!L22/10)*(E296/1000),Skills!L22/10)+Skills!O22</f>
        <v/>
      </c>
      <c r="G296">
        <f>Skills!G22*IF(Skills!H22&gt;0,Skills!I22/Skills!H22,1)</f>
        <v/>
      </c>
      <c r="H296">
        <f>1-(1-Skills!J22/100)^Skills!K22</f>
        <v/>
      </c>
      <c r="I296" t="inlineStr">
        <is>
          <t>1</t>
        </is>
      </c>
      <c r="J296" t="inlineStr"/>
      <c r="K296" t="inlineStr"/>
      <c r="L296" t="inlineStr"/>
      <c r="M296" t="inlineStr"/>
      <c r="N296" t="inlineStr"/>
      <c r="O296" t="n">
        <v>0</v>
      </c>
      <c r="P296">
        <f>IF(B319=0,0,O296/B319)</f>
        <v/>
      </c>
      <c r="Q296" t="n">
        <v>0</v>
      </c>
      <c r="R296" t="n">
        <v>0</v>
      </c>
      <c r="S296">
        <f>IFERROR(O296/N296,0)</f>
        <v/>
      </c>
    </row>
    <row r="297">
      <c r="A297">
        <f>Skills!A23</f>
        <v/>
      </c>
      <c r="B297">
        <f>Skills!B23</f>
        <v/>
      </c>
      <c r="C297">
        <f>Inputs!$B$3&gt;=40</f>
        <v/>
      </c>
      <c r="D297">
        <f>IF(Skills!C23=1,60+Inputs!$B$25+Inputs!$B$29,IF(Skills!C23=2,90+Inputs!$B$26+Inputs!$B$29,IF(Skills!C23=3,120+Inputs!$B$27+Inputs!$B$29,MAX(0,(Inputs!$B$3-100)*3)+Inputs!$B$28+Inputs!$B$29)))</f>
        <v/>
      </c>
      <c r="E297">
        <f>INDEX(FactorTable!$B$2:$Y$301, MATCH(ROUND(MIN(300,MAX(1,D297)),0), FactorTable!$A$2:$A$301,0), Skills!M23+1)</f>
        <v/>
      </c>
      <c r="F297">
        <f>IF(Skills!N23=TRUE,(Skills!L23/10)*(E297/1000),Skills!L23/10)+Skills!O23</f>
        <v/>
      </c>
      <c r="G297">
        <f>Skills!G23*IF(Skills!H23&gt;0,Skills!I23/Skills!H23,1)</f>
        <v/>
      </c>
      <c r="H297">
        <f>1-(1-Skills!J23/100)^Skills!K23</f>
        <v/>
      </c>
      <c r="I297" t="inlineStr">
        <is>
          <t>1</t>
        </is>
      </c>
      <c r="J297" t="inlineStr"/>
      <c r="K297" t="inlineStr"/>
      <c r="L297" t="inlineStr"/>
      <c r="M297" t="inlineStr"/>
      <c r="N297" t="inlineStr"/>
      <c r="O297" t="n">
        <v>0</v>
      </c>
      <c r="P297">
        <f>IF(B319=0,0,O297/B319)</f>
        <v/>
      </c>
      <c r="Q297" t="n">
        <v>0</v>
      </c>
      <c r="R297" t="n">
        <v>0</v>
      </c>
      <c r="S297">
        <f>IFERROR(O297/N297,0)</f>
        <v/>
      </c>
    </row>
    <row r="298">
      <c r="A298">
        <f>Skills!A24</f>
        <v/>
      </c>
      <c r="B298">
        <f>Skills!B24</f>
        <v/>
      </c>
      <c r="C298">
        <f>Inputs!$B$3&gt;=43</f>
        <v/>
      </c>
      <c r="D298">
        <f>IF(Skills!C24=1,60+Inputs!$B$25+Inputs!$B$29,IF(Skills!C24=2,90+Inputs!$B$26+Inputs!$B$29,IF(Skills!C24=3,120+Inputs!$B$27+Inputs!$B$29,MAX(0,(Inputs!$B$3-100)*3)+Inputs!$B$28+Inputs!$B$29)))</f>
        <v/>
      </c>
      <c r="E298">
        <f>INDEX(FactorTable!$B$2:$Y$301, MATCH(ROUND(MIN(300,MAX(1,D298)),0), FactorTable!$A$2:$A$301,0), Skills!M24+1)</f>
        <v/>
      </c>
      <c r="F298">
        <f>IF(Skills!N24=TRUE,(Skills!L24/10)*(E298/1000),Skills!L24/10)+Skills!O24</f>
        <v/>
      </c>
      <c r="G298">
        <f>Skills!G24*IF(Skills!H24&gt;0,Skills!I24/Skills!H24,1)</f>
        <v/>
      </c>
      <c r="H298">
        <f>1-(1-Skills!J24/100)^Skills!K24</f>
        <v/>
      </c>
      <c r="I298" t="inlineStr">
        <is>
          <t>1</t>
        </is>
      </c>
      <c r="J298" t="inlineStr"/>
      <c r="K298" t="inlineStr"/>
      <c r="L298" t="inlineStr"/>
      <c r="M298" t="inlineStr"/>
      <c r="N298" t="inlineStr"/>
      <c r="O298" t="n">
        <v>0</v>
      </c>
      <c r="P298">
        <f>IF(B319=0,0,O298/B319)</f>
        <v/>
      </c>
      <c r="Q298" t="n">
        <v>0</v>
      </c>
      <c r="R298" t="n">
        <v>0</v>
      </c>
      <c r="S298">
        <f>IFERROR(O298/N298,0)</f>
        <v/>
      </c>
    </row>
    <row r="299">
      <c r="A299">
        <f>Skills!A25</f>
        <v/>
      </c>
      <c r="B299">
        <f>Skills!B25</f>
        <v/>
      </c>
      <c r="C299">
        <f>Inputs!$B$3&gt;=50</f>
        <v/>
      </c>
      <c r="D299">
        <f>IF(Skills!C25=1,60+Inputs!$B$25+Inputs!$B$29,IF(Skills!C25=2,90+Inputs!$B$26+Inputs!$B$29,IF(Skills!C25=3,120+Inputs!$B$27+Inputs!$B$29,MAX(0,(Inputs!$B$3-100)*3)+Inputs!$B$28+Inputs!$B$29)))</f>
        <v/>
      </c>
      <c r="E299">
        <f>INDEX(FactorTable!$B$2:$Y$301, MATCH(ROUND(MIN(300,MAX(1,D299)),0), FactorTable!$A$2:$A$301,0), Skills!M25+1)</f>
        <v/>
      </c>
      <c r="F299">
        <f>IF(Skills!N25=TRUE,(Skills!L25/10)*(E299/1000),Skills!L25/10)+Skills!O25</f>
        <v/>
      </c>
      <c r="G299">
        <f>Skills!G25*IF(Skills!H25&gt;0,Skills!I25/Skills!H25,1)</f>
        <v/>
      </c>
      <c r="H299">
        <f>1-(1-Skills!J25/100)^Skills!K25</f>
        <v/>
      </c>
      <c r="I299" t="inlineStr">
        <is>
          <t>1</t>
        </is>
      </c>
      <c r="J299" t="inlineStr"/>
      <c r="K299" t="inlineStr"/>
      <c r="L299" t="inlineStr"/>
      <c r="M299" t="inlineStr"/>
      <c r="N299" t="inlineStr"/>
      <c r="O299" t="n">
        <v>0</v>
      </c>
      <c r="P299">
        <f>IF(B319=0,0,O299/B319)</f>
        <v/>
      </c>
      <c r="Q299" t="n">
        <v>0</v>
      </c>
      <c r="R299" t="n">
        <v>0</v>
      </c>
      <c r="S299">
        <f>IFERROR(O299/N299,0)</f>
        <v/>
      </c>
    </row>
    <row r="300">
      <c r="A300">
        <f>Skills!A26</f>
        <v/>
      </c>
      <c r="B300">
        <f>Skills!B26</f>
        <v/>
      </c>
      <c r="C300">
        <f>Inputs!$B$3&gt;=50</f>
        <v/>
      </c>
      <c r="D300">
        <f>IF(Skills!C26=1,60+Inputs!$B$25+Inputs!$B$29,IF(Skills!C26=2,90+Inputs!$B$26+Inputs!$B$29,IF(Skills!C26=3,120+Inputs!$B$27+Inputs!$B$29,MAX(0,(Inputs!$B$3-100)*3)+Inputs!$B$28+Inputs!$B$29)))</f>
        <v/>
      </c>
      <c r="E300">
        <f>INDEX(FactorTable!$B$2:$Y$301, MATCH(ROUND(MIN(300,MAX(1,D300)),0), FactorTable!$A$2:$A$301,0), Skills!M26+1)</f>
        <v/>
      </c>
      <c r="F300">
        <f>IF(Skills!N26=TRUE,(Skills!L26/10)*(E300/1000),Skills!L26/10)+Skills!O26</f>
        <v/>
      </c>
      <c r="G300">
        <f>Skills!G26*IF(Skills!H26&gt;0,Skills!I26/Skills!H26,1)</f>
        <v/>
      </c>
      <c r="H300">
        <f>1-(1-Skills!J26/100)^Skills!K26</f>
        <v/>
      </c>
      <c r="I300" t="inlineStr">
        <is>
          <t>1</t>
        </is>
      </c>
      <c r="J300" t="inlineStr"/>
      <c r="K300" t="inlineStr"/>
      <c r="L300" t="inlineStr"/>
      <c r="M300" t="inlineStr"/>
      <c r="N300" t="inlineStr"/>
      <c r="O300" t="n">
        <v>0</v>
      </c>
      <c r="P300">
        <f>IF(B319=0,0,O300/B319)</f>
        <v/>
      </c>
      <c r="Q300" t="n">
        <v>0</v>
      </c>
      <c r="R300" t="n">
        <v>0</v>
      </c>
      <c r="S300">
        <f>IFERROR(O300/N300,0)</f>
        <v/>
      </c>
    </row>
    <row r="301">
      <c r="A301">
        <f>Skills!A27</f>
        <v/>
      </c>
      <c r="B301">
        <f>Skills!B27</f>
        <v/>
      </c>
      <c r="C301">
        <f>Inputs!$B$3&gt;=38</f>
        <v/>
      </c>
      <c r="D301">
        <f>IF(Skills!C27=1,60+Inputs!$B$25+Inputs!$B$29,IF(Skills!C27=2,90+Inputs!$B$26+Inputs!$B$29,IF(Skills!C27=3,120+Inputs!$B$27+Inputs!$B$29,MAX(0,(Inputs!$B$3-100)*3)+Inputs!$B$28+Inputs!$B$29)))</f>
        <v/>
      </c>
      <c r="E301">
        <f>INDEX(FactorTable!$B$2:$Y$301, MATCH(ROUND(MIN(300,MAX(1,D301)),0), FactorTable!$A$2:$A$301,0), Skills!M27+1)</f>
        <v/>
      </c>
      <c r="F301">
        <f>IF(Skills!N27=TRUE,(Skills!L27/10)*(E301/1000),Skills!L27/10)+Skills!O27</f>
        <v/>
      </c>
      <c r="G301">
        <f>Skills!G27*IF(Skills!H27&gt;0,Skills!I27/Skills!H27,1)</f>
        <v/>
      </c>
      <c r="H301">
        <f>1-(1-Skills!J27/100)^Skills!K27</f>
        <v/>
      </c>
      <c r="I301" t="inlineStr">
        <is>
          <t>1</t>
        </is>
      </c>
      <c r="J301" t="inlineStr"/>
      <c r="K301" t="inlineStr"/>
      <c r="L301" t="inlineStr"/>
      <c r="M301" t="inlineStr"/>
      <c r="N301" t="inlineStr"/>
      <c r="O301" t="n">
        <v>0</v>
      </c>
      <c r="P301">
        <f>IF(B319=0,0,O301/B319)</f>
        <v/>
      </c>
      <c r="Q301" t="n">
        <v>0</v>
      </c>
      <c r="R301" t="n">
        <v>0</v>
      </c>
      <c r="S301">
        <f>IFERROR(O301/N301,0)</f>
        <v/>
      </c>
    </row>
    <row r="302">
      <c r="A302">
        <f>Skills!A28</f>
        <v/>
      </c>
      <c r="B302">
        <f>Skills!B28</f>
        <v/>
      </c>
      <c r="C302">
        <f>Inputs!$B$3&gt;=120</f>
        <v/>
      </c>
      <c r="D302">
        <f>IF(Skills!C28=1,60+Inputs!$B$25+Inputs!$B$29,IF(Skills!C28=2,90+Inputs!$B$26+Inputs!$B$29,IF(Skills!C28=3,120+Inputs!$B$27+Inputs!$B$29,MAX(0,(Inputs!$B$3-100)*3)+Inputs!$B$28+Inputs!$B$29)))</f>
        <v/>
      </c>
      <c r="E302">
        <f>INDEX(FactorTable!$B$2:$Y$301, MATCH(ROUND(MIN(300,MAX(1,D302)),0), FactorTable!$A$2:$A$301,0), Skills!M28+1)</f>
        <v/>
      </c>
      <c r="F302">
        <f>IF(Skills!N28=TRUE,(Skills!L28/10)*(E302/1000),Skills!L28/10)+Skills!O28</f>
        <v/>
      </c>
      <c r="G302">
        <f>Skills!G28*IF(Skills!H28&gt;0,Skills!I28/Skills!H28,1)</f>
        <v/>
      </c>
      <c r="H302">
        <f>1-(1-Skills!J28/100)^Skills!K28</f>
        <v/>
      </c>
      <c r="I302" t="inlineStr">
        <is>
          <t>1</t>
        </is>
      </c>
      <c r="J302" t="inlineStr"/>
      <c r="K302" t="inlineStr"/>
      <c r="L302" t="inlineStr"/>
      <c r="M302" t="inlineStr"/>
      <c r="N302" t="inlineStr"/>
      <c r="O302" t="n">
        <v>0</v>
      </c>
      <c r="P302">
        <f>IF(B319=0,0,O302/B319)</f>
        <v/>
      </c>
      <c r="Q302" t="n">
        <v>0</v>
      </c>
      <c r="R302" t="n">
        <v>0</v>
      </c>
      <c r="S302">
        <f>IFERROR(O302/N302,0)</f>
        <v/>
      </c>
    </row>
    <row r="303">
      <c r="A303">
        <f>Skills!A29</f>
        <v/>
      </c>
      <c r="B303">
        <f>Skills!B29</f>
        <v/>
      </c>
      <c r="C303">
        <f>Inputs!$B$3&gt;=120</f>
        <v/>
      </c>
      <c r="D303">
        <f>IF(Skills!C29=1,60+Inputs!$B$25+Inputs!$B$29,IF(Skills!C29=2,90+Inputs!$B$26+Inputs!$B$29,IF(Skills!C29=3,120+Inputs!$B$27+Inputs!$B$29,MAX(0,(Inputs!$B$3-100)*3)+Inputs!$B$28+Inputs!$B$29)))</f>
        <v/>
      </c>
      <c r="E303">
        <f>INDEX(FactorTable!$B$2:$Y$301, MATCH(ROUND(MIN(300,MAX(1,D303)),0), FactorTable!$A$2:$A$301,0), Skills!M29+1)</f>
        <v/>
      </c>
      <c r="F303">
        <f>IF(Skills!N29=TRUE,(Skills!L29/10)*(E303/1000),Skills!L29/10)+Skills!O29</f>
        <v/>
      </c>
      <c r="G303">
        <f>Skills!G29*IF(Skills!H29&gt;0,Skills!I29/Skills!H29,1)</f>
        <v/>
      </c>
      <c r="H303">
        <f>1-(1-Skills!J29/100)^Skills!K29</f>
        <v/>
      </c>
      <c r="I303" t="inlineStr">
        <is>
          <t>1</t>
        </is>
      </c>
      <c r="J303" t="inlineStr"/>
      <c r="K303" t="inlineStr"/>
      <c r="L303" t="inlineStr"/>
      <c r="M303" t="inlineStr"/>
      <c r="N303" t="inlineStr"/>
      <c r="O303" t="n">
        <v>0</v>
      </c>
      <c r="P303">
        <f>IF(B319=0,0,O303/B319)</f>
        <v/>
      </c>
      <c r="Q303" t="n">
        <v>0</v>
      </c>
      <c r="R303" t="n">
        <v>0</v>
      </c>
      <c r="S303">
        <f>IFERROR(O303/N303,0)</f>
        <v/>
      </c>
    </row>
    <row r="304">
      <c r="A304">
        <f>Skills!A30</f>
        <v/>
      </c>
      <c r="B304">
        <f>Skills!B30</f>
        <v/>
      </c>
      <c r="C304">
        <f>Inputs!$B$3&gt;=125</f>
        <v/>
      </c>
      <c r="D304">
        <f>IF(Skills!C30=1,60+Inputs!$B$25+Inputs!$B$29,IF(Skills!C30=2,90+Inputs!$B$26+Inputs!$B$29,IF(Skills!C30=3,120+Inputs!$B$27+Inputs!$B$29,MAX(0,(Inputs!$B$3-100)*3)+Inputs!$B$28+Inputs!$B$29)))</f>
        <v/>
      </c>
      <c r="E304">
        <f>INDEX(FactorTable!$B$2:$Y$301, MATCH(ROUND(MIN(300,MAX(1,D304)),0), FactorTable!$A$2:$A$301,0), Skills!M30+1)</f>
        <v/>
      </c>
      <c r="F304">
        <f>IF(Skills!N30=TRUE,(Skills!L30/10)*(E304/1000),Skills!L30/10)+Skills!O30</f>
        <v/>
      </c>
      <c r="G304">
        <f>Skills!G30*IF(Skills!H30&gt;0,Skills!I30/Skills!H30,1)</f>
        <v/>
      </c>
      <c r="H304">
        <f>1-(1-Skills!J30/100)^Skills!K30</f>
        <v/>
      </c>
      <c r="I304" t="inlineStr">
        <is>
          <t>1</t>
        </is>
      </c>
      <c r="J304" t="inlineStr"/>
      <c r="K304" t="inlineStr"/>
      <c r="L304" t="inlineStr"/>
      <c r="M304" t="inlineStr"/>
      <c r="N304" t="inlineStr"/>
      <c r="O304" t="n">
        <v>0</v>
      </c>
      <c r="P304">
        <f>IF(B319=0,0,O304/B319)</f>
        <v/>
      </c>
      <c r="Q304" t="n">
        <v>0</v>
      </c>
      <c r="R304" t="n">
        <v>0</v>
      </c>
      <c r="S304">
        <f>IFERROR(O304/N304,0)</f>
        <v/>
      </c>
    </row>
    <row r="306">
      <c r="A306" t="inlineStr">
        <is>
          <t>Average Buff Multiplier</t>
        </is>
      </c>
      <c r="B306">
        <f>(1+(((C295=TRUE)*F295*IF(AND(Inputs!$B$39&lt;&gt;"pvp",Inputs!$B$44&gt;0),(((R295-1)*(Skills!Y21*(1+Inputs!$B$34/100))+MIN((Skills!Y21*(1+Inputs!$B$34/100)),MAX(0,Inputs!$B$44-((R295-1)*Skills!D21))))/Inputs!$B$44),IF(Inputs!$B$39="pvp",MIN((Skills!Y21*(1+Inputs!$B$34/100)),15)/15,(Skills!Y21*(1+Inputs!$B$34/100))/Skills!D21)))+((C297=TRUE)*(F297-Calc!F23))+((C291=TRUE)*(F291-Calc!F17)))/100)*(1+((C284=TRUE)*F284*IF(AND(Inputs!$B$39&lt;&gt;"pvp",Inputs!$B$44&gt;0),(((R284-1)*(Skills!Y10*(1+Inputs!$B$34/100))+MIN((Skills!Y10*(1+Inputs!$B$34/100)),MAX(0,Inputs!$B$44-((R284-1)*Skills!D10))))/Inputs!$B$44),IF(Inputs!$B$39="pvp",MIN((Skills!Y10*(1+Inputs!$B$34/100)),15)/15,(Skills!Y10*(1+Inputs!$B$34/100))/Skills!D10)))/100)*(1+((C289=TRUE)*F289*IF(AND(Inputs!$B$39&lt;&gt;"pvp",Inputs!$B$44&gt;0),(((R289-1)*(Skills!Y15*(1+Inputs!$B$34/100))+MIN((Skills!Y15*(1+Inputs!$B$34/100)),MAX(0,Inputs!$B$44-((R289-1)*Skills!D15))))/Inputs!$B$44),IF(Inputs!$B$39="pvp",MIN((Skills!Y15*(1+Inputs!$B$34/100)),15)/15,(Skills!Y15*(1+Inputs!$B$34/100))/Skills!D15)))/100)</f>
        <v/>
      </c>
    </row>
    <row r="307">
      <c r="A307" t="inlineStr">
        <is>
          <t>Global Crit Rate Bonus %</t>
        </is>
      </c>
      <c r="B307">
        <f>((C294=TRUE)*F294*IF(AND(Inputs!$B$39&lt;&gt;"pvp",Inputs!$B$44&gt;0),(((R294-1)*(Skills!Y20*(1+Inputs!$B$34/100))+MIN((Skills!Y20*(1+Inputs!$B$34/100)),MAX(0,Inputs!$B$44-((R294-1)*Skills!D20))))/Inputs!$B$44),IF(Inputs!$B$39="pvp",MIN((Skills!Y20*(1+Inputs!$B$34/100)),15)/15,(Skills!Y20*(1+Inputs!$B$34/100))/Skills!D20)))</f>
        <v/>
      </c>
    </row>
    <row r="308">
      <c r="A308" t="inlineStr">
        <is>
          <t>Global Monster Damage-Taken Bonus %</t>
        </is>
      </c>
      <c r="B308">
        <f>IF(Inputs!$B$3&gt;=82,15,0)</f>
        <v/>
      </c>
    </row>
    <row r="309">
      <c r="A309" t="inlineStr">
        <is>
          <t>Shadow Partner Average Multiplier</t>
        </is>
      </c>
      <c r="B309">
        <f>1+((C281=TRUE)*F281*(1+3.3333333333333335*IF(C292=TRUE,F292,0)/100)*I281*Skills!J7/100)/100</f>
        <v/>
      </c>
    </row>
    <row r="310">
      <c r="A310" t="inlineStr">
        <is>
          <t>Attack Speed Buff Bonus %</t>
        </is>
      </c>
      <c r="B310">
        <f>((C293=TRUE)*F293*IF(AND(Inputs!$B$39&lt;&gt;"pvp",Inputs!$B$44&gt;0),(((R293-1)*(Skills!Y19*(1+Inputs!$B$34/100))+MIN((Skills!Y19*(1+Inputs!$B$34/100)),MAX(0,Inputs!$B$44-((R293-1)*Skills!D19))))/Inputs!$B$44),IF(Inputs!$B$39="pvp",MIN((Skills!Y19*(1+Inputs!$B$34/100)),15)/15,(Skills!Y19*(1+Inputs!$B$34/100))/Skills!D19)))+((C277=TRUE)*F277*3)</f>
        <v/>
      </c>
    </row>
    <row r="311">
      <c r="A311" t="inlineStr">
        <is>
          <t>Actions Per Second</t>
        </is>
      </c>
      <c r="B311">
        <f>1+MIN(150,150*(1-(1-(Inputs!$B$11+((C296=TRUE)*(F296-Calc!F22)))/150)*(1-B310/150)))/100</f>
        <v/>
      </c>
    </row>
    <row r="312">
      <c r="A312" t="inlineStr">
        <is>
          <t>Skill + Buff Cast Rate</t>
        </is>
      </c>
      <c r="B312">
        <f>IF(AND(Inputs!$B$39&lt;&gt;"pvp",Inputs!$B$44&gt;0),SUMPRODUCT((Skills!E2:E30=TRUE)*(C276:C304=TRUE)*R276:R304*Skills!F2:F30)/Inputs!$B$44,SUMPRODUCT((Skills!E2:E30=TRUE)*(C276:C304=TRUE)*Q276:Q304*Skills!F2:F30))</f>
        <v/>
      </c>
    </row>
    <row r="313">
      <c r="A313" t="inlineStr">
        <is>
          <t>Cruel Stab Casts Per Second</t>
        </is>
      </c>
      <c r="B313">
        <f>MAX(0,B311-B312)</f>
        <v/>
      </c>
    </row>
    <row r="314">
      <c r="A314" t="inlineStr">
        <is>
          <t>Global Critical Damage Bonus % (Smokescreen Mastery Lv.113)</t>
        </is>
      </c>
      <c r="B314">
        <f>IF(Inputs!$B$3&gt;=113,30,0)*IF(AND(Inputs!$B$39&lt;&gt;"pvp",Inputs!$B$44&gt;0),(((R289-1)*(Skills!Y15*(1+Inputs!$B$34/100))+MIN((Skills!Y15*(1+Inputs!$B$34/100)),MAX(0,Inputs!$B$44-((R289-1)*Skills!D15))))/Inputs!$B$44),IF(Inputs!$B$39="pvp",MIN((Skills!Y15*(1+Inputs!$B$34/100)),15)/15,(Skills!Y15*(1+Inputs!$B$34/100))/Skills!D15))</f>
        <v/>
      </c>
    </row>
    <row r="315">
      <c r="A315" t="inlineStr">
        <is>
          <t>Meso Explosion average stack count</t>
        </is>
      </c>
      <c r="B315">
        <f>MIN(10,0.5*B311*Skills!D4)</f>
        <v/>
      </c>
    </row>
    <row r="316">
      <c r="A316" t="inlineStr">
        <is>
          <t>Blood Money average stack count</t>
        </is>
      </c>
      <c r="B316">
        <f>MIN(5,0.25*B311*Skills!D4)</f>
        <v/>
      </c>
    </row>
    <row r="317">
      <c r="A317" t="inlineStr">
        <is>
          <t>Assassinate Murderous Intent Multiplier</t>
        </is>
      </c>
      <c r="B317">
        <f>1+IFERROR(MIN(1,Q288*2/Q285),0)</f>
        <v/>
      </c>
    </row>
    <row r="318">
      <c r="A318" t="inlineStr">
        <is>
          <t>Buff-Casting Startup Delay (s, fixed-duration only)</t>
        </is>
      </c>
      <c r="B318">
        <f>IF(AND(Inputs!$B$39&lt;&gt;"pvp",Inputs!$B$44&gt;0),SUMPRODUCT((Skills!Y2:Y30&gt;0)*(Skills!E2:E30=TRUE)*(C276:C304=TRUE))/B311,0)</f>
        <v/>
      </c>
    </row>
    <row r="319">
      <c r="A319" s="5" t="inlineStr">
        <is>
          <t>TOTAL DPS</t>
        </is>
      </c>
      <c r="B319" s="5">
        <f>SUM(O276:O304)</f>
        <v/>
      </c>
    </row>
    <row r="322">
      <c r="A322" s="5" t="inlineStr">
        <is>
          <t>Stat: NORMAL_DAMAGE %</t>
        </is>
      </c>
    </row>
    <row r="323">
      <c r="A323" s="9" t="inlineStr">
        <is>
          <t>Key</t>
        </is>
      </c>
      <c r="B323" s="9" t="inlineStr">
        <is>
          <t>Name</t>
        </is>
      </c>
      <c r="C323" s="9" t="inlineStr">
        <is>
          <t>Unlocked</t>
        </is>
      </c>
      <c r="D323" s="9" t="inlineStr">
        <is>
          <t>InputLevel</t>
        </is>
      </c>
      <c r="E323" s="9" t="inlineStr">
        <is>
          <t>Factor</t>
        </is>
      </c>
      <c r="F323" s="9" t="inlineStr">
        <is>
          <t>CoefficientPercent</t>
        </is>
      </c>
      <c r="G323" s="9" t="inlineStr">
        <is>
          <t>EffectiveHits</t>
        </is>
      </c>
      <c r="H323" s="9" t="inlineStr">
        <is>
          <t>ProcProbability</t>
        </is>
      </c>
      <c r="I323" s="9" t="inlineStr">
        <is>
          <t>MapleHeroMultiplier</t>
        </is>
      </c>
      <c r="J323" s="9" t="inlineStr">
        <is>
          <t>BaseDamage</t>
        </is>
      </c>
      <c r="K323" s="9" t="inlineStr">
        <is>
          <t>BaseHitDamage</t>
        </is>
      </c>
      <c r="L323" s="9" t="inlineStr">
        <is>
          <t>NonCritAvg</t>
        </is>
      </c>
      <c r="M323" s="9" t="inlineStr">
        <is>
          <t>CritAvg</t>
        </is>
      </c>
      <c r="N323" s="9" t="inlineStr">
        <is>
          <t>ExpectedDamage(perHit)</t>
        </is>
      </c>
      <c r="O323" s="9" t="inlineStr">
        <is>
          <t>DPS</t>
        </is>
      </c>
      <c r="P323" s="9" t="inlineStr">
        <is>
          <t>% of Total</t>
        </is>
      </c>
      <c r="Q323" s="9" t="inlineStr">
        <is>
          <t>InvCooldown</t>
        </is>
      </c>
      <c r="R323" s="9" t="inlineStr">
        <is>
          <t>CastsInFight</t>
        </is>
      </c>
      <c r="S323" s="9" t="inlineStr">
        <is>
          <t>HitRate(perSec)</t>
        </is>
      </c>
      <c r="U323" t="inlineStr">
        <is>
          <t>helpers</t>
        </is>
      </c>
    </row>
    <row r="324">
      <c r="A324">
        <f>Skills!A2</f>
        <v/>
      </c>
      <c r="B324">
        <f>Skills!B2</f>
        <v/>
      </c>
      <c r="C324">
        <f>Inputs!$B$3&gt;=100</f>
        <v/>
      </c>
      <c r="D324" t="inlineStr"/>
      <c r="E324" t="inlineStr"/>
      <c r="F324">
        <f>U326+Skills!O2</f>
        <v/>
      </c>
      <c r="G324">
        <f>Skills!G2*IF(Skills!H2&gt;0,Skills!I2/Skills!H2,1)</f>
        <v/>
      </c>
      <c r="H324">
        <f>1-(1-Skills!J2/100)^Skills!K2</f>
        <v/>
      </c>
      <c r="I324" t="inlineStr">
        <is>
          <t>1</t>
        </is>
      </c>
      <c r="J324">
        <f>((Inputs!$B$6*(1+Inputs!$B$7/100))+(((Inputs!$B$12*(1+Inputs!$B$13/100))-(Inputs!$B$12*(1+Inputs!$B$13/100)))+0.25*(Inputs!$B$14-Inputs!$B$14))*(1+Inputs!$B$7/100))*(F324/100)</f>
        <v/>
      </c>
      <c r="K324">
        <f>J324*(1+((Inputs!$B$12*(1+Inputs!$B$13/100))*0.01+Inputs!$B$14*0.0025)/100)*(1+Inputs!$B$15/100)*(1+IF(Inputs!$B$39="pvp",0,(1-Summary!$B$55)*(Inputs!$B$20+0+Skills!P2+B356)+Summary!$B$55*((Inputs!$B$21+1)+Skills!Q2+B356))/100)*(1+Inputs!$B$16/100)*(5000/(6000+Inputs!$B$43*(1-Inputs!$B$19/100)))*(1+(Inputs!$B$24+((C352=TRUE)*(F352-Calc!F30)))/100)*(1+(IF(Skills!A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324)</f>
        <v/>
      </c>
      <c r="L324">
        <f>K324*(MIN(Inputs!$B$22+((C346=TRUE)*(F346-Calc!F24)),Inputs!$B$23+((C351=TRUE)*(F351-Calc!F29)))/100+(Inputs!$B$23+((C351=TRUE)*(F351-Calc!F29)))/100)/2</f>
        <v/>
      </c>
      <c r="M324">
        <f>L324*(1+(Inputs!$B$10+((C348=TRUE)*(F348-Calc!F26))+B362)/100)</f>
        <v/>
      </c>
      <c r="N324">
        <f>L324*(1-MIN((Inputs!$B$9+((C347=TRUE)*(F347-Calc!F25))+B355),100)/100)+M324*(MIN((Inputs!$B$9+((C347=TRUE)*(F347-Calc!F25))+B355),100)/100)</f>
        <v/>
      </c>
      <c r="O324">
        <f>IF(C324,Skills!G2*N324*B361*IF(Inputs!$B$39="pvp",1,(1-Summary!$B$55)*(1)+Summary!$B$55*(MIN((6+Inputs!$B$33),Inputs!$B$37))),0)</f>
        <v/>
      </c>
      <c r="P324">
        <f>IF(B367=0,0,O324/B367)</f>
        <v/>
      </c>
      <c r="Q324" t="n">
        <v>0</v>
      </c>
      <c r="R324" t="n">
        <v>0</v>
      </c>
      <c r="S324">
        <f>IFERROR(O324/N324,0)</f>
        <v/>
      </c>
      <c r="U324">
        <f>MAX(0,(Inputs!$B$3-100)*3)+Inputs!$B$28+Inputs!$B$29</f>
        <v/>
      </c>
    </row>
    <row r="325">
      <c r="A325">
        <f>Skills!A3</f>
        <v/>
      </c>
      <c r="B325">
        <f>Skills!B3</f>
        <v/>
      </c>
      <c r="C325">
        <f>Inputs!$B$3&gt;=35</f>
        <v/>
      </c>
      <c r="D325">
        <f>IF(Skills!C3=1,60+Inputs!$B$25+Inputs!$B$29,IF(Skills!C3=2,90+Inputs!$B$26+Inputs!$B$29,IF(Skills!C3=3,120+Inputs!$B$27+Inputs!$B$29,MAX(0,(Inputs!$B$3-100)*3)+Inputs!$B$28+Inputs!$B$29)))</f>
        <v/>
      </c>
      <c r="E325">
        <f>INDEX(FactorTable!$B$2:$Y$301, MATCH(ROUND(MIN(300,MAX(1,D325)),0), FactorTable!$A$2:$A$301,0), Skills!M3+1)</f>
        <v/>
      </c>
      <c r="F325">
        <f>IF(Skills!N3=TRUE,(Skills!L3/10)*(E325/1000),Skills!L3/10)+Skills!O3</f>
        <v/>
      </c>
      <c r="G325">
        <f>Skills!G3*IF(Skills!H3&gt;0,Skills!I3/Skills!H3,1)</f>
        <v/>
      </c>
      <c r="H325">
        <f>1-(1-Skills!J3/100)^Skills!K3</f>
        <v/>
      </c>
      <c r="I325" t="inlineStr">
        <is>
          <t>1</t>
        </is>
      </c>
      <c r="J325" t="inlineStr"/>
      <c r="K325" t="inlineStr"/>
      <c r="L325" t="inlineStr"/>
      <c r="M325" t="inlineStr"/>
      <c r="N325" t="inlineStr"/>
      <c r="O325" t="n">
        <v>0</v>
      </c>
      <c r="P325">
        <f>IF(B367=0,0,O325/B367)</f>
        <v/>
      </c>
      <c r="Q325" t="n">
        <v>0</v>
      </c>
      <c r="R325" t="n">
        <v>0</v>
      </c>
      <c r="S325">
        <f>IFERROR(O325/N325,0)</f>
        <v/>
      </c>
      <c r="U325">
        <f>INDEX(FactorTable!$B$2:$Y$301, MATCH(ROUND(MIN(300,MAX(1,U324)),0), FactorTable!$A$2:$A$301,0), 22)</f>
        <v/>
      </c>
    </row>
    <row r="326">
      <c r="A326">
        <f>Skills!A4</f>
        <v/>
      </c>
      <c r="B326">
        <f>Skills!B4</f>
        <v/>
      </c>
      <c r="C326">
        <f>Inputs!$B$3&gt;=66</f>
        <v/>
      </c>
      <c r="D326">
        <f>IF(Skills!C4=1,60+Inputs!$B$25+Inputs!$B$29,IF(Skills!C4=2,90+Inputs!$B$26+Inputs!$B$29,IF(Skills!C4=3,120+Inputs!$B$27+Inputs!$B$29,MAX(0,(Inputs!$B$3-100)*3)+Inputs!$B$28+Inputs!$B$29)))</f>
        <v/>
      </c>
      <c r="E326">
        <f>INDEX(FactorTable!$B$2:$Y$301, MATCH(ROUND(MIN(300,MAX(1,D326)),0), FactorTable!$A$2:$A$301,0), Skills!M4+1)</f>
        <v/>
      </c>
      <c r="F326">
        <f>IF(Skills!N4=TRUE,(Skills!L4/10)*(E326/1000),Skills!L4/10)+Skills!O4</f>
        <v/>
      </c>
      <c r="G326">
        <f>Skills!G4*IF(Skills!H4&gt;0,Skills!I4/Skills!H4,1)</f>
        <v/>
      </c>
      <c r="H326">
        <f>1-(1-Skills!J4/100)^Skills!K4</f>
        <v/>
      </c>
      <c r="I326" t="inlineStr">
        <is>
          <t>1</t>
        </is>
      </c>
      <c r="J326">
        <f>((Inputs!$B$6*(1+Inputs!$B$7/100))+(((Inputs!$B$12*(1+Inputs!$B$13/100))-(Inputs!$B$12*(1+Inputs!$B$13/100)))+0.25*(Inputs!$B$14-Inputs!$B$14))*(1+Inputs!$B$7/100))*(F326/100)</f>
        <v/>
      </c>
      <c r="K326">
        <f>J326*(1+((Inputs!$B$12*(1+Inputs!$B$13/100))*0.01+Inputs!$B$14*0.0025)/100)*(1+Inputs!$B$15/100)*(1+IF(Inputs!$B$39="pvp",0,(1-Summary!$B$55)*(Inputs!$B$20+0+Skills!P4+B356)+Summary!$B$55*((Inputs!$B$21+1)+Skills!Q4+B356))/100)*(1+Inputs!$B$16/100)*(5000/(6000+Inputs!$B$43*(1-Inputs!$B$19/100)))*(1+(Inputs!$B$24+((C352=TRUE)*(F352-Calc!F30)))/100)*(1+(IF(Skills!A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326)</f>
        <v/>
      </c>
      <c r="L326">
        <f>K326*(MIN(Inputs!$B$22+((C346=TRUE)*(F346-Calc!F24)),Inputs!$B$23+((C351=TRUE)*(F351-Calc!F29)))/100+(Inputs!$B$23+((C351=TRUE)*(F351-Calc!F29)))/100)/2</f>
        <v/>
      </c>
      <c r="M326">
        <f>L326*(1+(Inputs!$B$10+((C348=TRUE)*(F348-Calc!F26))+B362)/100)</f>
        <v/>
      </c>
      <c r="N326">
        <f>L326*(1-MIN((Inputs!$B$9+((C347=TRUE)*(F347-Calc!F25))+B355),100)/100)+M326*(MIN((Inputs!$B$9+((C347=TRUE)*(F347-Calc!F25))+B355),100)/100)</f>
        <v/>
      </c>
      <c r="O326">
        <f>IF(C326,H326*N326*IF(AND(Inputs!$B$39&lt;&gt;"pvp",Inputs!$B$44&gt;0),((Skills!G4*((R326-1)*IF(Skills!H4&gt;0,Skills!I4/Skills!H4,1)+IF(Skills!H4&gt;0,MIN(Skills!I4,MAX(0,MAX(0,Inputs!$B$44-B366)-((R326-1)*IF(Inputs!$B$39="pvp",15,MAX(0.1,Skills!D4-IF(Skills!E4=TRUE,Inputs!$B$32,0))))))/Skills!H4,1)))/Inputs!$B$44),G326*Q326)*IF(Inputs!$B$39="pvp",1,(1-Summary!$B$55)*(1)+Summary!$B$55*(MIN(MIN(10,0.5*B359*Skills!D4),Inputs!$B$37))),0)</f>
        <v/>
      </c>
      <c r="P326">
        <f>IF(B367=0,0,O326/B367)</f>
        <v/>
      </c>
      <c r="Q326">
        <f>IFERROR(1/IF(Inputs!$B$39="pvp",15,MAX(0.1,Skills!D4-IF(Skills!E4=TRUE,Inputs!$B$32,0))),0)</f>
        <v/>
      </c>
      <c r="R326">
        <f>IF(AND(Inputs!$B$39&lt;&gt;"pvp",Inputs!$B$44&gt;0),IF(MAX(0,Inputs!$B$44-B366)&lt;=0,0,(INT(MAX(0,Inputs!$B$44-B366)/IF(Inputs!$B$39="pvp",15,MAX(0.1,Skills!D4-IF(Skills!E4=TRUE,Inputs!$B$32,0))))+1)),0)</f>
        <v/>
      </c>
      <c r="S326">
        <f>IFERROR(O326/N326,0)</f>
        <v/>
      </c>
      <c r="U326">
        <f>290*U325/1000</f>
        <v/>
      </c>
    </row>
    <row r="327">
      <c r="A327">
        <f>Skills!A5</f>
        <v/>
      </c>
      <c r="B327">
        <f>Skills!B5</f>
        <v/>
      </c>
      <c r="C327">
        <f>Inputs!$B$3&gt;=63</f>
        <v/>
      </c>
      <c r="D327">
        <f>IF(Skills!C5=1,60+Inputs!$B$25+Inputs!$B$29,IF(Skills!C5=2,90+Inputs!$B$26+Inputs!$B$29,IF(Skills!C5=3,120+Inputs!$B$27+Inputs!$B$29,MAX(0,(Inputs!$B$3-100)*3)+Inputs!$B$28+Inputs!$B$29)))</f>
        <v/>
      </c>
      <c r="E327">
        <f>INDEX(FactorTable!$B$2:$Y$301, MATCH(ROUND(MIN(300,MAX(1,D327)),0), FactorTable!$A$2:$A$301,0), Skills!M5+1)</f>
        <v/>
      </c>
      <c r="F327">
        <f>IF(Skills!N5=TRUE,(Skills!L5/10)*(E327/1000),Skills!L5/10)+Skills!O5</f>
        <v/>
      </c>
      <c r="G327">
        <f>Skills!G5*IF(Skills!H5&gt;0,Skills!I5/Skills!H5,1)</f>
        <v/>
      </c>
      <c r="H327">
        <f>1-(1-Skills!J5/100)^Skills!K5</f>
        <v/>
      </c>
      <c r="I327" t="inlineStr">
        <is>
          <t>1</t>
        </is>
      </c>
      <c r="J327">
        <f>((Inputs!$B$6*(1+Inputs!$B$7/100))+(((Inputs!$B$12*(1+Inputs!$B$13/100))-(Inputs!$B$12*(1+Inputs!$B$13/100)))+0.25*(Inputs!$B$14-Inputs!$B$14))*(1+Inputs!$B$7/100))*(F327/100)</f>
        <v/>
      </c>
      <c r="K327">
        <f>J327*(1+((Inputs!$B$12*(1+Inputs!$B$13/100))*0.01+Inputs!$B$14*0.0025)/100)*(1+Inputs!$B$15/100)*(1+IF(Inputs!$B$39="pvp",0,(1-Summary!$B$55)*(Inputs!$B$20+0+Skills!P5+B356)+Summary!$B$55*((Inputs!$B$21+1)+Skills!Q5+B356))/100)*(1+Inputs!$B$16/100)*(5000/(6000+Inputs!$B$43*(1-Inputs!$B$19/100)))*(1+(Inputs!$B$24+((C352=TRUE)*(F352-Calc!F30)))/100)*(1+2.6666666666666665*IF(C340=TRUE,F340,0)/100)*(1+(IF(Skills!A5="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327)</f>
        <v/>
      </c>
      <c r="L327">
        <f>K327*(MIN(Inputs!$B$22+((C346=TRUE)*(F346-Calc!F24)),Inputs!$B$23+((C351=TRUE)*(F351-Calc!F29)))/100+(Inputs!$B$23+((C351=TRUE)*(F351-Calc!F29)))/100)/2</f>
        <v/>
      </c>
      <c r="M327">
        <f>L327*(1+(Inputs!$B$10+((C348=TRUE)*(F348-Calc!F26))+B362)/100)</f>
        <v/>
      </c>
      <c r="N327">
        <f>L327*(1-MIN((Inputs!$B$9+((C347=TRUE)*(F347-Calc!F25))+B355),100)/100)+M327*(MIN((Inputs!$B$9+((C347=TRUE)*(F347-Calc!F25))+B355),100)/100)</f>
        <v/>
      </c>
      <c r="O327">
        <f>IF(C327,H327*N327*IF(AND(Inputs!$B$39&lt;&gt;"pvp",Inputs!$B$44&gt;0),((Skills!G5*((R327-1)*IF(Skills!H5&gt;0,Skills!I5/Skills!H5,1)+IF(Skills!H5&gt;0,MIN(Skills!I5,MAX(0,MAX(0,Inputs!$B$44-B366)-((R327-1)*IF(Inputs!$B$39="pvp",15,MAX(0.1,Skills!D5-IF(Skills!E5=TRUE,Inputs!$B$32,0))))))/Skills!H5,1)))/Inputs!$B$44),G327*Q327)*IF(Inputs!$B$39="pvp",1,(1-Summary!$B$55)*(1)+Summary!$B$55*(MIN(Skills!W5,Inputs!$B$37))),0)</f>
        <v/>
      </c>
      <c r="P327">
        <f>IF(B367=0,0,O327/B367)</f>
        <v/>
      </c>
      <c r="Q327">
        <f>IFERROR(1/IF(Inputs!$B$39="pvp",15,MAX(0.1,Skills!D5-IF(Skills!E5=TRUE,Inputs!$B$32,0))),0)</f>
        <v/>
      </c>
      <c r="R327">
        <f>IF(AND(Inputs!$B$39&lt;&gt;"pvp",Inputs!$B$44&gt;0),IF(MAX(0,Inputs!$B$44-B366)&lt;=0,0,(INT(MAX(0,Inputs!$B$44-B366)/IF(Inputs!$B$39="pvp",15,MAX(0.1,Skills!D5-IF(Skills!E5=TRUE,Inputs!$B$32,0))))+1)),0)</f>
        <v/>
      </c>
      <c r="S327">
        <f>IFERROR(O327/N327,0)</f>
        <v/>
      </c>
    </row>
    <row r="328">
      <c r="A328">
        <f>Skills!A6</f>
        <v/>
      </c>
      <c r="B328">
        <f>Skills!B6</f>
        <v/>
      </c>
      <c r="C328">
        <f>Inputs!$B$3&gt;=69</f>
        <v/>
      </c>
      <c r="D328">
        <f>IF(Skills!C6=1,60+Inputs!$B$25+Inputs!$B$29,IF(Skills!C6=2,90+Inputs!$B$26+Inputs!$B$29,IF(Skills!C6=3,120+Inputs!$B$27+Inputs!$B$29,MAX(0,(Inputs!$B$3-100)*3)+Inputs!$B$28+Inputs!$B$29)))</f>
        <v/>
      </c>
      <c r="E328">
        <f>INDEX(FactorTable!$B$2:$Y$301, MATCH(ROUND(MIN(300,MAX(1,D328)),0), FactorTable!$A$2:$A$301,0), Skills!M6+1)</f>
        <v/>
      </c>
      <c r="F328">
        <f>IF(Skills!N6=TRUE,(Skills!L6/10)*(E328/1000),Skills!L6/10)+Skills!O6</f>
        <v/>
      </c>
      <c r="G328">
        <f>Skills!G6*IF(Skills!H6&gt;0,Skills!I6/Skills!H6,1)</f>
        <v/>
      </c>
      <c r="H328">
        <f>1-(1-Skills!J6/100)^Skills!K6</f>
        <v/>
      </c>
      <c r="I328" t="inlineStr">
        <is>
          <t>1</t>
        </is>
      </c>
      <c r="J328">
        <f>((Inputs!$B$6*(1+Inputs!$B$7/100))+(((Inputs!$B$12*(1+Inputs!$B$13/100))-(Inputs!$B$12*(1+Inputs!$B$13/100)))+0.25*(Inputs!$B$14-Inputs!$B$14))*(1+Inputs!$B$7/100))*(F328/100)</f>
        <v/>
      </c>
      <c r="K328">
        <f>J328*(1+((Inputs!$B$12*(1+Inputs!$B$13/100))*0.01+Inputs!$B$14*0.0025)/100)*(1+Inputs!$B$15/100)*(1+IF(Inputs!$B$39="pvp",0,(1-Summary!$B$55)*(Inputs!$B$20+0+Skills!P6+B356)+Summary!$B$55*((Inputs!$B$21+1)+Skills!Q6+B356))/100)*(1+Inputs!$B$16/100)*(5000/(6000+Inputs!$B$43*(1-Inputs!$B$19/100)))*(1+(Inputs!$B$24+((C352=TRUE)*(F352-Calc!F30)))/100)*(1+1.0*IF(C340=TRUE,F340,0)/100)*(1+(IF(Skills!A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328)</f>
        <v/>
      </c>
      <c r="L328">
        <f>K328*(MIN(Inputs!$B$22+((C346=TRUE)*(F346-Calc!F24)),Inputs!$B$23+((C351=TRUE)*(F351-Calc!F29)))/100+(Inputs!$B$23+((C351=TRUE)*(F351-Calc!F29)))/100)/2</f>
        <v/>
      </c>
      <c r="M328">
        <f>L328*(1+(Inputs!$B$10+((C348=TRUE)*(F348-Calc!F26))+B362)/100)</f>
        <v/>
      </c>
      <c r="N328">
        <f>L328*(1-MIN((Inputs!$B$9+((C347=TRUE)*(F347-Calc!F25))+B355),100)/100)+M328*(MIN((Inputs!$B$9+((C347=TRUE)*(F347-Calc!F25))+B355),100)/100)</f>
        <v/>
      </c>
      <c r="O328">
        <f>IF(C328,H328*N328*IF(AND(Inputs!$B$39&lt;&gt;"pvp",Inputs!$B$44&gt;0),((Skills!G6*((R328-1)*IF(Skills!H6&gt;0,Skills!I6/Skills!H6,1)+IF(Skills!H6&gt;0,MIN(Skills!I6,MAX(0,MAX(0,Inputs!$B$44-B366)-((R328-1)*IF(Inputs!$B$39="pvp",15,MAX(0.1,Skills!D6-IF(Skills!E6=TRUE,Inputs!$B$32,0))))))/Skills!H6,1)))/Inputs!$B$44),G328*Q328)*IF(Inputs!$B$39="pvp",1,(1-Summary!$B$55)*(1)+Summary!$B$55*(MIN(Skills!W6,Inputs!$B$37))),0)</f>
        <v/>
      </c>
      <c r="P328">
        <f>IF(B367=0,0,O328/B367)</f>
        <v/>
      </c>
      <c r="Q328">
        <f>IFERROR(1/IF(Inputs!$B$39="pvp",15,MAX(0.1,Skills!D6-IF(Skills!E6=TRUE,Inputs!$B$32,0))),0)</f>
        <v/>
      </c>
      <c r="R328">
        <f>IF(AND(Inputs!$B$39&lt;&gt;"pvp",Inputs!$B$44&gt;0),IF(MAX(0,Inputs!$B$44-B366)&lt;=0,0,(INT(MAX(0,Inputs!$B$44-B366)/IF(Inputs!$B$39="pvp",15,MAX(0.1,Skills!D6-IF(Skills!E6=TRUE,Inputs!$B$32,0))))+1)),0)</f>
        <v/>
      </c>
      <c r="S328">
        <f>IFERROR(O328/N328,0)</f>
        <v/>
      </c>
    </row>
    <row r="329">
      <c r="A329">
        <f>Skills!A7</f>
        <v/>
      </c>
      <c r="B329">
        <f>Skills!B7</f>
        <v/>
      </c>
      <c r="C329">
        <f>Inputs!$B$3&gt;=60</f>
        <v/>
      </c>
      <c r="D329">
        <f>IF(Skills!C7=1,60+Inputs!$B$25+Inputs!$B$29,IF(Skills!C7=2,90+Inputs!$B$26+Inputs!$B$29,IF(Skills!C7=3,120+Inputs!$B$27+Inputs!$B$29,MAX(0,(Inputs!$B$3-100)*3)+Inputs!$B$28+Inputs!$B$29)))</f>
        <v/>
      </c>
      <c r="E329">
        <f>INDEX(FactorTable!$B$2:$Y$301, MATCH(ROUND(MIN(300,MAX(1,D329)),0), FactorTable!$A$2:$A$301,0), Skills!M7+1)</f>
        <v/>
      </c>
      <c r="F329">
        <f>IF(Skills!N7=TRUE,(Skills!L7/10)*(E329/1000),Skills!L7/10)+Skills!O7</f>
        <v/>
      </c>
      <c r="G329">
        <f>Skills!G7*IF(Skills!H7&gt;0,Skills!I7/Skills!H7,1)</f>
        <v/>
      </c>
      <c r="H329">
        <f>1-(1-Skills!J7/100)^Skills!K7</f>
        <v/>
      </c>
      <c r="I329" t="inlineStr">
        <is>
          <t>1</t>
        </is>
      </c>
      <c r="J329" t="inlineStr"/>
      <c r="K329" t="inlineStr"/>
      <c r="L329" t="inlineStr"/>
      <c r="M329" t="inlineStr"/>
      <c r="N329" t="inlineStr"/>
      <c r="O329" t="n">
        <v>0</v>
      </c>
      <c r="P329">
        <f>IF(B367=0,0,O329/B367)</f>
        <v/>
      </c>
      <c r="Q329" t="n">
        <v>0</v>
      </c>
      <c r="R329" t="n">
        <v>0</v>
      </c>
      <c r="S329">
        <f>IFERROR(O329/N329,0)</f>
        <v/>
      </c>
    </row>
    <row r="330">
      <c r="A330">
        <f>Skills!A8</f>
        <v/>
      </c>
      <c r="B330">
        <f>Skills!B8</f>
        <v/>
      </c>
      <c r="C330">
        <f>Inputs!$B$3&gt;=72</f>
        <v/>
      </c>
      <c r="D330">
        <f>IF(Skills!C8=1,60+Inputs!$B$25+Inputs!$B$29,IF(Skills!C8=2,90+Inputs!$B$26+Inputs!$B$29,IF(Skills!C8=3,120+Inputs!$B$27+Inputs!$B$29,MAX(0,(Inputs!$B$3-100)*3)+Inputs!$B$28+Inputs!$B$29)))</f>
        <v/>
      </c>
      <c r="E330">
        <f>INDEX(FactorTable!$B$2:$Y$301, MATCH(ROUND(MIN(300,MAX(1,D330)),0), FactorTable!$A$2:$A$301,0), Skills!M8+1)</f>
        <v/>
      </c>
      <c r="F330">
        <f>IF(Skills!N8=TRUE,(Skills!L8/10)*(E330/1000),Skills!L8/10)+Skills!O8</f>
        <v/>
      </c>
      <c r="G330">
        <f>Skills!G8*IF(Skills!H8&gt;0,Skills!I8/Skills!H8,1)</f>
        <v/>
      </c>
      <c r="H330">
        <f>1-(1-Skills!J8/100)^Skills!K8</f>
        <v/>
      </c>
      <c r="I330" t="inlineStr">
        <is>
          <t>1</t>
        </is>
      </c>
      <c r="J330">
        <f>((Inputs!$B$6*(1+Inputs!$B$7/100))+(((Inputs!$B$12*(1+Inputs!$B$13/100))-(Inputs!$B$12*(1+Inputs!$B$13/100)))+0.25*(Inputs!$B$14-Inputs!$B$14))*(1+Inputs!$B$7/100))*(F330/100)</f>
        <v/>
      </c>
      <c r="K330">
        <f>J330*(1+((Inputs!$B$12*(1+Inputs!$B$13/100))*0.01+Inputs!$B$14*0.0025)/100)*(1+Inputs!$B$15/100)*(1+IF(Inputs!$B$39="pvp",0,(1-Summary!$B$55)*(Inputs!$B$20+0+Skills!P8+B356)+Summary!$B$55*((Inputs!$B$21+1)+Skills!Q8+B356))/100)*(1+Inputs!$B$16/100)*(5000/(6000+Inputs!$B$43*(1-Inputs!$B$19/100)))*(1+(Inputs!$B$24+((C352=TRUE)*(F352-Calc!F30)))/100)*(1+3.3333333333333335*IF(C340=TRUE,F340,0)/100)*(1+(IF(Skills!A8="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330)</f>
        <v/>
      </c>
      <c r="L330">
        <f>K330*(MIN(Inputs!$B$22+((C346=TRUE)*(F346-Calc!F24)),Inputs!$B$23+((C351=TRUE)*(F351-Calc!F29)))/100+(Inputs!$B$23+((C351=TRUE)*(F351-Calc!F29)))/100)/2</f>
        <v/>
      </c>
      <c r="M330">
        <f>L330*(1+(Inputs!$B$10+((C348=TRUE)*(F348-Calc!F26))+B362)/100)</f>
        <v/>
      </c>
      <c r="N330">
        <f>L330*(1-MIN((Inputs!$B$9+((C347=TRUE)*(F347-Calc!F25))+B355),100)/100)+M330*(MIN((Inputs!$B$9+((C347=TRUE)*(F347-Calc!F25))+B355),100)/100)</f>
        <v/>
      </c>
      <c r="O330">
        <f>IF(C330,H330*N330*IF(AND(Inputs!$B$39&lt;&gt;"pvp",Inputs!$B$44&gt;0),((Skills!G8*((R330-1)*IF(Skills!H8&gt;0,Skills!I8/Skills!H8,1)+IF(Skills!H8&gt;0,MIN(Skills!I8,MAX(0,MAX(0,Inputs!$B$44-B366)-((R330-1)*IF(Inputs!$B$39="pvp",15,MAX(0.1,Skills!D8-IF(Skills!E8=TRUE,Inputs!$B$32,0))))))/Skills!H8,1)))/Inputs!$B$44),G330*Q330)*IF(Inputs!$B$39="pvp",1,(1-Summary!$B$55)*(1)+Summary!$B$55*(MIN(Skills!W8,Inputs!$B$37))),0)</f>
        <v/>
      </c>
      <c r="P330">
        <f>IF(B367=0,0,O330/B367)</f>
        <v/>
      </c>
      <c r="Q330">
        <f>IFERROR(1/IF(Inputs!$B$39="pvp",15,MAX(0.1,Skills!D8-IF(Skills!E8=TRUE,Inputs!$B$32,0))),0)</f>
        <v/>
      </c>
      <c r="R330">
        <f>IF(AND(Inputs!$B$39&lt;&gt;"pvp",Inputs!$B$44&gt;0),IF(MAX(0,Inputs!$B$44-B366)&lt;=0,0,(INT(MAX(0,Inputs!$B$44-B366)/IF(Inputs!$B$39="pvp",15,MAX(0.1,Skills!D8-IF(Skills!E8=TRUE,Inputs!$B$32,0))))+1)),0)</f>
        <v/>
      </c>
      <c r="S330">
        <f>IFERROR(O330/N330,0)</f>
        <v/>
      </c>
    </row>
    <row r="331">
      <c r="A331">
        <f>Skills!A9</f>
        <v/>
      </c>
      <c r="B331">
        <f>Skills!B9</f>
        <v/>
      </c>
      <c r="C331">
        <f>Inputs!$B$3&gt;=117</f>
        <v/>
      </c>
      <c r="D331">
        <f>IF(Skills!C9=1,60+Inputs!$B$25+Inputs!$B$29,IF(Skills!C9=2,90+Inputs!$B$26+Inputs!$B$29,IF(Skills!C9=3,120+Inputs!$B$27+Inputs!$B$29,MAX(0,(Inputs!$B$3-100)*3)+Inputs!$B$28+Inputs!$B$29)))</f>
        <v/>
      </c>
      <c r="E331">
        <f>INDEX(FactorTable!$B$2:$Y$301, MATCH(ROUND(MIN(300,MAX(1,D331)),0), FactorTable!$A$2:$A$301,0), Skills!M9+1)</f>
        <v/>
      </c>
      <c r="F331">
        <f>IF(Skills!N9=TRUE,(Skills!L9/10)*(E331/1000),Skills!L9/10)+Skills!O9</f>
        <v/>
      </c>
      <c r="G331">
        <f>Skills!G9*IF(Skills!H9&gt;0,Skills!I9/Skills!H9,1)</f>
        <v/>
      </c>
      <c r="H331">
        <f>1-(1-Skills!J9/100)^Skills!K9</f>
        <v/>
      </c>
      <c r="I331" t="inlineStr">
        <is>
          <t>1</t>
        </is>
      </c>
      <c r="J331">
        <f>((Inputs!$B$6*(1+Inputs!$B$7/100))+(((Inputs!$B$12*(1+Inputs!$B$13/100))-(Inputs!$B$12*(1+Inputs!$B$13/100)))+0.25*(Inputs!$B$14-Inputs!$B$14))*(1+Inputs!$B$7/100))*(F331/100)</f>
        <v/>
      </c>
      <c r="K331">
        <f>J331*(1+((Inputs!$B$12*(1+Inputs!$B$13/100))*0.01+Inputs!$B$14*0.0025)/100)*(1+Inputs!$B$15/100)*(1+IF(Inputs!$B$39="pvp",0,(1-Summary!$B$55)*(Inputs!$B$20+0+Skills!P9+B356)+Summary!$B$55*((Inputs!$B$21+1)+Skills!Q9+B356))/100)*(1+Inputs!$B$16/100)*(5000/(6000+Inputs!$B$43*(1-Inputs!$B$19/100)))*(1+(Inputs!$B$24+((C352=TRUE)*(F352-Calc!F30)))/100)*(1+(IF(Skills!A9="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331)</f>
        <v/>
      </c>
      <c r="L331">
        <f>K331*(MIN(Inputs!$B$22+((C346=TRUE)*(F346-Calc!F24)),Inputs!$B$23+((C351=TRUE)*(F351-Calc!F29)))/100+(Inputs!$B$23+((C351=TRUE)*(F351-Calc!F29)))/100)/2</f>
        <v/>
      </c>
      <c r="M331">
        <f>L331*(1+(Inputs!$B$10+((C348=TRUE)*(F348-Calc!F26))+B362)/100)</f>
        <v/>
      </c>
      <c r="N331">
        <f>L331*(1-MIN((Inputs!$B$9+((C347=TRUE)*(F347-Calc!F25))+B355),100)/100)+M331*(MIN((Inputs!$B$9+((C347=TRUE)*(F347-Calc!F25))+B355),100)/100)</f>
        <v/>
      </c>
      <c r="O331">
        <f>IF(C331,0.2*SUMPRODUCT((Skills!Z2:Z30=TRUE)*(C324:C352=TRUE)*S324:S352)*N331,0)</f>
        <v/>
      </c>
      <c r="P331">
        <f>IF(B367=0,0,O331/B367)</f>
        <v/>
      </c>
      <c r="Q331" t="n">
        <v>0</v>
      </c>
      <c r="R331" t="n">
        <v>0</v>
      </c>
      <c r="S331" t="n">
        <v>0</v>
      </c>
    </row>
    <row r="332">
      <c r="A332">
        <f>Skills!A10</f>
        <v/>
      </c>
      <c r="B332">
        <f>Skills!B10</f>
        <v/>
      </c>
      <c r="C332">
        <f>Inputs!$B$3&gt;=74</f>
        <v/>
      </c>
      <c r="D332">
        <f>IF(Skills!C10=1,60+Inputs!$B$25+Inputs!$B$29,IF(Skills!C10=2,90+Inputs!$B$26+Inputs!$B$29,IF(Skills!C10=3,120+Inputs!$B$27+Inputs!$B$29,MAX(0,(Inputs!$B$3-100)*3)+Inputs!$B$28+Inputs!$B$29)))</f>
        <v/>
      </c>
      <c r="E332">
        <f>INDEX(FactorTable!$B$2:$Y$301, MATCH(ROUND(MIN(300,MAX(1,D332)),0), FactorTable!$A$2:$A$301,0), Skills!M10+1)</f>
        <v/>
      </c>
      <c r="F332">
        <f>IF(Skills!N10=TRUE,(Skills!L10/10)*(E332/1000),Skills!L10/10)+Skills!O10</f>
        <v/>
      </c>
      <c r="G332">
        <f>Skills!G10*IF(Skills!H10&gt;0,Skills!I10/Skills!H10,1)</f>
        <v/>
      </c>
      <c r="H332">
        <f>1-(1-Skills!J10/100)^Skills!K10</f>
        <v/>
      </c>
      <c r="I332" t="inlineStr">
        <is>
          <t>1</t>
        </is>
      </c>
      <c r="J332" t="inlineStr"/>
      <c r="K332" t="inlineStr"/>
      <c r="L332" t="inlineStr"/>
      <c r="M332" t="inlineStr"/>
      <c r="N332" t="inlineStr"/>
      <c r="O332" t="n">
        <v>0</v>
      </c>
      <c r="P332">
        <f>IF(B367=0,0,O332/B367)</f>
        <v/>
      </c>
      <c r="Q332">
        <f>IFERROR(1/IF(Inputs!$B$39="pvp",15,MAX(0.1,Skills!D10-IF(Skills!E10=TRUE,Inputs!$B$32,0))),0)</f>
        <v/>
      </c>
      <c r="R332">
        <f>IF(AND(Inputs!$B$39&lt;&gt;"pvp",Inputs!$B$44&gt;0),IF(Inputs!$B$44&lt;=0,0,(INT(Inputs!$B$44/IF(Inputs!$B$39="pvp",15,MAX(0.1,Skills!D10-IF(Skills!E10=TRUE,Inputs!$B$32,0))))+1)),0)</f>
        <v/>
      </c>
      <c r="S332">
        <f>IFERROR(O332/N332,0)</f>
        <v/>
      </c>
    </row>
    <row r="333">
      <c r="A333">
        <f>Skills!A11</f>
        <v/>
      </c>
      <c r="B333">
        <f>Skills!B11</f>
        <v/>
      </c>
      <c r="C333">
        <f>Inputs!$B$3&gt;=103</f>
        <v/>
      </c>
      <c r="D333">
        <f>IF(Skills!C11=1,60+Inputs!$B$25+Inputs!$B$29,IF(Skills!C11=2,90+Inputs!$B$26+Inputs!$B$29,IF(Skills!C11=3,120+Inputs!$B$27+Inputs!$B$29,MAX(0,(Inputs!$B$3-100)*3)+Inputs!$B$28+Inputs!$B$29)))</f>
        <v/>
      </c>
      <c r="E333">
        <f>INDEX(FactorTable!$B$2:$Y$301, MATCH(ROUND(MIN(300,MAX(1,D333)),0), FactorTable!$A$2:$A$301,0), Skills!M11+1)</f>
        <v/>
      </c>
      <c r="F333">
        <f>(Skills!L11/10)*(E333/1000)+IF(Inputs!$B$3&gt;=134,50,0)+0.5*(30000/10)*(INDEX(FactorTable!$B$2:$Y$301, MATCH(ROUND(MIN(300,MAX(1,D333)),0), FactorTable!$A$2:$A$301,0), 13)/1000)*B365</f>
        <v/>
      </c>
      <c r="G333">
        <f>Skills!G11*IF(Skills!H11&gt;0,Skills!I11/Skills!H11,1)</f>
        <v/>
      </c>
      <c r="H333">
        <f>1-(1-Skills!J11/100)^Skills!K11</f>
        <v/>
      </c>
      <c r="I333" t="inlineStr">
        <is>
          <t>1</t>
        </is>
      </c>
      <c r="J333">
        <f>((Inputs!$B$6*(1+Inputs!$B$7/100))+(((Inputs!$B$12*(1+Inputs!$B$13/100))-(Inputs!$B$12*(1+Inputs!$B$13/100)))+0.25*(Inputs!$B$14-Inputs!$B$14))*(1+Inputs!$B$7/100))*(F333/100)</f>
        <v/>
      </c>
      <c r="K333">
        <f>J333*(1+((Inputs!$B$12*(1+Inputs!$B$13/100))*0.01+Inputs!$B$14*0.0025)/100)*(1+Inputs!$B$15/100)*(1+IF(Inputs!$B$39="pvp",0,(1-Summary!$B$55)*(Inputs!$B$20+0+Skills!P11+B356)+Summary!$B$55*((Inputs!$B$21+1)+Skills!Q11+B356))/100)*(1+Inputs!$B$16/100)*(5000/(6000+Inputs!$B$43*(1-Inputs!$B$19/100)))*(1+(Inputs!$B$24+((C352=TRUE)*(F352-Calc!F30)))/100)*(1+(IF(Skills!A11="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333)</f>
        <v/>
      </c>
      <c r="L333">
        <f>K333*(MIN(Inputs!$B$22+((C346=TRUE)*(F346-Calc!F24)),Inputs!$B$23+((C351=TRUE)*(F351-Calc!F29)))/100+(Inputs!$B$23+((C351=TRUE)*(F351-Calc!F29)))/100)/2</f>
        <v/>
      </c>
      <c r="M333">
        <f>L333*(1+(Inputs!$B$10+((C348=TRUE)*(F348-Calc!F26))+B362)/100)</f>
        <v/>
      </c>
      <c r="N333">
        <f>L333*(1-MIN((Inputs!$B$9+((C347=TRUE)*(F347-Calc!F25))+B355),100)/100)+M333*(MIN((Inputs!$B$9+((C347=TRUE)*(F347-Calc!F25))+B355),100)/100)</f>
        <v/>
      </c>
      <c r="O333">
        <f>IF(C333,H333*N333*IF(AND(Inputs!$B$39&lt;&gt;"pvp",Inputs!$B$44&gt;0),((Skills!G11*((R333-1)*IF(Skills!H11&gt;0,Skills!I11/Skills!H11,1)+IF(Skills!H11&gt;0,MIN(Skills!I11,MAX(0,MAX(0,Inputs!$B$44-B366)-((R333-1)*IF(Inputs!$B$39="pvp",15,MAX(0.1,Skills!D11-IF(Skills!E11=TRUE,Inputs!$B$32,0))))))/Skills!H11,1)))/Inputs!$B$44),G333*Q333)*IF(Inputs!$B$39="pvp",1,(1-Summary!$B$55)*(1)+Summary!$B$55*(MIN(Skills!W11,Inputs!$B$37))),0)</f>
        <v/>
      </c>
      <c r="P333">
        <f>IF(B367=0,0,O333/B367)</f>
        <v/>
      </c>
      <c r="Q333">
        <f>IFERROR(1/IF(Inputs!$B$39="pvp",15,MAX(0.1,Skills!D11-IF(Skills!E11=TRUE,Inputs!$B$32,0))),0)</f>
        <v/>
      </c>
      <c r="R333">
        <f>IF(AND(Inputs!$B$39&lt;&gt;"pvp",Inputs!$B$44&gt;0),IF(MAX(0,Inputs!$B$44-B366)&lt;=0,0,(INT(MAX(0,Inputs!$B$44-B366)/IF(Inputs!$B$39="pvp",15,MAX(0.1,Skills!D11-IF(Skills!E11=TRUE,Inputs!$B$32,0))))+1)),0)</f>
        <v/>
      </c>
      <c r="S333">
        <f>IFERROR(O333/N333,0)</f>
        <v/>
      </c>
    </row>
    <row r="334">
      <c r="A334">
        <f>Skills!A12</f>
        <v/>
      </c>
      <c r="B334">
        <f>Skills!B12</f>
        <v/>
      </c>
      <c r="C334">
        <f>Inputs!$B$3&gt;=105</f>
        <v/>
      </c>
      <c r="D334">
        <f>IF(Skills!C12=1,60+Inputs!$B$25+Inputs!$B$29,IF(Skills!C12=2,90+Inputs!$B$26+Inputs!$B$29,IF(Skills!C12=3,120+Inputs!$B$27+Inputs!$B$29,MAX(0,(Inputs!$B$3-100)*3)+Inputs!$B$28+Inputs!$B$29)))</f>
        <v/>
      </c>
      <c r="E334">
        <f>INDEX(FactorTable!$B$2:$Y$301, MATCH(ROUND(MIN(300,MAX(1,D334)),0), FactorTable!$A$2:$A$301,0), Skills!M12+1)</f>
        <v/>
      </c>
      <c r="F334">
        <f>IF(Skills!N12=TRUE,(Skills!L12/10)*(E334/1000),Skills!L12/10)+Skills!O12</f>
        <v/>
      </c>
      <c r="G334">
        <f>Skills!G12*IF(Skills!H12&gt;0,Skills!I12/Skills!H12,1)</f>
        <v/>
      </c>
      <c r="H334">
        <f>1-(1-Skills!J12/100)^Skills!K12</f>
        <v/>
      </c>
      <c r="I334" t="inlineStr">
        <is>
          <t>1</t>
        </is>
      </c>
      <c r="J334">
        <f>((Inputs!$B$6*(1+Inputs!$B$7/100))+(((Inputs!$B$12*(1+Inputs!$B$13/100))-(Inputs!$B$12*(1+Inputs!$B$13/100)))+0.25*(Inputs!$B$14-Inputs!$B$14))*(1+Inputs!$B$7/100))*(F334/100)</f>
        <v/>
      </c>
      <c r="K334">
        <f>J334*(1+((Inputs!$B$12*(1+Inputs!$B$13/100))*0.01+Inputs!$B$14*0.0025)/100)*(1+Inputs!$B$15/100)*(1+IF(Inputs!$B$39="pvp",0,(1-Summary!$B$55)*(Inputs!$B$20+0+Skills!P12+B356)+Summary!$B$55*((Inputs!$B$21+1)+Skills!Q12+B356))/100)*(1+Inputs!$B$16/100)*(5000/(6000+Inputs!$B$43*(1-Inputs!$B$19/100)))*(1+(Inputs!$B$24+((C352=TRUE)*(F352-Calc!F30)))/100)*(1+(IF(Skills!A12="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334)</f>
        <v/>
      </c>
      <c r="L334">
        <f>K334*(MIN(Inputs!$B$22+((C346=TRUE)*(F346-Calc!F24)),Inputs!$B$23+((C351=TRUE)*(F351-Calc!F29)))/100+(Inputs!$B$23+((C351=TRUE)*(F351-Calc!F29)))/100)/2</f>
        <v/>
      </c>
      <c r="M334">
        <f>L334*(1+(Inputs!$B$10+((C348=TRUE)*(F348-Calc!F26))+B362)/100)</f>
        <v/>
      </c>
      <c r="N334">
        <f>L334*(1-MIN((Inputs!$B$9+((C347=TRUE)*(F347-Calc!F25))+B355),100)/100)+M334*(MIN((Inputs!$B$9+((C347=TRUE)*(F347-Calc!F25))+B355),100)/100)</f>
        <v/>
      </c>
      <c r="O334">
        <f>IF(C334,H334*N334*IF(AND(Inputs!$B$39&lt;&gt;"pvp",Inputs!$B$44&gt;0),((Skills!G12*((R334-1)*IF(Skills!H12&gt;0,Skills!I12/Skills!H12,1)+IF(Skills!H12&gt;0,MIN(Skills!I12,MAX(0,MAX(0,Inputs!$B$44-B366)-((R334-1)*IF(Inputs!$B$39="pvp",15,MAX(0.1,Skills!D12-IF(Skills!E12=TRUE,Inputs!$B$32,0))))))/Skills!H12,1)))/Inputs!$B$44),G334*Q334)*IF(Inputs!$B$39="pvp",1,(1-Summary!$B$55)*(1)+Summary!$B$55*(MIN(Skills!W12,Inputs!$B$37))),0)</f>
        <v/>
      </c>
      <c r="P334">
        <f>IF(B367=0,0,O334/B367)</f>
        <v/>
      </c>
      <c r="Q334">
        <f>IFERROR(1/IF(Inputs!$B$39="pvp",15,MAX(0.1,Skills!D12-IF(Skills!E12=TRUE,Inputs!$B$32,0))),0)</f>
        <v/>
      </c>
      <c r="R334">
        <f>IF(AND(Inputs!$B$39&lt;&gt;"pvp",Inputs!$B$44&gt;0),IF(MAX(0,Inputs!$B$44-B366)&lt;=0,0,(INT(MAX(0,Inputs!$B$44-B366)/IF(Inputs!$B$39="pvp",15,MAX(0.1,Skills!D12-IF(Skills!E12=TRUE,Inputs!$B$32,0))))+1)),0)</f>
        <v/>
      </c>
      <c r="S334">
        <f>IFERROR(O334/N334,0)</f>
        <v/>
      </c>
    </row>
    <row r="335">
      <c r="A335">
        <f>Skills!A13</f>
        <v/>
      </c>
      <c r="B335">
        <f>Skills!B13</f>
        <v/>
      </c>
      <c r="C335">
        <f>Inputs!$B$3&gt;=105</f>
        <v/>
      </c>
      <c r="D335">
        <f>IF(Skills!C13=1,60+Inputs!$B$25+Inputs!$B$29,IF(Skills!C13=2,90+Inputs!$B$26+Inputs!$B$29,IF(Skills!C13=3,120+Inputs!$B$27+Inputs!$B$29,MAX(0,(Inputs!$B$3-100)*3)+Inputs!$B$28+Inputs!$B$29)))</f>
        <v/>
      </c>
      <c r="E335">
        <f>INDEX(FactorTable!$B$2:$Y$301, MATCH(ROUND(MIN(300,MAX(1,D335)),0), FactorTable!$A$2:$A$301,0), Skills!M13+1)</f>
        <v/>
      </c>
      <c r="F335">
        <f>IF(Skills!N13=TRUE,(Skills!L13/10)*(E335/1000),Skills!L13/10)+Skills!O13</f>
        <v/>
      </c>
      <c r="G335">
        <f>Skills!G13*IF(Skills!H13&gt;0,Skills!I13/Skills!H13,1)</f>
        <v/>
      </c>
      <c r="H335">
        <f>1-(1-Skills!J13/100)^Skills!K13</f>
        <v/>
      </c>
      <c r="I335" t="inlineStr">
        <is>
          <t>1</t>
        </is>
      </c>
      <c r="J335">
        <f>((Inputs!$B$6*(1+Inputs!$B$7/100))+(((Inputs!$B$12*(1+Inputs!$B$13/100))-(Inputs!$B$12*(1+Inputs!$B$13/100)))+0.25*(Inputs!$B$14-Inputs!$B$14))*(1+Inputs!$B$7/100))*(F335/100)</f>
        <v/>
      </c>
      <c r="K335">
        <f>J335*(1+((Inputs!$B$12*(1+Inputs!$B$13/100))*0.01+Inputs!$B$14*0.0025)/100)*(1+Inputs!$B$15/100)*(1+IF(Inputs!$B$39="pvp",0,(1-Summary!$B$55)*(Inputs!$B$20+0+Skills!P13+B356)+Summary!$B$55*((Inputs!$B$21+1)+Skills!Q13+B356))/100)*(1+Inputs!$B$16/100)*(5000/(6000+Inputs!$B$43*(1-Inputs!$B$19/100)))*(1+(Inputs!$B$24+((C352=TRUE)*(F352-Calc!F30)))/100)*(1+(IF(Skills!A13="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335)</f>
        <v/>
      </c>
      <c r="L335">
        <f>K335*(MIN(Inputs!$B$22+((C346=TRUE)*(F346-Calc!F24)),Inputs!$B$23+((C351=TRUE)*(F351-Calc!F29)))/100+(Inputs!$B$23+((C351=TRUE)*(F351-Calc!F29)))/100)/2</f>
        <v/>
      </c>
      <c r="M335">
        <f>L335*(1+(Inputs!$B$10+((C348=TRUE)*(F348-Calc!F26))+B362)/100)</f>
        <v/>
      </c>
      <c r="N335">
        <f>L335*(1-MIN((Inputs!$B$9+((C347=TRUE)*(F347-Calc!F25))+B355),100)/100)+M335*(MIN((Inputs!$B$9+((C347=TRUE)*(F347-Calc!F25))+B355),100)/100)</f>
        <v/>
      </c>
      <c r="O335">
        <f>IF(C335,H335*N335*IF(AND(Inputs!$B$39&lt;&gt;"pvp",Inputs!$B$44&gt;0),((Skills!G13*((R335-1)*IF(Skills!H13&gt;0,Skills!I13/Skills!H13,1)+IF(Skills!H13&gt;0,MIN(Skills!I13,MAX(0,MAX(0,Inputs!$B$44-B366)-((R335-1)*IF(Inputs!$B$39="pvp",15,MAX(0.1,Skills!D13-IF(Skills!E13=TRUE,Inputs!$B$32,0))))))/Skills!H13,1)))/Inputs!$B$44),G335*Q335)*IF(Inputs!$B$39="pvp",1,(1-Summary!$B$55)*(1)+Summary!$B$55*(MIN(Skills!W13,Inputs!$B$37))),0)</f>
        <v/>
      </c>
      <c r="P335">
        <f>IF(B367=0,0,O335/B367)</f>
        <v/>
      </c>
      <c r="Q335">
        <f>IFERROR(1/IF(Inputs!$B$39="pvp",15,MAX(0.1,Skills!D13-IF(Skills!E13=TRUE,Inputs!$B$32,0))),0)</f>
        <v/>
      </c>
      <c r="R335">
        <f>IF(AND(Inputs!$B$39&lt;&gt;"pvp",Inputs!$B$44&gt;0),IF(MAX(0,Inputs!$B$44-B366)&lt;=0,0,(INT(MAX(0,Inputs!$B$44-B366)/IF(Inputs!$B$39="pvp",15,MAX(0.1,Skills!D13-IF(Skills!E13=TRUE,Inputs!$B$32,0))))+1)),0)</f>
        <v/>
      </c>
      <c r="S335">
        <f>IFERROR(O335/N335,0)</f>
        <v/>
      </c>
    </row>
    <row r="336">
      <c r="A336">
        <f>Skills!A14</f>
        <v/>
      </c>
      <c r="B336">
        <f>Skills!B14</f>
        <v/>
      </c>
      <c r="C336">
        <f>Inputs!$B$3&gt;=107</f>
        <v/>
      </c>
      <c r="D336">
        <f>IF(Skills!C14=1,60+Inputs!$B$25+Inputs!$B$29,IF(Skills!C14=2,90+Inputs!$B$26+Inputs!$B$29,IF(Skills!C14=3,120+Inputs!$B$27+Inputs!$B$29,MAX(0,(Inputs!$B$3-100)*3)+Inputs!$B$28+Inputs!$B$29)))</f>
        <v/>
      </c>
      <c r="E336">
        <f>INDEX(FactorTable!$B$2:$Y$301, MATCH(ROUND(MIN(300,MAX(1,D336)),0), FactorTable!$A$2:$A$301,0), Skills!M14+1)</f>
        <v/>
      </c>
      <c r="F336">
        <f>IF(Skills!N14=TRUE,(Skills!L14/10)*(E336/1000),Skills!L14/10)+Skills!O14</f>
        <v/>
      </c>
      <c r="G336">
        <f>Skills!G14*IF(Skills!H14&gt;0,Skills!I14/Skills!H14,1)</f>
        <v/>
      </c>
      <c r="H336">
        <f>1-(1-Skills!J14/100)^Skills!K14</f>
        <v/>
      </c>
      <c r="I336" t="inlineStr">
        <is>
          <t>1</t>
        </is>
      </c>
      <c r="J336">
        <f>((Inputs!$B$6*(1+Inputs!$B$7/100))+(((Inputs!$B$12*(1+Inputs!$B$13/100))-(Inputs!$B$12*(1+Inputs!$B$13/100)))+0.25*(Inputs!$B$14-Inputs!$B$14))*(1+Inputs!$B$7/100))*(F336/100)</f>
        <v/>
      </c>
      <c r="K336">
        <f>J336*(1+((Inputs!$B$12*(1+Inputs!$B$13/100))*0.01+Inputs!$B$14*0.0025)/100)*(1+Inputs!$B$15/100)*(1+IF(Inputs!$B$39="pvp",0,(1-Summary!$B$55)*(Inputs!$B$20+0+Skills!P14+B356)+Summary!$B$55*((Inputs!$B$21+1)+Skills!Q14+B356))/100)*(1+Inputs!$B$16/100)*(5000/(6000+Inputs!$B$43*(1-Inputs!$B$19/100)))*(1+(Inputs!$B$24+((C352=TRUE)*(F352-Calc!F30)))/100)*(1+(IF(Skills!A14="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336)</f>
        <v/>
      </c>
      <c r="L336">
        <f>K336*(MIN(Inputs!$B$22+((C346=TRUE)*(F346-Calc!F24)),Inputs!$B$23+((C351=TRUE)*(F351-Calc!F29)))/100+(Inputs!$B$23+((C351=TRUE)*(F351-Calc!F29)))/100)/2</f>
        <v/>
      </c>
      <c r="M336">
        <f>L336*(1+(Inputs!$B$10+((C348=TRUE)*(F348-Calc!F26))+B362)/100)</f>
        <v/>
      </c>
      <c r="N336">
        <f>L336*(1-MIN((Inputs!$B$9+((C347=TRUE)*(F347-Calc!F25))+B355),100)/100)+M336*(MIN((Inputs!$B$9+((C347=TRUE)*(F347-Calc!F25))+B355),100)/100)</f>
        <v/>
      </c>
      <c r="O336">
        <f>IF(C336,H336*N336*IF(AND(Inputs!$B$39&lt;&gt;"pvp",Inputs!$B$44&gt;0),((Skills!G14*((R336-1)*IF(Skills!H14&gt;0,Skills!I14/Skills!H14,1)+IF(Skills!H14&gt;0,MIN(Skills!I14,MAX(0,MAX(0,Inputs!$B$44-B366)-((R336-1)*IF(Inputs!$B$39="pvp",15,MAX(0.1,Skills!D14-IF(Skills!E14=TRUE,Inputs!$B$32,0))))))/Skills!H14,1)))/Inputs!$B$44),G336*Q336)*IF(Inputs!$B$39="pvp",1,(1-Summary!$B$55)*(1)+Summary!$B$55*(MIN(MIN(5,0.25*B359*Skills!D4)*Skills!V14,Inputs!$B$37))),0)</f>
        <v/>
      </c>
      <c r="P336">
        <f>IF(B367=0,0,O336/B367)</f>
        <v/>
      </c>
      <c r="Q336">
        <f>IFERROR(1/IF(Inputs!$B$39="pvp",15,MAX(0.1,Skills!D14-IF(Skills!E14=TRUE,Inputs!$B$32,0))),0)</f>
        <v/>
      </c>
      <c r="R336">
        <f>IF(AND(Inputs!$B$39&lt;&gt;"pvp",Inputs!$B$44&gt;0),IF(MAX(0,Inputs!$B$44-B366)&lt;=0,0,(INT(MAX(0,Inputs!$B$44-B366)/IF(Inputs!$B$39="pvp",15,MAX(0.1,Skills!D14-IF(Skills!E14=TRUE,Inputs!$B$32,0))))+1)),0)</f>
        <v/>
      </c>
      <c r="S336">
        <f>IFERROR(O336/N336,0)</f>
        <v/>
      </c>
    </row>
    <row r="337">
      <c r="A337">
        <f>Skills!A15</f>
        <v/>
      </c>
      <c r="B337">
        <f>Skills!B15</f>
        <v/>
      </c>
      <c r="C337">
        <f>Inputs!$B$3&gt;=110</f>
        <v/>
      </c>
      <c r="D337">
        <f>IF(Skills!C15=1,60+Inputs!$B$25+Inputs!$B$29,IF(Skills!C15=2,90+Inputs!$B$26+Inputs!$B$29,IF(Skills!C15=3,120+Inputs!$B$27+Inputs!$B$29,MAX(0,(Inputs!$B$3-100)*3)+Inputs!$B$28+Inputs!$B$29)))</f>
        <v/>
      </c>
      <c r="E337">
        <f>INDEX(FactorTable!$B$2:$Y$301, MATCH(ROUND(MIN(300,MAX(1,D337)),0), FactorTable!$A$2:$A$301,0), Skills!M15+1)</f>
        <v/>
      </c>
      <c r="F337">
        <f>IF(Skills!N15=TRUE,(Skills!L15/10)*(E337/1000),Skills!L15/10)+Skills!O15</f>
        <v/>
      </c>
      <c r="G337">
        <f>Skills!G15*IF(Skills!H15&gt;0,Skills!I15/Skills!H15,1)</f>
        <v/>
      </c>
      <c r="H337">
        <f>1-(1-Skills!J15/100)^Skills!K15</f>
        <v/>
      </c>
      <c r="I337" t="inlineStr">
        <is>
          <t>1</t>
        </is>
      </c>
      <c r="J337" t="inlineStr"/>
      <c r="K337" t="inlineStr"/>
      <c r="L337" t="inlineStr"/>
      <c r="M337" t="inlineStr"/>
      <c r="N337" t="inlineStr"/>
      <c r="O337" t="n">
        <v>0</v>
      </c>
      <c r="P337">
        <f>IF(B367=0,0,O337/B367)</f>
        <v/>
      </c>
      <c r="Q337">
        <f>IFERROR(1/IF(Inputs!$B$39="pvp",15,MAX(0.1,Skills!D15-IF(Skills!E15=TRUE,Inputs!$B$32,0))),0)</f>
        <v/>
      </c>
      <c r="R337">
        <f>IF(AND(Inputs!$B$39&lt;&gt;"pvp",Inputs!$B$44&gt;0),IF(Inputs!$B$44&lt;=0,0,(INT(Inputs!$B$44/IF(Inputs!$B$39="pvp",15,MAX(0.1,Skills!D15-IF(Skills!E15=TRUE,Inputs!$B$32,0))))+1)),0)</f>
        <v/>
      </c>
      <c r="S337">
        <f>IFERROR(O337/N337,0)</f>
        <v/>
      </c>
    </row>
    <row r="338">
      <c r="A338">
        <f>Skills!A16</f>
        <v/>
      </c>
      <c r="B338">
        <f>Skills!B16</f>
        <v/>
      </c>
      <c r="C338">
        <f>Inputs!$B$3&gt;=115</f>
        <v/>
      </c>
      <c r="D338">
        <f>IF(Skills!C16=1,60+Inputs!$B$25+Inputs!$B$29,IF(Skills!C16=2,90+Inputs!$B$26+Inputs!$B$29,IF(Skills!C16=3,120+Inputs!$B$27+Inputs!$B$29,MAX(0,(Inputs!$B$3-100)*3)+Inputs!$B$28+Inputs!$B$29)))</f>
        <v/>
      </c>
      <c r="E338">
        <f>INDEX(FactorTable!$B$2:$Y$301, MATCH(ROUND(MIN(300,MAX(1,D338)),0), FactorTable!$A$2:$A$301,0), Skills!M16+1)</f>
        <v/>
      </c>
      <c r="F338">
        <f>IF(Skills!N16=TRUE,(Skills!L16/10)*(E338/1000),Skills!L16/10)+Skills!O16</f>
        <v/>
      </c>
      <c r="G338">
        <f>Skills!G16*IF(Skills!H16&gt;0,Skills!I16/Skills!H16,1)</f>
        <v/>
      </c>
      <c r="H338">
        <f>1-(1-Skills!J16/100)^Skills!K16</f>
        <v/>
      </c>
      <c r="I338" t="inlineStr">
        <is>
          <t>1</t>
        </is>
      </c>
      <c r="J338">
        <f>((Inputs!$B$6*(1+Inputs!$B$7/100))+(((Inputs!$B$12*(1+Inputs!$B$13/100))-(Inputs!$B$12*(1+Inputs!$B$13/100)))+0.25*(Inputs!$B$14-Inputs!$B$14))*(1+Inputs!$B$7/100))*(F338/100)</f>
        <v/>
      </c>
      <c r="K338">
        <f>J338*(1+((Inputs!$B$12*(1+Inputs!$B$13/100))*0.01+Inputs!$B$14*0.0025)/100)*(1+Inputs!$B$15/100)*(1+IF(Inputs!$B$39="pvp",0,(1-Summary!$B$55)*(Inputs!$B$20+0+Skills!P16+B356)+Summary!$B$55*((Inputs!$B$21+1)+Skills!Q16+B356))/100)*(1+Inputs!$B$16/100)*(5000/(6000+Inputs!$B$43*(1-Inputs!$B$19/100)))*(1+(Inputs!$B$24+((C352=TRUE)*(F352-Calc!F30)))/100)*(1+(IF(Skills!A16="CRUEL_STAB",Inputs!$B$17+((C349=TRUE)*(F349-Calc!F27)),Inputs!$B$18+((C350=TRUE)*(F350-Calc!F28))))/100)*(((1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B357*I338)</f>
        <v/>
      </c>
      <c r="L338">
        <f>K338*(MIN(Inputs!$B$22+((C346=TRUE)*(F346-Calc!F24)),Inputs!$B$23+((C351=TRUE)*(F351-Calc!F29)))/100+(Inputs!$B$23+((C351=TRUE)*(F351-Calc!F29)))/100)/2</f>
        <v/>
      </c>
      <c r="M338">
        <f>L338*(1+(Inputs!$B$10+((C348=TRUE)*(F348-Calc!F26))+B362)/100)</f>
        <v/>
      </c>
      <c r="N338">
        <f>L338*(1-MIN((Inputs!$B$9+((C347=TRUE)*(F347-Calc!F25))+B355),100)/100)+M338*(MIN((Inputs!$B$9+((C347=TRUE)*(F347-Calc!F25))+B355),100)/100)</f>
        <v/>
      </c>
      <c r="O338">
        <f>IF(C338,Inputs!$B$38*0.2*N338,0)</f>
        <v/>
      </c>
      <c r="P338">
        <f>IF(B367=0,0,O338/B367)</f>
        <v/>
      </c>
      <c r="Q338" t="n">
        <v>0</v>
      </c>
      <c r="R338" t="n">
        <v>0</v>
      </c>
      <c r="S338">
        <f>IFERROR(O338/N338,0)</f>
        <v/>
      </c>
    </row>
    <row r="339">
      <c r="A339">
        <f>Skills!A17</f>
        <v/>
      </c>
      <c r="B339">
        <f>Skills!B17</f>
        <v/>
      </c>
      <c r="C339">
        <f>Inputs!$B$3&gt;=115</f>
        <v/>
      </c>
      <c r="D339">
        <f>IF(Skills!C17=1,60+Inputs!$B$25+Inputs!$B$29,IF(Skills!C17=2,90+Inputs!$B$26+Inputs!$B$29,IF(Skills!C17=3,120+Inputs!$B$27+Inputs!$B$29,MAX(0,(Inputs!$B$3-100)*3)+Inputs!$B$28+Inputs!$B$29)))</f>
        <v/>
      </c>
      <c r="E339">
        <f>INDEX(FactorTable!$B$2:$Y$301, MATCH(ROUND(MIN(300,MAX(1,D339)),0), FactorTable!$A$2:$A$301,0), Skills!M17+1)</f>
        <v/>
      </c>
      <c r="F339">
        <f>IF(Skills!N17=TRUE,(Skills!L17/10)*(E339/1000),Skills!L17/10)+Skills!O17</f>
        <v/>
      </c>
      <c r="G339">
        <f>Skills!G17*IF(Skills!H17&gt;0,Skills!I17/Skills!H17,1)</f>
        <v/>
      </c>
      <c r="H339">
        <f>1-(1-Skills!J17/100)^Skills!K17</f>
        <v/>
      </c>
      <c r="I339" t="inlineStr">
        <is>
          <t>1</t>
        </is>
      </c>
      <c r="J339" t="inlineStr"/>
      <c r="K339" t="inlineStr"/>
      <c r="L339" t="inlineStr"/>
      <c r="M339" t="inlineStr"/>
      <c r="N339" t="inlineStr"/>
      <c r="O339" t="n">
        <v>0</v>
      </c>
      <c r="P339">
        <f>IF(B367=0,0,O339/B367)</f>
        <v/>
      </c>
      <c r="Q339" t="n">
        <v>0</v>
      </c>
      <c r="R339" t="n">
        <v>0</v>
      </c>
      <c r="S339">
        <f>IFERROR(O339/N339,0)</f>
        <v/>
      </c>
    </row>
    <row r="340">
      <c r="A340">
        <f>Skills!A18</f>
        <v/>
      </c>
      <c r="B340">
        <f>Skills!B18</f>
        <v/>
      </c>
      <c r="C340">
        <f>Inputs!$B$3&gt;=100</f>
        <v/>
      </c>
      <c r="D340">
        <f>IF(Skills!C18=1,60+Inputs!$B$25+Inputs!$B$29,IF(Skills!C18=2,90+Inputs!$B$26+Inputs!$B$29,IF(Skills!C18=3,120+Inputs!$B$27+Inputs!$B$29,MAX(0,(Inputs!$B$3-100)*3)+Inputs!$B$28+Inputs!$B$29)))</f>
        <v/>
      </c>
      <c r="E340">
        <f>INDEX(FactorTable!$B$2:$Y$301, MATCH(ROUND(MIN(300,MAX(1,D340)),0), FactorTable!$A$2:$A$301,0), Skills!M18+1)</f>
        <v/>
      </c>
      <c r="F340">
        <f>IF(Skills!N18=TRUE,(Skills!L18/10)*(E340/1000),Skills!L18/10)+Skills!O18</f>
        <v/>
      </c>
      <c r="G340">
        <f>Skills!G18*IF(Skills!H18&gt;0,Skills!I18/Skills!H18,1)</f>
        <v/>
      </c>
      <c r="H340">
        <f>1-(1-Skills!J18/100)^Skills!K18</f>
        <v/>
      </c>
      <c r="I340" t="inlineStr">
        <is>
          <t>1</t>
        </is>
      </c>
      <c r="J340" t="inlineStr"/>
      <c r="K340" t="inlineStr"/>
      <c r="L340" t="inlineStr"/>
      <c r="M340" t="inlineStr"/>
      <c r="N340" t="inlineStr"/>
      <c r="O340" t="n">
        <v>0</v>
      </c>
      <c r="P340">
        <f>IF(B367=0,0,O340/B367)</f>
        <v/>
      </c>
      <c r="Q340" t="n">
        <v>0</v>
      </c>
      <c r="R340" t="n">
        <v>0</v>
      </c>
      <c r="S340">
        <f>IFERROR(O340/N340,0)</f>
        <v/>
      </c>
    </row>
    <row r="341">
      <c r="A341">
        <f>Skills!A19</f>
        <v/>
      </c>
      <c r="B341">
        <f>Skills!B19</f>
        <v/>
      </c>
      <c r="C341">
        <f>TRUE</f>
        <v/>
      </c>
      <c r="D341">
        <f>IF(Skills!C19=1,60+Inputs!$B$25+Inputs!$B$29,IF(Skills!C19=2,90+Inputs!$B$26+Inputs!$B$29,IF(Skills!C19=3,120+Inputs!$B$27+Inputs!$B$29,MAX(0,(Inputs!$B$3-100)*3)+Inputs!$B$28+Inputs!$B$29)))</f>
        <v/>
      </c>
      <c r="E341">
        <f>INDEX(FactorTable!$B$2:$Y$301, MATCH(ROUND(MIN(300,MAX(1,D341)),0), FactorTable!$A$2:$A$301,0), Skills!M19+1)</f>
        <v/>
      </c>
      <c r="F341">
        <f>IF(Skills!N19=TRUE,(Skills!L19/10)*(E341/1000),Skills!L19/10)+Skills!O19</f>
        <v/>
      </c>
      <c r="G341">
        <f>Skills!G19*IF(Skills!H19&gt;0,Skills!I19/Skills!H19,1)</f>
        <v/>
      </c>
      <c r="H341">
        <f>1-(1-Skills!J19/100)^Skills!K19</f>
        <v/>
      </c>
      <c r="I341" t="inlineStr">
        <is>
          <t>1</t>
        </is>
      </c>
      <c r="J341" t="inlineStr"/>
      <c r="K341" t="inlineStr"/>
      <c r="L341" t="inlineStr"/>
      <c r="M341" t="inlineStr"/>
      <c r="N341" t="inlineStr"/>
      <c r="O341" t="n">
        <v>0</v>
      </c>
      <c r="P341">
        <f>IF(B367=0,0,O341/B367)</f>
        <v/>
      </c>
      <c r="Q341">
        <f>IFERROR(1/IF(Inputs!$B$39="pvp",15,MAX(0.1,Skills!D19-IF(Skills!E19=TRUE,Inputs!$B$32,0))),0)</f>
        <v/>
      </c>
      <c r="R341">
        <f>IF(AND(Inputs!$B$39&lt;&gt;"pvp",Inputs!$B$44&gt;0),IF(Inputs!$B$44&lt;=0,0,(INT(Inputs!$B$44/IF(Inputs!$B$39="pvp",15,MAX(0.1,Skills!D19-IF(Skills!E19=TRUE,Inputs!$B$32,0))))+1)),0)</f>
        <v/>
      </c>
      <c r="S341">
        <f>IFERROR(O341/N341,0)</f>
        <v/>
      </c>
    </row>
    <row r="342">
      <c r="A342">
        <f>Skills!A20</f>
        <v/>
      </c>
      <c r="B342">
        <f>Skills!B20</f>
        <v/>
      </c>
      <c r="C342">
        <f>Inputs!$B$3&gt;=15</f>
        <v/>
      </c>
      <c r="D342">
        <f>IF(Skills!C20=1,60+Inputs!$B$25+Inputs!$B$29,IF(Skills!C20=2,90+Inputs!$B$26+Inputs!$B$29,IF(Skills!C20=3,120+Inputs!$B$27+Inputs!$B$29,MAX(0,(Inputs!$B$3-100)*3)+Inputs!$B$28+Inputs!$B$29)))</f>
        <v/>
      </c>
      <c r="E342">
        <f>INDEX(FactorTable!$B$2:$Y$301, MATCH(ROUND(MIN(300,MAX(1,D342)),0), FactorTable!$A$2:$A$301,0), Skills!M20+1)</f>
        <v/>
      </c>
      <c r="F342">
        <f>IF(Skills!N20=TRUE,(Skills!L20/10)*(E342/1000),Skills!L20/10)+Skills!O20</f>
        <v/>
      </c>
      <c r="G342">
        <f>Skills!G20*IF(Skills!H20&gt;0,Skills!I20/Skills!H20,1)</f>
        <v/>
      </c>
      <c r="H342">
        <f>1-(1-Skills!J20/100)^Skills!K20</f>
        <v/>
      </c>
      <c r="I342" t="inlineStr">
        <is>
          <t>1</t>
        </is>
      </c>
      <c r="J342" t="inlineStr"/>
      <c r="K342" t="inlineStr"/>
      <c r="L342" t="inlineStr"/>
      <c r="M342" t="inlineStr"/>
      <c r="N342" t="inlineStr"/>
      <c r="O342" t="n">
        <v>0</v>
      </c>
      <c r="P342">
        <f>IF(B367=0,0,O342/B367)</f>
        <v/>
      </c>
      <c r="Q342">
        <f>IFERROR(1/IF(Inputs!$B$39="pvp",15,MAX(0.1,Skills!D20-IF(Skills!E20=TRUE,Inputs!$B$32,0))),0)</f>
        <v/>
      </c>
      <c r="R342">
        <f>IF(AND(Inputs!$B$39&lt;&gt;"pvp",Inputs!$B$44&gt;0),IF(Inputs!$B$44&lt;=0,0,(INT(Inputs!$B$44/IF(Inputs!$B$39="pvp",15,MAX(0.1,Skills!D20-IF(Skills!E20=TRUE,Inputs!$B$32,0))))+1)),0)</f>
        <v/>
      </c>
      <c r="S342">
        <f>IFERROR(O342/N342,0)</f>
        <v/>
      </c>
    </row>
    <row r="343">
      <c r="A343">
        <f>Skills!A21</f>
        <v/>
      </c>
      <c r="B343">
        <f>Skills!B21</f>
        <v/>
      </c>
      <c r="C343">
        <f>Inputs!$B$3&gt;=15</f>
        <v/>
      </c>
      <c r="D343">
        <f>IF(Skills!C21=1,60+Inputs!$B$25+Inputs!$B$29,IF(Skills!C21=2,90+Inputs!$B$26+Inputs!$B$29,IF(Skills!C21=3,120+Inputs!$B$27+Inputs!$B$29,MAX(0,(Inputs!$B$3-100)*3)+Inputs!$B$28+Inputs!$B$29)))</f>
        <v/>
      </c>
      <c r="E343">
        <f>INDEX(FactorTable!$B$2:$Y$301, MATCH(ROUND(MIN(300,MAX(1,D343)),0), FactorTable!$A$2:$A$301,0), Skills!M21+1)</f>
        <v/>
      </c>
      <c r="F343">
        <f>IF(Skills!N21=TRUE,(Skills!L21/10)*(E343/1000),Skills!L21/10)+Skills!O21</f>
        <v/>
      </c>
      <c r="G343">
        <f>Skills!G21*IF(Skills!H21&gt;0,Skills!I21/Skills!H21,1)</f>
        <v/>
      </c>
      <c r="H343">
        <f>1-(1-Skills!J21/100)^Skills!K21</f>
        <v/>
      </c>
      <c r="I343" t="inlineStr">
        <is>
          <t>1</t>
        </is>
      </c>
      <c r="J343" t="inlineStr"/>
      <c r="K343" t="inlineStr"/>
      <c r="L343" t="inlineStr"/>
      <c r="M343" t="inlineStr"/>
      <c r="N343" t="inlineStr"/>
      <c r="O343" t="n">
        <v>0</v>
      </c>
      <c r="P343">
        <f>IF(B367=0,0,O343/B367)</f>
        <v/>
      </c>
      <c r="Q343">
        <f>IFERROR(1/IF(Inputs!$B$39="pvp",15,MAX(0.1,Skills!D21-IF(Skills!E21=TRUE,Inputs!$B$32,0))),0)</f>
        <v/>
      </c>
      <c r="R343">
        <f>IF(AND(Inputs!$B$39&lt;&gt;"pvp",Inputs!$B$44&gt;0),IF(Inputs!$B$44&lt;=0,0,(INT(Inputs!$B$44/IF(Inputs!$B$39="pvp",15,MAX(0.1,Skills!D21-IF(Skills!E21=TRUE,Inputs!$B$32,0))))+1)),0)</f>
        <v/>
      </c>
      <c r="S343">
        <f>IFERROR(O343/N343,0)</f>
        <v/>
      </c>
    </row>
    <row r="344">
      <c r="A344">
        <f>Skills!A22</f>
        <v/>
      </c>
      <c r="B344">
        <f>Skills!B22</f>
        <v/>
      </c>
      <c r="C344">
        <f>Inputs!$B$3&gt;=33</f>
        <v/>
      </c>
      <c r="D344">
        <f>IF(Skills!C22=1,60+Inputs!$B$25+Inputs!$B$29,IF(Skills!C22=2,90+Inputs!$B$26+Inputs!$B$29,IF(Skills!C22=3,120+Inputs!$B$27+Inputs!$B$29,MAX(0,(Inputs!$B$3-100)*3)+Inputs!$B$28+Inputs!$B$29)))</f>
        <v/>
      </c>
      <c r="E344">
        <f>INDEX(FactorTable!$B$2:$Y$301, MATCH(ROUND(MIN(300,MAX(1,D344)),0), FactorTable!$A$2:$A$301,0), Skills!M22+1)</f>
        <v/>
      </c>
      <c r="F344">
        <f>IF(Skills!N22=TRUE,(Skills!L22/10)*(E344/1000),Skills!L22/10)+Skills!O22</f>
        <v/>
      </c>
      <c r="G344">
        <f>Skills!G22*IF(Skills!H22&gt;0,Skills!I22/Skills!H22,1)</f>
        <v/>
      </c>
      <c r="H344">
        <f>1-(1-Skills!J22/100)^Skills!K22</f>
        <v/>
      </c>
      <c r="I344" t="inlineStr">
        <is>
          <t>1</t>
        </is>
      </c>
      <c r="J344" t="inlineStr"/>
      <c r="K344" t="inlineStr"/>
      <c r="L344" t="inlineStr"/>
      <c r="M344" t="inlineStr"/>
      <c r="N344" t="inlineStr"/>
      <c r="O344" t="n">
        <v>0</v>
      </c>
      <c r="P344">
        <f>IF(B367=0,0,O344/B367)</f>
        <v/>
      </c>
      <c r="Q344" t="n">
        <v>0</v>
      </c>
      <c r="R344" t="n">
        <v>0</v>
      </c>
      <c r="S344">
        <f>IFERROR(O344/N344,0)</f>
        <v/>
      </c>
    </row>
    <row r="345">
      <c r="A345">
        <f>Skills!A23</f>
        <v/>
      </c>
      <c r="B345">
        <f>Skills!B23</f>
        <v/>
      </c>
      <c r="C345">
        <f>Inputs!$B$3&gt;=40</f>
        <v/>
      </c>
      <c r="D345">
        <f>IF(Skills!C23=1,60+Inputs!$B$25+Inputs!$B$29,IF(Skills!C23=2,90+Inputs!$B$26+Inputs!$B$29,IF(Skills!C23=3,120+Inputs!$B$27+Inputs!$B$29,MAX(0,(Inputs!$B$3-100)*3)+Inputs!$B$28+Inputs!$B$29)))</f>
        <v/>
      </c>
      <c r="E345">
        <f>INDEX(FactorTable!$B$2:$Y$301, MATCH(ROUND(MIN(300,MAX(1,D345)),0), FactorTable!$A$2:$A$301,0), Skills!M23+1)</f>
        <v/>
      </c>
      <c r="F345">
        <f>IF(Skills!N23=TRUE,(Skills!L23/10)*(E345/1000),Skills!L23/10)+Skills!O23</f>
        <v/>
      </c>
      <c r="G345">
        <f>Skills!G23*IF(Skills!H23&gt;0,Skills!I23/Skills!H23,1)</f>
        <v/>
      </c>
      <c r="H345">
        <f>1-(1-Skills!J23/100)^Skills!K23</f>
        <v/>
      </c>
      <c r="I345" t="inlineStr">
        <is>
          <t>1</t>
        </is>
      </c>
      <c r="J345" t="inlineStr"/>
      <c r="K345" t="inlineStr"/>
      <c r="L345" t="inlineStr"/>
      <c r="M345" t="inlineStr"/>
      <c r="N345" t="inlineStr"/>
      <c r="O345" t="n">
        <v>0</v>
      </c>
      <c r="P345">
        <f>IF(B367=0,0,O345/B367)</f>
        <v/>
      </c>
      <c r="Q345" t="n">
        <v>0</v>
      </c>
      <c r="R345" t="n">
        <v>0</v>
      </c>
      <c r="S345">
        <f>IFERROR(O345/N345,0)</f>
        <v/>
      </c>
    </row>
    <row r="346">
      <c r="A346">
        <f>Skills!A24</f>
        <v/>
      </c>
      <c r="B346">
        <f>Skills!B24</f>
        <v/>
      </c>
      <c r="C346">
        <f>Inputs!$B$3&gt;=43</f>
        <v/>
      </c>
      <c r="D346">
        <f>IF(Skills!C24=1,60+Inputs!$B$25+Inputs!$B$29,IF(Skills!C24=2,90+Inputs!$B$26+Inputs!$B$29,IF(Skills!C24=3,120+Inputs!$B$27+Inputs!$B$29,MAX(0,(Inputs!$B$3-100)*3)+Inputs!$B$28+Inputs!$B$29)))</f>
        <v/>
      </c>
      <c r="E346">
        <f>INDEX(FactorTable!$B$2:$Y$301, MATCH(ROUND(MIN(300,MAX(1,D346)),0), FactorTable!$A$2:$A$301,0), Skills!M24+1)</f>
        <v/>
      </c>
      <c r="F346">
        <f>IF(Skills!N24=TRUE,(Skills!L24/10)*(E346/1000),Skills!L24/10)+Skills!O24</f>
        <v/>
      </c>
      <c r="G346">
        <f>Skills!G24*IF(Skills!H24&gt;0,Skills!I24/Skills!H24,1)</f>
        <v/>
      </c>
      <c r="H346">
        <f>1-(1-Skills!J24/100)^Skills!K24</f>
        <v/>
      </c>
      <c r="I346" t="inlineStr">
        <is>
          <t>1</t>
        </is>
      </c>
      <c r="J346" t="inlineStr"/>
      <c r="K346" t="inlineStr"/>
      <c r="L346" t="inlineStr"/>
      <c r="M346" t="inlineStr"/>
      <c r="N346" t="inlineStr"/>
      <c r="O346" t="n">
        <v>0</v>
      </c>
      <c r="P346">
        <f>IF(B367=0,0,O346/B367)</f>
        <v/>
      </c>
      <c r="Q346" t="n">
        <v>0</v>
      </c>
      <c r="R346" t="n">
        <v>0</v>
      </c>
      <c r="S346">
        <f>IFERROR(O346/N346,0)</f>
        <v/>
      </c>
    </row>
    <row r="347">
      <c r="A347">
        <f>Skills!A25</f>
        <v/>
      </c>
      <c r="B347">
        <f>Skills!B25</f>
        <v/>
      </c>
      <c r="C347">
        <f>Inputs!$B$3&gt;=50</f>
        <v/>
      </c>
      <c r="D347">
        <f>IF(Skills!C25=1,60+Inputs!$B$25+Inputs!$B$29,IF(Skills!C25=2,90+Inputs!$B$26+Inputs!$B$29,IF(Skills!C25=3,120+Inputs!$B$27+Inputs!$B$29,MAX(0,(Inputs!$B$3-100)*3)+Inputs!$B$28+Inputs!$B$29)))</f>
        <v/>
      </c>
      <c r="E347">
        <f>INDEX(FactorTable!$B$2:$Y$301, MATCH(ROUND(MIN(300,MAX(1,D347)),0), FactorTable!$A$2:$A$301,0), Skills!M25+1)</f>
        <v/>
      </c>
      <c r="F347">
        <f>IF(Skills!N25=TRUE,(Skills!L25/10)*(E347/1000),Skills!L25/10)+Skills!O25</f>
        <v/>
      </c>
      <c r="G347">
        <f>Skills!G25*IF(Skills!H25&gt;0,Skills!I25/Skills!H25,1)</f>
        <v/>
      </c>
      <c r="H347">
        <f>1-(1-Skills!J25/100)^Skills!K25</f>
        <v/>
      </c>
      <c r="I347" t="inlineStr">
        <is>
          <t>1</t>
        </is>
      </c>
      <c r="J347" t="inlineStr"/>
      <c r="K347" t="inlineStr"/>
      <c r="L347" t="inlineStr"/>
      <c r="M347" t="inlineStr"/>
      <c r="N347" t="inlineStr"/>
      <c r="O347" t="n">
        <v>0</v>
      </c>
      <c r="P347">
        <f>IF(B367=0,0,O347/B367)</f>
        <v/>
      </c>
      <c r="Q347" t="n">
        <v>0</v>
      </c>
      <c r="R347" t="n">
        <v>0</v>
      </c>
      <c r="S347">
        <f>IFERROR(O347/N347,0)</f>
        <v/>
      </c>
    </row>
    <row r="348">
      <c r="A348">
        <f>Skills!A26</f>
        <v/>
      </c>
      <c r="B348">
        <f>Skills!B26</f>
        <v/>
      </c>
      <c r="C348">
        <f>Inputs!$B$3&gt;=50</f>
        <v/>
      </c>
      <c r="D348">
        <f>IF(Skills!C26=1,60+Inputs!$B$25+Inputs!$B$29,IF(Skills!C26=2,90+Inputs!$B$26+Inputs!$B$29,IF(Skills!C26=3,120+Inputs!$B$27+Inputs!$B$29,MAX(0,(Inputs!$B$3-100)*3)+Inputs!$B$28+Inputs!$B$29)))</f>
        <v/>
      </c>
      <c r="E348">
        <f>INDEX(FactorTable!$B$2:$Y$301, MATCH(ROUND(MIN(300,MAX(1,D348)),0), FactorTable!$A$2:$A$301,0), Skills!M26+1)</f>
        <v/>
      </c>
      <c r="F348">
        <f>IF(Skills!N26=TRUE,(Skills!L26/10)*(E348/1000),Skills!L26/10)+Skills!O26</f>
        <v/>
      </c>
      <c r="G348">
        <f>Skills!G26*IF(Skills!H26&gt;0,Skills!I26/Skills!H26,1)</f>
        <v/>
      </c>
      <c r="H348">
        <f>1-(1-Skills!J26/100)^Skills!K26</f>
        <v/>
      </c>
      <c r="I348" t="inlineStr">
        <is>
          <t>1</t>
        </is>
      </c>
      <c r="J348" t="inlineStr"/>
      <c r="K348" t="inlineStr"/>
      <c r="L348" t="inlineStr"/>
      <c r="M348" t="inlineStr"/>
      <c r="N348" t="inlineStr"/>
      <c r="O348" t="n">
        <v>0</v>
      </c>
      <c r="P348">
        <f>IF(B367=0,0,O348/B367)</f>
        <v/>
      </c>
      <c r="Q348" t="n">
        <v>0</v>
      </c>
      <c r="R348" t="n">
        <v>0</v>
      </c>
      <c r="S348">
        <f>IFERROR(O348/N348,0)</f>
        <v/>
      </c>
    </row>
    <row r="349">
      <c r="A349">
        <f>Skills!A27</f>
        <v/>
      </c>
      <c r="B349">
        <f>Skills!B27</f>
        <v/>
      </c>
      <c r="C349">
        <f>Inputs!$B$3&gt;=38</f>
        <v/>
      </c>
      <c r="D349">
        <f>IF(Skills!C27=1,60+Inputs!$B$25+Inputs!$B$29,IF(Skills!C27=2,90+Inputs!$B$26+Inputs!$B$29,IF(Skills!C27=3,120+Inputs!$B$27+Inputs!$B$29,MAX(0,(Inputs!$B$3-100)*3)+Inputs!$B$28+Inputs!$B$29)))</f>
        <v/>
      </c>
      <c r="E349">
        <f>INDEX(FactorTable!$B$2:$Y$301, MATCH(ROUND(MIN(300,MAX(1,D349)),0), FactorTable!$A$2:$A$301,0), Skills!M27+1)</f>
        <v/>
      </c>
      <c r="F349">
        <f>IF(Skills!N27=TRUE,(Skills!L27/10)*(E349/1000),Skills!L27/10)+Skills!O27</f>
        <v/>
      </c>
      <c r="G349">
        <f>Skills!G27*IF(Skills!H27&gt;0,Skills!I27/Skills!H27,1)</f>
        <v/>
      </c>
      <c r="H349">
        <f>1-(1-Skills!J27/100)^Skills!K27</f>
        <v/>
      </c>
      <c r="I349" t="inlineStr">
        <is>
          <t>1</t>
        </is>
      </c>
      <c r="J349" t="inlineStr"/>
      <c r="K349" t="inlineStr"/>
      <c r="L349" t="inlineStr"/>
      <c r="M349" t="inlineStr"/>
      <c r="N349" t="inlineStr"/>
      <c r="O349" t="n">
        <v>0</v>
      </c>
      <c r="P349">
        <f>IF(B367=0,0,O349/B367)</f>
        <v/>
      </c>
      <c r="Q349" t="n">
        <v>0</v>
      </c>
      <c r="R349" t="n">
        <v>0</v>
      </c>
      <c r="S349">
        <f>IFERROR(O349/N349,0)</f>
        <v/>
      </c>
    </row>
    <row r="350">
      <c r="A350">
        <f>Skills!A28</f>
        <v/>
      </c>
      <c r="B350">
        <f>Skills!B28</f>
        <v/>
      </c>
      <c r="C350">
        <f>Inputs!$B$3&gt;=120</f>
        <v/>
      </c>
      <c r="D350">
        <f>IF(Skills!C28=1,60+Inputs!$B$25+Inputs!$B$29,IF(Skills!C28=2,90+Inputs!$B$26+Inputs!$B$29,IF(Skills!C28=3,120+Inputs!$B$27+Inputs!$B$29,MAX(0,(Inputs!$B$3-100)*3)+Inputs!$B$28+Inputs!$B$29)))</f>
        <v/>
      </c>
      <c r="E350">
        <f>INDEX(FactorTable!$B$2:$Y$301, MATCH(ROUND(MIN(300,MAX(1,D350)),0), FactorTable!$A$2:$A$301,0), Skills!M28+1)</f>
        <v/>
      </c>
      <c r="F350">
        <f>IF(Skills!N28=TRUE,(Skills!L28/10)*(E350/1000),Skills!L28/10)+Skills!O28</f>
        <v/>
      </c>
      <c r="G350">
        <f>Skills!G28*IF(Skills!H28&gt;0,Skills!I28/Skills!H28,1)</f>
        <v/>
      </c>
      <c r="H350">
        <f>1-(1-Skills!J28/100)^Skills!K28</f>
        <v/>
      </c>
      <c r="I350" t="inlineStr">
        <is>
          <t>1</t>
        </is>
      </c>
      <c r="J350" t="inlineStr"/>
      <c r="K350" t="inlineStr"/>
      <c r="L350" t="inlineStr"/>
      <c r="M350" t="inlineStr"/>
      <c r="N350" t="inlineStr"/>
      <c r="O350" t="n">
        <v>0</v>
      </c>
      <c r="P350">
        <f>IF(B367=0,0,O350/B367)</f>
        <v/>
      </c>
      <c r="Q350" t="n">
        <v>0</v>
      </c>
      <c r="R350" t="n">
        <v>0</v>
      </c>
      <c r="S350">
        <f>IFERROR(O350/N350,0)</f>
        <v/>
      </c>
    </row>
    <row r="351">
      <c r="A351">
        <f>Skills!A29</f>
        <v/>
      </c>
      <c r="B351">
        <f>Skills!B29</f>
        <v/>
      </c>
      <c r="C351">
        <f>Inputs!$B$3&gt;=120</f>
        <v/>
      </c>
      <c r="D351">
        <f>IF(Skills!C29=1,60+Inputs!$B$25+Inputs!$B$29,IF(Skills!C29=2,90+Inputs!$B$26+Inputs!$B$29,IF(Skills!C29=3,120+Inputs!$B$27+Inputs!$B$29,MAX(0,(Inputs!$B$3-100)*3)+Inputs!$B$28+Inputs!$B$29)))</f>
        <v/>
      </c>
      <c r="E351">
        <f>INDEX(FactorTable!$B$2:$Y$301, MATCH(ROUND(MIN(300,MAX(1,D351)),0), FactorTable!$A$2:$A$301,0), Skills!M29+1)</f>
        <v/>
      </c>
      <c r="F351">
        <f>IF(Skills!N29=TRUE,(Skills!L29/10)*(E351/1000),Skills!L29/10)+Skills!O29</f>
        <v/>
      </c>
      <c r="G351">
        <f>Skills!G29*IF(Skills!H29&gt;0,Skills!I29/Skills!H29,1)</f>
        <v/>
      </c>
      <c r="H351">
        <f>1-(1-Skills!J29/100)^Skills!K29</f>
        <v/>
      </c>
      <c r="I351" t="inlineStr">
        <is>
          <t>1</t>
        </is>
      </c>
      <c r="J351" t="inlineStr"/>
      <c r="K351" t="inlineStr"/>
      <c r="L351" t="inlineStr"/>
      <c r="M351" t="inlineStr"/>
      <c r="N351" t="inlineStr"/>
      <c r="O351" t="n">
        <v>0</v>
      </c>
      <c r="P351">
        <f>IF(B367=0,0,O351/B367)</f>
        <v/>
      </c>
      <c r="Q351" t="n">
        <v>0</v>
      </c>
      <c r="R351" t="n">
        <v>0</v>
      </c>
      <c r="S351">
        <f>IFERROR(O351/N351,0)</f>
        <v/>
      </c>
    </row>
    <row r="352">
      <c r="A352">
        <f>Skills!A30</f>
        <v/>
      </c>
      <c r="B352">
        <f>Skills!B30</f>
        <v/>
      </c>
      <c r="C352">
        <f>Inputs!$B$3&gt;=125</f>
        <v/>
      </c>
      <c r="D352">
        <f>IF(Skills!C30=1,60+Inputs!$B$25+Inputs!$B$29,IF(Skills!C30=2,90+Inputs!$B$26+Inputs!$B$29,IF(Skills!C30=3,120+Inputs!$B$27+Inputs!$B$29,MAX(0,(Inputs!$B$3-100)*3)+Inputs!$B$28+Inputs!$B$29)))</f>
        <v/>
      </c>
      <c r="E352">
        <f>INDEX(FactorTable!$B$2:$Y$301, MATCH(ROUND(MIN(300,MAX(1,D352)),0), FactorTable!$A$2:$A$301,0), Skills!M30+1)</f>
        <v/>
      </c>
      <c r="F352">
        <f>IF(Skills!N30=TRUE,(Skills!L30/10)*(E352/1000),Skills!L30/10)+Skills!O30</f>
        <v/>
      </c>
      <c r="G352">
        <f>Skills!G30*IF(Skills!H30&gt;0,Skills!I30/Skills!H30,1)</f>
        <v/>
      </c>
      <c r="H352">
        <f>1-(1-Skills!J30/100)^Skills!K30</f>
        <v/>
      </c>
      <c r="I352" t="inlineStr">
        <is>
          <t>1</t>
        </is>
      </c>
      <c r="J352" t="inlineStr"/>
      <c r="K352" t="inlineStr"/>
      <c r="L352" t="inlineStr"/>
      <c r="M352" t="inlineStr"/>
      <c r="N352" t="inlineStr"/>
      <c r="O352" t="n">
        <v>0</v>
      </c>
      <c r="P352">
        <f>IF(B367=0,0,O352/B367)</f>
        <v/>
      </c>
      <c r="Q352" t="n">
        <v>0</v>
      </c>
      <c r="R352" t="n">
        <v>0</v>
      </c>
      <c r="S352">
        <f>IFERROR(O352/N352,0)</f>
        <v/>
      </c>
    </row>
    <row r="354">
      <c r="A354" t="inlineStr">
        <is>
          <t>Average Buff Multiplier</t>
        </is>
      </c>
      <c r="B354">
        <f>(1+(((C343=TRUE)*F343*IF(AND(Inputs!$B$39&lt;&gt;"pvp",Inputs!$B$44&gt;0),(((R343-1)*(Skills!Y21*(1+Inputs!$B$34/100))+MIN((Skills!Y21*(1+Inputs!$B$34/100)),MAX(0,Inputs!$B$44-((R343-1)*Skills!D21))))/Inputs!$B$44),IF(Inputs!$B$39="pvp",MIN((Skills!Y21*(1+Inputs!$B$34/100)),15)/15,(Skills!Y21*(1+Inputs!$B$34/100))/Skills!D21)))+((C345=TRUE)*(F345-Calc!F23))+((C339=TRUE)*(F339-Calc!F17)))/100)*(1+((C332=TRUE)*F332*IF(AND(Inputs!$B$39&lt;&gt;"pvp",Inputs!$B$44&gt;0),(((R332-1)*(Skills!Y10*(1+Inputs!$B$34/100))+MIN((Skills!Y10*(1+Inputs!$B$34/100)),MAX(0,Inputs!$B$44-((R332-1)*Skills!D10))))/Inputs!$B$44),IF(Inputs!$B$39="pvp",MIN((Skills!Y10*(1+Inputs!$B$34/100)),15)/15,(Skills!Y10*(1+Inputs!$B$34/100))/Skills!D10)))/100)*(1+((C337=TRUE)*F337*IF(AND(Inputs!$B$39&lt;&gt;"pvp",Inputs!$B$44&gt;0),(((R337-1)*(Skills!Y15*(1+Inputs!$B$34/100))+MIN((Skills!Y15*(1+Inputs!$B$34/100)),MAX(0,Inputs!$B$44-((R337-1)*Skills!D15))))/Inputs!$B$44),IF(Inputs!$B$39="pvp",MIN((Skills!Y15*(1+Inputs!$B$34/100)),15)/15,(Skills!Y15*(1+Inputs!$B$34/100))/Skills!D15)))/100)</f>
        <v/>
      </c>
    </row>
    <row r="355">
      <c r="A355" t="inlineStr">
        <is>
          <t>Global Crit Rate Bonus %</t>
        </is>
      </c>
      <c r="B355">
        <f>((C342=TRUE)*F342*IF(AND(Inputs!$B$39&lt;&gt;"pvp",Inputs!$B$44&gt;0),(((R342-1)*(Skills!Y20*(1+Inputs!$B$34/100))+MIN((Skills!Y20*(1+Inputs!$B$34/100)),MAX(0,Inputs!$B$44-((R342-1)*Skills!D20))))/Inputs!$B$44),IF(Inputs!$B$39="pvp",MIN((Skills!Y20*(1+Inputs!$B$34/100)),15)/15,(Skills!Y20*(1+Inputs!$B$34/100))/Skills!D20)))</f>
        <v/>
      </c>
    </row>
    <row r="356">
      <c r="A356" t="inlineStr">
        <is>
          <t>Global Monster Damage-Taken Bonus %</t>
        </is>
      </c>
      <c r="B356">
        <f>IF(Inputs!$B$3&gt;=82,15,0)</f>
        <v/>
      </c>
    </row>
    <row r="357">
      <c r="A357" t="inlineStr">
        <is>
          <t>Shadow Partner Average Multiplier</t>
        </is>
      </c>
      <c r="B357">
        <f>1+((C329=TRUE)*F329*(1+3.3333333333333335*IF(C340=TRUE,F340,0)/100)*I329*Skills!J7/100)/100</f>
        <v/>
      </c>
    </row>
    <row r="358">
      <c r="A358" t="inlineStr">
        <is>
          <t>Attack Speed Buff Bonus %</t>
        </is>
      </c>
      <c r="B358">
        <f>((C341=TRUE)*F341*IF(AND(Inputs!$B$39&lt;&gt;"pvp",Inputs!$B$44&gt;0),(((R341-1)*(Skills!Y19*(1+Inputs!$B$34/100))+MIN((Skills!Y19*(1+Inputs!$B$34/100)),MAX(0,Inputs!$B$44-((R341-1)*Skills!D19))))/Inputs!$B$44),IF(Inputs!$B$39="pvp",MIN((Skills!Y19*(1+Inputs!$B$34/100)),15)/15,(Skills!Y19*(1+Inputs!$B$34/100))/Skills!D19)))+((C325=TRUE)*F325*3)</f>
        <v/>
      </c>
    </row>
    <row r="359">
      <c r="A359" t="inlineStr">
        <is>
          <t>Actions Per Second</t>
        </is>
      </c>
      <c r="B359">
        <f>1+MIN(150,150*(1-(1-(Inputs!$B$11+((C344=TRUE)*(F344-Calc!F22)))/150)*(1-B358/150)))/100</f>
        <v/>
      </c>
    </row>
    <row r="360">
      <c r="A360" t="inlineStr">
        <is>
          <t>Skill + Buff Cast Rate</t>
        </is>
      </c>
      <c r="B360">
        <f>IF(AND(Inputs!$B$39&lt;&gt;"pvp",Inputs!$B$44&gt;0),SUMPRODUCT((Skills!E2:E30=TRUE)*(C324:C352=TRUE)*R324:R352*Skills!F2:F30)/Inputs!$B$44,SUMPRODUCT((Skills!E2:E30=TRUE)*(C324:C352=TRUE)*Q324:Q352*Skills!F2:F30))</f>
        <v/>
      </c>
    </row>
    <row r="361">
      <c r="A361" t="inlineStr">
        <is>
          <t>Cruel Stab Casts Per Second</t>
        </is>
      </c>
      <c r="B361">
        <f>MAX(0,B359-B360)</f>
        <v/>
      </c>
    </row>
    <row r="362">
      <c r="A362" t="inlineStr">
        <is>
          <t>Global Critical Damage Bonus % (Smokescreen Mastery Lv.113)</t>
        </is>
      </c>
      <c r="B362">
        <f>IF(Inputs!$B$3&gt;=113,30,0)*IF(AND(Inputs!$B$39&lt;&gt;"pvp",Inputs!$B$44&gt;0),(((R337-1)*(Skills!Y15*(1+Inputs!$B$34/100))+MIN((Skills!Y15*(1+Inputs!$B$34/100)),MAX(0,Inputs!$B$44-((R337-1)*Skills!D15))))/Inputs!$B$44),IF(Inputs!$B$39="pvp",MIN((Skills!Y15*(1+Inputs!$B$34/100)),15)/15,(Skills!Y15*(1+Inputs!$B$34/100))/Skills!D15))</f>
        <v/>
      </c>
    </row>
    <row r="363">
      <c r="A363" t="inlineStr">
        <is>
          <t>Meso Explosion average stack count</t>
        </is>
      </c>
      <c r="B363">
        <f>MIN(10,0.5*B359*Skills!D4)</f>
        <v/>
      </c>
    </row>
    <row r="364">
      <c r="A364" t="inlineStr">
        <is>
          <t>Blood Money average stack count</t>
        </is>
      </c>
      <c r="B364">
        <f>MIN(5,0.25*B359*Skills!D4)</f>
        <v/>
      </c>
    </row>
    <row r="365">
      <c r="A365" t="inlineStr">
        <is>
          <t>Assassinate Murderous Intent Multiplier</t>
        </is>
      </c>
      <c r="B365">
        <f>1+IFERROR(MIN(1,Q336*2/Q333),0)</f>
        <v/>
      </c>
    </row>
    <row r="366">
      <c r="A366" t="inlineStr">
        <is>
          <t>Buff-Casting Startup Delay (s, fixed-duration only)</t>
        </is>
      </c>
      <c r="B366">
        <f>IF(AND(Inputs!$B$39&lt;&gt;"pvp",Inputs!$B$44&gt;0),SUMPRODUCT((Skills!Y2:Y30&gt;0)*(Skills!E2:E30=TRUE)*(C324:C352=TRUE))/B359,0)</f>
        <v/>
      </c>
    </row>
    <row r="367">
      <c r="A367" s="5" t="inlineStr">
        <is>
          <t>TOTAL DPS</t>
        </is>
      </c>
      <c r="B367" s="5">
        <f>SUM(O324:O352)</f>
        <v/>
      </c>
    </row>
    <row r="370">
      <c r="A370" s="5" t="inlineStr">
        <is>
          <t>Stat: FINAL_DAMAGE % (multiplicative source)</t>
        </is>
      </c>
    </row>
    <row r="371">
      <c r="A371" s="9" t="inlineStr">
        <is>
          <t>Key</t>
        </is>
      </c>
      <c r="B371" s="9" t="inlineStr">
        <is>
          <t>Name</t>
        </is>
      </c>
      <c r="C371" s="9" t="inlineStr">
        <is>
          <t>Unlocked</t>
        </is>
      </c>
      <c r="D371" s="9" t="inlineStr">
        <is>
          <t>InputLevel</t>
        </is>
      </c>
      <c r="E371" s="9" t="inlineStr">
        <is>
          <t>Factor</t>
        </is>
      </c>
      <c r="F371" s="9" t="inlineStr">
        <is>
          <t>CoefficientPercent</t>
        </is>
      </c>
      <c r="G371" s="9" t="inlineStr">
        <is>
          <t>EffectiveHits</t>
        </is>
      </c>
      <c r="H371" s="9" t="inlineStr">
        <is>
          <t>ProcProbability</t>
        </is>
      </c>
      <c r="I371" s="9" t="inlineStr">
        <is>
          <t>MapleHeroMultiplier</t>
        </is>
      </c>
      <c r="J371" s="9" t="inlineStr">
        <is>
          <t>BaseDamage</t>
        </is>
      </c>
      <c r="K371" s="9" t="inlineStr">
        <is>
          <t>BaseHitDamage</t>
        </is>
      </c>
      <c r="L371" s="9" t="inlineStr">
        <is>
          <t>NonCritAvg</t>
        </is>
      </c>
      <c r="M371" s="9" t="inlineStr">
        <is>
          <t>CritAvg</t>
        </is>
      </c>
      <c r="N371" s="9" t="inlineStr">
        <is>
          <t>ExpectedDamage(perHit)</t>
        </is>
      </c>
      <c r="O371" s="9" t="inlineStr">
        <is>
          <t>DPS</t>
        </is>
      </c>
      <c r="P371" s="9" t="inlineStr">
        <is>
          <t>% of Total</t>
        </is>
      </c>
      <c r="Q371" s="9" t="inlineStr">
        <is>
          <t>InvCooldown</t>
        </is>
      </c>
      <c r="R371" s="9" t="inlineStr">
        <is>
          <t>CastsInFight</t>
        </is>
      </c>
      <c r="S371" s="9" t="inlineStr">
        <is>
          <t>HitRate(perSec)</t>
        </is>
      </c>
      <c r="U371" t="inlineStr">
        <is>
          <t>helpers</t>
        </is>
      </c>
    </row>
    <row r="372">
      <c r="A372">
        <f>Skills!A2</f>
        <v/>
      </c>
      <c r="B372">
        <f>Skills!B2</f>
        <v/>
      </c>
      <c r="C372">
        <f>Inputs!$B$3&gt;=100</f>
        <v/>
      </c>
      <c r="D372" t="inlineStr"/>
      <c r="E372" t="inlineStr"/>
      <c r="F372">
        <f>U374+Skills!O2</f>
        <v/>
      </c>
      <c r="G372">
        <f>Skills!G2*IF(Skills!H2&gt;0,Skills!I2/Skills!H2,1)</f>
        <v/>
      </c>
      <c r="H372">
        <f>1-(1-Skills!J2/100)^Skills!K2</f>
        <v/>
      </c>
      <c r="I372" t="inlineStr">
        <is>
          <t>1</t>
        </is>
      </c>
      <c r="J372">
        <f>((Inputs!$B$6*(1+Inputs!$B$7/100))+(((Inputs!$B$12*(1+Inputs!$B$13/100))-(Inputs!$B$12*(1+Inputs!$B$13/100)))+0.25*(Inputs!$B$14-Inputs!$B$14))*(1+Inputs!$B$7/100))*(F372/100)</f>
        <v/>
      </c>
      <c r="K372">
        <f>J372*(1+((Inputs!$B$12*(1+Inputs!$B$13/100))*0.01+Inputs!$B$14*0.0025)/100)*(1+Inputs!$B$15/100)*(1+IF(Inputs!$B$39="pvp",0,(1-Summary!$B$55)*(Inputs!$B$20+0+Skills!P2+B404)+Summary!$B$55*(Inputs!$B$21+Skills!Q2+B404))/100)*(1+Inputs!$B$16/100)*(5000/(6000+Inputs!$B$43*(1-Inputs!$B$19/100)))*(1+(((((1+Inputs!$B$24/100)*(1.01))-1)*100)+((C400=TRUE)*(F400-Calc!F30)))/100)*(1+(IF(Skills!A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372)</f>
        <v/>
      </c>
      <c r="L372">
        <f>K372*(MIN(Inputs!$B$22+((C394=TRUE)*(F394-Calc!F24)),Inputs!$B$23+((C399=TRUE)*(F399-Calc!F29)))/100+(Inputs!$B$23+((C399=TRUE)*(F399-Calc!F29)))/100)/2</f>
        <v/>
      </c>
      <c r="M372">
        <f>L372*(1+(Inputs!$B$10+((C396=TRUE)*(F396-Calc!F26))+B410)/100)</f>
        <v/>
      </c>
      <c r="N372">
        <f>L372*(1-MIN((Inputs!$B$9+((C395=TRUE)*(F395-Calc!F25))+B403),100)/100)+M372*(MIN((Inputs!$B$9+((C395=TRUE)*(F395-Calc!F25))+B403),100)/100)</f>
        <v/>
      </c>
      <c r="O372">
        <f>IF(C372,Skills!G2*N372*B409*IF(Inputs!$B$39="pvp",1,(1-Summary!$B$55)*(1)+Summary!$B$55*(MIN((6+Inputs!$B$33),Inputs!$B$37))),0)</f>
        <v/>
      </c>
      <c r="P372">
        <f>IF(B415=0,0,O372/B415)</f>
        <v/>
      </c>
      <c r="Q372" t="n">
        <v>0</v>
      </c>
      <c r="R372" t="n">
        <v>0</v>
      </c>
      <c r="S372">
        <f>IFERROR(O372/N372,0)</f>
        <v/>
      </c>
      <c r="U372">
        <f>MAX(0,(Inputs!$B$3-100)*3)+Inputs!$B$28+Inputs!$B$29</f>
        <v/>
      </c>
    </row>
    <row r="373">
      <c r="A373">
        <f>Skills!A3</f>
        <v/>
      </c>
      <c r="B373">
        <f>Skills!B3</f>
        <v/>
      </c>
      <c r="C373">
        <f>Inputs!$B$3&gt;=35</f>
        <v/>
      </c>
      <c r="D373">
        <f>IF(Skills!C3=1,60+Inputs!$B$25+Inputs!$B$29,IF(Skills!C3=2,90+Inputs!$B$26+Inputs!$B$29,IF(Skills!C3=3,120+Inputs!$B$27+Inputs!$B$29,MAX(0,(Inputs!$B$3-100)*3)+Inputs!$B$28+Inputs!$B$29)))</f>
        <v/>
      </c>
      <c r="E373">
        <f>INDEX(FactorTable!$B$2:$Y$301, MATCH(ROUND(MIN(300,MAX(1,D373)),0), FactorTable!$A$2:$A$301,0), Skills!M3+1)</f>
        <v/>
      </c>
      <c r="F373">
        <f>IF(Skills!N3=TRUE,(Skills!L3/10)*(E373/1000),Skills!L3/10)+Skills!O3</f>
        <v/>
      </c>
      <c r="G373">
        <f>Skills!G3*IF(Skills!H3&gt;0,Skills!I3/Skills!H3,1)</f>
        <v/>
      </c>
      <c r="H373">
        <f>1-(1-Skills!J3/100)^Skills!K3</f>
        <v/>
      </c>
      <c r="I373" t="inlineStr">
        <is>
          <t>1</t>
        </is>
      </c>
      <c r="J373" t="inlineStr"/>
      <c r="K373" t="inlineStr"/>
      <c r="L373" t="inlineStr"/>
      <c r="M373" t="inlineStr"/>
      <c r="N373" t="inlineStr"/>
      <c r="O373" t="n">
        <v>0</v>
      </c>
      <c r="P373">
        <f>IF(B415=0,0,O373/B415)</f>
        <v/>
      </c>
      <c r="Q373" t="n">
        <v>0</v>
      </c>
      <c r="R373" t="n">
        <v>0</v>
      </c>
      <c r="S373">
        <f>IFERROR(O373/N373,0)</f>
        <v/>
      </c>
      <c r="U373">
        <f>INDEX(FactorTable!$B$2:$Y$301, MATCH(ROUND(MIN(300,MAX(1,U372)),0), FactorTable!$A$2:$A$301,0), 22)</f>
        <v/>
      </c>
    </row>
    <row r="374">
      <c r="A374">
        <f>Skills!A4</f>
        <v/>
      </c>
      <c r="B374">
        <f>Skills!B4</f>
        <v/>
      </c>
      <c r="C374">
        <f>Inputs!$B$3&gt;=66</f>
        <v/>
      </c>
      <c r="D374">
        <f>IF(Skills!C4=1,60+Inputs!$B$25+Inputs!$B$29,IF(Skills!C4=2,90+Inputs!$B$26+Inputs!$B$29,IF(Skills!C4=3,120+Inputs!$B$27+Inputs!$B$29,MAX(0,(Inputs!$B$3-100)*3)+Inputs!$B$28+Inputs!$B$29)))</f>
        <v/>
      </c>
      <c r="E374">
        <f>INDEX(FactorTable!$B$2:$Y$301, MATCH(ROUND(MIN(300,MAX(1,D374)),0), FactorTable!$A$2:$A$301,0), Skills!M4+1)</f>
        <v/>
      </c>
      <c r="F374">
        <f>IF(Skills!N4=TRUE,(Skills!L4/10)*(E374/1000),Skills!L4/10)+Skills!O4</f>
        <v/>
      </c>
      <c r="G374">
        <f>Skills!G4*IF(Skills!H4&gt;0,Skills!I4/Skills!H4,1)</f>
        <v/>
      </c>
      <c r="H374">
        <f>1-(1-Skills!J4/100)^Skills!K4</f>
        <v/>
      </c>
      <c r="I374" t="inlineStr">
        <is>
          <t>1</t>
        </is>
      </c>
      <c r="J374">
        <f>((Inputs!$B$6*(1+Inputs!$B$7/100))+(((Inputs!$B$12*(1+Inputs!$B$13/100))-(Inputs!$B$12*(1+Inputs!$B$13/100)))+0.25*(Inputs!$B$14-Inputs!$B$14))*(1+Inputs!$B$7/100))*(F374/100)</f>
        <v/>
      </c>
      <c r="K374">
        <f>J374*(1+((Inputs!$B$12*(1+Inputs!$B$13/100))*0.01+Inputs!$B$14*0.0025)/100)*(1+Inputs!$B$15/100)*(1+IF(Inputs!$B$39="pvp",0,(1-Summary!$B$55)*(Inputs!$B$20+0+Skills!P4+B404)+Summary!$B$55*(Inputs!$B$21+Skills!Q4+B404))/100)*(1+Inputs!$B$16/100)*(5000/(6000+Inputs!$B$43*(1-Inputs!$B$19/100)))*(1+(((((1+Inputs!$B$24/100)*(1.01))-1)*100)+((C400=TRUE)*(F400-Calc!F30)))/100)*(1+(IF(Skills!A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374)</f>
        <v/>
      </c>
      <c r="L374">
        <f>K374*(MIN(Inputs!$B$22+((C394=TRUE)*(F394-Calc!F24)),Inputs!$B$23+((C399=TRUE)*(F399-Calc!F29)))/100+(Inputs!$B$23+((C399=TRUE)*(F399-Calc!F29)))/100)/2</f>
        <v/>
      </c>
      <c r="M374">
        <f>L374*(1+(Inputs!$B$10+((C396=TRUE)*(F396-Calc!F26))+B410)/100)</f>
        <v/>
      </c>
      <c r="N374">
        <f>L374*(1-MIN((Inputs!$B$9+((C395=TRUE)*(F395-Calc!F25))+B403),100)/100)+M374*(MIN((Inputs!$B$9+((C395=TRUE)*(F395-Calc!F25))+B403),100)/100)</f>
        <v/>
      </c>
      <c r="O374">
        <f>IF(C374,H374*N374*IF(AND(Inputs!$B$39&lt;&gt;"pvp",Inputs!$B$44&gt;0),((Skills!G4*((R374-1)*IF(Skills!H4&gt;0,Skills!I4/Skills!H4,1)+IF(Skills!H4&gt;0,MIN(Skills!I4,MAX(0,MAX(0,Inputs!$B$44-B414)-((R374-1)*IF(Inputs!$B$39="pvp",15,MAX(0.1,Skills!D4-IF(Skills!E4=TRUE,Inputs!$B$32,0))))))/Skills!H4,1)))/Inputs!$B$44),G374*Q374)*IF(Inputs!$B$39="pvp",1,(1-Summary!$B$55)*(1)+Summary!$B$55*(MIN(MIN(10,0.5*B407*Skills!D4),Inputs!$B$37))),0)</f>
        <v/>
      </c>
      <c r="P374">
        <f>IF(B415=0,0,O374/B415)</f>
        <v/>
      </c>
      <c r="Q374">
        <f>IFERROR(1/IF(Inputs!$B$39="pvp",15,MAX(0.1,Skills!D4-IF(Skills!E4=TRUE,Inputs!$B$32,0))),0)</f>
        <v/>
      </c>
      <c r="R374">
        <f>IF(AND(Inputs!$B$39&lt;&gt;"pvp",Inputs!$B$44&gt;0),IF(MAX(0,Inputs!$B$44-B414)&lt;=0,0,(INT(MAX(0,Inputs!$B$44-B414)/IF(Inputs!$B$39="pvp",15,MAX(0.1,Skills!D4-IF(Skills!E4=TRUE,Inputs!$B$32,0))))+1)),0)</f>
        <v/>
      </c>
      <c r="S374">
        <f>IFERROR(O374/N374,0)</f>
        <v/>
      </c>
      <c r="U374">
        <f>290*U373/1000</f>
        <v/>
      </c>
    </row>
    <row r="375">
      <c r="A375">
        <f>Skills!A5</f>
        <v/>
      </c>
      <c r="B375">
        <f>Skills!B5</f>
        <v/>
      </c>
      <c r="C375">
        <f>Inputs!$B$3&gt;=63</f>
        <v/>
      </c>
      <c r="D375">
        <f>IF(Skills!C5=1,60+Inputs!$B$25+Inputs!$B$29,IF(Skills!C5=2,90+Inputs!$B$26+Inputs!$B$29,IF(Skills!C5=3,120+Inputs!$B$27+Inputs!$B$29,MAX(0,(Inputs!$B$3-100)*3)+Inputs!$B$28+Inputs!$B$29)))</f>
        <v/>
      </c>
      <c r="E375">
        <f>INDEX(FactorTable!$B$2:$Y$301, MATCH(ROUND(MIN(300,MAX(1,D375)),0), FactorTable!$A$2:$A$301,0), Skills!M5+1)</f>
        <v/>
      </c>
      <c r="F375">
        <f>IF(Skills!N5=TRUE,(Skills!L5/10)*(E375/1000),Skills!L5/10)+Skills!O5</f>
        <v/>
      </c>
      <c r="G375">
        <f>Skills!G5*IF(Skills!H5&gt;0,Skills!I5/Skills!H5,1)</f>
        <v/>
      </c>
      <c r="H375">
        <f>1-(1-Skills!J5/100)^Skills!K5</f>
        <v/>
      </c>
      <c r="I375" t="inlineStr">
        <is>
          <t>1</t>
        </is>
      </c>
      <c r="J375">
        <f>((Inputs!$B$6*(1+Inputs!$B$7/100))+(((Inputs!$B$12*(1+Inputs!$B$13/100))-(Inputs!$B$12*(1+Inputs!$B$13/100)))+0.25*(Inputs!$B$14-Inputs!$B$14))*(1+Inputs!$B$7/100))*(F375/100)</f>
        <v/>
      </c>
      <c r="K375">
        <f>J375*(1+((Inputs!$B$12*(1+Inputs!$B$13/100))*0.01+Inputs!$B$14*0.0025)/100)*(1+Inputs!$B$15/100)*(1+IF(Inputs!$B$39="pvp",0,(1-Summary!$B$55)*(Inputs!$B$20+0+Skills!P5+B404)+Summary!$B$55*(Inputs!$B$21+Skills!Q5+B404))/100)*(1+Inputs!$B$16/100)*(5000/(6000+Inputs!$B$43*(1-Inputs!$B$19/100)))*(1+(((((1+Inputs!$B$24/100)*(1.01))-1)*100)+((C400=TRUE)*(F400-Calc!F30)))/100)*(1+2.6666666666666665*IF(C388=TRUE,F388,0)/100)*(1+(IF(Skills!A5="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375)</f>
        <v/>
      </c>
      <c r="L375">
        <f>K375*(MIN(Inputs!$B$22+((C394=TRUE)*(F394-Calc!F24)),Inputs!$B$23+((C399=TRUE)*(F399-Calc!F29)))/100+(Inputs!$B$23+((C399=TRUE)*(F399-Calc!F29)))/100)/2</f>
        <v/>
      </c>
      <c r="M375">
        <f>L375*(1+(Inputs!$B$10+((C396=TRUE)*(F396-Calc!F26))+B410)/100)</f>
        <v/>
      </c>
      <c r="N375">
        <f>L375*(1-MIN((Inputs!$B$9+((C395=TRUE)*(F395-Calc!F25))+B403),100)/100)+M375*(MIN((Inputs!$B$9+((C395=TRUE)*(F395-Calc!F25))+B403),100)/100)</f>
        <v/>
      </c>
      <c r="O375">
        <f>IF(C375,H375*N375*IF(AND(Inputs!$B$39&lt;&gt;"pvp",Inputs!$B$44&gt;0),((Skills!G5*((R375-1)*IF(Skills!H5&gt;0,Skills!I5/Skills!H5,1)+IF(Skills!H5&gt;0,MIN(Skills!I5,MAX(0,MAX(0,Inputs!$B$44-B414)-((R375-1)*IF(Inputs!$B$39="pvp",15,MAX(0.1,Skills!D5-IF(Skills!E5=TRUE,Inputs!$B$32,0))))))/Skills!H5,1)))/Inputs!$B$44),G375*Q375)*IF(Inputs!$B$39="pvp",1,(1-Summary!$B$55)*(1)+Summary!$B$55*(MIN(Skills!W5,Inputs!$B$37))),0)</f>
        <v/>
      </c>
      <c r="P375">
        <f>IF(B415=0,0,O375/B415)</f>
        <v/>
      </c>
      <c r="Q375">
        <f>IFERROR(1/IF(Inputs!$B$39="pvp",15,MAX(0.1,Skills!D5-IF(Skills!E5=TRUE,Inputs!$B$32,0))),0)</f>
        <v/>
      </c>
      <c r="R375">
        <f>IF(AND(Inputs!$B$39&lt;&gt;"pvp",Inputs!$B$44&gt;0),IF(MAX(0,Inputs!$B$44-B414)&lt;=0,0,(INT(MAX(0,Inputs!$B$44-B414)/IF(Inputs!$B$39="pvp",15,MAX(0.1,Skills!D5-IF(Skills!E5=TRUE,Inputs!$B$32,0))))+1)),0)</f>
        <v/>
      </c>
      <c r="S375">
        <f>IFERROR(O375/N375,0)</f>
        <v/>
      </c>
    </row>
    <row r="376">
      <c r="A376">
        <f>Skills!A6</f>
        <v/>
      </c>
      <c r="B376">
        <f>Skills!B6</f>
        <v/>
      </c>
      <c r="C376">
        <f>Inputs!$B$3&gt;=69</f>
        <v/>
      </c>
      <c r="D376">
        <f>IF(Skills!C6=1,60+Inputs!$B$25+Inputs!$B$29,IF(Skills!C6=2,90+Inputs!$B$26+Inputs!$B$29,IF(Skills!C6=3,120+Inputs!$B$27+Inputs!$B$29,MAX(0,(Inputs!$B$3-100)*3)+Inputs!$B$28+Inputs!$B$29)))</f>
        <v/>
      </c>
      <c r="E376">
        <f>INDEX(FactorTable!$B$2:$Y$301, MATCH(ROUND(MIN(300,MAX(1,D376)),0), FactorTable!$A$2:$A$301,0), Skills!M6+1)</f>
        <v/>
      </c>
      <c r="F376">
        <f>IF(Skills!N6=TRUE,(Skills!L6/10)*(E376/1000),Skills!L6/10)+Skills!O6</f>
        <v/>
      </c>
      <c r="G376">
        <f>Skills!G6*IF(Skills!H6&gt;0,Skills!I6/Skills!H6,1)</f>
        <v/>
      </c>
      <c r="H376">
        <f>1-(1-Skills!J6/100)^Skills!K6</f>
        <v/>
      </c>
      <c r="I376" t="inlineStr">
        <is>
          <t>1</t>
        </is>
      </c>
      <c r="J376">
        <f>((Inputs!$B$6*(1+Inputs!$B$7/100))+(((Inputs!$B$12*(1+Inputs!$B$13/100))-(Inputs!$B$12*(1+Inputs!$B$13/100)))+0.25*(Inputs!$B$14-Inputs!$B$14))*(1+Inputs!$B$7/100))*(F376/100)</f>
        <v/>
      </c>
      <c r="K376">
        <f>J376*(1+((Inputs!$B$12*(1+Inputs!$B$13/100))*0.01+Inputs!$B$14*0.0025)/100)*(1+Inputs!$B$15/100)*(1+IF(Inputs!$B$39="pvp",0,(1-Summary!$B$55)*(Inputs!$B$20+0+Skills!P6+B404)+Summary!$B$55*(Inputs!$B$21+Skills!Q6+B404))/100)*(1+Inputs!$B$16/100)*(5000/(6000+Inputs!$B$43*(1-Inputs!$B$19/100)))*(1+(((((1+Inputs!$B$24/100)*(1.01))-1)*100)+((C400=TRUE)*(F400-Calc!F30)))/100)*(1+1.0*IF(C388=TRUE,F388,0)/100)*(1+(IF(Skills!A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376)</f>
        <v/>
      </c>
      <c r="L376">
        <f>K376*(MIN(Inputs!$B$22+((C394=TRUE)*(F394-Calc!F24)),Inputs!$B$23+((C399=TRUE)*(F399-Calc!F29)))/100+(Inputs!$B$23+((C399=TRUE)*(F399-Calc!F29)))/100)/2</f>
        <v/>
      </c>
      <c r="M376">
        <f>L376*(1+(Inputs!$B$10+((C396=TRUE)*(F396-Calc!F26))+B410)/100)</f>
        <v/>
      </c>
      <c r="N376">
        <f>L376*(1-MIN((Inputs!$B$9+((C395=TRUE)*(F395-Calc!F25))+B403),100)/100)+M376*(MIN((Inputs!$B$9+((C395=TRUE)*(F395-Calc!F25))+B403),100)/100)</f>
        <v/>
      </c>
      <c r="O376">
        <f>IF(C376,H376*N376*IF(AND(Inputs!$B$39&lt;&gt;"pvp",Inputs!$B$44&gt;0),((Skills!G6*((R376-1)*IF(Skills!H6&gt;0,Skills!I6/Skills!H6,1)+IF(Skills!H6&gt;0,MIN(Skills!I6,MAX(0,MAX(0,Inputs!$B$44-B414)-((R376-1)*IF(Inputs!$B$39="pvp",15,MAX(0.1,Skills!D6-IF(Skills!E6=TRUE,Inputs!$B$32,0))))))/Skills!H6,1)))/Inputs!$B$44),G376*Q376)*IF(Inputs!$B$39="pvp",1,(1-Summary!$B$55)*(1)+Summary!$B$55*(MIN(Skills!W6,Inputs!$B$37))),0)</f>
        <v/>
      </c>
      <c r="P376">
        <f>IF(B415=0,0,O376/B415)</f>
        <v/>
      </c>
      <c r="Q376">
        <f>IFERROR(1/IF(Inputs!$B$39="pvp",15,MAX(0.1,Skills!D6-IF(Skills!E6=TRUE,Inputs!$B$32,0))),0)</f>
        <v/>
      </c>
      <c r="R376">
        <f>IF(AND(Inputs!$B$39&lt;&gt;"pvp",Inputs!$B$44&gt;0),IF(MAX(0,Inputs!$B$44-B414)&lt;=0,0,(INT(MAX(0,Inputs!$B$44-B414)/IF(Inputs!$B$39="pvp",15,MAX(0.1,Skills!D6-IF(Skills!E6=TRUE,Inputs!$B$32,0))))+1)),0)</f>
        <v/>
      </c>
      <c r="S376">
        <f>IFERROR(O376/N376,0)</f>
        <v/>
      </c>
    </row>
    <row r="377">
      <c r="A377">
        <f>Skills!A7</f>
        <v/>
      </c>
      <c r="B377">
        <f>Skills!B7</f>
        <v/>
      </c>
      <c r="C377">
        <f>Inputs!$B$3&gt;=60</f>
        <v/>
      </c>
      <c r="D377">
        <f>IF(Skills!C7=1,60+Inputs!$B$25+Inputs!$B$29,IF(Skills!C7=2,90+Inputs!$B$26+Inputs!$B$29,IF(Skills!C7=3,120+Inputs!$B$27+Inputs!$B$29,MAX(0,(Inputs!$B$3-100)*3)+Inputs!$B$28+Inputs!$B$29)))</f>
        <v/>
      </c>
      <c r="E377">
        <f>INDEX(FactorTable!$B$2:$Y$301, MATCH(ROUND(MIN(300,MAX(1,D377)),0), FactorTable!$A$2:$A$301,0), Skills!M7+1)</f>
        <v/>
      </c>
      <c r="F377">
        <f>IF(Skills!N7=TRUE,(Skills!L7/10)*(E377/1000),Skills!L7/10)+Skills!O7</f>
        <v/>
      </c>
      <c r="G377">
        <f>Skills!G7*IF(Skills!H7&gt;0,Skills!I7/Skills!H7,1)</f>
        <v/>
      </c>
      <c r="H377">
        <f>1-(1-Skills!J7/100)^Skills!K7</f>
        <v/>
      </c>
      <c r="I377" t="inlineStr">
        <is>
          <t>1</t>
        </is>
      </c>
      <c r="J377" t="inlineStr"/>
      <c r="K377" t="inlineStr"/>
      <c r="L377" t="inlineStr"/>
      <c r="M377" t="inlineStr"/>
      <c r="N377" t="inlineStr"/>
      <c r="O377" t="n">
        <v>0</v>
      </c>
      <c r="P377">
        <f>IF(B415=0,0,O377/B415)</f>
        <v/>
      </c>
      <c r="Q377" t="n">
        <v>0</v>
      </c>
      <c r="R377" t="n">
        <v>0</v>
      </c>
      <c r="S377">
        <f>IFERROR(O377/N377,0)</f>
        <v/>
      </c>
    </row>
    <row r="378">
      <c r="A378">
        <f>Skills!A8</f>
        <v/>
      </c>
      <c r="B378">
        <f>Skills!B8</f>
        <v/>
      </c>
      <c r="C378">
        <f>Inputs!$B$3&gt;=72</f>
        <v/>
      </c>
      <c r="D378">
        <f>IF(Skills!C8=1,60+Inputs!$B$25+Inputs!$B$29,IF(Skills!C8=2,90+Inputs!$B$26+Inputs!$B$29,IF(Skills!C8=3,120+Inputs!$B$27+Inputs!$B$29,MAX(0,(Inputs!$B$3-100)*3)+Inputs!$B$28+Inputs!$B$29)))</f>
        <v/>
      </c>
      <c r="E378">
        <f>INDEX(FactorTable!$B$2:$Y$301, MATCH(ROUND(MIN(300,MAX(1,D378)),0), FactorTable!$A$2:$A$301,0), Skills!M8+1)</f>
        <v/>
      </c>
      <c r="F378">
        <f>IF(Skills!N8=TRUE,(Skills!L8/10)*(E378/1000),Skills!L8/10)+Skills!O8</f>
        <v/>
      </c>
      <c r="G378">
        <f>Skills!G8*IF(Skills!H8&gt;0,Skills!I8/Skills!H8,1)</f>
        <v/>
      </c>
      <c r="H378">
        <f>1-(1-Skills!J8/100)^Skills!K8</f>
        <v/>
      </c>
      <c r="I378" t="inlineStr">
        <is>
          <t>1</t>
        </is>
      </c>
      <c r="J378">
        <f>((Inputs!$B$6*(1+Inputs!$B$7/100))+(((Inputs!$B$12*(1+Inputs!$B$13/100))-(Inputs!$B$12*(1+Inputs!$B$13/100)))+0.25*(Inputs!$B$14-Inputs!$B$14))*(1+Inputs!$B$7/100))*(F378/100)</f>
        <v/>
      </c>
      <c r="K378">
        <f>J378*(1+((Inputs!$B$12*(1+Inputs!$B$13/100))*0.01+Inputs!$B$14*0.0025)/100)*(1+Inputs!$B$15/100)*(1+IF(Inputs!$B$39="pvp",0,(1-Summary!$B$55)*(Inputs!$B$20+0+Skills!P8+B404)+Summary!$B$55*(Inputs!$B$21+Skills!Q8+B404))/100)*(1+Inputs!$B$16/100)*(5000/(6000+Inputs!$B$43*(1-Inputs!$B$19/100)))*(1+(((((1+Inputs!$B$24/100)*(1.01))-1)*100)+((C400=TRUE)*(F400-Calc!F30)))/100)*(1+3.3333333333333335*IF(C388=TRUE,F388,0)/100)*(1+(IF(Skills!A8="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378)</f>
        <v/>
      </c>
      <c r="L378">
        <f>K378*(MIN(Inputs!$B$22+((C394=TRUE)*(F394-Calc!F24)),Inputs!$B$23+((C399=TRUE)*(F399-Calc!F29)))/100+(Inputs!$B$23+((C399=TRUE)*(F399-Calc!F29)))/100)/2</f>
        <v/>
      </c>
      <c r="M378">
        <f>L378*(1+(Inputs!$B$10+((C396=TRUE)*(F396-Calc!F26))+B410)/100)</f>
        <v/>
      </c>
      <c r="N378">
        <f>L378*(1-MIN((Inputs!$B$9+((C395=TRUE)*(F395-Calc!F25))+B403),100)/100)+M378*(MIN((Inputs!$B$9+((C395=TRUE)*(F395-Calc!F25))+B403),100)/100)</f>
        <v/>
      </c>
      <c r="O378">
        <f>IF(C378,H378*N378*IF(AND(Inputs!$B$39&lt;&gt;"pvp",Inputs!$B$44&gt;0),((Skills!G8*((R378-1)*IF(Skills!H8&gt;0,Skills!I8/Skills!H8,1)+IF(Skills!H8&gt;0,MIN(Skills!I8,MAX(0,MAX(0,Inputs!$B$44-B414)-((R378-1)*IF(Inputs!$B$39="pvp",15,MAX(0.1,Skills!D8-IF(Skills!E8=TRUE,Inputs!$B$32,0))))))/Skills!H8,1)))/Inputs!$B$44),G378*Q378)*IF(Inputs!$B$39="pvp",1,(1-Summary!$B$55)*(1)+Summary!$B$55*(MIN(Skills!W8,Inputs!$B$37))),0)</f>
        <v/>
      </c>
      <c r="P378">
        <f>IF(B415=0,0,O378/B415)</f>
        <v/>
      </c>
      <c r="Q378">
        <f>IFERROR(1/IF(Inputs!$B$39="pvp",15,MAX(0.1,Skills!D8-IF(Skills!E8=TRUE,Inputs!$B$32,0))),0)</f>
        <v/>
      </c>
      <c r="R378">
        <f>IF(AND(Inputs!$B$39&lt;&gt;"pvp",Inputs!$B$44&gt;0),IF(MAX(0,Inputs!$B$44-B414)&lt;=0,0,(INT(MAX(0,Inputs!$B$44-B414)/IF(Inputs!$B$39="pvp",15,MAX(0.1,Skills!D8-IF(Skills!E8=TRUE,Inputs!$B$32,0))))+1)),0)</f>
        <v/>
      </c>
      <c r="S378">
        <f>IFERROR(O378/N378,0)</f>
        <v/>
      </c>
    </row>
    <row r="379">
      <c r="A379">
        <f>Skills!A9</f>
        <v/>
      </c>
      <c r="B379">
        <f>Skills!B9</f>
        <v/>
      </c>
      <c r="C379">
        <f>Inputs!$B$3&gt;=117</f>
        <v/>
      </c>
      <c r="D379">
        <f>IF(Skills!C9=1,60+Inputs!$B$25+Inputs!$B$29,IF(Skills!C9=2,90+Inputs!$B$26+Inputs!$B$29,IF(Skills!C9=3,120+Inputs!$B$27+Inputs!$B$29,MAX(0,(Inputs!$B$3-100)*3)+Inputs!$B$28+Inputs!$B$29)))</f>
        <v/>
      </c>
      <c r="E379">
        <f>INDEX(FactorTable!$B$2:$Y$301, MATCH(ROUND(MIN(300,MAX(1,D379)),0), FactorTable!$A$2:$A$301,0), Skills!M9+1)</f>
        <v/>
      </c>
      <c r="F379">
        <f>IF(Skills!N9=TRUE,(Skills!L9/10)*(E379/1000),Skills!L9/10)+Skills!O9</f>
        <v/>
      </c>
      <c r="G379">
        <f>Skills!G9*IF(Skills!H9&gt;0,Skills!I9/Skills!H9,1)</f>
        <v/>
      </c>
      <c r="H379">
        <f>1-(1-Skills!J9/100)^Skills!K9</f>
        <v/>
      </c>
      <c r="I379" t="inlineStr">
        <is>
          <t>1</t>
        </is>
      </c>
      <c r="J379">
        <f>((Inputs!$B$6*(1+Inputs!$B$7/100))+(((Inputs!$B$12*(1+Inputs!$B$13/100))-(Inputs!$B$12*(1+Inputs!$B$13/100)))+0.25*(Inputs!$B$14-Inputs!$B$14))*(1+Inputs!$B$7/100))*(F379/100)</f>
        <v/>
      </c>
      <c r="K379">
        <f>J379*(1+((Inputs!$B$12*(1+Inputs!$B$13/100))*0.01+Inputs!$B$14*0.0025)/100)*(1+Inputs!$B$15/100)*(1+IF(Inputs!$B$39="pvp",0,(1-Summary!$B$55)*(Inputs!$B$20+0+Skills!P9+B404)+Summary!$B$55*(Inputs!$B$21+Skills!Q9+B404))/100)*(1+Inputs!$B$16/100)*(5000/(6000+Inputs!$B$43*(1-Inputs!$B$19/100)))*(1+(((((1+Inputs!$B$24/100)*(1.01))-1)*100)+((C400=TRUE)*(F400-Calc!F30)))/100)*(1+(IF(Skills!A9="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379)</f>
        <v/>
      </c>
      <c r="L379">
        <f>K379*(MIN(Inputs!$B$22+((C394=TRUE)*(F394-Calc!F24)),Inputs!$B$23+((C399=TRUE)*(F399-Calc!F29)))/100+(Inputs!$B$23+((C399=TRUE)*(F399-Calc!F29)))/100)/2</f>
        <v/>
      </c>
      <c r="M379">
        <f>L379*(1+(Inputs!$B$10+((C396=TRUE)*(F396-Calc!F26))+B410)/100)</f>
        <v/>
      </c>
      <c r="N379">
        <f>L379*(1-MIN((Inputs!$B$9+((C395=TRUE)*(F395-Calc!F25))+B403),100)/100)+M379*(MIN((Inputs!$B$9+((C395=TRUE)*(F395-Calc!F25))+B403),100)/100)</f>
        <v/>
      </c>
      <c r="O379">
        <f>IF(C379,0.2*SUMPRODUCT((Skills!Z2:Z30=TRUE)*(C372:C400=TRUE)*S372:S400)*N379,0)</f>
        <v/>
      </c>
      <c r="P379">
        <f>IF(B415=0,0,O379/B415)</f>
        <v/>
      </c>
      <c r="Q379" t="n">
        <v>0</v>
      </c>
      <c r="R379" t="n">
        <v>0</v>
      </c>
      <c r="S379" t="n">
        <v>0</v>
      </c>
    </row>
    <row r="380">
      <c r="A380">
        <f>Skills!A10</f>
        <v/>
      </c>
      <c r="B380">
        <f>Skills!B10</f>
        <v/>
      </c>
      <c r="C380">
        <f>Inputs!$B$3&gt;=74</f>
        <v/>
      </c>
      <c r="D380">
        <f>IF(Skills!C10=1,60+Inputs!$B$25+Inputs!$B$29,IF(Skills!C10=2,90+Inputs!$B$26+Inputs!$B$29,IF(Skills!C10=3,120+Inputs!$B$27+Inputs!$B$29,MAX(0,(Inputs!$B$3-100)*3)+Inputs!$B$28+Inputs!$B$29)))</f>
        <v/>
      </c>
      <c r="E380">
        <f>INDEX(FactorTable!$B$2:$Y$301, MATCH(ROUND(MIN(300,MAX(1,D380)),0), FactorTable!$A$2:$A$301,0), Skills!M10+1)</f>
        <v/>
      </c>
      <c r="F380">
        <f>IF(Skills!N10=TRUE,(Skills!L10/10)*(E380/1000),Skills!L10/10)+Skills!O10</f>
        <v/>
      </c>
      <c r="G380">
        <f>Skills!G10*IF(Skills!H10&gt;0,Skills!I10/Skills!H10,1)</f>
        <v/>
      </c>
      <c r="H380">
        <f>1-(1-Skills!J10/100)^Skills!K10</f>
        <v/>
      </c>
      <c r="I380" t="inlineStr">
        <is>
          <t>1</t>
        </is>
      </c>
      <c r="J380" t="inlineStr"/>
      <c r="K380" t="inlineStr"/>
      <c r="L380" t="inlineStr"/>
      <c r="M380" t="inlineStr"/>
      <c r="N380" t="inlineStr"/>
      <c r="O380" t="n">
        <v>0</v>
      </c>
      <c r="P380">
        <f>IF(B415=0,0,O380/B415)</f>
        <v/>
      </c>
      <c r="Q380">
        <f>IFERROR(1/IF(Inputs!$B$39="pvp",15,MAX(0.1,Skills!D10-IF(Skills!E10=TRUE,Inputs!$B$32,0))),0)</f>
        <v/>
      </c>
      <c r="R380">
        <f>IF(AND(Inputs!$B$39&lt;&gt;"pvp",Inputs!$B$44&gt;0),IF(Inputs!$B$44&lt;=0,0,(INT(Inputs!$B$44/IF(Inputs!$B$39="pvp",15,MAX(0.1,Skills!D10-IF(Skills!E10=TRUE,Inputs!$B$32,0))))+1)),0)</f>
        <v/>
      </c>
      <c r="S380">
        <f>IFERROR(O380/N380,0)</f>
        <v/>
      </c>
    </row>
    <row r="381">
      <c r="A381">
        <f>Skills!A11</f>
        <v/>
      </c>
      <c r="B381">
        <f>Skills!B11</f>
        <v/>
      </c>
      <c r="C381">
        <f>Inputs!$B$3&gt;=103</f>
        <v/>
      </c>
      <c r="D381">
        <f>IF(Skills!C11=1,60+Inputs!$B$25+Inputs!$B$29,IF(Skills!C11=2,90+Inputs!$B$26+Inputs!$B$29,IF(Skills!C11=3,120+Inputs!$B$27+Inputs!$B$29,MAX(0,(Inputs!$B$3-100)*3)+Inputs!$B$28+Inputs!$B$29)))</f>
        <v/>
      </c>
      <c r="E381">
        <f>INDEX(FactorTable!$B$2:$Y$301, MATCH(ROUND(MIN(300,MAX(1,D381)),0), FactorTable!$A$2:$A$301,0), Skills!M11+1)</f>
        <v/>
      </c>
      <c r="F381">
        <f>(Skills!L11/10)*(E381/1000)+IF(Inputs!$B$3&gt;=134,50,0)+0.5*(30000/10)*(INDEX(FactorTable!$B$2:$Y$301, MATCH(ROUND(MIN(300,MAX(1,D381)),0), FactorTable!$A$2:$A$301,0), 13)/1000)*B413</f>
        <v/>
      </c>
      <c r="G381">
        <f>Skills!G11*IF(Skills!H11&gt;0,Skills!I11/Skills!H11,1)</f>
        <v/>
      </c>
      <c r="H381">
        <f>1-(1-Skills!J11/100)^Skills!K11</f>
        <v/>
      </c>
      <c r="I381" t="inlineStr">
        <is>
          <t>1</t>
        </is>
      </c>
      <c r="J381">
        <f>((Inputs!$B$6*(1+Inputs!$B$7/100))+(((Inputs!$B$12*(1+Inputs!$B$13/100))-(Inputs!$B$12*(1+Inputs!$B$13/100)))+0.25*(Inputs!$B$14-Inputs!$B$14))*(1+Inputs!$B$7/100))*(F381/100)</f>
        <v/>
      </c>
      <c r="K381">
        <f>J381*(1+((Inputs!$B$12*(1+Inputs!$B$13/100))*0.01+Inputs!$B$14*0.0025)/100)*(1+Inputs!$B$15/100)*(1+IF(Inputs!$B$39="pvp",0,(1-Summary!$B$55)*(Inputs!$B$20+0+Skills!P11+B404)+Summary!$B$55*(Inputs!$B$21+Skills!Q11+B404))/100)*(1+Inputs!$B$16/100)*(5000/(6000+Inputs!$B$43*(1-Inputs!$B$19/100)))*(1+(((((1+Inputs!$B$24/100)*(1.01))-1)*100)+((C400=TRUE)*(F400-Calc!F30)))/100)*(1+(IF(Skills!A11="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381)</f>
        <v/>
      </c>
      <c r="L381">
        <f>K381*(MIN(Inputs!$B$22+((C394=TRUE)*(F394-Calc!F24)),Inputs!$B$23+((C399=TRUE)*(F399-Calc!F29)))/100+(Inputs!$B$23+((C399=TRUE)*(F399-Calc!F29)))/100)/2</f>
        <v/>
      </c>
      <c r="M381">
        <f>L381*(1+(Inputs!$B$10+((C396=TRUE)*(F396-Calc!F26))+B410)/100)</f>
        <v/>
      </c>
      <c r="N381">
        <f>L381*(1-MIN((Inputs!$B$9+((C395=TRUE)*(F395-Calc!F25))+B403),100)/100)+M381*(MIN((Inputs!$B$9+((C395=TRUE)*(F395-Calc!F25))+B403),100)/100)</f>
        <v/>
      </c>
      <c r="O381">
        <f>IF(C381,H381*N381*IF(AND(Inputs!$B$39&lt;&gt;"pvp",Inputs!$B$44&gt;0),((Skills!G11*((R381-1)*IF(Skills!H11&gt;0,Skills!I11/Skills!H11,1)+IF(Skills!H11&gt;0,MIN(Skills!I11,MAX(0,MAX(0,Inputs!$B$44-B414)-((R381-1)*IF(Inputs!$B$39="pvp",15,MAX(0.1,Skills!D11-IF(Skills!E11=TRUE,Inputs!$B$32,0))))))/Skills!H11,1)))/Inputs!$B$44),G381*Q381)*IF(Inputs!$B$39="pvp",1,(1-Summary!$B$55)*(1)+Summary!$B$55*(MIN(Skills!W11,Inputs!$B$37))),0)</f>
        <v/>
      </c>
      <c r="P381">
        <f>IF(B415=0,0,O381/B415)</f>
        <v/>
      </c>
      <c r="Q381">
        <f>IFERROR(1/IF(Inputs!$B$39="pvp",15,MAX(0.1,Skills!D11-IF(Skills!E11=TRUE,Inputs!$B$32,0))),0)</f>
        <v/>
      </c>
      <c r="R381">
        <f>IF(AND(Inputs!$B$39&lt;&gt;"pvp",Inputs!$B$44&gt;0),IF(MAX(0,Inputs!$B$44-B414)&lt;=0,0,(INT(MAX(0,Inputs!$B$44-B414)/IF(Inputs!$B$39="pvp",15,MAX(0.1,Skills!D11-IF(Skills!E11=TRUE,Inputs!$B$32,0))))+1)),0)</f>
        <v/>
      </c>
      <c r="S381">
        <f>IFERROR(O381/N381,0)</f>
        <v/>
      </c>
    </row>
    <row r="382">
      <c r="A382">
        <f>Skills!A12</f>
        <v/>
      </c>
      <c r="B382">
        <f>Skills!B12</f>
        <v/>
      </c>
      <c r="C382">
        <f>Inputs!$B$3&gt;=105</f>
        <v/>
      </c>
      <c r="D382">
        <f>IF(Skills!C12=1,60+Inputs!$B$25+Inputs!$B$29,IF(Skills!C12=2,90+Inputs!$B$26+Inputs!$B$29,IF(Skills!C12=3,120+Inputs!$B$27+Inputs!$B$29,MAX(0,(Inputs!$B$3-100)*3)+Inputs!$B$28+Inputs!$B$29)))</f>
        <v/>
      </c>
      <c r="E382">
        <f>INDEX(FactorTable!$B$2:$Y$301, MATCH(ROUND(MIN(300,MAX(1,D382)),0), FactorTable!$A$2:$A$301,0), Skills!M12+1)</f>
        <v/>
      </c>
      <c r="F382">
        <f>IF(Skills!N12=TRUE,(Skills!L12/10)*(E382/1000),Skills!L12/10)+Skills!O12</f>
        <v/>
      </c>
      <c r="G382">
        <f>Skills!G12*IF(Skills!H12&gt;0,Skills!I12/Skills!H12,1)</f>
        <v/>
      </c>
      <c r="H382">
        <f>1-(1-Skills!J12/100)^Skills!K12</f>
        <v/>
      </c>
      <c r="I382" t="inlineStr">
        <is>
          <t>1</t>
        </is>
      </c>
      <c r="J382">
        <f>((Inputs!$B$6*(1+Inputs!$B$7/100))+(((Inputs!$B$12*(1+Inputs!$B$13/100))-(Inputs!$B$12*(1+Inputs!$B$13/100)))+0.25*(Inputs!$B$14-Inputs!$B$14))*(1+Inputs!$B$7/100))*(F382/100)</f>
        <v/>
      </c>
      <c r="K382">
        <f>J382*(1+((Inputs!$B$12*(1+Inputs!$B$13/100))*0.01+Inputs!$B$14*0.0025)/100)*(1+Inputs!$B$15/100)*(1+IF(Inputs!$B$39="pvp",0,(1-Summary!$B$55)*(Inputs!$B$20+0+Skills!P12+B404)+Summary!$B$55*(Inputs!$B$21+Skills!Q12+B404))/100)*(1+Inputs!$B$16/100)*(5000/(6000+Inputs!$B$43*(1-Inputs!$B$19/100)))*(1+(((((1+Inputs!$B$24/100)*(1.01))-1)*100)+((C400=TRUE)*(F400-Calc!F30)))/100)*(1+(IF(Skills!A12="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382)</f>
        <v/>
      </c>
      <c r="L382">
        <f>K382*(MIN(Inputs!$B$22+((C394=TRUE)*(F394-Calc!F24)),Inputs!$B$23+((C399=TRUE)*(F399-Calc!F29)))/100+(Inputs!$B$23+((C399=TRUE)*(F399-Calc!F29)))/100)/2</f>
        <v/>
      </c>
      <c r="M382">
        <f>L382*(1+(Inputs!$B$10+((C396=TRUE)*(F396-Calc!F26))+B410)/100)</f>
        <v/>
      </c>
      <c r="N382">
        <f>L382*(1-MIN((Inputs!$B$9+((C395=TRUE)*(F395-Calc!F25))+B403),100)/100)+M382*(MIN((Inputs!$B$9+((C395=TRUE)*(F395-Calc!F25))+B403),100)/100)</f>
        <v/>
      </c>
      <c r="O382">
        <f>IF(C382,H382*N382*IF(AND(Inputs!$B$39&lt;&gt;"pvp",Inputs!$B$44&gt;0),((Skills!G12*((R382-1)*IF(Skills!H12&gt;0,Skills!I12/Skills!H12,1)+IF(Skills!H12&gt;0,MIN(Skills!I12,MAX(0,MAX(0,Inputs!$B$44-B414)-((R382-1)*IF(Inputs!$B$39="pvp",15,MAX(0.1,Skills!D12-IF(Skills!E12=TRUE,Inputs!$B$32,0))))))/Skills!H12,1)))/Inputs!$B$44),G382*Q382)*IF(Inputs!$B$39="pvp",1,(1-Summary!$B$55)*(1)+Summary!$B$55*(MIN(Skills!W12,Inputs!$B$37))),0)</f>
        <v/>
      </c>
      <c r="P382">
        <f>IF(B415=0,0,O382/B415)</f>
        <v/>
      </c>
      <c r="Q382">
        <f>IFERROR(1/IF(Inputs!$B$39="pvp",15,MAX(0.1,Skills!D12-IF(Skills!E12=TRUE,Inputs!$B$32,0))),0)</f>
        <v/>
      </c>
      <c r="R382">
        <f>IF(AND(Inputs!$B$39&lt;&gt;"pvp",Inputs!$B$44&gt;0),IF(MAX(0,Inputs!$B$44-B414)&lt;=0,0,(INT(MAX(0,Inputs!$B$44-B414)/IF(Inputs!$B$39="pvp",15,MAX(0.1,Skills!D12-IF(Skills!E12=TRUE,Inputs!$B$32,0))))+1)),0)</f>
        <v/>
      </c>
      <c r="S382">
        <f>IFERROR(O382/N382,0)</f>
        <v/>
      </c>
    </row>
    <row r="383">
      <c r="A383">
        <f>Skills!A13</f>
        <v/>
      </c>
      <c r="B383">
        <f>Skills!B13</f>
        <v/>
      </c>
      <c r="C383">
        <f>Inputs!$B$3&gt;=105</f>
        <v/>
      </c>
      <c r="D383">
        <f>IF(Skills!C13=1,60+Inputs!$B$25+Inputs!$B$29,IF(Skills!C13=2,90+Inputs!$B$26+Inputs!$B$29,IF(Skills!C13=3,120+Inputs!$B$27+Inputs!$B$29,MAX(0,(Inputs!$B$3-100)*3)+Inputs!$B$28+Inputs!$B$29)))</f>
        <v/>
      </c>
      <c r="E383">
        <f>INDEX(FactorTable!$B$2:$Y$301, MATCH(ROUND(MIN(300,MAX(1,D383)),0), FactorTable!$A$2:$A$301,0), Skills!M13+1)</f>
        <v/>
      </c>
      <c r="F383">
        <f>IF(Skills!N13=TRUE,(Skills!L13/10)*(E383/1000),Skills!L13/10)+Skills!O13</f>
        <v/>
      </c>
      <c r="G383">
        <f>Skills!G13*IF(Skills!H13&gt;0,Skills!I13/Skills!H13,1)</f>
        <v/>
      </c>
      <c r="H383">
        <f>1-(1-Skills!J13/100)^Skills!K13</f>
        <v/>
      </c>
      <c r="I383" t="inlineStr">
        <is>
          <t>1</t>
        </is>
      </c>
      <c r="J383">
        <f>((Inputs!$B$6*(1+Inputs!$B$7/100))+(((Inputs!$B$12*(1+Inputs!$B$13/100))-(Inputs!$B$12*(1+Inputs!$B$13/100)))+0.25*(Inputs!$B$14-Inputs!$B$14))*(1+Inputs!$B$7/100))*(F383/100)</f>
        <v/>
      </c>
      <c r="K383">
        <f>J383*(1+((Inputs!$B$12*(1+Inputs!$B$13/100))*0.01+Inputs!$B$14*0.0025)/100)*(1+Inputs!$B$15/100)*(1+IF(Inputs!$B$39="pvp",0,(1-Summary!$B$55)*(Inputs!$B$20+0+Skills!P13+B404)+Summary!$B$55*(Inputs!$B$21+Skills!Q13+B404))/100)*(1+Inputs!$B$16/100)*(5000/(6000+Inputs!$B$43*(1-Inputs!$B$19/100)))*(1+(((((1+Inputs!$B$24/100)*(1.01))-1)*100)+((C400=TRUE)*(F400-Calc!F30)))/100)*(1+(IF(Skills!A13="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383)</f>
        <v/>
      </c>
      <c r="L383">
        <f>K383*(MIN(Inputs!$B$22+((C394=TRUE)*(F394-Calc!F24)),Inputs!$B$23+((C399=TRUE)*(F399-Calc!F29)))/100+(Inputs!$B$23+((C399=TRUE)*(F399-Calc!F29)))/100)/2</f>
        <v/>
      </c>
      <c r="M383">
        <f>L383*(1+(Inputs!$B$10+((C396=TRUE)*(F396-Calc!F26))+B410)/100)</f>
        <v/>
      </c>
      <c r="N383">
        <f>L383*(1-MIN((Inputs!$B$9+((C395=TRUE)*(F395-Calc!F25))+B403),100)/100)+M383*(MIN((Inputs!$B$9+((C395=TRUE)*(F395-Calc!F25))+B403),100)/100)</f>
        <v/>
      </c>
      <c r="O383">
        <f>IF(C383,H383*N383*IF(AND(Inputs!$B$39&lt;&gt;"pvp",Inputs!$B$44&gt;0),((Skills!G13*((R383-1)*IF(Skills!H13&gt;0,Skills!I13/Skills!H13,1)+IF(Skills!H13&gt;0,MIN(Skills!I13,MAX(0,MAX(0,Inputs!$B$44-B414)-((R383-1)*IF(Inputs!$B$39="pvp",15,MAX(0.1,Skills!D13-IF(Skills!E13=TRUE,Inputs!$B$32,0))))))/Skills!H13,1)))/Inputs!$B$44),G383*Q383)*IF(Inputs!$B$39="pvp",1,(1-Summary!$B$55)*(1)+Summary!$B$55*(MIN(Skills!W13,Inputs!$B$37))),0)</f>
        <v/>
      </c>
      <c r="P383">
        <f>IF(B415=0,0,O383/B415)</f>
        <v/>
      </c>
      <c r="Q383">
        <f>IFERROR(1/IF(Inputs!$B$39="pvp",15,MAX(0.1,Skills!D13-IF(Skills!E13=TRUE,Inputs!$B$32,0))),0)</f>
        <v/>
      </c>
      <c r="R383">
        <f>IF(AND(Inputs!$B$39&lt;&gt;"pvp",Inputs!$B$44&gt;0),IF(MAX(0,Inputs!$B$44-B414)&lt;=0,0,(INT(MAX(0,Inputs!$B$44-B414)/IF(Inputs!$B$39="pvp",15,MAX(0.1,Skills!D13-IF(Skills!E13=TRUE,Inputs!$B$32,0))))+1)),0)</f>
        <v/>
      </c>
      <c r="S383">
        <f>IFERROR(O383/N383,0)</f>
        <v/>
      </c>
    </row>
    <row r="384">
      <c r="A384">
        <f>Skills!A14</f>
        <v/>
      </c>
      <c r="B384">
        <f>Skills!B14</f>
        <v/>
      </c>
      <c r="C384">
        <f>Inputs!$B$3&gt;=107</f>
        <v/>
      </c>
      <c r="D384">
        <f>IF(Skills!C14=1,60+Inputs!$B$25+Inputs!$B$29,IF(Skills!C14=2,90+Inputs!$B$26+Inputs!$B$29,IF(Skills!C14=3,120+Inputs!$B$27+Inputs!$B$29,MAX(0,(Inputs!$B$3-100)*3)+Inputs!$B$28+Inputs!$B$29)))</f>
        <v/>
      </c>
      <c r="E384">
        <f>INDEX(FactorTable!$B$2:$Y$301, MATCH(ROUND(MIN(300,MAX(1,D384)),0), FactorTable!$A$2:$A$301,0), Skills!M14+1)</f>
        <v/>
      </c>
      <c r="F384">
        <f>IF(Skills!N14=TRUE,(Skills!L14/10)*(E384/1000),Skills!L14/10)+Skills!O14</f>
        <v/>
      </c>
      <c r="G384">
        <f>Skills!G14*IF(Skills!H14&gt;0,Skills!I14/Skills!H14,1)</f>
        <v/>
      </c>
      <c r="H384">
        <f>1-(1-Skills!J14/100)^Skills!K14</f>
        <v/>
      </c>
      <c r="I384" t="inlineStr">
        <is>
          <t>1</t>
        </is>
      </c>
      <c r="J384">
        <f>((Inputs!$B$6*(1+Inputs!$B$7/100))+(((Inputs!$B$12*(1+Inputs!$B$13/100))-(Inputs!$B$12*(1+Inputs!$B$13/100)))+0.25*(Inputs!$B$14-Inputs!$B$14))*(1+Inputs!$B$7/100))*(F384/100)</f>
        <v/>
      </c>
      <c r="K384">
        <f>J384*(1+((Inputs!$B$12*(1+Inputs!$B$13/100))*0.01+Inputs!$B$14*0.0025)/100)*(1+Inputs!$B$15/100)*(1+IF(Inputs!$B$39="pvp",0,(1-Summary!$B$55)*(Inputs!$B$20+0+Skills!P14+B404)+Summary!$B$55*(Inputs!$B$21+Skills!Q14+B404))/100)*(1+Inputs!$B$16/100)*(5000/(6000+Inputs!$B$43*(1-Inputs!$B$19/100)))*(1+(((((1+Inputs!$B$24/100)*(1.01))-1)*100)+((C400=TRUE)*(F400-Calc!F30)))/100)*(1+(IF(Skills!A14="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384)</f>
        <v/>
      </c>
      <c r="L384">
        <f>K384*(MIN(Inputs!$B$22+((C394=TRUE)*(F394-Calc!F24)),Inputs!$B$23+((C399=TRUE)*(F399-Calc!F29)))/100+(Inputs!$B$23+((C399=TRUE)*(F399-Calc!F29)))/100)/2</f>
        <v/>
      </c>
      <c r="M384">
        <f>L384*(1+(Inputs!$B$10+((C396=TRUE)*(F396-Calc!F26))+B410)/100)</f>
        <v/>
      </c>
      <c r="N384">
        <f>L384*(1-MIN((Inputs!$B$9+((C395=TRUE)*(F395-Calc!F25))+B403),100)/100)+M384*(MIN((Inputs!$B$9+((C395=TRUE)*(F395-Calc!F25))+B403),100)/100)</f>
        <v/>
      </c>
      <c r="O384">
        <f>IF(C384,H384*N384*IF(AND(Inputs!$B$39&lt;&gt;"pvp",Inputs!$B$44&gt;0),((Skills!G14*((R384-1)*IF(Skills!H14&gt;0,Skills!I14/Skills!H14,1)+IF(Skills!H14&gt;0,MIN(Skills!I14,MAX(0,MAX(0,Inputs!$B$44-B414)-((R384-1)*IF(Inputs!$B$39="pvp",15,MAX(0.1,Skills!D14-IF(Skills!E14=TRUE,Inputs!$B$32,0))))))/Skills!H14,1)))/Inputs!$B$44),G384*Q384)*IF(Inputs!$B$39="pvp",1,(1-Summary!$B$55)*(1)+Summary!$B$55*(MIN(MIN(5,0.25*B407*Skills!D4)*Skills!V14,Inputs!$B$37))),0)</f>
        <v/>
      </c>
      <c r="P384">
        <f>IF(B415=0,0,O384/B415)</f>
        <v/>
      </c>
      <c r="Q384">
        <f>IFERROR(1/IF(Inputs!$B$39="pvp",15,MAX(0.1,Skills!D14-IF(Skills!E14=TRUE,Inputs!$B$32,0))),0)</f>
        <v/>
      </c>
      <c r="R384">
        <f>IF(AND(Inputs!$B$39&lt;&gt;"pvp",Inputs!$B$44&gt;0),IF(MAX(0,Inputs!$B$44-B414)&lt;=0,0,(INT(MAX(0,Inputs!$B$44-B414)/IF(Inputs!$B$39="pvp",15,MAX(0.1,Skills!D14-IF(Skills!E14=TRUE,Inputs!$B$32,0))))+1)),0)</f>
        <v/>
      </c>
      <c r="S384">
        <f>IFERROR(O384/N384,0)</f>
        <v/>
      </c>
    </row>
    <row r="385">
      <c r="A385">
        <f>Skills!A15</f>
        <v/>
      </c>
      <c r="B385">
        <f>Skills!B15</f>
        <v/>
      </c>
      <c r="C385">
        <f>Inputs!$B$3&gt;=110</f>
        <v/>
      </c>
      <c r="D385">
        <f>IF(Skills!C15=1,60+Inputs!$B$25+Inputs!$B$29,IF(Skills!C15=2,90+Inputs!$B$26+Inputs!$B$29,IF(Skills!C15=3,120+Inputs!$B$27+Inputs!$B$29,MAX(0,(Inputs!$B$3-100)*3)+Inputs!$B$28+Inputs!$B$29)))</f>
        <v/>
      </c>
      <c r="E385">
        <f>INDEX(FactorTable!$B$2:$Y$301, MATCH(ROUND(MIN(300,MAX(1,D385)),0), FactorTable!$A$2:$A$301,0), Skills!M15+1)</f>
        <v/>
      </c>
      <c r="F385">
        <f>IF(Skills!N15=TRUE,(Skills!L15/10)*(E385/1000),Skills!L15/10)+Skills!O15</f>
        <v/>
      </c>
      <c r="G385">
        <f>Skills!G15*IF(Skills!H15&gt;0,Skills!I15/Skills!H15,1)</f>
        <v/>
      </c>
      <c r="H385">
        <f>1-(1-Skills!J15/100)^Skills!K15</f>
        <v/>
      </c>
      <c r="I385" t="inlineStr">
        <is>
          <t>1</t>
        </is>
      </c>
      <c r="J385" t="inlineStr"/>
      <c r="K385" t="inlineStr"/>
      <c r="L385" t="inlineStr"/>
      <c r="M385" t="inlineStr"/>
      <c r="N385" t="inlineStr"/>
      <c r="O385" t="n">
        <v>0</v>
      </c>
      <c r="P385">
        <f>IF(B415=0,0,O385/B415)</f>
        <v/>
      </c>
      <c r="Q385">
        <f>IFERROR(1/IF(Inputs!$B$39="pvp",15,MAX(0.1,Skills!D15-IF(Skills!E15=TRUE,Inputs!$B$32,0))),0)</f>
        <v/>
      </c>
      <c r="R385">
        <f>IF(AND(Inputs!$B$39&lt;&gt;"pvp",Inputs!$B$44&gt;0),IF(Inputs!$B$44&lt;=0,0,(INT(Inputs!$B$44/IF(Inputs!$B$39="pvp",15,MAX(0.1,Skills!D15-IF(Skills!E15=TRUE,Inputs!$B$32,0))))+1)),0)</f>
        <v/>
      </c>
      <c r="S385">
        <f>IFERROR(O385/N385,0)</f>
        <v/>
      </c>
    </row>
    <row r="386">
      <c r="A386">
        <f>Skills!A16</f>
        <v/>
      </c>
      <c r="B386">
        <f>Skills!B16</f>
        <v/>
      </c>
      <c r="C386">
        <f>Inputs!$B$3&gt;=115</f>
        <v/>
      </c>
      <c r="D386">
        <f>IF(Skills!C16=1,60+Inputs!$B$25+Inputs!$B$29,IF(Skills!C16=2,90+Inputs!$B$26+Inputs!$B$29,IF(Skills!C16=3,120+Inputs!$B$27+Inputs!$B$29,MAX(0,(Inputs!$B$3-100)*3)+Inputs!$B$28+Inputs!$B$29)))</f>
        <v/>
      </c>
      <c r="E386">
        <f>INDEX(FactorTable!$B$2:$Y$301, MATCH(ROUND(MIN(300,MAX(1,D386)),0), FactorTable!$A$2:$A$301,0), Skills!M16+1)</f>
        <v/>
      </c>
      <c r="F386">
        <f>IF(Skills!N16=TRUE,(Skills!L16/10)*(E386/1000),Skills!L16/10)+Skills!O16</f>
        <v/>
      </c>
      <c r="G386">
        <f>Skills!G16*IF(Skills!H16&gt;0,Skills!I16/Skills!H16,1)</f>
        <v/>
      </c>
      <c r="H386">
        <f>1-(1-Skills!J16/100)^Skills!K16</f>
        <v/>
      </c>
      <c r="I386" t="inlineStr">
        <is>
          <t>1</t>
        </is>
      </c>
      <c r="J386">
        <f>((Inputs!$B$6*(1+Inputs!$B$7/100))+(((Inputs!$B$12*(1+Inputs!$B$13/100))-(Inputs!$B$12*(1+Inputs!$B$13/100)))+0.25*(Inputs!$B$14-Inputs!$B$14))*(1+Inputs!$B$7/100))*(F386/100)</f>
        <v/>
      </c>
      <c r="K386">
        <f>J386*(1+((Inputs!$B$12*(1+Inputs!$B$13/100))*0.01+Inputs!$B$14*0.0025)/100)*(1+Inputs!$B$15/100)*(1+IF(Inputs!$B$39="pvp",0,(1-Summary!$B$55)*(Inputs!$B$20+0+Skills!P16+B404)+Summary!$B$55*(Inputs!$B$21+Skills!Q16+B404))/100)*(1+Inputs!$B$16/100)*(5000/(6000+Inputs!$B$43*(1-Inputs!$B$19/100)))*(1+(((((1+Inputs!$B$24/100)*(1.01))-1)*100)+((C400=TRUE)*(F400-Calc!F30)))/100)*(1+(IF(Skills!A16="CRUEL_STAB",Inputs!$B$17+((C397=TRUE)*(F397-Calc!F27)),Inputs!$B$18+((C398=TRUE)*(F398-Calc!F28))))/100)*(((1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B405*I386)</f>
        <v/>
      </c>
      <c r="L386">
        <f>K386*(MIN(Inputs!$B$22+((C394=TRUE)*(F394-Calc!F24)),Inputs!$B$23+((C399=TRUE)*(F399-Calc!F29)))/100+(Inputs!$B$23+((C399=TRUE)*(F399-Calc!F29)))/100)/2</f>
        <v/>
      </c>
      <c r="M386">
        <f>L386*(1+(Inputs!$B$10+((C396=TRUE)*(F396-Calc!F26))+B410)/100)</f>
        <v/>
      </c>
      <c r="N386">
        <f>L386*(1-MIN((Inputs!$B$9+((C395=TRUE)*(F395-Calc!F25))+B403),100)/100)+M386*(MIN((Inputs!$B$9+((C395=TRUE)*(F395-Calc!F25))+B403),100)/100)</f>
        <v/>
      </c>
      <c r="O386">
        <f>IF(C386,Inputs!$B$38*0.2*N386,0)</f>
        <v/>
      </c>
      <c r="P386">
        <f>IF(B415=0,0,O386/B415)</f>
        <v/>
      </c>
      <c r="Q386" t="n">
        <v>0</v>
      </c>
      <c r="R386" t="n">
        <v>0</v>
      </c>
      <c r="S386">
        <f>IFERROR(O386/N386,0)</f>
        <v/>
      </c>
    </row>
    <row r="387">
      <c r="A387">
        <f>Skills!A17</f>
        <v/>
      </c>
      <c r="B387">
        <f>Skills!B17</f>
        <v/>
      </c>
      <c r="C387">
        <f>Inputs!$B$3&gt;=115</f>
        <v/>
      </c>
      <c r="D387">
        <f>IF(Skills!C17=1,60+Inputs!$B$25+Inputs!$B$29,IF(Skills!C17=2,90+Inputs!$B$26+Inputs!$B$29,IF(Skills!C17=3,120+Inputs!$B$27+Inputs!$B$29,MAX(0,(Inputs!$B$3-100)*3)+Inputs!$B$28+Inputs!$B$29)))</f>
        <v/>
      </c>
      <c r="E387">
        <f>INDEX(FactorTable!$B$2:$Y$301, MATCH(ROUND(MIN(300,MAX(1,D387)),0), FactorTable!$A$2:$A$301,0), Skills!M17+1)</f>
        <v/>
      </c>
      <c r="F387">
        <f>IF(Skills!N17=TRUE,(Skills!L17/10)*(E387/1000),Skills!L17/10)+Skills!O17</f>
        <v/>
      </c>
      <c r="G387">
        <f>Skills!G17*IF(Skills!H17&gt;0,Skills!I17/Skills!H17,1)</f>
        <v/>
      </c>
      <c r="H387">
        <f>1-(1-Skills!J17/100)^Skills!K17</f>
        <v/>
      </c>
      <c r="I387" t="inlineStr">
        <is>
          <t>1</t>
        </is>
      </c>
      <c r="J387" t="inlineStr"/>
      <c r="K387" t="inlineStr"/>
      <c r="L387" t="inlineStr"/>
      <c r="M387" t="inlineStr"/>
      <c r="N387" t="inlineStr"/>
      <c r="O387" t="n">
        <v>0</v>
      </c>
      <c r="P387">
        <f>IF(B415=0,0,O387/B415)</f>
        <v/>
      </c>
      <c r="Q387" t="n">
        <v>0</v>
      </c>
      <c r="R387" t="n">
        <v>0</v>
      </c>
      <c r="S387">
        <f>IFERROR(O387/N387,0)</f>
        <v/>
      </c>
    </row>
    <row r="388">
      <c r="A388">
        <f>Skills!A18</f>
        <v/>
      </c>
      <c r="B388">
        <f>Skills!B18</f>
        <v/>
      </c>
      <c r="C388">
        <f>Inputs!$B$3&gt;=100</f>
        <v/>
      </c>
      <c r="D388">
        <f>IF(Skills!C18=1,60+Inputs!$B$25+Inputs!$B$29,IF(Skills!C18=2,90+Inputs!$B$26+Inputs!$B$29,IF(Skills!C18=3,120+Inputs!$B$27+Inputs!$B$29,MAX(0,(Inputs!$B$3-100)*3)+Inputs!$B$28+Inputs!$B$29)))</f>
        <v/>
      </c>
      <c r="E388">
        <f>INDEX(FactorTable!$B$2:$Y$301, MATCH(ROUND(MIN(300,MAX(1,D388)),0), FactorTable!$A$2:$A$301,0), Skills!M18+1)</f>
        <v/>
      </c>
      <c r="F388">
        <f>IF(Skills!N18=TRUE,(Skills!L18/10)*(E388/1000),Skills!L18/10)+Skills!O18</f>
        <v/>
      </c>
      <c r="G388">
        <f>Skills!G18*IF(Skills!H18&gt;0,Skills!I18/Skills!H18,1)</f>
        <v/>
      </c>
      <c r="H388">
        <f>1-(1-Skills!J18/100)^Skills!K18</f>
        <v/>
      </c>
      <c r="I388" t="inlineStr">
        <is>
          <t>1</t>
        </is>
      </c>
      <c r="J388" t="inlineStr"/>
      <c r="K388" t="inlineStr"/>
      <c r="L388" t="inlineStr"/>
      <c r="M388" t="inlineStr"/>
      <c r="N388" t="inlineStr"/>
      <c r="O388" t="n">
        <v>0</v>
      </c>
      <c r="P388">
        <f>IF(B415=0,0,O388/B415)</f>
        <v/>
      </c>
      <c r="Q388" t="n">
        <v>0</v>
      </c>
      <c r="R388" t="n">
        <v>0</v>
      </c>
      <c r="S388">
        <f>IFERROR(O388/N388,0)</f>
        <v/>
      </c>
    </row>
    <row r="389">
      <c r="A389">
        <f>Skills!A19</f>
        <v/>
      </c>
      <c r="B389">
        <f>Skills!B19</f>
        <v/>
      </c>
      <c r="C389">
        <f>TRUE</f>
        <v/>
      </c>
      <c r="D389">
        <f>IF(Skills!C19=1,60+Inputs!$B$25+Inputs!$B$29,IF(Skills!C19=2,90+Inputs!$B$26+Inputs!$B$29,IF(Skills!C19=3,120+Inputs!$B$27+Inputs!$B$29,MAX(0,(Inputs!$B$3-100)*3)+Inputs!$B$28+Inputs!$B$29)))</f>
        <v/>
      </c>
      <c r="E389">
        <f>INDEX(FactorTable!$B$2:$Y$301, MATCH(ROUND(MIN(300,MAX(1,D389)),0), FactorTable!$A$2:$A$301,0), Skills!M19+1)</f>
        <v/>
      </c>
      <c r="F389">
        <f>IF(Skills!N19=TRUE,(Skills!L19/10)*(E389/1000),Skills!L19/10)+Skills!O19</f>
        <v/>
      </c>
      <c r="G389">
        <f>Skills!G19*IF(Skills!H19&gt;0,Skills!I19/Skills!H19,1)</f>
        <v/>
      </c>
      <c r="H389">
        <f>1-(1-Skills!J19/100)^Skills!K19</f>
        <v/>
      </c>
      <c r="I389" t="inlineStr">
        <is>
          <t>1</t>
        </is>
      </c>
      <c r="J389" t="inlineStr"/>
      <c r="K389" t="inlineStr"/>
      <c r="L389" t="inlineStr"/>
      <c r="M389" t="inlineStr"/>
      <c r="N389" t="inlineStr"/>
      <c r="O389" t="n">
        <v>0</v>
      </c>
      <c r="P389">
        <f>IF(B415=0,0,O389/B415)</f>
        <v/>
      </c>
      <c r="Q389">
        <f>IFERROR(1/IF(Inputs!$B$39="pvp",15,MAX(0.1,Skills!D19-IF(Skills!E19=TRUE,Inputs!$B$32,0))),0)</f>
        <v/>
      </c>
      <c r="R389">
        <f>IF(AND(Inputs!$B$39&lt;&gt;"pvp",Inputs!$B$44&gt;0),IF(Inputs!$B$44&lt;=0,0,(INT(Inputs!$B$44/IF(Inputs!$B$39="pvp",15,MAX(0.1,Skills!D19-IF(Skills!E19=TRUE,Inputs!$B$32,0))))+1)),0)</f>
        <v/>
      </c>
      <c r="S389">
        <f>IFERROR(O389/N389,0)</f>
        <v/>
      </c>
    </row>
    <row r="390">
      <c r="A390">
        <f>Skills!A20</f>
        <v/>
      </c>
      <c r="B390">
        <f>Skills!B20</f>
        <v/>
      </c>
      <c r="C390">
        <f>Inputs!$B$3&gt;=15</f>
        <v/>
      </c>
      <c r="D390">
        <f>IF(Skills!C20=1,60+Inputs!$B$25+Inputs!$B$29,IF(Skills!C20=2,90+Inputs!$B$26+Inputs!$B$29,IF(Skills!C20=3,120+Inputs!$B$27+Inputs!$B$29,MAX(0,(Inputs!$B$3-100)*3)+Inputs!$B$28+Inputs!$B$29)))</f>
        <v/>
      </c>
      <c r="E390">
        <f>INDEX(FactorTable!$B$2:$Y$301, MATCH(ROUND(MIN(300,MAX(1,D390)),0), FactorTable!$A$2:$A$301,0), Skills!M20+1)</f>
        <v/>
      </c>
      <c r="F390">
        <f>IF(Skills!N20=TRUE,(Skills!L20/10)*(E390/1000),Skills!L20/10)+Skills!O20</f>
        <v/>
      </c>
      <c r="G390">
        <f>Skills!G20*IF(Skills!H20&gt;0,Skills!I20/Skills!H20,1)</f>
        <v/>
      </c>
      <c r="H390">
        <f>1-(1-Skills!J20/100)^Skills!K20</f>
        <v/>
      </c>
      <c r="I390" t="inlineStr">
        <is>
          <t>1</t>
        </is>
      </c>
      <c r="J390" t="inlineStr"/>
      <c r="K390" t="inlineStr"/>
      <c r="L390" t="inlineStr"/>
      <c r="M390" t="inlineStr"/>
      <c r="N390" t="inlineStr"/>
      <c r="O390" t="n">
        <v>0</v>
      </c>
      <c r="P390">
        <f>IF(B415=0,0,O390/B415)</f>
        <v/>
      </c>
      <c r="Q390">
        <f>IFERROR(1/IF(Inputs!$B$39="pvp",15,MAX(0.1,Skills!D20-IF(Skills!E20=TRUE,Inputs!$B$32,0))),0)</f>
        <v/>
      </c>
      <c r="R390">
        <f>IF(AND(Inputs!$B$39&lt;&gt;"pvp",Inputs!$B$44&gt;0),IF(Inputs!$B$44&lt;=0,0,(INT(Inputs!$B$44/IF(Inputs!$B$39="pvp",15,MAX(0.1,Skills!D20-IF(Skills!E20=TRUE,Inputs!$B$32,0))))+1)),0)</f>
        <v/>
      </c>
      <c r="S390">
        <f>IFERROR(O390/N390,0)</f>
        <v/>
      </c>
    </row>
    <row r="391">
      <c r="A391">
        <f>Skills!A21</f>
        <v/>
      </c>
      <c r="B391">
        <f>Skills!B21</f>
        <v/>
      </c>
      <c r="C391">
        <f>Inputs!$B$3&gt;=15</f>
        <v/>
      </c>
      <c r="D391">
        <f>IF(Skills!C21=1,60+Inputs!$B$25+Inputs!$B$29,IF(Skills!C21=2,90+Inputs!$B$26+Inputs!$B$29,IF(Skills!C21=3,120+Inputs!$B$27+Inputs!$B$29,MAX(0,(Inputs!$B$3-100)*3)+Inputs!$B$28+Inputs!$B$29)))</f>
        <v/>
      </c>
      <c r="E391">
        <f>INDEX(FactorTable!$B$2:$Y$301, MATCH(ROUND(MIN(300,MAX(1,D391)),0), FactorTable!$A$2:$A$301,0), Skills!M21+1)</f>
        <v/>
      </c>
      <c r="F391">
        <f>IF(Skills!N21=TRUE,(Skills!L21/10)*(E391/1000),Skills!L21/10)+Skills!O21</f>
        <v/>
      </c>
      <c r="G391">
        <f>Skills!G21*IF(Skills!H21&gt;0,Skills!I21/Skills!H21,1)</f>
        <v/>
      </c>
      <c r="H391">
        <f>1-(1-Skills!J21/100)^Skills!K21</f>
        <v/>
      </c>
      <c r="I391" t="inlineStr">
        <is>
          <t>1</t>
        </is>
      </c>
      <c r="J391" t="inlineStr"/>
      <c r="K391" t="inlineStr"/>
      <c r="L391" t="inlineStr"/>
      <c r="M391" t="inlineStr"/>
      <c r="N391" t="inlineStr"/>
      <c r="O391" t="n">
        <v>0</v>
      </c>
      <c r="P391">
        <f>IF(B415=0,0,O391/B415)</f>
        <v/>
      </c>
      <c r="Q391">
        <f>IFERROR(1/IF(Inputs!$B$39="pvp",15,MAX(0.1,Skills!D21-IF(Skills!E21=TRUE,Inputs!$B$32,0))),0)</f>
        <v/>
      </c>
      <c r="R391">
        <f>IF(AND(Inputs!$B$39&lt;&gt;"pvp",Inputs!$B$44&gt;0),IF(Inputs!$B$44&lt;=0,0,(INT(Inputs!$B$44/IF(Inputs!$B$39="pvp",15,MAX(0.1,Skills!D21-IF(Skills!E21=TRUE,Inputs!$B$32,0))))+1)),0)</f>
        <v/>
      </c>
      <c r="S391">
        <f>IFERROR(O391/N391,0)</f>
        <v/>
      </c>
    </row>
    <row r="392">
      <c r="A392">
        <f>Skills!A22</f>
        <v/>
      </c>
      <c r="B392">
        <f>Skills!B22</f>
        <v/>
      </c>
      <c r="C392">
        <f>Inputs!$B$3&gt;=33</f>
        <v/>
      </c>
      <c r="D392">
        <f>IF(Skills!C22=1,60+Inputs!$B$25+Inputs!$B$29,IF(Skills!C22=2,90+Inputs!$B$26+Inputs!$B$29,IF(Skills!C22=3,120+Inputs!$B$27+Inputs!$B$29,MAX(0,(Inputs!$B$3-100)*3)+Inputs!$B$28+Inputs!$B$29)))</f>
        <v/>
      </c>
      <c r="E392">
        <f>INDEX(FactorTable!$B$2:$Y$301, MATCH(ROUND(MIN(300,MAX(1,D392)),0), FactorTable!$A$2:$A$301,0), Skills!M22+1)</f>
        <v/>
      </c>
      <c r="F392">
        <f>IF(Skills!N22=TRUE,(Skills!L22/10)*(E392/1000),Skills!L22/10)+Skills!O22</f>
        <v/>
      </c>
      <c r="G392">
        <f>Skills!G22*IF(Skills!H22&gt;0,Skills!I22/Skills!H22,1)</f>
        <v/>
      </c>
      <c r="H392">
        <f>1-(1-Skills!J22/100)^Skills!K22</f>
        <v/>
      </c>
      <c r="I392" t="inlineStr">
        <is>
          <t>1</t>
        </is>
      </c>
      <c r="J392" t="inlineStr"/>
      <c r="K392" t="inlineStr"/>
      <c r="L392" t="inlineStr"/>
      <c r="M392" t="inlineStr"/>
      <c r="N392" t="inlineStr"/>
      <c r="O392" t="n">
        <v>0</v>
      </c>
      <c r="P392">
        <f>IF(B415=0,0,O392/B415)</f>
        <v/>
      </c>
      <c r="Q392" t="n">
        <v>0</v>
      </c>
      <c r="R392" t="n">
        <v>0</v>
      </c>
      <c r="S392">
        <f>IFERROR(O392/N392,0)</f>
        <v/>
      </c>
    </row>
    <row r="393">
      <c r="A393">
        <f>Skills!A23</f>
        <v/>
      </c>
      <c r="B393">
        <f>Skills!B23</f>
        <v/>
      </c>
      <c r="C393">
        <f>Inputs!$B$3&gt;=40</f>
        <v/>
      </c>
      <c r="D393">
        <f>IF(Skills!C23=1,60+Inputs!$B$25+Inputs!$B$29,IF(Skills!C23=2,90+Inputs!$B$26+Inputs!$B$29,IF(Skills!C23=3,120+Inputs!$B$27+Inputs!$B$29,MAX(0,(Inputs!$B$3-100)*3)+Inputs!$B$28+Inputs!$B$29)))</f>
        <v/>
      </c>
      <c r="E393">
        <f>INDEX(FactorTable!$B$2:$Y$301, MATCH(ROUND(MIN(300,MAX(1,D393)),0), FactorTable!$A$2:$A$301,0), Skills!M23+1)</f>
        <v/>
      </c>
      <c r="F393">
        <f>IF(Skills!N23=TRUE,(Skills!L23/10)*(E393/1000),Skills!L23/10)+Skills!O23</f>
        <v/>
      </c>
      <c r="G393">
        <f>Skills!G23*IF(Skills!H23&gt;0,Skills!I23/Skills!H23,1)</f>
        <v/>
      </c>
      <c r="H393">
        <f>1-(1-Skills!J23/100)^Skills!K23</f>
        <v/>
      </c>
      <c r="I393" t="inlineStr">
        <is>
          <t>1</t>
        </is>
      </c>
      <c r="J393" t="inlineStr"/>
      <c r="K393" t="inlineStr"/>
      <c r="L393" t="inlineStr"/>
      <c r="M393" t="inlineStr"/>
      <c r="N393" t="inlineStr"/>
      <c r="O393" t="n">
        <v>0</v>
      </c>
      <c r="P393">
        <f>IF(B415=0,0,O393/B415)</f>
        <v/>
      </c>
      <c r="Q393" t="n">
        <v>0</v>
      </c>
      <c r="R393" t="n">
        <v>0</v>
      </c>
      <c r="S393">
        <f>IFERROR(O393/N393,0)</f>
        <v/>
      </c>
    </row>
    <row r="394">
      <c r="A394">
        <f>Skills!A24</f>
        <v/>
      </c>
      <c r="B394">
        <f>Skills!B24</f>
        <v/>
      </c>
      <c r="C394">
        <f>Inputs!$B$3&gt;=43</f>
        <v/>
      </c>
      <c r="D394">
        <f>IF(Skills!C24=1,60+Inputs!$B$25+Inputs!$B$29,IF(Skills!C24=2,90+Inputs!$B$26+Inputs!$B$29,IF(Skills!C24=3,120+Inputs!$B$27+Inputs!$B$29,MAX(0,(Inputs!$B$3-100)*3)+Inputs!$B$28+Inputs!$B$29)))</f>
        <v/>
      </c>
      <c r="E394">
        <f>INDEX(FactorTable!$B$2:$Y$301, MATCH(ROUND(MIN(300,MAX(1,D394)),0), FactorTable!$A$2:$A$301,0), Skills!M24+1)</f>
        <v/>
      </c>
      <c r="F394">
        <f>IF(Skills!N24=TRUE,(Skills!L24/10)*(E394/1000),Skills!L24/10)+Skills!O24</f>
        <v/>
      </c>
      <c r="G394">
        <f>Skills!G24*IF(Skills!H24&gt;0,Skills!I24/Skills!H24,1)</f>
        <v/>
      </c>
      <c r="H394">
        <f>1-(1-Skills!J24/100)^Skills!K24</f>
        <v/>
      </c>
      <c r="I394" t="inlineStr">
        <is>
          <t>1</t>
        </is>
      </c>
      <c r="J394" t="inlineStr"/>
      <c r="K394" t="inlineStr"/>
      <c r="L394" t="inlineStr"/>
      <c r="M394" t="inlineStr"/>
      <c r="N394" t="inlineStr"/>
      <c r="O394" t="n">
        <v>0</v>
      </c>
      <c r="P394">
        <f>IF(B415=0,0,O394/B415)</f>
        <v/>
      </c>
      <c r="Q394" t="n">
        <v>0</v>
      </c>
      <c r="R394" t="n">
        <v>0</v>
      </c>
      <c r="S394">
        <f>IFERROR(O394/N394,0)</f>
        <v/>
      </c>
    </row>
    <row r="395">
      <c r="A395">
        <f>Skills!A25</f>
        <v/>
      </c>
      <c r="B395">
        <f>Skills!B25</f>
        <v/>
      </c>
      <c r="C395">
        <f>Inputs!$B$3&gt;=50</f>
        <v/>
      </c>
      <c r="D395">
        <f>IF(Skills!C25=1,60+Inputs!$B$25+Inputs!$B$29,IF(Skills!C25=2,90+Inputs!$B$26+Inputs!$B$29,IF(Skills!C25=3,120+Inputs!$B$27+Inputs!$B$29,MAX(0,(Inputs!$B$3-100)*3)+Inputs!$B$28+Inputs!$B$29)))</f>
        <v/>
      </c>
      <c r="E395">
        <f>INDEX(FactorTable!$B$2:$Y$301, MATCH(ROUND(MIN(300,MAX(1,D395)),0), FactorTable!$A$2:$A$301,0), Skills!M25+1)</f>
        <v/>
      </c>
      <c r="F395">
        <f>IF(Skills!N25=TRUE,(Skills!L25/10)*(E395/1000),Skills!L25/10)+Skills!O25</f>
        <v/>
      </c>
      <c r="G395">
        <f>Skills!G25*IF(Skills!H25&gt;0,Skills!I25/Skills!H25,1)</f>
        <v/>
      </c>
      <c r="H395">
        <f>1-(1-Skills!J25/100)^Skills!K25</f>
        <v/>
      </c>
      <c r="I395" t="inlineStr">
        <is>
          <t>1</t>
        </is>
      </c>
      <c r="J395" t="inlineStr"/>
      <c r="K395" t="inlineStr"/>
      <c r="L395" t="inlineStr"/>
      <c r="M395" t="inlineStr"/>
      <c r="N395" t="inlineStr"/>
      <c r="O395" t="n">
        <v>0</v>
      </c>
      <c r="P395">
        <f>IF(B415=0,0,O395/B415)</f>
        <v/>
      </c>
      <c r="Q395" t="n">
        <v>0</v>
      </c>
      <c r="R395" t="n">
        <v>0</v>
      </c>
      <c r="S395">
        <f>IFERROR(O395/N395,0)</f>
        <v/>
      </c>
    </row>
    <row r="396">
      <c r="A396">
        <f>Skills!A26</f>
        <v/>
      </c>
      <c r="B396">
        <f>Skills!B26</f>
        <v/>
      </c>
      <c r="C396">
        <f>Inputs!$B$3&gt;=50</f>
        <v/>
      </c>
      <c r="D396">
        <f>IF(Skills!C26=1,60+Inputs!$B$25+Inputs!$B$29,IF(Skills!C26=2,90+Inputs!$B$26+Inputs!$B$29,IF(Skills!C26=3,120+Inputs!$B$27+Inputs!$B$29,MAX(0,(Inputs!$B$3-100)*3)+Inputs!$B$28+Inputs!$B$29)))</f>
        <v/>
      </c>
      <c r="E396">
        <f>INDEX(FactorTable!$B$2:$Y$301, MATCH(ROUND(MIN(300,MAX(1,D396)),0), FactorTable!$A$2:$A$301,0), Skills!M26+1)</f>
        <v/>
      </c>
      <c r="F396">
        <f>IF(Skills!N26=TRUE,(Skills!L26/10)*(E396/1000),Skills!L26/10)+Skills!O26</f>
        <v/>
      </c>
      <c r="G396">
        <f>Skills!G26*IF(Skills!H26&gt;0,Skills!I26/Skills!H26,1)</f>
        <v/>
      </c>
      <c r="H396">
        <f>1-(1-Skills!J26/100)^Skills!K26</f>
        <v/>
      </c>
      <c r="I396" t="inlineStr">
        <is>
          <t>1</t>
        </is>
      </c>
      <c r="J396" t="inlineStr"/>
      <c r="K396" t="inlineStr"/>
      <c r="L396" t="inlineStr"/>
      <c r="M396" t="inlineStr"/>
      <c r="N396" t="inlineStr"/>
      <c r="O396" t="n">
        <v>0</v>
      </c>
      <c r="P396">
        <f>IF(B415=0,0,O396/B415)</f>
        <v/>
      </c>
      <c r="Q396" t="n">
        <v>0</v>
      </c>
      <c r="R396" t="n">
        <v>0</v>
      </c>
      <c r="S396">
        <f>IFERROR(O396/N396,0)</f>
        <v/>
      </c>
    </row>
    <row r="397">
      <c r="A397">
        <f>Skills!A27</f>
        <v/>
      </c>
      <c r="B397">
        <f>Skills!B27</f>
        <v/>
      </c>
      <c r="C397">
        <f>Inputs!$B$3&gt;=38</f>
        <v/>
      </c>
      <c r="D397">
        <f>IF(Skills!C27=1,60+Inputs!$B$25+Inputs!$B$29,IF(Skills!C27=2,90+Inputs!$B$26+Inputs!$B$29,IF(Skills!C27=3,120+Inputs!$B$27+Inputs!$B$29,MAX(0,(Inputs!$B$3-100)*3)+Inputs!$B$28+Inputs!$B$29)))</f>
        <v/>
      </c>
      <c r="E397">
        <f>INDEX(FactorTable!$B$2:$Y$301, MATCH(ROUND(MIN(300,MAX(1,D397)),0), FactorTable!$A$2:$A$301,0), Skills!M27+1)</f>
        <v/>
      </c>
      <c r="F397">
        <f>IF(Skills!N27=TRUE,(Skills!L27/10)*(E397/1000),Skills!L27/10)+Skills!O27</f>
        <v/>
      </c>
      <c r="G397">
        <f>Skills!G27*IF(Skills!H27&gt;0,Skills!I27/Skills!H27,1)</f>
        <v/>
      </c>
      <c r="H397">
        <f>1-(1-Skills!J27/100)^Skills!K27</f>
        <v/>
      </c>
      <c r="I397" t="inlineStr">
        <is>
          <t>1</t>
        </is>
      </c>
      <c r="J397" t="inlineStr"/>
      <c r="K397" t="inlineStr"/>
      <c r="L397" t="inlineStr"/>
      <c r="M397" t="inlineStr"/>
      <c r="N397" t="inlineStr"/>
      <c r="O397" t="n">
        <v>0</v>
      </c>
      <c r="P397">
        <f>IF(B415=0,0,O397/B415)</f>
        <v/>
      </c>
      <c r="Q397" t="n">
        <v>0</v>
      </c>
      <c r="R397" t="n">
        <v>0</v>
      </c>
      <c r="S397">
        <f>IFERROR(O397/N397,0)</f>
        <v/>
      </c>
    </row>
    <row r="398">
      <c r="A398">
        <f>Skills!A28</f>
        <v/>
      </c>
      <c r="B398">
        <f>Skills!B28</f>
        <v/>
      </c>
      <c r="C398">
        <f>Inputs!$B$3&gt;=120</f>
        <v/>
      </c>
      <c r="D398">
        <f>IF(Skills!C28=1,60+Inputs!$B$25+Inputs!$B$29,IF(Skills!C28=2,90+Inputs!$B$26+Inputs!$B$29,IF(Skills!C28=3,120+Inputs!$B$27+Inputs!$B$29,MAX(0,(Inputs!$B$3-100)*3)+Inputs!$B$28+Inputs!$B$29)))</f>
        <v/>
      </c>
      <c r="E398">
        <f>INDEX(FactorTable!$B$2:$Y$301, MATCH(ROUND(MIN(300,MAX(1,D398)),0), FactorTable!$A$2:$A$301,0), Skills!M28+1)</f>
        <v/>
      </c>
      <c r="F398">
        <f>IF(Skills!N28=TRUE,(Skills!L28/10)*(E398/1000),Skills!L28/10)+Skills!O28</f>
        <v/>
      </c>
      <c r="G398">
        <f>Skills!G28*IF(Skills!H28&gt;0,Skills!I28/Skills!H28,1)</f>
        <v/>
      </c>
      <c r="H398">
        <f>1-(1-Skills!J28/100)^Skills!K28</f>
        <v/>
      </c>
      <c r="I398" t="inlineStr">
        <is>
          <t>1</t>
        </is>
      </c>
      <c r="J398" t="inlineStr"/>
      <c r="K398" t="inlineStr"/>
      <c r="L398" t="inlineStr"/>
      <c r="M398" t="inlineStr"/>
      <c r="N398" t="inlineStr"/>
      <c r="O398" t="n">
        <v>0</v>
      </c>
      <c r="P398">
        <f>IF(B415=0,0,O398/B415)</f>
        <v/>
      </c>
      <c r="Q398" t="n">
        <v>0</v>
      </c>
      <c r="R398" t="n">
        <v>0</v>
      </c>
      <c r="S398">
        <f>IFERROR(O398/N398,0)</f>
        <v/>
      </c>
    </row>
    <row r="399">
      <c r="A399">
        <f>Skills!A29</f>
        <v/>
      </c>
      <c r="B399">
        <f>Skills!B29</f>
        <v/>
      </c>
      <c r="C399">
        <f>Inputs!$B$3&gt;=120</f>
        <v/>
      </c>
      <c r="D399">
        <f>IF(Skills!C29=1,60+Inputs!$B$25+Inputs!$B$29,IF(Skills!C29=2,90+Inputs!$B$26+Inputs!$B$29,IF(Skills!C29=3,120+Inputs!$B$27+Inputs!$B$29,MAX(0,(Inputs!$B$3-100)*3)+Inputs!$B$28+Inputs!$B$29)))</f>
        <v/>
      </c>
      <c r="E399">
        <f>INDEX(FactorTable!$B$2:$Y$301, MATCH(ROUND(MIN(300,MAX(1,D399)),0), FactorTable!$A$2:$A$301,0), Skills!M29+1)</f>
        <v/>
      </c>
      <c r="F399">
        <f>IF(Skills!N29=TRUE,(Skills!L29/10)*(E399/1000),Skills!L29/10)+Skills!O29</f>
        <v/>
      </c>
      <c r="G399">
        <f>Skills!G29*IF(Skills!H29&gt;0,Skills!I29/Skills!H29,1)</f>
        <v/>
      </c>
      <c r="H399">
        <f>1-(1-Skills!J29/100)^Skills!K29</f>
        <v/>
      </c>
      <c r="I399" t="inlineStr">
        <is>
          <t>1</t>
        </is>
      </c>
      <c r="J399" t="inlineStr"/>
      <c r="K399" t="inlineStr"/>
      <c r="L399" t="inlineStr"/>
      <c r="M399" t="inlineStr"/>
      <c r="N399" t="inlineStr"/>
      <c r="O399" t="n">
        <v>0</v>
      </c>
      <c r="P399">
        <f>IF(B415=0,0,O399/B415)</f>
        <v/>
      </c>
      <c r="Q399" t="n">
        <v>0</v>
      </c>
      <c r="R399" t="n">
        <v>0</v>
      </c>
      <c r="S399">
        <f>IFERROR(O399/N399,0)</f>
        <v/>
      </c>
    </row>
    <row r="400">
      <c r="A400">
        <f>Skills!A30</f>
        <v/>
      </c>
      <c r="B400">
        <f>Skills!B30</f>
        <v/>
      </c>
      <c r="C400">
        <f>Inputs!$B$3&gt;=125</f>
        <v/>
      </c>
      <c r="D400">
        <f>IF(Skills!C30=1,60+Inputs!$B$25+Inputs!$B$29,IF(Skills!C30=2,90+Inputs!$B$26+Inputs!$B$29,IF(Skills!C30=3,120+Inputs!$B$27+Inputs!$B$29,MAX(0,(Inputs!$B$3-100)*3)+Inputs!$B$28+Inputs!$B$29)))</f>
        <v/>
      </c>
      <c r="E400">
        <f>INDEX(FactorTable!$B$2:$Y$301, MATCH(ROUND(MIN(300,MAX(1,D400)),0), FactorTable!$A$2:$A$301,0), Skills!M30+1)</f>
        <v/>
      </c>
      <c r="F400">
        <f>IF(Skills!N30=TRUE,(Skills!L30/10)*(E400/1000),Skills!L30/10)+Skills!O30</f>
        <v/>
      </c>
      <c r="G400">
        <f>Skills!G30*IF(Skills!H30&gt;0,Skills!I30/Skills!H30,1)</f>
        <v/>
      </c>
      <c r="H400">
        <f>1-(1-Skills!J30/100)^Skills!K30</f>
        <v/>
      </c>
      <c r="I400" t="inlineStr">
        <is>
          <t>1</t>
        </is>
      </c>
      <c r="J400" t="inlineStr"/>
      <c r="K400" t="inlineStr"/>
      <c r="L400" t="inlineStr"/>
      <c r="M400" t="inlineStr"/>
      <c r="N400" t="inlineStr"/>
      <c r="O400" t="n">
        <v>0</v>
      </c>
      <c r="P400">
        <f>IF(B415=0,0,O400/B415)</f>
        <v/>
      </c>
      <c r="Q400" t="n">
        <v>0</v>
      </c>
      <c r="R400" t="n">
        <v>0</v>
      </c>
      <c r="S400">
        <f>IFERROR(O400/N400,0)</f>
        <v/>
      </c>
    </row>
    <row r="402">
      <c r="A402" t="inlineStr">
        <is>
          <t>Average Buff Multiplier</t>
        </is>
      </c>
      <c r="B402">
        <f>(1+(((C391=TRUE)*F391*IF(AND(Inputs!$B$39&lt;&gt;"pvp",Inputs!$B$44&gt;0),(((R391-1)*(Skills!Y21*(1+Inputs!$B$34/100))+MIN((Skills!Y21*(1+Inputs!$B$34/100)),MAX(0,Inputs!$B$44-((R391-1)*Skills!D21))))/Inputs!$B$44),IF(Inputs!$B$39="pvp",MIN((Skills!Y21*(1+Inputs!$B$34/100)),15)/15,(Skills!Y21*(1+Inputs!$B$34/100))/Skills!D21)))+((C393=TRUE)*(F393-Calc!F23))+((C387=TRUE)*(F387-Calc!F17)))/100)*(1+((C380=TRUE)*F380*IF(AND(Inputs!$B$39&lt;&gt;"pvp",Inputs!$B$44&gt;0),(((R380-1)*(Skills!Y10*(1+Inputs!$B$34/100))+MIN((Skills!Y10*(1+Inputs!$B$34/100)),MAX(0,Inputs!$B$44-((R380-1)*Skills!D10))))/Inputs!$B$44),IF(Inputs!$B$39="pvp",MIN((Skills!Y10*(1+Inputs!$B$34/100)),15)/15,(Skills!Y10*(1+Inputs!$B$34/100))/Skills!D10)))/100)*(1+((C385=TRUE)*F385*IF(AND(Inputs!$B$39&lt;&gt;"pvp",Inputs!$B$44&gt;0),(((R385-1)*(Skills!Y15*(1+Inputs!$B$34/100))+MIN((Skills!Y15*(1+Inputs!$B$34/100)),MAX(0,Inputs!$B$44-((R385-1)*Skills!D15))))/Inputs!$B$44),IF(Inputs!$B$39="pvp",MIN((Skills!Y15*(1+Inputs!$B$34/100)),15)/15,(Skills!Y15*(1+Inputs!$B$34/100))/Skills!D15)))/100)</f>
        <v/>
      </c>
    </row>
    <row r="403">
      <c r="A403" t="inlineStr">
        <is>
          <t>Global Crit Rate Bonus %</t>
        </is>
      </c>
      <c r="B403">
        <f>((C390=TRUE)*F390*IF(AND(Inputs!$B$39&lt;&gt;"pvp",Inputs!$B$44&gt;0),(((R390-1)*(Skills!Y20*(1+Inputs!$B$34/100))+MIN((Skills!Y20*(1+Inputs!$B$34/100)),MAX(0,Inputs!$B$44-((R390-1)*Skills!D20))))/Inputs!$B$44),IF(Inputs!$B$39="pvp",MIN((Skills!Y20*(1+Inputs!$B$34/100)),15)/15,(Skills!Y20*(1+Inputs!$B$34/100))/Skills!D20)))</f>
        <v/>
      </c>
    </row>
    <row r="404">
      <c r="A404" t="inlineStr">
        <is>
          <t>Global Monster Damage-Taken Bonus %</t>
        </is>
      </c>
      <c r="B404">
        <f>IF(Inputs!$B$3&gt;=82,15,0)</f>
        <v/>
      </c>
    </row>
    <row r="405">
      <c r="A405" t="inlineStr">
        <is>
          <t>Shadow Partner Average Multiplier</t>
        </is>
      </c>
      <c r="B405">
        <f>1+((C377=TRUE)*F377*(1+3.3333333333333335*IF(C388=TRUE,F388,0)/100)*I377*Skills!J7/100)/100</f>
        <v/>
      </c>
    </row>
    <row r="406">
      <c r="A406" t="inlineStr">
        <is>
          <t>Attack Speed Buff Bonus %</t>
        </is>
      </c>
      <c r="B406">
        <f>((C389=TRUE)*F389*IF(AND(Inputs!$B$39&lt;&gt;"pvp",Inputs!$B$44&gt;0),(((R389-1)*(Skills!Y19*(1+Inputs!$B$34/100))+MIN((Skills!Y19*(1+Inputs!$B$34/100)),MAX(0,Inputs!$B$44-((R389-1)*Skills!D19))))/Inputs!$B$44),IF(Inputs!$B$39="pvp",MIN((Skills!Y19*(1+Inputs!$B$34/100)),15)/15,(Skills!Y19*(1+Inputs!$B$34/100))/Skills!D19)))+((C373=TRUE)*F373*3)</f>
        <v/>
      </c>
    </row>
    <row r="407">
      <c r="A407" t="inlineStr">
        <is>
          <t>Actions Per Second</t>
        </is>
      </c>
      <c r="B407">
        <f>1+MIN(150,150*(1-(1-(Inputs!$B$11+((C392=TRUE)*(F392-Calc!F22)))/150)*(1-B406/150)))/100</f>
        <v/>
      </c>
    </row>
    <row r="408">
      <c r="A408" t="inlineStr">
        <is>
          <t>Skill + Buff Cast Rate</t>
        </is>
      </c>
      <c r="B408">
        <f>IF(AND(Inputs!$B$39&lt;&gt;"pvp",Inputs!$B$44&gt;0),SUMPRODUCT((Skills!E2:E30=TRUE)*(C372:C400=TRUE)*R372:R400*Skills!F2:F30)/Inputs!$B$44,SUMPRODUCT((Skills!E2:E30=TRUE)*(C372:C400=TRUE)*Q372:Q400*Skills!F2:F30))</f>
        <v/>
      </c>
    </row>
    <row r="409">
      <c r="A409" t="inlineStr">
        <is>
          <t>Cruel Stab Casts Per Second</t>
        </is>
      </c>
      <c r="B409">
        <f>MAX(0,B407-B408)</f>
        <v/>
      </c>
    </row>
    <row r="410">
      <c r="A410" t="inlineStr">
        <is>
          <t>Global Critical Damage Bonus % (Smokescreen Mastery Lv.113)</t>
        </is>
      </c>
      <c r="B410">
        <f>IF(Inputs!$B$3&gt;=113,30,0)*IF(AND(Inputs!$B$39&lt;&gt;"pvp",Inputs!$B$44&gt;0),(((R385-1)*(Skills!Y15*(1+Inputs!$B$34/100))+MIN((Skills!Y15*(1+Inputs!$B$34/100)),MAX(0,Inputs!$B$44-((R385-1)*Skills!D15))))/Inputs!$B$44),IF(Inputs!$B$39="pvp",MIN((Skills!Y15*(1+Inputs!$B$34/100)),15)/15,(Skills!Y15*(1+Inputs!$B$34/100))/Skills!D15))</f>
        <v/>
      </c>
    </row>
    <row r="411">
      <c r="A411" t="inlineStr">
        <is>
          <t>Meso Explosion average stack count</t>
        </is>
      </c>
      <c r="B411">
        <f>MIN(10,0.5*B407*Skills!D4)</f>
        <v/>
      </c>
    </row>
    <row r="412">
      <c r="A412" t="inlineStr">
        <is>
          <t>Blood Money average stack count</t>
        </is>
      </c>
      <c r="B412">
        <f>MIN(5,0.25*B407*Skills!D4)</f>
        <v/>
      </c>
    </row>
    <row r="413">
      <c r="A413" t="inlineStr">
        <is>
          <t>Assassinate Murderous Intent Multiplier</t>
        </is>
      </c>
      <c r="B413">
        <f>1+IFERROR(MIN(1,Q384*2/Q381),0)</f>
        <v/>
      </c>
    </row>
    <row r="414">
      <c r="A414" t="inlineStr">
        <is>
          <t>Buff-Casting Startup Delay (s, fixed-duration only)</t>
        </is>
      </c>
      <c r="B414">
        <f>IF(AND(Inputs!$B$39&lt;&gt;"pvp",Inputs!$B$44&gt;0),SUMPRODUCT((Skills!Y2:Y30&gt;0)*(Skills!E2:E30=TRUE)*(C372:C400=TRUE))/B407,0)</f>
        <v/>
      </c>
    </row>
    <row r="415">
      <c r="A415" s="5" t="inlineStr">
        <is>
          <t>TOTAL DPS</t>
        </is>
      </c>
      <c r="B415" s="5">
        <f>SUM(O372:O400)</f>
        <v/>
      </c>
    </row>
    <row r="418">
      <c r="A418" s="5" t="inlineStr">
        <is>
          <t>Stat: MIN_DAMAGE %</t>
        </is>
      </c>
    </row>
    <row r="419">
      <c r="A419" s="9" t="inlineStr">
        <is>
          <t>Key</t>
        </is>
      </c>
      <c r="B419" s="9" t="inlineStr">
        <is>
          <t>Name</t>
        </is>
      </c>
      <c r="C419" s="9" t="inlineStr">
        <is>
          <t>Unlocked</t>
        </is>
      </c>
      <c r="D419" s="9" t="inlineStr">
        <is>
          <t>InputLevel</t>
        </is>
      </c>
      <c r="E419" s="9" t="inlineStr">
        <is>
          <t>Factor</t>
        </is>
      </c>
      <c r="F419" s="9" t="inlineStr">
        <is>
          <t>CoefficientPercent</t>
        </is>
      </c>
      <c r="G419" s="9" t="inlineStr">
        <is>
          <t>EffectiveHits</t>
        </is>
      </c>
      <c r="H419" s="9" t="inlineStr">
        <is>
          <t>ProcProbability</t>
        </is>
      </c>
      <c r="I419" s="9" t="inlineStr">
        <is>
          <t>MapleHeroMultiplier</t>
        </is>
      </c>
      <c r="J419" s="9" t="inlineStr">
        <is>
          <t>BaseDamage</t>
        </is>
      </c>
      <c r="K419" s="9" t="inlineStr">
        <is>
          <t>BaseHitDamage</t>
        </is>
      </c>
      <c r="L419" s="9" t="inlineStr">
        <is>
          <t>NonCritAvg</t>
        </is>
      </c>
      <c r="M419" s="9" t="inlineStr">
        <is>
          <t>CritAvg</t>
        </is>
      </c>
      <c r="N419" s="9" t="inlineStr">
        <is>
          <t>ExpectedDamage(perHit)</t>
        </is>
      </c>
      <c r="O419" s="9" t="inlineStr">
        <is>
          <t>DPS</t>
        </is>
      </c>
      <c r="P419" s="9" t="inlineStr">
        <is>
          <t>% of Total</t>
        </is>
      </c>
      <c r="Q419" s="9" t="inlineStr">
        <is>
          <t>InvCooldown</t>
        </is>
      </c>
      <c r="R419" s="9" t="inlineStr">
        <is>
          <t>CastsInFight</t>
        </is>
      </c>
      <c r="S419" s="9" t="inlineStr">
        <is>
          <t>HitRate(perSec)</t>
        </is>
      </c>
      <c r="U419" t="inlineStr">
        <is>
          <t>helpers</t>
        </is>
      </c>
    </row>
    <row r="420">
      <c r="A420">
        <f>Skills!A2</f>
        <v/>
      </c>
      <c r="B420">
        <f>Skills!B2</f>
        <v/>
      </c>
      <c r="C420">
        <f>Inputs!$B$3&gt;=100</f>
        <v/>
      </c>
      <c r="D420" t="inlineStr"/>
      <c r="E420" t="inlineStr"/>
      <c r="F420">
        <f>U422+Skills!O2</f>
        <v/>
      </c>
      <c r="G420">
        <f>Skills!G2*IF(Skills!H2&gt;0,Skills!I2/Skills!H2,1)</f>
        <v/>
      </c>
      <c r="H420">
        <f>1-(1-Skills!J2/100)^Skills!K2</f>
        <v/>
      </c>
      <c r="I420" t="inlineStr">
        <is>
          <t>1</t>
        </is>
      </c>
      <c r="J420">
        <f>((Inputs!$B$6*(1+Inputs!$B$7/100))+(((Inputs!$B$12*(1+Inputs!$B$13/100))-(Inputs!$B$12*(1+Inputs!$B$13/100)))+0.25*(Inputs!$B$14-Inputs!$B$14))*(1+Inputs!$B$7/100))*(F420/100)</f>
        <v/>
      </c>
      <c r="K420">
        <f>J420*(1+((Inputs!$B$12*(1+Inputs!$B$13/100))*0.01+Inputs!$B$14*0.0025)/100)*(1+Inputs!$B$15/100)*(1+IF(Inputs!$B$39="pvp",0,(1-Summary!$B$55)*(Inputs!$B$20+0+Skills!P2+B452)+Summary!$B$55*(Inputs!$B$21+Skills!Q2+B452))/100)*(1+Inputs!$B$16/100)*(5000/(6000+Inputs!$B$43*(1-Inputs!$B$19/100)))*(1+(Inputs!$B$24+((C448=TRUE)*(F448-Calc!F30)))/100)*(1+(IF(Skills!A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420)</f>
        <v/>
      </c>
      <c r="L420">
        <f>K420*(MIN((Inputs!$B$22+1)+((C442=TRUE)*(F442-Calc!F24)),Inputs!$B$23+((C447=TRUE)*(F447-Calc!F29)))/100+(Inputs!$B$23+((C447=TRUE)*(F447-Calc!F29)))/100)/2</f>
        <v/>
      </c>
      <c r="M420">
        <f>L420*(1+(Inputs!$B$10+((C444=TRUE)*(F444-Calc!F26))+B458)/100)</f>
        <v/>
      </c>
      <c r="N420">
        <f>L420*(1-MIN((Inputs!$B$9+((C443=TRUE)*(F443-Calc!F25))+B451),100)/100)+M420*(MIN((Inputs!$B$9+((C443=TRUE)*(F443-Calc!F25))+B451),100)/100)</f>
        <v/>
      </c>
      <c r="O420">
        <f>IF(C420,Skills!G2*N420*B457*IF(Inputs!$B$39="pvp",1,(1-Summary!$B$55)*(1)+Summary!$B$55*(MIN((6+Inputs!$B$33),Inputs!$B$37))),0)</f>
        <v/>
      </c>
      <c r="P420">
        <f>IF(B463=0,0,O420/B463)</f>
        <v/>
      </c>
      <c r="Q420" t="n">
        <v>0</v>
      </c>
      <c r="R420" t="n">
        <v>0</v>
      </c>
      <c r="S420">
        <f>IFERROR(O420/N420,0)</f>
        <v/>
      </c>
      <c r="U420">
        <f>MAX(0,(Inputs!$B$3-100)*3)+Inputs!$B$28+Inputs!$B$29</f>
        <v/>
      </c>
    </row>
    <row r="421">
      <c r="A421">
        <f>Skills!A3</f>
        <v/>
      </c>
      <c r="B421">
        <f>Skills!B3</f>
        <v/>
      </c>
      <c r="C421">
        <f>Inputs!$B$3&gt;=35</f>
        <v/>
      </c>
      <c r="D421">
        <f>IF(Skills!C3=1,60+Inputs!$B$25+Inputs!$B$29,IF(Skills!C3=2,90+Inputs!$B$26+Inputs!$B$29,IF(Skills!C3=3,120+Inputs!$B$27+Inputs!$B$29,MAX(0,(Inputs!$B$3-100)*3)+Inputs!$B$28+Inputs!$B$29)))</f>
        <v/>
      </c>
      <c r="E421">
        <f>INDEX(FactorTable!$B$2:$Y$301, MATCH(ROUND(MIN(300,MAX(1,D421)),0), FactorTable!$A$2:$A$301,0), Skills!M3+1)</f>
        <v/>
      </c>
      <c r="F421">
        <f>IF(Skills!N3=TRUE,(Skills!L3/10)*(E421/1000),Skills!L3/10)+Skills!O3</f>
        <v/>
      </c>
      <c r="G421">
        <f>Skills!G3*IF(Skills!H3&gt;0,Skills!I3/Skills!H3,1)</f>
        <v/>
      </c>
      <c r="H421">
        <f>1-(1-Skills!J3/100)^Skills!K3</f>
        <v/>
      </c>
      <c r="I421" t="inlineStr">
        <is>
          <t>1</t>
        </is>
      </c>
      <c r="J421" t="inlineStr"/>
      <c r="K421" t="inlineStr"/>
      <c r="L421" t="inlineStr"/>
      <c r="M421" t="inlineStr"/>
      <c r="N421" t="inlineStr"/>
      <c r="O421" t="n">
        <v>0</v>
      </c>
      <c r="P421">
        <f>IF(B463=0,0,O421/B463)</f>
        <v/>
      </c>
      <c r="Q421" t="n">
        <v>0</v>
      </c>
      <c r="R421" t="n">
        <v>0</v>
      </c>
      <c r="S421">
        <f>IFERROR(O421/N421,0)</f>
        <v/>
      </c>
      <c r="U421">
        <f>INDEX(FactorTable!$B$2:$Y$301, MATCH(ROUND(MIN(300,MAX(1,U420)),0), FactorTable!$A$2:$A$301,0), 22)</f>
        <v/>
      </c>
    </row>
    <row r="422">
      <c r="A422">
        <f>Skills!A4</f>
        <v/>
      </c>
      <c r="B422">
        <f>Skills!B4</f>
        <v/>
      </c>
      <c r="C422">
        <f>Inputs!$B$3&gt;=66</f>
        <v/>
      </c>
      <c r="D422">
        <f>IF(Skills!C4=1,60+Inputs!$B$25+Inputs!$B$29,IF(Skills!C4=2,90+Inputs!$B$26+Inputs!$B$29,IF(Skills!C4=3,120+Inputs!$B$27+Inputs!$B$29,MAX(0,(Inputs!$B$3-100)*3)+Inputs!$B$28+Inputs!$B$29)))</f>
        <v/>
      </c>
      <c r="E422">
        <f>INDEX(FactorTable!$B$2:$Y$301, MATCH(ROUND(MIN(300,MAX(1,D422)),0), FactorTable!$A$2:$A$301,0), Skills!M4+1)</f>
        <v/>
      </c>
      <c r="F422">
        <f>IF(Skills!N4=TRUE,(Skills!L4/10)*(E422/1000),Skills!L4/10)+Skills!O4</f>
        <v/>
      </c>
      <c r="G422">
        <f>Skills!G4*IF(Skills!H4&gt;0,Skills!I4/Skills!H4,1)</f>
        <v/>
      </c>
      <c r="H422">
        <f>1-(1-Skills!J4/100)^Skills!K4</f>
        <v/>
      </c>
      <c r="I422" t="inlineStr">
        <is>
          <t>1</t>
        </is>
      </c>
      <c r="J422">
        <f>((Inputs!$B$6*(1+Inputs!$B$7/100))+(((Inputs!$B$12*(1+Inputs!$B$13/100))-(Inputs!$B$12*(1+Inputs!$B$13/100)))+0.25*(Inputs!$B$14-Inputs!$B$14))*(1+Inputs!$B$7/100))*(F422/100)</f>
        <v/>
      </c>
      <c r="K422">
        <f>J422*(1+((Inputs!$B$12*(1+Inputs!$B$13/100))*0.01+Inputs!$B$14*0.0025)/100)*(1+Inputs!$B$15/100)*(1+IF(Inputs!$B$39="pvp",0,(1-Summary!$B$55)*(Inputs!$B$20+0+Skills!P4+B452)+Summary!$B$55*(Inputs!$B$21+Skills!Q4+B452))/100)*(1+Inputs!$B$16/100)*(5000/(6000+Inputs!$B$43*(1-Inputs!$B$19/100)))*(1+(Inputs!$B$24+((C448=TRUE)*(F448-Calc!F30)))/100)*(1+(IF(Skills!A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422)</f>
        <v/>
      </c>
      <c r="L422">
        <f>K422*(MIN((Inputs!$B$22+1)+((C442=TRUE)*(F442-Calc!F24)),Inputs!$B$23+((C447=TRUE)*(F447-Calc!F29)))/100+(Inputs!$B$23+((C447=TRUE)*(F447-Calc!F29)))/100)/2</f>
        <v/>
      </c>
      <c r="M422">
        <f>L422*(1+(Inputs!$B$10+((C444=TRUE)*(F444-Calc!F26))+B458)/100)</f>
        <v/>
      </c>
      <c r="N422">
        <f>L422*(1-MIN((Inputs!$B$9+((C443=TRUE)*(F443-Calc!F25))+B451),100)/100)+M422*(MIN((Inputs!$B$9+((C443=TRUE)*(F443-Calc!F25))+B451),100)/100)</f>
        <v/>
      </c>
      <c r="O422">
        <f>IF(C422,H422*N422*IF(AND(Inputs!$B$39&lt;&gt;"pvp",Inputs!$B$44&gt;0),((Skills!G4*((R422-1)*IF(Skills!H4&gt;0,Skills!I4/Skills!H4,1)+IF(Skills!H4&gt;0,MIN(Skills!I4,MAX(0,MAX(0,Inputs!$B$44-B462)-((R422-1)*IF(Inputs!$B$39="pvp",15,MAX(0.1,Skills!D4-IF(Skills!E4=TRUE,Inputs!$B$32,0))))))/Skills!H4,1)))/Inputs!$B$44),G422*Q422)*IF(Inputs!$B$39="pvp",1,(1-Summary!$B$55)*(1)+Summary!$B$55*(MIN(MIN(10,0.5*B455*Skills!D4),Inputs!$B$37))),0)</f>
        <v/>
      </c>
      <c r="P422">
        <f>IF(B463=0,0,O422/B463)</f>
        <v/>
      </c>
      <c r="Q422">
        <f>IFERROR(1/IF(Inputs!$B$39="pvp",15,MAX(0.1,Skills!D4-IF(Skills!E4=TRUE,Inputs!$B$32,0))),0)</f>
        <v/>
      </c>
      <c r="R422">
        <f>IF(AND(Inputs!$B$39&lt;&gt;"pvp",Inputs!$B$44&gt;0),IF(MAX(0,Inputs!$B$44-B462)&lt;=0,0,(INT(MAX(0,Inputs!$B$44-B462)/IF(Inputs!$B$39="pvp",15,MAX(0.1,Skills!D4-IF(Skills!E4=TRUE,Inputs!$B$32,0))))+1)),0)</f>
        <v/>
      </c>
      <c r="S422">
        <f>IFERROR(O422/N422,0)</f>
        <v/>
      </c>
      <c r="U422">
        <f>290*U421/1000</f>
        <v/>
      </c>
    </row>
    <row r="423">
      <c r="A423">
        <f>Skills!A5</f>
        <v/>
      </c>
      <c r="B423">
        <f>Skills!B5</f>
        <v/>
      </c>
      <c r="C423">
        <f>Inputs!$B$3&gt;=63</f>
        <v/>
      </c>
      <c r="D423">
        <f>IF(Skills!C5=1,60+Inputs!$B$25+Inputs!$B$29,IF(Skills!C5=2,90+Inputs!$B$26+Inputs!$B$29,IF(Skills!C5=3,120+Inputs!$B$27+Inputs!$B$29,MAX(0,(Inputs!$B$3-100)*3)+Inputs!$B$28+Inputs!$B$29)))</f>
        <v/>
      </c>
      <c r="E423">
        <f>INDEX(FactorTable!$B$2:$Y$301, MATCH(ROUND(MIN(300,MAX(1,D423)),0), FactorTable!$A$2:$A$301,0), Skills!M5+1)</f>
        <v/>
      </c>
      <c r="F423">
        <f>IF(Skills!N5=TRUE,(Skills!L5/10)*(E423/1000),Skills!L5/10)+Skills!O5</f>
        <v/>
      </c>
      <c r="G423">
        <f>Skills!G5*IF(Skills!H5&gt;0,Skills!I5/Skills!H5,1)</f>
        <v/>
      </c>
      <c r="H423">
        <f>1-(1-Skills!J5/100)^Skills!K5</f>
        <v/>
      </c>
      <c r="I423" t="inlineStr">
        <is>
          <t>1</t>
        </is>
      </c>
      <c r="J423">
        <f>((Inputs!$B$6*(1+Inputs!$B$7/100))+(((Inputs!$B$12*(1+Inputs!$B$13/100))-(Inputs!$B$12*(1+Inputs!$B$13/100)))+0.25*(Inputs!$B$14-Inputs!$B$14))*(1+Inputs!$B$7/100))*(F423/100)</f>
        <v/>
      </c>
      <c r="K423">
        <f>J423*(1+((Inputs!$B$12*(1+Inputs!$B$13/100))*0.01+Inputs!$B$14*0.0025)/100)*(1+Inputs!$B$15/100)*(1+IF(Inputs!$B$39="pvp",0,(1-Summary!$B$55)*(Inputs!$B$20+0+Skills!P5+B452)+Summary!$B$55*(Inputs!$B$21+Skills!Q5+B452))/100)*(1+Inputs!$B$16/100)*(5000/(6000+Inputs!$B$43*(1-Inputs!$B$19/100)))*(1+(Inputs!$B$24+((C448=TRUE)*(F448-Calc!F30)))/100)*(1+2.6666666666666665*IF(C436=TRUE,F436,0)/100)*(1+(IF(Skills!A5="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423)</f>
        <v/>
      </c>
      <c r="L423">
        <f>K423*(MIN((Inputs!$B$22+1)+((C442=TRUE)*(F442-Calc!F24)),Inputs!$B$23+((C447=TRUE)*(F447-Calc!F29)))/100+(Inputs!$B$23+((C447=TRUE)*(F447-Calc!F29)))/100)/2</f>
        <v/>
      </c>
      <c r="M423">
        <f>L423*(1+(Inputs!$B$10+((C444=TRUE)*(F444-Calc!F26))+B458)/100)</f>
        <v/>
      </c>
      <c r="N423">
        <f>L423*(1-MIN((Inputs!$B$9+((C443=TRUE)*(F443-Calc!F25))+B451),100)/100)+M423*(MIN((Inputs!$B$9+((C443=TRUE)*(F443-Calc!F25))+B451),100)/100)</f>
        <v/>
      </c>
      <c r="O423">
        <f>IF(C423,H423*N423*IF(AND(Inputs!$B$39&lt;&gt;"pvp",Inputs!$B$44&gt;0),((Skills!G5*((R423-1)*IF(Skills!H5&gt;0,Skills!I5/Skills!H5,1)+IF(Skills!H5&gt;0,MIN(Skills!I5,MAX(0,MAX(0,Inputs!$B$44-B462)-((R423-1)*IF(Inputs!$B$39="pvp",15,MAX(0.1,Skills!D5-IF(Skills!E5=TRUE,Inputs!$B$32,0))))))/Skills!H5,1)))/Inputs!$B$44),G423*Q423)*IF(Inputs!$B$39="pvp",1,(1-Summary!$B$55)*(1)+Summary!$B$55*(MIN(Skills!W5,Inputs!$B$37))),0)</f>
        <v/>
      </c>
      <c r="P423">
        <f>IF(B463=0,0,O423/B463)</f>
        <v/>
      </c>
      <c r="Q423">
        <f>IFERROR(1/IF(Inputs!$B$39="pvp",15,MAX(0.1,Skills!D5-IF(Skills!E5=TRUE,Inputs!$B$32,0))),0)</f>
        <v/>
      </c>
      <c r="R423">
        <f>IF(AND(Inputs!$B$39&lt;&gt;"pvp",Inputs!$B$44&gt;0),IF(MAX(0,Inputs!$B$44-B462)&lt;=0,0,(INT(MAX(0,Inputs!$B$44-B462)/IF(Inputs!$B$39="pvp",15,MAX(0.1,Skills!D5-IF(Skills!E5=TRUE,Inputs!$B$32,0))))+1)),0)</f>
        <v/>
      </c>
      <c r="S423">
        <f>IFERROR(O423/N423,0)</f>
        <v/>
      </c>
    </row>
    <row r="424">
      <c r="A424">
        <f>Skills!A6</f>
        <v/>
      </c>
      <c r="B424">
        <f>Skills!B6</f>
        <v/>
      </c>
      <c r="C424">
        <f>Inputs!$B$3&gt;=69</f>
        <v/>
      </c>
      <c r="D424">
        <f>IF(Skills!C6=1,60+Inputs!$B$25+Inputs!$B$29,IF(Skills!C6=2,90+Inputs!$B$26+Inputs!$B$29,IF(Skills!C6=3,120+Inputs!$B$27+Inputs!$B$29,MAX(0,(Inputs!$B$3-100)*3)+Inputs!$B$28+Inputs!$B$29)))</f>
        <v/>
      </c>
      <c r="E424">
        <f>INDEX(FactorTable!$B$2:$Y$301, MATCH(ROUND(MIN(300,MAX(1,D424)),0), FactorTable!$A$2:$A$301,0), Skills!M6+1)</f>
        <v/>
      </c>
      <c r="F424">
        <f>IF(Skills!N6=TRUE,(Skills!L6/10)*(E424/1000),Skills!L6/10)+Skills!O6</f>
        <v/>
      </c>
      <c r="G424">
        <f>Skills!G6*IF(Skills!H6&gt;0,Skills!I6/Skills!H6,1)</f>
        <v/>
      </c>
      <c r="H424">
        <f>1-(1-Skills!J6/100)^Skills!K6</f>
        <v/>
      </c>
      <c r="I424" t="inlineStr">
        <is>
          <t>1</t>
        </is>
      </c>
      <c r="J424">
        <f>((Inputs!$B$6*(1+Inputs!$B$7/100))+(((Inputs!$B$12*(1+Inputs!$B$13/100))-(Inputs!$B$12*(1+Inputs!$B$13/100)))+0.25*(Inputs!$B$14-Inputs!$B$14))*(1+Inputs!$B$7/100))*(F424/100)</f>
        <v/>
      </c>
      <c r="K424">
        <f>J424*(1+((Inputs!$B$12*(1+Inputs!$B$13/100))*0.01+Inputs!$B$14*0.0025)/100)*(1+Inputs!$B$15/100)*(1+IF(Inputs!$B$39="pvp",0,(1-Summary!$B$55)*(Inputs!$B$20+0+Skills!P6+B452)+Summary!$B$55*(Inputs!$B$21+Skills!Q6+B452))/100)*(1+Inputs!$B$16/100)*(5000/(6000+Inputs!$B$43*(1-Inputs!$B$19/100)))*(1+(Inputs!$B$24+((C448=TRUE)*(F448-Calc!F30)))/100)*(1+1.0*IF(C436=TRUE,F436,0)/100)*(1+(IF(Skills!A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424)</f>
        <v/>
      </c>
      <c r="L424">
        <f>K424*(MIN((Inputs!$B$22+1)+((C442=TRUE)*(F442-Calc!F24)),Inputs!$B$23+((C447=TRUE)*(F447-Calc!F29)))/100+(Inputs!$B$23+((C447=TRUE)*(F447-Calc!F29)))/100)/2</f>
        <v/>
      </c>
      <c r="M424">
        <f>L424*(1+(Inputs!$B$10+((C444=TRUE)*(F444-Calc!F26))+B458)/100)</f>
        <v/>
      </c>
      <c r="N424">
        <f>L424*(1-MIN((Inputs!$B$9+((C443=TRUE)*(F443-Calc!F25))+B451),100)/100)+M424*(MIN((Inputs!$B$9+((C443=TRUE)*(F443-Calc!F25))+B451),100)/100)</f>
        <v/>
      </c>
      <c r="O424">
        <f>IF(C424,H424*N424*IF(AND(Inputs!$B$39&lt;&gt;"pvp",Inputs!$B$44&gt;0),((Skills!G6*((R424-1)*IF(Skills!H6&gt;0,Skills!I6/Skills!H6,1)+IF(Skills!H6&gt;0,MIN(Skills!I6,MAX(0,MAX(0,Inputs!$B$44-B462)-((R424-1)*IF(Inputs!$B$39="pvp",15,MAX(0.1,Skills!D6-IF(Skills!E6=TRUE,Inputs!$B$32,0))))))/Skills!H6,1)))/Inputs!$B$44),G424*Q424)*IF(Inputs!$B$39="pvp",1,(1-Summary!$B$55)*(1)+Summary!$B$55*(MIN(Skills!W6,Inputs!$B$37))),0)</f>
        <v/>
      </c>
      <c r="P424">
        <f>IF(B463=0,0,O424/B463)</f>
        <v/>
      </c>
      <c r="Q424">
        <f>IFERROR(1/IF(Inputs!$B$39="pvp",15,MAX(0.1,Skills!D6-IF(Skills!E6=TRUE,Inputs!$B$32,0))),0)</f>
        <v/>
      </c>
      <c r="R424">
        <f>IF(AND(Inputs!$B$39&lt;&gt;"pvp",Inputs!$B$44&gt;0),IF(MAX(0,Inputs!$B$44-B462)&lt;=0,0,(INT(MAX(0,Inputs!$B$44-B462)/IF(Inputs!$B$39="pvp",15,MAX(0.1,Skills!D6-IF(Skills!E6=TRUE,Inputs!$B$32,0))))+1)),0)</f>
        <v/>
      </c>
      <c r="S424">
        <f>IFERROR(O424/N424,0)</f>
        <v/>
      </c>
    </row>
    <row r="425">
      <c r="A425">
        <f>Skills!A7</f>
        <v/>
      </c>
      <c r="B425">
        <f>Skills!B7</f>
        <v/>
      </c>
      <c r="C425">
        <f>Inputs!$B$3&gt;=60</f>
        <v/>
      </c>
      <c r="D425">
        <f>IF(Skills!C7=1,60+Inputs!$B$25+Inputs!$B$29,IF(Skills!C7=2,90+Inputs!$B$26+Inputs!$B$29,IF(Skills!C7=3,120+Inputs!$B$27+Inputs!$B$29,MAX(0,(Inputs!$B$3-100)*3)+Inputs!$B$28+Inputs!$B$29)))</f>
        <v/>
      </c>
      <c r="E425">
        <f>INDEX(FactorTable!$B$2:$Y$301, MATCH(ROUND(MIN(300,MAX(1,D425)),0), FactorTable!$A$2:$A$301,0), Skills!M7+1)</f>
        <v/>
      </c>
      <c r="F425">
        <f>IF(Skills!N7=TRUE,(Skills!L7/10)*(E425/1000),Skills!L7/10)+Skills!O7</f>
        <v/>
      </c>
      <c r="G425">
        <f>Skills!G7*IF(Skills!H7&gt;0,Skills!I7/Skills!H7,1)</f>
        <v/>
      </c>
      <c r="H425">
        <f>1-(1-Skills!J7/100)^Skills!K7</f>
        <v/>
      </c>
      <c r="I425" t="inlineStr">
        <is>
          <t>1</t>
        </is>
      </c>
      <c r="J425" t="inlineStr"/>
      <c r="K425" t="inlineStr"/>
      <c r="L425" t="inlineStr"/>
      <c r="M425" t="inlineStr"/>
      <c r="N425" t="inlineStr"/>
      <c r="O425" t="n">
        <v>0</v>
      </c>
      <c r="P425">
        <f>IF(B463=0,0,O425/B463)</f>
        <v/>
      </c>
      <c r="Q425" t="n">
        <v>0</v>
      </c>
      <c r="R425" t="n">
        <v>0</v>
      </c>
      <c r="S425">
        <f>IFERROR(O425/N425,0)</f>
        <v/>
      </c>
    </row>
    <row r="426">
      <c r="A426">
        <f>Skills!A8</f>
        <v/>
      </c>
      <c r="B426">
        <f>Skills!B8</f>
        <v/>
      </c>
      <c r="C426">
        <f>Inputs!$B$3&gt;=72</f>
        <v/>
      </c>
      <c r="D426">
        <f>IF(Skills!C8=1,60+Inputs!$B$25+Inputs!$B$29,IF(Skills!C8=2,90+Inputs!$B$26+Inputs!$B$29,IF(Skills!C8=3,120+Inputs!$B$27+Inputs!$B$29,MAX(0,(Inputs!$B$3-100)*3)+Inputs!$B$28+Inputs!$B$29)))</f>
        <v/>
      </c>
      <c r="E426">
        <f>INDEX(FactorTable!$B$2:$Y$301, MATCH(ROUND(MIN(300,MAX(1,D426)),0), FactorTable!$A$2:$A$301,0), Skills!M8+1)</f>
        <v/>
      </c>
      <c r="F426">
        <f>IF(Skills!N8=TRUE,(Skills!L8/10)*(E426/1000),Skills!L8/10)+Skills!O8</f>
        <v/>
      </c>
      <c r="G426">
        <f>Skills!G8*IF(Skills!H8&gt;0,Skills!I8/Skills!H8,1)</f>
        <v/>
      </c>
      <c r="H426">
        <f>1-(1-Skills!J8/100)^Skills!K8</f>
        <v/>
      </c>
      <c r="I426" t="inlineStr">
        <is>
          <t>1</t>
        </is>
      </c>
      <c r="J426">
        <f>((Inputs!$B$6*(1+Inputs!$B$7/100))+(((Inputs!$B$12*(1+Inputs!$B$13/100))-(Inputs!$B$12*(1+Inputs!$B$13/100)))+0.25*(Inputs!$B$14-Inputs!$B$14))*(1+Inputs!$B$7/100))*(F426/100)</f>
        <v/>
      </c>
      <c r="K426">
        <f>J426*(1+((Inputs!$B$12*(1+Inputs!$B$13/100))*0.01+Inputs!$B$14*0.0025)/100)*(1+Inputs!$B$15/100)*(1+IF(Inputs!$B$39="pvp",0,(1-Summary!$B$55)*(Inputs!$B$20+0+Skills!P8+B452)+Summary!$B$55*(Inputs!$B$21+Skills!Q8+B452))/100)*(1+Inputs!$B$16/100)*(5000/(6000+Inputs!$B$43*(1-Inputs!$B$19/100)))*(1+(Inputs!$B$24+((C448=TRUE)*(F448-Calc!F30)))/100)*(1+3.3333333333333335*IF(C436=TRUE,F436,0)/100)*(1+(IF(Skills!A8="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426)</f>
        <v/>
      </c>
      <c r="L426">
        <f>K426*(MIN((Inputs!$B$22+1)+((C442=TRUE)*(F442-Calc!F24)),Inputs!$B$23+((C447=TRUE)*(F447-Calc!F29)))/100+(Inputs!$B$23+((C447=TRUE)*(F447-Calc!F29)))/100)/2</f>
        <v/>
      </c>
      <c r="M426">
        <f>L426*(1+(Inputs!$B$10+((C444=TRUE)*(F444-Calc!F26))+B458)/100)</f>
        <v/>
      </c>
      <c r="N426">
        <f>L426*(1-MIN((Inputs!$B$9+((C443=TRUE)*(F443-Calc!F25))+B451),100)/100)+M426*(MIN((Inputs!$B$9+((C443=TRUE)*(F443-Calc!F25))+B451),100)/100)</f>
        <v/>
      </c>
      <c r="O426">
        <f>IF(C426,H426*N426*IF(AND(Inputs!$B$39&lt;&gt;"pvp",Inputs!$B$44&gt;0),((Skills!G8*((R426-1)*IF(Skills!H8&gt;0,Skills!I8/Skills!H8,1)+IF(Skills!H8&gt;0,MIN(Skills!I8,MAX(0,MAX(0,Inputs!$B$44-B462)-((R426-1)*IF(Inputs!$B$39="pvp",15,MAX(0.1,Skills!D8-IF(Skills!E8=TRUE,Inputs!$B$32,0))))))/Skills!H8,1)))/Inputs!$B$44),G426*Q426)*IF(Inputs!$B$39="pvp",1,(1-Summary!$B$55)*(1)+Summary!$B$55*(MIN(Skills!W8,Inputs!$B$37))),0)</f>
        <v/>
      </c>
      <c r="P426">
        <f>IF(B463=0,0,O426/B463)</f>
        <v/>
      </c>
      <c r="Q426">
        <f>IFERROR(1/IF(Inputs!$B$39="pvp",15,MAX(0.1,Skills!D8-IF(Skills!E8=TRUE,Inputs!$B$32,0))),0)</f>
        <v/>
      </c>
      <c r="R426">
        <f>IF(AND(Inputs!$B$39&lt;&gt;"pvp",Inputs!$B$44&gt;0),IF(MAX(0,Inputs!$B$44-B462)&lt;=0,0,(INT(MAX(0,Inputs!$B$44-B462)/IF(Inputs!$B$39="pvp",15,MAX(0.1,Skills!D8-IF(Skills!E8=TRUE,Inputs!$B$32,0))))+1)),0)</f>
        <v/>
      </c>
      <c r="S426">
        <f>IFERROR(O426/N426,0)</f>
        <v/>
      </c>
    </row>
    <row r="427">
      <c r="A427">
        <f>Skills!A9</f>
        <v/>
      </c>
      <c r="B427">
        <f>Skills!B9</f>
        <v/>
      </c>
      <c r="C427">
        <f>Inputs!$B$3&gt;=117</f>
        <v/>
      </c>
      <c r="D427">
        <f>IF(Skills!C9=1,60+Inputs!$B$25+Inputs!$B$29,IF(Skills!C9=2,90+Inputs!$B$26+Inputs!$B$29,IF(Skills!C9=3,120+Inputs!$B$27+Inputs!$B$29,MAX(0,(Inputs!$B$3-100)*3)+Inputs!$B$28+Inputs!$B$29)))</f>
        <v/>
      </c>
      <c r="E427">
        <f>INDEX(FactorTable!$B$2:$Y$301, MATCH(ROUND(MIN(300,MAX(1,D427)),0), FactorTable!$A$2:$A$301,0), Skills!M9+1)</f>
        <v/>
      </c>
      <c r="F427">
        <f>IF(Skills!N9=TRUE,(Skills!L9/10)*(E427/1000),Skills!L9/10)+Skills!O9</f>
        <v/>
      </c>
      <c r="G427">
        <f>Skills!G9*IF(Skills!H9&gt;0,Skills!I9/Skills!H9,1)</f>
        <v/>
      </c>
      <c r="H427">
        <f>1-(1-Skills!J9/100)^Skills!K9</f>
        <v/>
      </c>
      <c r="I427" t="inlineStr">
        <is>
          <t>1</t>
        </is>
      </c>
      <c r="J427">
        <f>((Inputs!$B$6*(1+Inputs!$B$7/100))+(((Inputs!$B$12*(1+Inputs!$B$13/100))-(Inputs!$B$12*(1+Inputs!$B$13/100)))+0.25*(Inputs!$B$14-Inputs!$B$14))*(1+Inputs!$B$7/100))*(F427/100)</f>
        <v/>
      </c>
      <c r="K427">
        <f>J427*(1+((Inputs!$B$12*(1+Inputs!$B$13/100))*0.01+Inputs!$B$14*0.0025)/100)*(1+Inputs!$B$15/100)*(1+IF(Inputs!$B$39="pvp",0,(1-Summary!$B$55)*(Inputs!$B$20+0+Skills!P9+B452)+Summary!$B$55*(Inputs!$B$21+Skills!Q9+B452))/100)*(1+Inputs!$B$16/100)*(5000/(6000+Inputs!$B$43*(1-Inputs!$B$19/100)))*(1+(Inputs!$B$24+((C448=TRUE)*(F448-Calc!F30)))/100)*(1+(IF(Skills!A9="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427)</f>
        <v/>
      </c>
      <c r="L427">
        <f>K427*(MIN((Inputs!$B$22+1)+((C442=TRUE)*(F442-Calc!F24)),Inputs!$B$23+((C447=TRUE)*(F447-Calc!F29)))/100+(Inputs!$B$23+((C447=TRUE)*(F447-Calc!F29)))/100)/2</f>
        <v/>
      </c>
      <c r="M427">
        <f>L427*(1+(Inputs!$B$10+((C444=TRUE)*(F444-Calc!F26))+B458)/100)</f>
        <v/>
      </c>
      <c r="N427">
        <f>L427*(1-MIN((Inputs!$B$9+((C443=TRUE)*(F443-Calc!F25))+B451),100)/100)+M427*(MIN((Inputs!$B$9+((C443=TRUE)*(F443-Calc!F25))+B451),100)/100)</f>
        <v/>
      </c>
      <c r="O427">
        <f>IF(C427,0.2*SUMPRODUCT((Skills!Z2:Z30=TRUE)*(C420:C448=TRUE)*S420:S448)*N427,0)</f>
        <v/>
      </c>
      <c r="P427">
        <f>IF(B463=0,0,O427/B463)</f>
        <v/>
      </c>
      <c r="Q427" t="n">
        <v>0</v>
      </c>
      <c r="R427" t="n">
        <v>0</v>
      </c>
      <c r="S427" t="n">
        <v>0</v>
      </c>
    </row>
    <row r="428">
      <c r="A428">
        <f>Skills!A10</f>
        <v/>
      </c>
      <c r="B428">
        <f>Skills!B10</f>
        <v/>
      </c>
      <c r="C428">
        <f>Inputs!$B$3&gt;=74</f>
        <v/>
      </c>
      <c r="D428">
        <f>IF(Skills!C10=1,60+Inputs!$B$25+Inputs!$B$29,IF(Skills!C10=2,90+Inputs!$B$26+Inputs!$B$29,IF(Skills!C10=3,120+Inputs!$B$27+Inputs!$B$29,MAX(0,(Inputs!$B$3-100)*3)+Inputs!$B$28+Inputs!$B$29)))</f>
        <v/>
      </c>
      <c r="E428">
        <f>INDEX(FactorTable!$B$2:$Y$301, MATCH(ROUND(MIN(300,MAX(1,D428)),0), FactorTable!$A$2:$A$301,0), Skills!M10+1)</f>
        <v/>
      </c>
      <c r="F428">
        <f>IF(Skills!N10=TRUE,(Skills!L10/10)*(E428/1000),Skills!L10/10)+Skills!O10</f>
        <v/>
      </c>
      <c r="G428">
        <f>Skills!G10*IF(Skills!H10&gt;0,Skills!I10/Skills!H10,1)</f>
        <v/>
      </c>
      <c r="H428">
        <f>1-(1-Skills!J10/100)^Skills!K10</f>
        <v/>
      </c>
      <c r="I428" t="inlineStr">
        <is>
          <t>1</t>
        </is>
      </c>
      <c r="J428" t="inlineStr"/>
      <c r="K428" t="inlineStr"/>
      <c r="L428" t="inlineStr"/>
      <c r="M428" t="inlineStr"/>
      <c r="N428" t="inlineStr"/>
      <c r="O428" t="n">
        <v>0</v>
      </c>
      <c r="P428">
        <f>IF(B463=0,0,O428/B463)</f>
        <v/>
      </c>
      <c r="Q428">
        <f>IFERROR(1/IF(Inputs!$B$39="pvp",15,MAX(0.1,Skills!D10-IF(Skills!E10=TRUE,Inputs!$B$32,0))),0)</f>
        <v/>
      </c>
      <c r="R428">
        <f>IF(AND(Inputs!$B$39&lt;&gt;"pvp",Inputs!$B$44&gt;0),IF(Inputs!$B$44&lt;=0,0,(INT(Inputs!$B$44/IF(Inputs!$B$39="pvp",15,MAX(0.1,Skills!D10-IF(Skills!E10=TRUE,Inputs!$B$32,0))))+1)),0)</f>
        <v/>
      </c>
      <c r="S428">
        <f>IFERROR(O428/N428,0)</f>
        <v/>
      </c>
    </row>
    <row r="429">
      <c r="A429">
        <f>Skills!A11</f>
        <v/>
      </c>
      <c r="B429">
        <f>Skills!B11</f>
        <v/>
      </c>
      <c r="C429">
        <f>Inputs!$B$3&gt;=103</f>
        <v/>
      </c>
      <c r="D429">
        <f>IF(Skills!C11=1,60+Inputs!$B$25+Inputs!$B$29,IF(Skills!C11=2,90+Inputs!$B$26+Inputs!$B$29,IF(Skills!C11=3,120+Inputs!$B$27+Inputs!$B$29,MAX(0,(Inputs!$B$3-100)*3)+Inputs!$B$28+Inputs!$B$29)))</f>
        <v/>
      </c>
      <c r="E429">
        <f>INDEX(FactorTable!$B$2:$Y$301, MATCH(ROUND(MIN(300,MAX(1,D429)),0), FactorTable!$A$2:$A$301,0), Skills!M11+1)</f>
        <v/>
      </c>
      <c r="F429">
        <f>(Skills!L11/10)*(E429/1000)+IF(Inputs!$B$3&gt;=134,50,0)+0.5*(30000/10)*(INDEX(FactorTable!$B$2:$Y$301, MATCH(ROUND(MIN(300,MAX(1,D429)),0), FactorTable!$A$2:$A$301,0), 13)/1000)*B461</f>
        <v/>
      </c>
      <c r="G429">
        <f>Skills!G11*IF(Skills!H11&gt;0,Skills!I11/Skills!H11,1)</f>
        <v/>
      </c>
      <c r="H429">
        <f>1-(1-Skills!J11/100)^Skills!K11</f>
        <v/>
      </c>
      <c r="I429" t="inlineStr">
        <is>
          <t>1</t>
        </is>
      </c>
      <c r="J429">
        <f>((Inputs!$B$6*(1+Inputs!$B$7/100))+(((Inputs!$B$12*(1+Inputs!$B$13/100))-(Inputs!$B$12*(1+Inputs!$B$13/100)))+0.25*(Inputs!$B$14-Inputs!$B$14))*(1+Inputs!$B$7/100))*(F429/100)</f>
        <v/>
      </c>
      <c r="K429">
        <f>J429*(1+((Inputs!$B$12*(1+Inputs!$B$13/100))*0.01+Inputs!$B$14*0.0025)/100)*(1+Inputs!$B$15/100)*(1+IF(Inputs!$B$39="pvp",0,(1-Summary!$B$55)*(Inputs!$B$20+0+Skills!P11+B452)+Summary!$B$55*(Inputs!$B$21+Skills!Q11+B452))/100)*(1+Inputs!$B$16/100)*(5000/(6000+Inputs!$B$43*(1-Inputs!$B$19/100)))*(1+(Inputs!$B$24+((C448=TRUE)*(F448-Calc!F30)))/100)*(1+(IF(Skills!A11="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429)</f>
        <v/>
      </c>
      <c r="L429">
        <f>K429*(MIN((Inputs!$B$22+1)+((C442=TRUE)*(F442-Calc!F24)),Inputs!$B$23+((C447=TRUE)*(F447-Calc!F29)))/100+(Inputs!$B$23+((C447=TRUE)*(F447-Calc!F29)))/100)/2</f>
        <v/>
      </c>
      <c r="M429">
        <f>L429*(1+(Inputs!$B$10+((C444=TRUE)*(F444-Calc!F26))+B458)/100)</f>
        <v/>
      </c>
      <c r="N429">
        <f>L429*(1-MIN((Inputs!$B$9+((C443=TRUE)*(F443-Calc!F25))+B451),100)/100)+M429*(MIN((Inputs!$B$9+((C443=TRUE)*(F443-Calc!F25))+B451),100)/100)</f>
        <v/>
      </c>
      <c r="O429">
        <f>IF(C429,H429*N429*IF(AND(Inputs!$B$39&lt;&gt;"pvp",Inputs!$B$44&gt;0),((Skills!G11*((R429-1)*IF(Skills!H11&gt;0,Skills!I11/Skills!H11,1)+IF(Skills!H11&gt;0,MIN(Skills!I11,MAX(0,MAX(0,Inputs!$B$44-B462)-((R429-1)*IF(Inputs!$B$39="pvp",15,MAX(0.1,Skills!D11-IF(Skills!E11=TRUE,Inputs!$B$32,0))))))/Skills!H11,1)))/Inputs!$B$44),G429*Q429)*IF(Inputs!$B$39="pvp",1,(1-Summary!$B$55)*(1)+Summary!$B$55*(MIN(Skills!W11,Inputs!$B$37))),0)</f>
        <v/>
      </c>
      <c r="P429">
        <f>IF(B463=0,0,O429/B463)</f>
        <v/>
      </c>
      <c r="Q429">
        <f>IFERROR(1/IF(Inputs!$B$39="pvp",15,MAX(0.1,Skills!D11-IF(Skills!E11=TRUE,Inputs!$B$32,0))),0)</f>
        <v/>
      </c>
      <c r="R429">
        <f>IF(AND(Inputs!$B$39&lt;&gt;"pvp",Inputs!$B$44&gt;0),IF(MAX(0,Inputs!$B$44-B462)&lt;=0,0,(INT(MAX(0,Inputs!$B$44-B462)/IF(Inputs!$B$39="pvp",15,MAX(0.1,Skills!D11-IF(Skills!E11=TRUE,Inputs!$B$32,0))))+1)),0)</f>
        <v/>
      </c>
      <c r="S429">
        <f>IFERROR(O429/N429,0)</f>
        <v/>
      </c>
    </row>
    <row r="430">
      <c r="A430">
        <f>Skills!A12</f>
        <v/>
      </c>
      <c r="B430">
        <f>Skills!B12</f>
        <v/>
      </c>
      <c r="C430">
        <f>Inputs!$B$3&gt;=105</f>
        <v/>
      </c>
      <c r="D430">
        <f>IF(Skills!C12=1,60+Inputs!$B$25+Inputs!$B$29,IF(Skills!C12=2,90+Inputs!$B$26+Inputs!$B$29,IF(Skills!C12=3,120+Inputs!$B$27+Inputs!$B$29,MAX(0,(Inputs!$B$3-100)*3)+Inputs!$B$28+Inputs!$B$29)))</f>
        <v/>
      </c>
      <c r="E430">
        <f>INDEX(FactorTable!$B$2:$Y$301, MATCH(ROUND(MIN(300,MAX(1,D430)),0), FactorTable!$A$2:$A$301,0), Skills!M12+1)</f>
        <v/>
      </c>
      <c r="F430">
        <f>IF(Skills!N12=TRUE,(Skills!L12/10)*(E430/1000),Skills!L12/10)+Skills!O12</f>
        <v/>
      </c>
      <c r="G430">
        <f>Skills!G12*IF(Skills!H12&gt;0,Skills!I12/Skills!H12,1)</f>
        <v/>
      </c>
      <c r="H430">
        <f>1-(1-Skills!J12/100)^Skills!K12</f>
        <v/>
      </c>
      <c r="I430" t="inlineStr">
        <is>
          <t>1</t>
        </is>
      </c>
      <c r="J430">
        <f>((Inputs!$B$6*(1+Inputs!$B$7/100))+(((Inputs!$B$12*(1+Inputs!$B$13/100))-(Inputs!$B$12*(1+Inputs!$B$13/100)))+0.25*(Inputs!$B$14-Inputs!$B$14))*(1+Inputs!$B$7/100))*(F430/100)</f>
        <v/>
      </c>
      <c r="K430">
        <f>J430*(1+((Inputs!$B$12*(1+Inputs!$B$13/100))*0.01+Inputs!$B$14*0.0025)/100)*(1+Inputs!$B$15/100)*(1+IF(Inputs!$B$39="pvp",0,(1-Summary!$B$55)*(Inputs!$B$20+0+Skills!P12+B452)+Summary!$B$55*(Inputs!$B$21+Skills!Q12+B452))/100)*(1+Inputs!$B$16/100)*(5000/(6000+Inputs!$B$43*(1-Inputs!$B$19/100)))*(1+(Inputs!$B$24+((C448=TRUE)*(F448-Calc!F30)))/100)*(1+(IF(Skills!A12="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430)</f>
        <v/>
      </c>
      <c r="L430">
        <f>K430*(MIN((Inputs!$B$22+1)+((C442=TRUE)*(F442-Calc!F24)),Inputs!$B$23+((C447=TRUE)*(F447-Calc!F29)))/100+(Inputs!$B$23+((C447=TRUE)*(F447-Calc!F29)))/100)/2</f>
        <v/>
      </c>
      <c r="M430">
        <f>L430*(1+(Inputs!$B$10+((C444=TRUE)*(F444-Calc!F26))+B458)/100)</f>
        <v/>
      </c>
      <c r="N430">
        <f>L430*(1-MIN((Inputs!$B$9+((C443=TRUE)*(F443-Calc!F25))+B451),100)/100)+M430*(MIN((Inputs!$B$9+((C443=TRUE)*(F443-Calc!F25))+B451),100)/100)</f>
        <v/>
      </c>
      <c r="O430">
        <f>IF(C430,H430*N430*IF(AND(Inputs!$B$39&lt;&gt;"pvp",Inputs!$B$44&gt;0),((Skills!G12*((R430-1)*IF(Skills!H12&gt;0,Skills!I12/Skills!H12,1)+IF(Skills!H12&gt;0,MIN(Skills!I12,MAX(0,MAX(0,Inputs!$B$44-B462)-((R430-1)*IF(Inputs!$B$39="pvp",15,MAX(0.1,Skills!D12-IF(Skills!E12=TRUE,Inputs!$B$32,0))))))/Skills!H12,1)))/Inputs!$B$44),G430*Q430)*IF(Inputs!$B$39="pvp",1,(1-Summary!$B$55)*(1)+Summary!$B$55*(MIN(Skills!W12,Inputs!$B$37))),0)</f>
        <v/>
      </c>
      <c r="P430">
        <f>IF(B463=0,0,O430/B463)</f>
        <v/>
      </c>
      <c r="Q430">
        <f>IFERROR(1/IF(Inputs!$B$39="pvp",15,MAX(0.1,Skills!D12-IF(Skills!E12=TRUE,Inputs!$B$32,0))),0)</f>
        <v/>
      </c>
      <c r="R430">
        <f>IF(AND(Inputs!$B$39&lt;&gt;"pvp",Inputs!$B$44&gt;0),IF(MAX(0,Inputs!$B$44-B462)&lt;=0,0,(INT(MAX(0,Inputs!$B$44-B462)/IF(Inputs!$B$39="pvp",15,MAX(0.1,Skills!D12-IF(Skills!E12=TRUE,Inputs!$B$32,0))))+1)),0)</f>
        <v/>
      </c>
      <c r="S430">
        <f>IFERROR(O430/N430,0)</f>
        <v/>
      </c>
    </row>
    <row r="431">
      <c r="A431">
        <f>Skills!A13</f>
        <v/>
      </c>
      <c r="B431">
        <f>Skills!B13</f>
        <v/>
      </c>
      <c r="C431">
        <f>Inputs!$B$3&gt;=105</f>
        <v/>
      </c>
      <c r="D431">
        <f>IF(Skills!C13=1,60+Inputs!$B$25+Inputs!$B$29,IF(Skills!C13=2,90+Inputs!$B$26+Inputs!$B$29,IF(Skills!C13=3,120+Inputs!$B$27+Inputs!$B$29,MAX(0,(Inputs!$B$3-100)*3)+Inputs!$B$28+Inputs!$B$29)))</f>
        <v/>
      </c>
      <c r="E431">
        <f>INDEX(FactorTable!$B$2:$Y$301, MATCH(ROUND(MIN(300,MAX(1,D431)),0), FactorTable!$A$2:$A$301,0), Skills!M13+1)</f>
        <v/>
      </c>
      <c r="F431">
        <f>IF(Skills!N13=TRUE,(Skills!L13/10)*(E431/1000),Skills!L13/10)+Skills!O13</f>
        <v/>
      </c>
      <c r="G431">
        <f>Skills!G13*IF(Skills!H13&gt;0,Skills!I13/Skills!H13,1)</f>
        <v/>
      </c>
      <c r="H431">
        <f>1-(1-Skills!J13/100)^Skills!K13</f>
        <v/>
      </c>
      <c r="I431" t="inlineStr">
        <is>
          <t>1</t>
        </is>
      </c>
      <c r="J431">
        <f>((Inputs!$B$6*(1+Inputs!$B$7/100))+(((Inputs!$B$12*(1+Inputs!$B$13/100))-(Inputs!$B$12*(1+Inputs!$B$13/100)))+0.25*(Inputs!$B$14-Inputs!$B$14))*(1+Inputs!$B$7/100))*(F431/100)</f>
        <v/>
      </c>
      <c r="K431">
        <f>J431*(1+((Inputs!$B$12*(1+Inputs!$B$13/100))*0.01+Inputs!$B$14*0.0025)/100)*(1+Inputs!$B$15/100)*(1+IF(Inputs!$B$39="pvp",0,(1-Summary!$B$55)*(Inputs!$B$20+0+Skills!P13+B452)+Summary!$B$55*(Inputs!$B$21+Skills!Q13+B452))/100)*(1+Inputs!$B$16/100)*(5000/(6000+Inputs!$B$43*(1-Inputs!$B$19/100)))*(1+(Inputs!$B$24+((C448=TRUE)*(F448-Calc!F30)))/100)*(1+(IF(Skills!A13="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431)</f>
        <v/>
      </c>
      <c r="L431">
        <f>K431*(MIN((Inputs!$B$22+1)+((C442=TRUE)*(F442-Calc!F24)),Inputs!$B$23+((C447=TRUE)*(F447-Calc!F29)))/100+(Inputs!$B$23+((C447=TRUE)*(F447-Calc!F29)))/100)/2</f>
        <v/>
      </c>
      <c r="M431">
        <f>L431*(1+(Inputs!$B$10+((C444=TRUE)*(F444-Calc!F26))+B458)/100)</f>
        <v/>
      </c>
      <c r="N431">
        <f>L431*(1-MIN((Inputs!$B$9+((C443=TRUE)*(F443-Calc!F25))+B451),100)/100)+M431*(MIN((Inputs!$B$9+((C443=TRUE)*(F443-Calc!F25))+B451),100)/100)</f>
        <v/>
      </c>
      <c r="O431">
        <f>IF(C431,H431*N431*IF(AND(Inputs!$B$39&lt;&gt;"pvp",Inputs!$B$44&gt;0),((Skills!G13*((R431-1)*IF(Skills!H13&gt;0,Skills!I13/Skills!H13,1)+IF(Skills!H13&gt;0,MIN(Skills!I13,MAX(0,MAX(0,Inputs!$B$44-B462)-((R431-1)*IF(Inputs!$B$39="pvp",15,MAX(0.1,Skills!D13-IF(Skills!E13=TRUE,Inputs!$B$32,0))))))/Skills!H13,1)))/Inputs!$B$44),G431*Q431)*IF(Inputs!$B$39="pvp",1,(1-Summary!$B$55)*(1)+Summary!$B$55*(MIN(Skills!W13,Inputs!$B$37))),0)</f>
        <v/>
      </c>
      <c r="P431">
        <f>IF(B463=0,0,O431/B463)</f>
        <v/>
      </c>
      <c r="Q431">
        <f>IFERROR(1/IF(Inputs!$B$39="pvp",15,MAX(0.1,Skills!D13-IF(Skills!E13=TRUE,Inputs!$B$32,0))),0)</f>
        <v/>
      </c>
      <c r="R431">
        <f>IF(AND(Inputs!$B$39&lt;&gt;"pvp",Inputs!$B$44&gt;0),IF(MAX(0,Inputs!$B$44-B462)&lt;=0,0,(INT(MAX(0,Inputs!$B$44-B462)/IF(Inputs!$B$39="pvp",15,MAX(0.1,Skills!D13-IF(Skills!E13=TRUE,Inputs!$B$32,0))))+1)),0)</f>
        <v/>
      </c>
      <c r="S431">
        <f>IFERROR(O431/N431,0)</f>
        <v/>
      </c>
    </row>
    <row r="432">
      <c r="A432">
        <f>Skills!A14</f>
        <v/>
      </c>
      <c r="B432">
        <f>Skills!B14</f>
        <v/>
      </c>
      <c r="C432">
        <f>Inputs!$B$3&gt;=107</f>
        <v/>
      </c>
      <c r="D432">
        <f>IF(Skills!C14=1,60+Inputs!$B$25+Inputs!$B$29,IF(Skills!C14=2,90+Inputs!$B$26+Inputs!$B$29,IF(Skills!C14=3,120+Inputs!$B$27+Inputs!$B$29,MAX(0,(Inputs!$B$3-100)*3)+Inputs!$B$28+Inputs!$B$29)))</f>
        <v/>
      </c>
      <c r="E432">
        <f>INDEX(FactorTable!$B$2:$Y$301, MATCH(ROUND(MIN(300,MAX(1,D432)),0), FactorTable!$A$2:$A$301,0), Skills!M14+1)</f>
        <v/>
      </c>
      <c r="F432">
        <f>IF(Skills!N14=TRUE,(Skills!L14/10)*(E432/1000),Skills!L14/10)+Skills!O14</f>
        <v/>
      </c>
      <c r="G432">
        <f>Skills!G14*IF(Skills!H14&gt;0,Skills!I14/Skills!H14,1)</f>
        <v/>
      </c>
      <c r="H432">
        <f>1-(1-Skills!J14/100)^Skills!K14</f>
        <v/>
      </c>
      <c r="I432" t="inlineStr">
        <is>
          <t>1</t>
        </is>
      </c>
      <c r="J432">
        <f>((Inputs!$B$6*(1+Inputs!$B$7/100))+(((Inputs!$B$12*(1+Inputs!$B$13/100))-(Inputs!$B$12*(1+Inputs!$B$13/100)))+0.25*(Inputs!$B$14-Inputs!$B$14))*(1+Inputs!$B$7/100))*(F432/100)</f>
        <v/>
      </c>
      <c r="K432">
        <f>J432*(1+((Inputs!$B$12*(1+Inputs!$B$13/100))*0.01+Inputs!$B$14*0.0025)/100)*(1+Inputs!$B$15/100)*(1+IF(Inputs!$B$39="pvp",0,(1-Summary!$B$55)*(Inputs!$B$20+0+Skills!P14+B452)+Summary!$B$55*(Inputs!$B$21+Skills!Q14+B452))/100)*(1+Inputs!$B$16/100)*(5000/(6000+Inputs!$B$43*(1-Inputs!$B$19/100)))*(1+(Inputs!$B$24+((C448=TRUE)*(F448-Calc!F30)))/100)*(1+(IF(Skills!A14="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432)</f>
        <v/>
      </c>
      <c r="L432">
        <f>K432*(MIN((Inputs!$B$22+1)+((C442=TRUE)*(F442-Calc!F24)),Inputs!$B$23+((C447=TRUE)*(F447-Calc!F29)))/100+(Inputs!$B$23+((C447=TRUE)*(F447-Calc!F29)))/100)/2</f>
        <v/>
      </c>
      <c r="M432">
        <f>L432*(1+(Inputs!$B$10+((C444=TRUE)*(F444-Calc!F26))+B458)/100)</f>
        <v/>
      </c>
      <c r="N432">
        <f>L432*(1-MIN((Inputs!$B$9+((C443=TRUE)*(F443-Calc!F25))+B451),100)/100)+M432*(MIN((Inputs!$B$9+((C443=TRUE)*(F443-Calc!F25))+B451),100)/100)</f>
        <v/>
      </c>
      <c r="O432">
        <f>IF(C432,H432*N432*IF(AND(Inputs!$B$39&lt;&gt;"pvp",Inputs!$B$44&gt;0),((Skills!G14*((R432-1)*IF(Skills!H14&gt;0,Skills!I14/Skills!H14,1)+IF(Skills!H14&gt;0,MIN(Skills!I14,MAX(0,MAX(0,Inputs!$B$44-B462)-((R432-1)*IF(Inputs!$B$39="pvp",15,MAX(0.1,Skills!D14-IF(Skills!E14=TRUE,Inputs!$B$32,0))))))/Skills!H14,1)))/Inputs!$B$44),G432*Q432)*IF(Inputs!$B$39="pvp",1,(1-Summary!$B$55)*(1)+Summary!$B$55*(MIN(MIN(5,0.25*B455*Skills!D4)*Skills!V14,Inputs!$B$37))),0)</f>
        <v/>
      </c>
      <c r="P432">
        <f>IF(B463=0,0,O432/B463)</f>
        <v/>
      </c>
      <c r="Q432">
        <f>IFERROR(1/IF(Inputs!$B$39="pvp",15,MAX(0.1,Skills!D14-IF(Skills!E14=TRUE,Inputs!$B$32,0))),0)</f>
        <v/>
      </c>
      <c r="R432">
        <f>IF(AND(Inputs!$B$39&lt;&gt;"pvp",Inputs!$B$44&gt;0),IF(MAX(0,Inputs!$B$44-B462)&lt;=0,0,(INT(MAX(0,Inputs!$B$44-B462)/IF(Inputs!$B$39="pvp",15,MAX(0.1,Skills!D14-IF(Skills!E14=TRUE,Inputs!$B$32,0))))+1)),0)</f>
        <v/>
      </c>
      <c r="S432">
        <f>IFERROR(O432/N432,0)</f>
        <v/>
      </c>
    </row>
    <row r="433">
      <c r="A433">
        <f>Skills!A15</f>
        <v/>
      </c>
      <c r="B433">
        <f>Skills!B15</f>
        <v/>
      </c>
      <c r="C433">
        <f>Inputs!$B$3&gt;=110</f>
        <v/>
      </c>
      <c r="D433">
        <f>IF(Skills!C15=1,60+Inputs!$B$25+Inputs!$B$29,IF(Skills!C15=2,90+Inputs!$B$26+Inputs!$B$29,IF(Skills!C15=3,120+Inputs!$B$27+Inputs!$B$29,MAX(0,(Inputs!$B$3-100)*3)+Inputs!$B$28+Inputs!$B$29)))</f>
        <v/>
      </c>
      <c r="E433">
        <f>INDEX(FactorTable!$B$2:$Y$301, MATCH(ROUND(MIN(300,MAX(1,D433)),0), FactorTable!$A$2:$A$301,0), Skills!M15+1)</f>
        <v/>
      </c>
      <c r="F433">
        <f>IF(Skills!N15=TRUE,(Skills!L15/10)*(E433/1000),Skills!L15/10)+Skills!O15</f>
        <v/>
      </c>
      <c r="G433">
        <f>Skills!G15*IF(Skills!H15&gt;0,Skills!I15/Skills!H15,1)</f>
        <v/>
      </c>
      <c r="H433">
        <f>1-(1-Skills!J15/100)^Skills!K15</f>
        <v/>
      </c>
      <c r="I433" t="inlineStr">
        <is>
          <t>1</t>
        </is>
      </c>
      <c r="J433" t="inlineStr"/>
      <c r="K433" t="inlineStr"/>
      <c r="L433" t="inlineStr"/>
      <c r="M433" t="inlineStr"/>
      <c r="N433" t="inlineStr"/>
      <c r="O433" t="n">
        <v>0</v>
      </c>
      <c r="P433">
        <f>IF(B463=0,0,O433/B463)</f>
        <v/>
      </c>
      <c r="Q433">
        <f>IFERROR(1/IF(Inputs!$B$39="pvp",15,MAX(0.1,Skills!D15-IF(Skills!E15=TRUE,Inputs!$B$32,0))),0)</f>
        <v/>
      </c>
      <c r="R433">
        <f>IF(AND(Inputs!$B$39&lt;&gt;"pvp",Inputs!$B$44&gt;0),IF(Inputs!$B$44&lt;=0,0,(INT(Inputs!$B$44/IF(Inputs!$B$39="pvp",15,MAX(0.1,Skills!D15-IF(Skills!E15=TRUE,Inputs!$B$32,0))))+1)),0)</f>
        <v/>
      </c>
      <c r="S433">
        <f>IFERROR(O433/N433,0)</f>
        <v/>
      </c>
    </row>
    <row r="434">
      <c r="A434">
        <f>Skills!A16</f>
        <v/>
      </c>
      <c r="B434">
        <f>Skills!B16</f>
        <v/>
      </c>
      <c r="C434">
        <f>Inputs!$B$3&gt;=115</f>
        <v/>
      </c>
      <c r="D434">
        <f>IF(Skills!C16=1,60+Inputs!$B$25+Inputs!$B$29,IF(Skills!C16=2,90+Inputs!$B$26+Inputs!$B$29,IF(Skills!C16=3,120+Inputs!$B$27+Inputs!$B$29,MAX(0,(Inputs!$B$3-100)*3)+Inputs!$B$28+Inputs!$B$29)))</f>
        <v/>
      </c>
      <c r="E434">
        <f>INDEX(FactorTable!$B$2:$Y$301, MATCH(ROUND(MIN(300,MAX(1,D434)),0), FactorTable!$A$2:$A$301,0), Skills!M16+1)</f>
        <v/>
      </c>
      <c r="F434">
        <f>IF(Skills!N16=TRUE,(Skills!L16/10)*(E434/1000),Skills!L16/10)+Skills!O16</f>
        <v/>
      </c>
      <c r="G434">
        <f>Skills!G16*IF(Skills!H16&gt;0,Skills!I16/Skills!H16,1)</f>
        <v/>
      </c>
      <c r="H434">
        <f>1-(1-Skills!J16/100)^Skills!K16</f>
        <v/>
      </c>
      <c r="I434" t="inlineStr">
        <is>
          <t>1</t>
        </is>
      </c>
      <c r="J434">
        <f>((Inputs!$B$6*(1+Inputs!$B$7/100))+(((Inputs!$B$12*(1+Inputs!$B$13/100))-(Inputs!$B$12*(1+Inputs!$B$13/100)))+0.25*(Inputs!$B$14-Inputs!$B$14))*(1+Inputs!$B$7/100))*(F434/100)</f>
        <v/>
      </c>
      <c r="K434">
        <f>J434*(1+((Inputs!$B$12*(1+Inputs!$B$13/100))*0.01+Inputs!$B$14*0.0025)/100)*(1+Inputs!$B$15/100)*(1+IF(Inputs!$B$39="pvp",0,(1-Summary!$B$55)*(Inputs!$B$20+0+Skills!P16+B452)+Summary!$B$55*(Inputs!$B$21+Skills!Q16+B452))/100)*(1+Inputs!$B$16/100)*(5000/(6000+Inputs!$B$43*(1-Inputs!$B$19/100)))*(1+(Inputs!$B$24+((C448=TRUE)*(F448-Calc!F30)))/100)*(1+(IF(Skills!A16="CRUEL_STAB",Inputs!$B$17+((C445=TRUE)*(F445-Calc!F27)),Inputs!$B$18+((C446=TRUE)*(F446-Calc!F28))))/100)*(((1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B453*I434)</f>
        <v/>
      </c>
      <c r="L434">
        <f>K434*(MIN((Inputs!$B$22+1)+((C442=TRUE)*(F442-Calc!F24)),Inputs!$B$23+((C447=TRUE)*(F447-Calc!F29)))/100+(Inputs!$B$23+((C447=TRUE)*(F447-Calc!F29)))/100)/2</f>
        <v/>
      </c>
      <c r="M434">
        <f>L434*(1+(Inputs!$B$10+((C444=TRUE)*(F444-Calc!F26))+B458)/100)</f>
        <v/>
      </c>
      <c r="N434">
        <f>L434*(1-MIN((Inputs!$B$9+((C443=TRUE)*(F443-Calc!F25))+B451),100)/100)+M434*(MIN((Inputs!$B$9+((C443=TRUE)*(F443-Calc!F25))+B451),100)/100)</f>
        <v/>
      </c>
      <c r="O434">
        <f>IF(C434,Inputs!$B$38*0.2*N434,0)</f>
        <v/>
      </c>
      <c r="P434">
        <f>IF(B463=0,0,O434/B463)</f>
        <v/>
      </c>
      <c r="Q434" t="n">
        <v>0</v>
      </c>
      <c r="R434" t="n">
        <v>0</v>
      </c>
      <c r="S434">
        <f>IFERROR(O434/N434,0)</f>
        <v/>
      </c>
    </row>
    <row r="435">
      <c r="A435">
        <f>Skills!A17</f>
        <v/>
      </c>
      <c r="B435">
        <f>Skills!B17</f>
        <v/>
      </c>
      <c r="C435">
        <f>Inputs!$B$3&gt;=115</f>
        <v/>
      </c>
      <c r="D435">
        <f>IF(Skills!C17=1,60+Inputs!$B$25+Inputs!$B$29,IF(Skills!C17=2,90+Inputs!$B$26+Inputs!$B$29,IF(Skills!C17=3,120+Inputs!$B$27+Inputs!$B$29,MAX(0,(Inputs!$B$3-100)*3)+Inputs!$B$28+Inputs!$B$29)))</f>
        <v/>
      </c>
      <c r="E435">
        <f>INDEX(FactorTable!$B$2:$Y$301, MATCH(ROUND(MIN(300,MAX(1,D435)),0), FactorTable!$A$2:$A$301,0), Skills!M17+1)</f>
        <v/>
      </c>
      <c r="F435">
        <f>IF(Skills!N17=TRUE,(Skills!L17/10)*(E435/1000),Skills!L17/10)+Skills!O17</f>
        <v/>
      </c>
      <c r="G435">
        <f>Skills!G17*IF(Skills!H17&gt;0,Skills!I17/Skills!H17,1)</f>
        <v/>
      </c>
      <c r="H435">
        <f>1-(1-Skills!J17/100)^Skills!K17</f>
        <v/>
      </c>
      <c r="I435" t="inlineStr">
        <is>
          <t>1</t>
        </is>
      </c>
      <c r="J435" t="inlineStr"/>
      <c r="K435" t="inlineStr"/>
      <c r="L435" t="inlineStr"/>
      <c r="M435" t="inlineStr"/>
      <c r="N435" t="inlineStr"/>
      <c r="O435" t="n">
        <v>0</v>
      </c>
      <c r="P435">
        <f>IF(B463=0,0,O435/B463)</f>
        <v/>
      </c>
      <c r="Q435" t="n">
        <v>0</v>
      </c>
      <c r="R435" t="n">
        <v>0</v>
      </c>
      <c r="S435">
        <f>IFERROR(O435/N435,0)</f>
        <v/>
      </c>
    </row>
    <row r="436">
      <c r="A436">
        <f>Skills!A18</f>
        <v/>
      </c>
      <c r="B436">
        <f>Skills!B18</f>
        <v/>
      </c>
      <c r="C436">
        <f>Inputs!$B$3&gt;=100</f>
        <v/>
      </c>
      <c r="D436">
        <f>IF(Skills!C18=1,60+Inputs!$B$25+Inputs!$B$29,IF(Skills!C18=2,90+Inputs!$B$26+Inputs!$B$29,IF(Skills!C18=3,120+Inputs!$B$27+Inputs!$B$29,MAX(0,(Inputs!$B$3-100)*3)+Inputs!$B$28+Inputs!$B$29)))</f>
        <v/>
      </c>
      <c r="E436">
        <f>INDEX(FactorTable!$B$2:$Y$301, MATCH(ROUND(MIN(300,MAX(1,D436)),0), FactorTable!$A$2:$A$301,0), Skills!M18+1)</f>
        <v/>
      </c>
      <c r="F436">
        <f>IF(Skills!N18=TRUE,(Skills!L18/10)*(E436/1000),Skills!L18/10)+Skills!O18</f>
        <v/>
      </c>
      <c r="G436">
        <f>Skills!G18*IF(Skills!H18&gt;0,Skills!I18/Skills!H18,1)</f>
        <v/>
      </c>
      <c r="H436">
        <f>1-(1-Skills!J18/100)^Skills!K18</f>
        <v/>
      </c>
      <c r="I436" t="inlineStr">
        <is>
          <t>1</t>
        </is>
      </c>
      <c r="J436" t="inlineStr"/>
      <c r="K436" t="inlineStr"/>
      <c r="L436" t="inlineStr"/>
      <c r="M436" t="inlineStr"/>
      <c r="N436" t="inlineStr"/>
      <c r="O436" t="n">
        <v>0</v>
      </c>
      <c r="P436">
        <f>IF(B463=0,0,O436/B463)</f>
        <v/>
      </c>
      <c r="Q436" t="n">
        <v>0</v>
      </c>
      <c r="R436" t="n">
        <v>0</v>
      </c>
      <c r="S436">
        <f>IFERROR(O436/N436,0)</f>
        <v/>
      </c>
    </row>
    <row r="437">
      <c r="A437">
        <f>Skills!A19</f>
        <v/>
      </c>
      <c r="B437">
        <f>Skills!B19</f>
        <v/>
      </c>
      <c r="C437">
        <f>TRUE</f>
        <v/>
      </c>
      <c r="D437">
        <f>IF(Skills!C19=1,60+Inputs!$B$25+Inputs!$B$29,IF(Skills!C19=2,90+Inputs!$B$26+Inputs!$B$29,IF(Skills!C19=3,120+Inputs!$B$27+Inputs!$B$29,MAX(0,(Inputs!$B$3-100)*3)+Inputs!$B$28+Inputs!$B$29)))</f>
        <v/>
      </c>
      <c r="E437">
        <f>INDEX(FactorTable!$B$2:$Y$301, MATCH(ROUND(MIN(300,MAX(1,D437)),0), FactorTable!$A$2:$A$301,0), Skills!M19+1)</f>
        <v/>
      </c>
      <c r="F437">
        <f>IF(Skills!N19=TRUE,(Skills!L19/10)*(E437/1000),Skills!L19/10)+Skills!O19</f>
        <v/>
      </c>
      <c r="G437">
        <f>Skills!G19*IF(Skills!H19&gt;0,Skills!I19/Skills!H19,1)</f>
        <v/>
      </c>
      <c r="H437">
        <f>1-(1-Skills!J19/100)^Skills!K19</f>
        <v/>
      </c>
      <c r="I437" t="inlineStr">
        <is>
          <t>1</t>
        </is>
      </c>
      <c r="J437" t="inlineStr"/>
      <c r="K437" t="inlineStr"/>
      <c r="L437" t="inlineStr"/>
      <c r="M437" t="inlineStr"/>
      <c r="N437" t="inlineStr"/>
      <c r="O437" t="n">
        <v>0</v>
      </c>
      <c r="P437">
        <f>IF(B463=0,0,O437/B463)</f>
        <v/>
      </c>
      <c r="Q437">
        <f>IFERROR(1/IF(Inputs!$B$39="pvp",15,MAX(0.1,Skills!D19-IF(Skills!E19=TRUE,Inputs!$B$32,0))),0)</f>
        <v/>
      </c>
      <c r="R437">
        <f>IF(AND(Inputs!$B$39&lt;&gt;"pvp",Inputs!$B$44&gt;0),IF(Inputs!$B$44&lt;=0,0,(INT(Inputs!$B$44/IF(Inputs!$B$39="pvp",15,MAX(0.1,Skills!D19-IF(Skills!E19=TRUE,Inputs!$B$32,0))))+1)),0)</f>
        <v/>
      </c>
      <c r="S437">
        <f>IFERROR(O437/N437,0)</f>
        <v/>
      </c>
    </row>
    <row r="438">
      <c r="A438">
        <f>Skills!A20</f>
        <v/>
      </c>
      <c r="B438">
        <f>Skills!B20</f>
        <v/>
      </c>
      <c r="C438">
        <f>Inputs!$B$3&gt;=15</f>
        <v/>
      </c>
      <c r="D438">
        <f>IF(Skills!C20=1,60+Inputs!$B$25+Inputs!$B$29,IF(Skills!C20=2,90+Inputs!$B$26+Inputs!$B$29,IF(Skills!C20=3,120+Inputs!$B$27+Inputs!$B$29,MAX(0,(Inputs!$B$3-100)*3)+Inputs!$B$28+Inputs!$B$29)))</f>
        <v/>
      </c>
      <c r="E438">
        <f>INDEX(FactorTable!$B$2:$Y$301, MATCH(ROUND(MIN(300,MAX(1,D438)),0), FactorTable!$A$2:$A$301,0), Skills!M20+1)</f>
        <v/>
      </c>
      <c r="F438">
        <f>IF(Skills!N20=TRUE,(Skills!L20/10)*(E438/1000),Skills!L20/10)+Skills!O20</f>
        <v/>
      </c>
      <c r="G438">
        <f>Skills!G20*IF(Skills!H20&gt;0,Skills!I20/Skills!H20,1)</f>
        <v/>
      </c>
      <c r="H438">
        <f>1-(1-Skills!J20/100)^Skills!K20</f>
        <v/>
      </c>
      <c r="I438" t="inlineStr">
        <is>
          <t>1</t>
        </is>
      </c>
      <c r="J438" t="inlineStr"/>
      <c r="K438" t="inlineStr"/>
      <c r="L438" t="inlineStr"/>
      <c r="M438" t="inlineStr"/>
      <c r="N438" t="inlineStr"/>
      <c r="O438" t="n">
        <v>0</v>
      </c>
      <c r="P438">
        <f>IF(B463=0,0,O438/B463)</f>
        <v/>
      </c>
      <c r="Q438">
        <f>IFERROR(1/IF(Inputs!$B$39="pvp",15,MAX(0.1,Skills!D20-IF(Skills!E20=TRUE,Inputs!$B$32,0))),0)</f>
        <v/>
      </c>
      <c r="R438">
        <f>IF(AND(Inputs!$B$39&lt;&gt;"pvp",Inputs!$B$44&gt;0),IF(Inputs!$B$44&lt;=0,0,(INT(Inputs!$B$44/IF(Inputs!$B$39="pvp",15,MAX(0.1,Skills!D20-IF(Skills!E20=TRUE,Inputs!$B$32,0))))+1)),0)</f>
        <v/>
      </c>
      <c r="S438">
        <f>IFERROR(O438/N438,0)</f>
        <v/>
      </c>
    </row>
    <row r="439">
      <c r="A439">
        <f>Skills!A21</f>
        <v/>
      </c>
      <c r="B439">
        <f>Skills!B21</f>
        <v/>
      </c>
      <c r="C439">
        <f>Inputs!$B$3&gt;=15</f>
        <v/>
      </c>
      <c r="D439">
        <f>IF(Skills!C21=1,60+Inputs!$B$25+Inputs!$B$29,IF(Skills!C21=2,90+Inputs!$B$26+Inputs!$B$29,IF(Skills!C21=3,120+Inputs!$B$27+Inputs!$B$29,MAX(0,(Inputs!$B$3-100)*3)+Inputs!$B$28+Inputs!$B$29)))</f>
        <v/>
      </c>
      <c r="E439">
        <f>INDEX(FactorTable!$B$2:$Y$301, MATCH(ROUND(MIN(300,MAX(1,D439)),0), FactorTable!$A$2:$A$301,0), Skills!M21+1)</f>
        <v/>
      </c>
      <c r="F439">
        <f>IF(Skills!N21=TRUE,(Skills!L21/10)*(E439/1000),Skills!L21/10)+Skills!O21</f>
        <v/>
      </c>
      <c r="G439">
        <f>Skills!G21*IF(Skills!H21&gt;0,Skills!I21/Skills!H21,1)</f>
        <v/>
      </c>
      <c r="H439">
        <f>1-(1-Skills!J21/100)^Skills!K21</f>
        <v/>
      </c>
      <c r="I439" t="inlineStr">
        <is>
          <t>1</t>
        </is>
      </c>
      <c r="J439" t="inlineStr"/>
      <c r="K439" t="inlineStr"/>
      <c r="L439" t="inlineStr"/>
      <c r="M439" t="inlineStr"/>
      <c r="N439" t="inlineStr"/>
      <c r="O439" t="n">
        <v>0</v>
      </c>
      <c r="P439">
        <f>IF(B463=0,0,O439/B463)</f>
        <v/>
      </c>
      <c r="Q439">
        <f>IFERROR(1/IF(Inputs!$B$39="pvp",15,MAX(0.1,Skills!D21-IF(Skills!E21=TRUE,Inputs!$B$32,0))),0)</f>
        <v/>
      </c>
      <c r="R439">
        <f>IF(AND(Inputs!$B$39&lt;&gt;"pvp",Inputs!$B$44&gt;0),IF(Inputs!$B$44&lt;=0,0,(INT(Inputs!$B$44/IF(Inputs!$B$39="pvp",15,MAX(0.1,Skills!D21-IF(Skills!E21=TRUE,Inputs!$B$32,0))))+1)),0)</f>
        <v/>
      </c>
      <c r="S439">
        <f>IFERROR(O439/N439,0)</f>
        <v/>
      </c>
    </row>
    <row r="440">
      <c r="A440">
        <f>Skills!A22</f>
        <v/>
      </c>
      <c r="B440">
        <f>Skills!B22</f>
        <v/>
      </c>
      <c r="C440">
        <f>Inputs!$B$3&gt;=33</f>
        <v/>
      </c>
      <c r="D440">
        <f>IF(Skills!C22=1,60+Inputs!$B$25+Inputs!$B$29,IF(Skills!C22=2,90+Inputs!$B$26+Inputs!$B$29,IF(Skills!C22=3,120+Inputs!$B$27+Inputs!$B$29,MAX(0,(Inputs!$B$3-100)*3)+Inputs!$B$28+Inputs!$B$29)))</f>
        <v/>
      </c>
      <c r="E440">
        <f>INDEX(FactorTable!$B$2:$Y$301, MATCH(ROUND(MIN(300,MAX(1,D440)),0), FactorTable!$A$2:$A$301,0), Skills!M22+1)</f>
        <v/>
      </c>
      <c r="F440">
        <f>IF(Skills!N22=TRUE,(Skills!L22/10)*(E440/1000),Skills!L22/10)+Skills!O22</f>
        <v/>
      </c>
      <c r="G440">
        <f>Skills!G22*IF(Skills!H22&gt;0,Skills!I22/Skills!H22,1)</f>
        <v/>
      </c>
      <c r="H440">
        <f>1-(1-Skills!J22/100)^Skills!K22</f>
        <v/>
      </c>
      <c r="I440" t="inlineStr">
        <is>
          <t>1</t>
        </is>
      </c>
      <c r="J440" t="inlineStr"/>
      <c r="K440" t="inlineStr"/>
      <c r="L440" t="inlineStr"/>
      <c r="M440" t="inlineStr"/>
      <c r="N440" t="inlineStr"/>
      <c r="O440" t="n">
        <v>0</v>
      </c>
      <c r="P440">
        <f>IF(B463=0,0,O440/B463)</f>
        <v/>
      </c>
      <c r="Q440" t="n">
        <v>0</v>
      </c>
      <c r="R440" t="n">
        <v>0</v>
      </c>
      <c r="S440">
        <f>IFERROR(O440/N440,0)</f>
        <v/>
      </c>
    </row>
    <row r="441">
      <c r="A441">
        <f>Skills!A23</f>
        <v/>
      </c>
      <c r="B441">
        <f>Skills!B23</f>
        <v/>
      </c>
      <c r="C441">
        <f>Inputs!$B$3&gt;=40</f>
        <v/>
      </c>
      <c r="D441">
        <f>IF(Skills!C23=1,60+Inputs!$B$25+Inputs!$B$29,IF(Skills!C23=2,90+Inputs!$B$26+Inputs!$B$29,IF(Skills!C23=3,120+Inputs!$B$27+Inputs!$B$29,MAX(0,(Inputs!$B$3-100)*3)+Inputs!$B$28+Inputs!$B$29)))</f>
        <v/>
      </c>
      <c r="E441">
        <f>INDEX(FactorTable!$B$2:$Y$301, MATCH(ROUND(MIN(300,MAX(1,D441)),0), FactorTable!$A$2:$A$301,0), Skills!M23+1)</f>
        <v/>
      </c>
      <c r="F441">
        <f>IF(Skills!N23=TRUE,(Skills!L23/10)*(E441/1000),Skills!L23/10)+Skills!O23</f>
        <v/>
      </c>
      <c r="G441">
        <f>Skills!G23*IF(Skills!H23&gt;0,Skills!I23/Skills!H23,1)</f>
        <v/>
      </c>
      <c r="H441">
        <f>1-(1-Skills!J23/100)^Skills!K23</f>
        <v/>
      </c>
      <c r="I441" t="inlineStr">
        <is>
          <t>1</t>
        </is>
      </c>
      <c r="J441" t="inlineStr"/>
      <c r="K441" t="inlineStr"/>
      <c r="L441" t="inlineStr"/>
      <c r="M441" t="inlineStr"/>
      <c r="N441" t="inlineStr"/>
      <c r="O441" t="n">
        <v>0</v>
      </c>
      <c r="P441">
        <f>IF(B463=0,0,O441/B463)</f>
        <v/>
      </c>
      <c r="Q441" t="n">
        <v>0</v>
      </c>
      <c r="R441" t="n">
        <v>0</v>
      </c>
      <c r="S441">
        <f>IFERROR(O441/N441,0)</f>
        <v/>
      </c>
    </row>
    <row r="442">
      <c r="A442">
        <f>Skills!A24</f>
        <v/>
      </c>
      <c r="B442">
        <f>Skills!B24</f>
        <v/>
      </c>
      <c r="C442">
        <f>Inputs!$B$3&gt;=43</f>
        <v/>
      </c>
      <c r="D442">
        <f>IF(Skills!C24=1,60+Inputs!$B$25+Inputs!$B$29,IF(Skills!C24=2,90+Inputs!$B$26+Inputs!$B$29,IF(Skills!C24=3,120+Inputs!$B$27+Inputs!$B$29,MAX(0,(Inputs!$B$3-100)*3)+Inputs!$B$28+Inputs!$B$29)))</f>
        <v/>
      </c>
      <c r="E442">
        <f>INDEX(FactorTable!$B$2:$Y$301, MATCH(ROUND(MIN(300,MAX(1,D442)),0), FactorTable!$A$2:$A$301,0), Skills!M24+1)</f>
        <v/>
      </c>
      <c r="F442">
        <f>IF(Skills!N24=TRUE,(Skills!L24/10)*(E442/1000),Skills!L24/10)+Skills!O24</f>
        <v/>
      </c>
      <c r="G442">
        <f>Skills!G24*IF(Skills!H24&gt;0,Skills!I24/Skills!H24,1)</f>
        <v/>
      </c>
      <c r="H442">
        <f>1-(1-Skills!J24/100)^Skills!K24</f>
        <v/>
      </c>
      <c r="I442" t="inlineStr">
        <is>
          <t>1</t>
        </is>
      </c>
      <c r="J442" t="inlineStr"/>
      <c r="K442" t="inlineStr"/>
      <c r="L442" t="inlineStr"/>
      <c r="M442" t="inlineStr"/>
      <c r="N442" t="inlineStr"/>
      <c r="O442" t="n">
        <v>0</v>
      </c>
      <c r="P442">
        <f>IF(B463=0,0,O442/B463)</f>
        <v/>
      </c>
      <c r="Q442" t="n">
        <v>0</v>
      </c>
      <c r="R442" t="n">
        <v>0</v>
      </c>
      <c r="S442">
        <f>IFERROR(O442/N442,0)</f>
        <v/>
      </c>
    </row>
    <row r="443">
      <c r="A443">
        <f>Skills!A25</f>
        <v/>
      </c>
      <c r="B443">
        <f>Skills!B25</f>
        <v/>
      </c>
      <c r="C443">
        <f>Inputs!$B$3&gt;=50</f>
        <v/>
      </c>
      <c r="D443">
        <f>IF(Skills!C25=1,60+Inputs!$B$25+Inputs!$B$29,IF(Skills!C25=2,90+Inputs!$B$26+Inputs!$B$29,IF(Skills!C25=3,120+Inputs!$B$27+Inputs!$B$29,MAX(0,(Inputs!$B$3-100)*3)+Inputs!$B$28+Inputs!$B$29)))</f>
        <v/>
      </c>
      <c r="E443">
        <f>INDEX(FactorTable!$B$2:$Y$301, MATCH(ROUND(MIN(300,MAX(1,D443)),0), FactorTable!$A$2:$A$301,0), Skills!M25+1)</f>
        <v/>
      </c>
      <c r="F443">
        <f>IF(Skills!N25=TRUE,(Skills!L25/10)*(E443/1000),Skills!L25/10)+Skills!O25</f>
        <v/>
      </c>
      <c r="G443">
        <f>Skills!G25*IF(Skills!H25&gt;0,Skills!I25/Skills!H25,1)</f>
        <v/>
      </c>
      <c r="H443">
        <f>1-(1-Skills!J25/100)^Skills!K25</f>
        <v/>
      </c>
      <c r="I443" t="inlineStr">
        <is>
          <t>1</t>
        </is>
      </c>
      <c r="J443" t="inlineStr"/>
      <c r="K443" t="inlineStr"/>
      <c r="L443" t="inlineStr"/>
      <c r="M443" t="inlineStr"/>
      <c r="N443" t="inlineStr"/>
      <c r="O443" t="n">
        <v>0</v>
      </c>
      <c r="P443">
        <f>IF(B463=0,0,O443/B463)</f>
        <v/>
      </c>
      <c r="Q443" t="n">
        <v>0</v>
      </c>
      <c r="R443" t="n">
        <v>0</v>
      </c>
      <c r="S443">
        <f>IFERROR(O443/N443,0)</f>
        <v/>
      </c>
    </row>
    <row r="444">
      <c r="A444">
        <f>Skills!A26</f>
        <v/>
      </c>
      <c r="B444">
        <f>Skills!B26</f>
        <v/>
      </c>
      <c r="C444">
        <f>Inputs!$B$3&gt;=50</f>
        <v/>
      </c>
      <c r="D444">
        <f>IF(Skills!C26=1,60+Inputs!$B$25+Inputs!$B$29,IF(Skills!C26=2,90+Inputs!$B$26+Inputs!$B$29,IF(Skills!C26=3,120+Inputs!$B$27+Inputs!$B$29,MAX(0,(Inputs!$B$3-100)*3)+Inputs!$B$28+Inputs!$B$29)))</f>
        <v/>
      </c>
      <c r="E444">
        <f>INDEX(FactorTable!$B$2:$Y$301, MATCH(ROUND(MIN(300,MAX(1,D444)),0), FactorTable!$A$2:$A$301,0), Skills!M26+1)</f>
        <v/>
      </c>
      <c r="F444">
        <f>IF(Skills!N26=TRUE,(Skills!L26/10)*(E444/1000),Skills!L26/10)+Skills!O26</f>
        <v/>
      </c>
      <c r="G444">
        <f>Skills!G26*IF(Skills!H26&gt;0,Skills!I26/Skills!H26,1)</f>
        <v/>
      </c>
      <c r="H444">
        <f>1-(1-Skills!J26/100)^Skills!K26</f>
        <v/>
      </c>
      <c r="I444" t="inlineStr">
        <is>
          <t>1</t>
        </is>
      </c>
      <c r="J444" t="inlineStr"/>
      <c r="K444" t="inlineStr"/>
      <c r="L444" t="inlineStr"/>
      <c r="M444" t="inlineStr"/>
      <c r="N444" t="inlineStr"/>
      <c r="O444" t="n">
        <v>0</v>
      </c>
      <c r="P444">
        <f>IF(B463=0,0,O444/B463)</f>
        <v/>
      </c>
      <c r="Q444" t="n">
        <v>0</v>
      </c>
      <c r="R444" t="n">
        <v>0</v>
      </c>
      <c r="S444">
        <f>IFERROR(O444/N444,0)</f>
        <v/>
      </c>
    </row>
    <row r="445">
      <c r="A445">
        <f>Skills!A27</f>
        <v/>
      </c>
      <c r="B445">
        <f>Skills!B27</f>
        <v/>
      </c>
      <c r="C445">
        <f>Inputs!$B$3&gt;=38</f>
        <v/>
      </c>
      <c r="D445">
        <f>IF(Skills!C27=1,60+Inputs!$B$25+Inputs!$B$29,IF(Skills!C27=2,90+Inputs!$B$26+Inputs!$B$29,IF(Skills!C27=3,120+Inputs!$B$27+Inputs!$B$29,MAX(0,(Inputs!$B$3-100)*3)+Inputs!$B$28+Inputs!$B$29)))</f>
        <v/>
      </c>
      <c r="E445">
        <f>INDEX(FactorTable!$B$2:$Y$301, MATCH(ROUND(MIN(300,MAX(1,D445)),0), FactorTable!$A$2:$A$301,0), Skills!M27+1)</f>
        <v/>
      </c>
      <c r="F445">
        <f>IF(Skills!N27=TRUE,(Skills!L27/10)*(E445/1000),Skills!L27/10)+Skills!O27</f>
        <v/>
      </c>
      <c r="G445">
        <f>Skills!G27*IF(Skills!H27&gt;0,Skills!I27/Skills!H27,1)</f>
        <v/>
      </c>
      <c r="H445">
        <f>1-(1-Skills!J27/100)^Skills!K27</f>
        <v/>
      </c>
      <c r="I445" t="inlineStr">
        <is>
          <t>1</t>
        </is>
      </c>
      <c r="J445" t="inlineStr"/>
      <c r="K445" t="inlineStr"/>
      <c r="L445" t="inlineStr"/>
      <c r="M445" t="inlineStr"/>
      <c r="N445" t="inlineStr"/>
      <c r="O445" t="n">
        <v>0</v>
      </c>
      <c r="P445">
        <f>IF(B463=0,0,O445/B463)</f>
        <v/>
      </c>
      <c r="Q445" t="n">
        <v>0</v>
      </c>
      <c r="R445" t="n">
        <v>0</v>
      </c>
      <c r="S445">
        <f>IFERROR(O445/N445,0)</f>
        <v/>
      </c>
    </row>
    <row r="446">
      <c r="A446">
        <f>Skills!A28</f>
        <v/>
      </c>
      <c r="B446">
        <f>Skills!B28</f>
        <v/>
      </c>
      <c r="C446">
        <f>Inputs!$B$3&gt;=120</f>
        <v/>
      </c>
      <c r="D446">
        <f>IF(Skills!C28=1,60+Inputs!$B$25+Inputs!$B$29,IF(Skills!C28=2,90+Inputs!$B$26+Inputs!$B$29,IF(Skills!C28=3,120+Inputs!$B$27+Inputs!$B$29,MAX(0,(Inputs!$B$3-100)*3)+Inputs!$B$28+Inputs!$B$29)))</f>
        <v/>
      </c>
      <c r="E446">
        <f>INDEX(FactorTable!$B$2:$Y$301, MATCH(ROUND(MIN(300,MAX(1,D446)),0), FactorTable!$A$2:$A$301,0), Skills!M28+1)</f>
        <v/>
      </c>
      <c r="F446">
        <f>IF(Skills!N28=TRUE,(Skills!L28/10)*(E446/1000),Skills!L28/10)+Skills!O28</f>
        <v/>
      </c>
      <c r="G446">
        <f>Skills!G28*IF(Skills!H28&gt;0,Skills!I28/Skills!H28,1)</f>
        <v/>
      </c>
      <c r="H446">
        <f>1-(1-Skills!J28/100)^Skills!K28</f>
        <v/>
      </c>
      <c r="I446" t="inlineStr">
        <is>
          <t>1</t>
        </is>
      </c>
      <c r="J446" t="inlineStr"/>
      <c r="K446" t="inlineStr"/>
      <c r="L446" t="inlineStr"/>
      <c r="M446" t="inlineStr"/>
      <c r="N446" t="inlineStr"/>
      <c r="O446" t="n">
        <v>0</v>
      </c>
      <c r="P446">
        <f>IF(B463=0,0,O446/B463)</f>
        <v/>
      </c>
      <c r="Q446" t="n">
        <v>0</v>
      </c>
      <c r="R446" t="n">
        <v>0</v>
      </c>
      <c r="S446">
        <f>IFERROR(O446/N446,0)</f>
        <v/>
      </c>
    </row>
    <row r="447">
      <c r="A447">
        <f>Skills!A29</f>
        <v/>
      </c>
      <c r="B447">
        <f>Skills!B29</f>
        <v/>
      </c>
      <c r="C447">
        <f>Inputs!$B$3&gt;=120</f>
        <v/>
      </c>
      <c r="D447">
        <f>IF(Skills!C29=1,60+Inputs!$B$25+Inputs!$B$29,IF(Skills!C29=2,90+Inputs!$B$26+Inputs!$B$29,IF(Skills!C29=3,120+Inputs!$B$27+Inputs!$B$29,MAX(0,(Inputs!$B$3-100)*3)+Inputs!$B$28+Inputs!$B$29)))</f>
        <v/>
      </c>
      <c r="E447">
        <f>INDEX(FactorTable!$B$2:$Y$301, MATCH(ROUND(MIN(300,MAX(1,D447)),0), FactorTable!$A$2:$A$301,0), Skills!M29+1)</f>
        <v/>
      </c>
      <c r="F447">
        <f>IF(Skills!N29=TRUE,(Skills!L29/10)*(E447/1000),Skills!L29/10)+Skills!O29</f>
        <v/>
      </c>
      <c r="G447">
        <f>Skills!G29*IF(Skills!H29&gt;0,Skills!I29/Skills!H29,1)</f>
        <v/>
      </c>
      <c r="H447">
        <f>1-(1-Skills!J29/100)^Skills!K29</f>
        <v/>
      </c>
      <c r="I447" t="inlineStr">
        <is>
          <t>1</t>
        </is>
      </c>
      <c r="J447" t="inlineStr"/>
      <c r="K447" t="inlineStr"/>
      <c r="L447" t="inlineStr"/>
      <c r="M447" t="inlineStr"/>
      <c r="N447" t="inlineStr"/>
      <c r="O447" t="n">
        <v>0</v>
      </c>
      <c r="P447">
        <f>IF(B463=0,0,O447/B463)</f>
        <v/>
      </c>
      <c r="Q447" t="n">
        <v>0</v>
      </c>
      <c r="R447" t="n">
        <v>0</v>
      </c>
      <c r="S447">
        <f>IFERROR(O447/N447,0)</f>
        <v/>
      </c>
    </row>
    <row r="448">
      <c r="A448">
        <f>Skills!A30</f>
        <v/>
      </c>
      <c r="B448">
        <f>Skills!B30</f>
        <v/>
      </c>
      <c r="C448">
        <f>Inputs!$B$3&gt;=125</f>
        <v/>
      </c>
      <c r="D448">
        <f>IF(Skills!C30=1,60+Inputs!$B$25+Inputs!$B$29,IF(Skills!C30=2,90+Inputs!$B$26+Inputs!$B$29,IF(Skills!C30=3,120+Inputs!$B$27+Inputs!$B$29,MAX(0,(Inputs!$B$3-100)*3)+Inputs!$B$28+Inputs!$B$29)))</f>
        <v/>
      </c>
      <c r="E448">
        <f>INDEX(FactorTable!$B$2:$Y$301, MATCH(ROUND(MIN(300,MAX(1,D448)),0), FactorTable!$A$2:$A$301,0), Skills!M30+1)</f>
        <v/>
      </c>
      <c r="F448">
        <f>IF(Skills!N30=TRUE,(Skills!L30/10)*(E448/1000),Skills!L30/10)+Skills!O30</f>
        <v/>
      </c>
      <c r="G448">
        <f>Skills!G30*IF(Skills!H30&gt;0,Skills!I30/Skills!H30,1)</f>
        <v/>
      </c>
      <c r="H448">
        <f>1-(1-Skills!J30/100)^Skills!K30</f>
        <v/>
      </c>
      <c r="I448" t="inlineStr">
        <is>
          <t>1</t>
        </is>
      </c>
      <c r="J448" t="inlineStr"/>
      <c r="K448" t="inlineStr"/>
      <c r="L448" t="inlineStr"/>
      <c r="M448" t="inlineStr"/>
      <c r="N448" t="inlineStr"/>
      <c r="O448" t="n">
        <v>0</v>
      </c>
      <c r="P448">
        <f>IF(B463=0,0,O448/B463)</f>
        <v/>
      </c>
      <c r="Q448" t="n">
        <v>0</v>
      </c>
      <c r="R448" t="n">
        <v>0</v>
      </c>
      <c r="S448">
        <f>IFERROR(O448/N448,0)</f>
        <v/>
      </c>
    </row>
    <row r="450">
      <c r="A450" t="inlineStr">
        <is>
          <t>Average Buff Multiplier</t>
        </is>
      </c>
      <c r="B450">
        <f>(1+(((C439=TRUE)*F439*IF(AND(Inputs!$B$39&lt;&gt;"pvp",Inputs!$B$44&gt;0),(((R439-1)*(Skills!Y21*(1+Inputs!$B$34/100))+MIN((Skills!Y21*(1+Inputs!$B$34/100)),MAX(0,Inputs!$B$44-((R439-1)*Skills!D21))))/Inputs!$B$44),IF(Inputs!$B$39="pvp",MIN((Skills!Y21*(1+Inputs!$B$34/100)),15)/15,(Skills!Y21*(1+Inputs!$B$34/100))/Skills!D21)))+((C441=TRUE)*(F441-Calc!F23))+((C435=TRUE)*(F435-Calc!F17)))/100)*(1+((C428=TRUE)*F428*IF(AND(Inputs!$B$39&lt;&gt;"pvp",Inputs!$B$44&gt;0),(((R428-1)*(Skills!Y10*(1+Inputs!$B$34/100))+MIN((Skills!Y10*(1+Inputs!$B$34/100)),MAX(0,Inputs!$B$44-((R428-1)*Skills!D10))))/Inputs!$B$44),IF(Inputs!$B$39="pvp",MIN((Skills!Y10*(1+Inputs!$B$34/100)),15)/15,(Skills!Y10*(1+Inputs!$B$34/100))/Skills!D10)))/100)*(1+((C433=TRUE)*F433*IF(AND(Inputs!$B$39&lt;&gt;"pvp",Inputs!$B$44&gt;0),(((R433-1)*(Skills!Y15*(1+Inputs!$B$34/100))+MIN((Skills!Y15*(1+Inputs!$B$34/100)),MAX(0,Inputs!$B$44-((R433-1)*Skills!D15))))/Inputs!$B$44),IF(Inputs!$B$39="pvp",MIN((Skills!Y15*(1+Inputs!$B$34/100)),15)/15,(Skills!Y15*(1+Inputs!$B$34/100))/Skills!D15)))/100)</f>
        <v/>
      </c>
    </row>
    <row r="451">
      <c r="A451" t="inlineStr">
        <is>
          <t>Global Crit Rate Bonus %</t>
        </is>
      </c>
      <c r="B451">
        <f>((C438=TRUE)*F438*IF(AND(Inputs!$B$39&lt;&gt;"pvp",Inputs!$B$44&gt;0),(((R438-1)*(Skills!Y20*(1+Inputs!$B$34/100))+MIN((Skills!Y20*(1+Inputs!$B$34/100)),MAX(0,Inputs!$B$44-((R438-1)*Skills!D20))))/Inputs!$B$44),IF(Inputs!$B$39="pvp",MIN((Skills!Y20*(1+Inputs!$B$34/100)),15)/15,(Skills!Y20*(1+Inputs!$B$34/100))/Skills!D20)))</f>
        <v/>
      </c>
    </row>
    <row r="452">
      <c r="A452" t="inlineStr">
        <is>
          <t>Global Monster Damage-Taken Bonus %</t>
        </is>
      </c>
      <c r="B452">
        <f>IF(Inputs!$B$3&gt;=82,15,0)</f>
        <v/>
      </c>
    </row>
    <row r="453">
      <c r="A453" t="inlineStr">
        <is>
          <t>Shadow Partner Average Multiplier</t>
        </is>
      </c>
      <c r="B453">
        <f>1+((C425=TRUE)*F425*(1+3.3333333333333335*IF(C436=TRUE,F436,0)/100)*I425*Skills!J7/100)/100</f>
        <v/>
      </c>
    </row>
    <row r="454">
      <c r="A454" t="inlineStr">
        <is>
          <t>Attack Speed Buff Bonus %</t>
        </is>
      </c>
      <c r="B454">
        <f>((C437=TRUE)*F437*IF(AND(Inputs!$B$39&lt;&gt;"pvp",Inputs!$B$44&gt;0),(((R437-1)*(Skills!Y19*(1+Inputs!$B$34/100))+MIN((Skills!Y19*(1+Inputs!$B$34/100)),MAX(0,Inputs!$B$44-((R437-1)*Skills!D19))))/Inputs!$B$44),IF(Inputs!$B$39="pvp",MIN((Skills!Y19*(1+Inputs!$B$34/100)),15)/15,(Skills!Y19*(1+Inputs!$B$34/100))/Skills!D19)))+((C421=TRUE)*F421*3)</f>
        <v/>
      </c>
    </row>
    <row r="455">
      <c r="A455" t="inlineStr">
        <is>
          <t>Actions Per Second</t>
        </is>
      </c>
      <c r="B455">
        <f>1+MIN(150,150*(1-(1-(Inputs!$B$11+((C440=TRUE)*(F440-Calc!F22)))/150)*(1-B454/150)))/100</f>
        <v/>
      </c>
    </row>
    <row r="456">
      <c r="A456" t="inlineStr">
        <is>
          <t>Skill + Buff Cast Rate</t>
        </is>
      </c>
      <c r="B456">
        <f>IF(AND(Inputs!$B$39&lt;&gt;"pvp",Inputs!$B$44&gt;0),SUMPRODUCT((Skills!E2:E30=TRUE)*(C420:C448=TRUE)*R420:R448*Skills!F2:F30)/Inputs!$B$44,SUMPRODUCT((Skills!E2:E30=TRUE)*(C420:C448=TRUE)*Q420:Q448*Skills!F2:F30))</f>
        <v/>
      </c>
    </row>
    <row r="457">
      <c r="A457" t="inlineStr">
        <is>
          <t>Cruel Stab Casts Per Second</t>
        </is>
      </c>
      <c r="B457">
        <f>MAX(0,B455-B456)</f>
        <v/>
      </c>
    </row>
    <row r="458">
      <c r="A458" t="inlineStr">
        <is>
          <t>Global Critical Damage Bonus % (Smokescreen Mastery Lv.113)</t>
        </is>
      </c>
      <c r="B458">
        <f>IF(Inputs!$B$3&gt;=113,30,0)*IF(AND(Inputs!$B$39&lt;&gt;"pvp",Inputs!$B$44&gt;0),(((R433-1)*(Skills!Y15*(1+Inputs!$B$34/100))+MIN((Skills!Y15*(1+Inputs!$B$34/100)),MAX(0,Inputs!$B$44-((R433-1)*Skills!D15))))/Inputs!$B$44),IF(Inputs!$B$39="pvp",MIN((Skills!Y15*(1+Inputs!$B$34/100)),15)/15,(Skills!Y15*(1+Inputs!$B$34/100))/Skills!D15))</f>
        <v/>
      </c>
    </row>
    <row r="459">
      <c r="A459" t="inlineStr">
        <is>
          <t>Meso Explosion average stack count</t>
        </is>
      </c>
      <c r="B459">
        <f>MIN(10,0.5*B455*Skills!D4)</f>
        <v/>
      </c>
    </row>
    <row r="460">
      <c r="A460" t="inlineStr">
        <is>
          <t>Blood Money average stack count</t>
        </is>
      </c>
      <c r="B460">
        <f>MIN(5,0.25*B455*Skills!D4)</f>
        <v/>
      </c>
    </row>
    <row r="461">
      <c r="A461" t="inlineStr">
        <is>
          <t>Assassinate Murderous Intent Multiplier</t>
        </is>
      </c>
      <c r="B461">
        <f>1+IFERROR(MIN(1,Q432*2/Q429),0)</f>
        <v/>
      </c>
    </row>
    <row r="462">
      <c r="A462" t="inlineStr">
        <is>
          <t>Buff-Casting Startup Delay (s, fixed-duration only)</t>
        </is>
      </c>
      <c r="B462">
        <f>IF(AND(Inputs!$B$39&lt;&gt;"pvp",Inputs!$B$44&gt;0),SUMPRODUCT((Skills!Y2:Y30&gt;0)*(Skills!E2:E30=TRUE)*(C420:C448=TRUE))/B455,0)</f>
        <v/>
      </c>
    </row>
    <row r="463">
      <c r="A463" s="5" t="inlineStr">
        <is>
          <t>TOTAL DPS</t>
        </is>
      </c>
      <c r="B463" s="5">
        <f>SUM(O420:O448)</f>
        <v/>
      </c>
    </row>
    <row r="466">
      <c r="A466" s="5" t="inlineStr">
        <is>
          <t>Stat: MAX_DAMAGE %</t>
        </is>
      </c>
    </row>
    <row r="467">
      <c r="A467" s="9" t="inlineStr">
        <is>
          <t>Key</t>
        </is>
      </c>
      <c r="B467" s="9" t="inlineStr">
        <is>
          <t>Name</t>
        </is>
      </c>
      <c r="C467" s="9" t="inlineStr">
        <is>
          <t>Unlocked</t>
        </is>
      </c>
      <c r="D467" s="9" t="inlineStr">
        <is>
          <t>InputLevel</t>
        </is>
      </c>
      <c r="E467" s="9" t="inlineStr">
        <is>
          <t>Factor</t>
        </is>
      </c>
      <c r="F467" s="9" t="inlineStr">
        <is>
          <t>CoefficientPercent</t>
        </is>
      </c>
      <c r="G467" s="9" t="inlineStr">
        <is>
          <t>EffectiveHits</t>
        </is>
      </c>
      <c r="H467" s="9" t="inlineStr">
        <is>
          <t>ProcProbability</t>
        </is>
      </c>
      <c r="I467" s="9" t="inlineStr">
        <is>
          <t>MapleHeroMultiplier</t>
        </is>
      </c>
      <c r="J467" s="9" t="inlineStr">
        <is>
          <t>BaseDamage</t>
        </is>
      </c>
      <c r="K467" s="9" t="inlineStr">
        <is>
          <t>BaseHitDamage</t>
        </is>
      </c>
      <c r="L467" s="9" t="inlineStr">
        <is>
          <t>NonCritAvg</t>
        </is>
      </c>
      <c r="M467" s="9" t="inlineStr">
        <is>
          <t>CritAvg</t>
        </is>
      </c>
      <c r="N467" s="9" t="inlineStr">
        <is>
          <t>ExpectedDamage(perHit)</t>
        </is>
      </c>
      <c r="O467" s="9" t="inlineStr">
        <is>
          <t>DPS</t>
        </is>
      </c>
      <c r="P467" s="9" t="inlineStr">
        <is>
          <t>% of Total</t>
        </is>
      </c>
      <c r="Q467" s="9" t="inlineStr">
        <is>
          <t>InvCooldown</t>
        </is>
      </c>
      <c r="R467" s="9" t="inlineStr">
        <is>
          <t>CastsInFight</t>
        </is>
      </c>
      <c r="S467" s="9" t="inlineStr">
        <is>
          <t>HitRate(perSec)</t>
        </is>
      </c>
      <c r="U467" t="inlineStr">
        <is>
          <t>helpers</t>
        </is>
      </c>
    </row>
    <row r="468">
      <c r="A468">
        <f>Skills!A2</f>
        <v/>
      </c>
      <c r="B468">
        <f>Skills!B2</f>
        <v/>
      </c>
      <c r="C468">
        <f>Inputs!$B$3&gt;=100</f>
        <v/>
      </c>
      <c r="D468" t="inlineStr"/>
      <c r="E468" t="inlineStr"/>
      <c r="F468">
        <f>U470+Skills!O2</f>
        <v/>
      </c>
      <c r="G468">
        <f>Skills!G2*IF(Skills!H2&gt;0,Skills!I2/Skills!H2,1)</f>
        <v/>
      </c>
      <c r="H468">
        <f>1-(1-Skills!J2/100)^Skills!K2</f>
        <v/>
      </c>
      <c r="I468" t="inlineStr">
        <is>
          <t>1</t>
        </is>
      </c>
      <c r="J468">
        <f>((Inputs!$B$6*(1+Inputs!$B$7/100))+(((Inputs!$B$12*(1+Inputs!$B$13/100))-(Inputs!$B$12*(1+Inputs!$B$13/100)))+0.25*(Inputs!$B$14-Inputs!$B$14))*(1+Inputs!$B$7/100))*(F468/100)</f>
        <v/>
      </c>
      <c r="K468">
        <f>J468*(1+((Inputs!$B$12*(1+Inputs!$B$13/100))*0.01+Inputs!$B$14*0.0025)/100)*(1+Inputs!$B$15/100)*(1+IF(Inputs!$B$39="pvp",0,(1-Summary!$B$55)*(Inputs!$B$20+0+Skills!P2+B500)+Summary!$B$55*(Inputs!$B$21+Skills!Q2+B500))/100)*(1+Inputs!$B$16/100)*(5000/(6000+Inputs!$B$43*(1-Inputs!$B$19/100)))*(1+(Inputs!$B$24+((C496=TRUE)*(F496-Calc!F30)))/100)*(1+(IF(Skills!A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468)</f>
        <v/>
      </c>
      <c r="L468">
        <f>K468*(MIN(Inputs!$B$22+((C490=TRUE)*(F490-Calc!F24)),(Inputs!$B$23+1)+((C495=TRUE)*(F495-Calc!F29)))/100+((Inputs!$B$23+1)+((C495=TRUE)*(F495-Calc!F29)))/100)/2</f>
        <v/>
      </c>
      <c r="M468">
        <f>L468*(1+(Inputs!$B$10+((C492=TRUE)*(F492-Calc!F26))+B506)/100)</f>
        <v/>
      </c>
      <c r="N468">
        <f>L468*(1-MIN((Inputs!$B$9+((C491=TRUE)*(F491-Calc!F25))+B499),100)/100)+M468*(MIN((Inputs!$B$9+((C491=TRUE)*(F491-Calc!F25))+B499),100)/100)</f>
        <v/>
      </c>
      <c r="O468">
        <f>IF(C468,Skills!G2*N468*B505*IF(Inputs!$B$39="pvp",1,(1-Summary!$B$55)*(1)+Summary!$B$55*(MIN((6+Inputs!$B$33),Inputs!$B$37))),0)</f>
        <v/>
      </c>
      <c r="P468">
        <f>IF(B511=0,0,O468/B511)</f>
        <v/>
      </c>
      <c r="Q468" t="n">
        <v>0</v>
      </c>
      <c r="R468" t="n">
        <v>0</v>
      </c>
      <c r="S468">
        <f>IFERROR(O468/N468,0)</f>
        <v/>
      </c>
      <c r="U468">
        <f>MAX(0,(Inputs!$B$3-100)*3)+Inputs!$B$28+Inputs!$B$29</f>
        <v/>
      </c>
    </row>
    <row r="469">
      <c r="A469">
        <f>Skills!A3</f>
        <v/>
      </c>
      <c r="B469">
        <f>Skills!B3</f>
        <v/>
      </c>
      <c r="C469">
        <f>Inputs!$B$3&gt;=35</f>
        <v/>
      </c>
      <c r="D469">
        <f>IF(Skills!C3=1,60+Inputs!$B$25+Inputs!$B$29,IF(Skills!C3=2,90+Inputs!$B$26+Inputs!$B$29,IF(Skills!C3=3,120+Inputs!$B$27+Inputs!$B$29,MAX(0,(Inputs!$B$3-100)*3)+Inputs!$B$28+Inputs!$B$29)))</f>
        <v/>
      </c>
      <c r="E469">
        <f>INDEX(FactorTable!$B$2:$Y$301, MATCH(ROUND(MIN(300,MAX(1,D469)),0), FactorTable!$A$2:$A$301,0), Skills!M3+1)</f>
        <v/>
      </c>
      <c r="F469">
        <f>IF(Skills!N3=TRUE,(Skills!L3/10)*(E469/1000),Skills!L3/10)+Skills!O3</f>
        <v/>
      </c>
      <c r="G469">
        <f>Skills!G3*IF(Skills!H3&gt;0,Skills!I3/Skills!H3,1)</f>
        <v/>
      </c>
      <c r="H469">
        <f>1-(1-Skills!J3/100)^Skills!K3</f>
        <v/>
      </c>
      <c r="I469" t="inlineStr">
        <is>
          <t>1</t>
        </is>
      </c>
      <c r="J469" t="inlineStr"/>
      <c r="K469" t="inlineStr"/>
      <c r="L469" t="inlineStr"/>
      <c r="M469" t="inlineStr"/>
      <c r="N469" t="inlineStr"/>
      <c r="O469" t="n">
        <v>0</v>
      </c>
      <c r="P469">
        <f>IF(B511=0,0,O469/B511)</f>
        <v/>
      </c>
      <c r="Q469" t="n">
        <v>0</v>
      </c>
      <c r="R469" t="n">
        <v>0</v>
      </c>
      <c r="S469">
        <f>IFERROR(O469/N469,0)</f>
        <v/>
      </c>
      <c r="U469">
        <f>INDEX(FactorTable!$B$2:$Y$301, MATCH(ROUND(MIN(300,MAX(1,U468)),0), FactorTable!$A$2:$A$301,0), 22)</f>
        <v/>
      </c>
    </row>
    <row r="470">
      <c r="A470">
        <f>Skills!A4</f>
        <v/>
      </c>
      <c r="B470">
        <f>Skills!B4</f>
        <v/>
      </c>
      <c r="C470">
        <f>Inputs!$B$3&gt;=66</f>
        <v/>
      </c>
      <c r="D470">
        <f>IF(Skills!C4=1,60+Inputs!$B$25+Inputs!$B$29,IF(Skills!C4=2,90+Inputs!$B$26+Inputs!$B$29,IF(Skills!C4=3,120+Inputs!$B$27+Inputs!$B$29,MAX(0,(Inputs!$B$3-100)*3)+Inputs!$B$28+Inputs!$B$29)))</f>
        <v/>
      </c>
      <c r="E470">
        <f>INDEX(FactorTable!$B$2:$Y$301, MATCH(ROUND(MIN(300,MAX(1,D470)),0), FactorTable!$A$2:$A$301,0), Skills!M4+1)</f>
        <v/>
      </c>
      <c r="F470">
        <f>IF(Skills!N4=TRUE,(Skills!L4/10)*(E470/1000),Skills!L4/10)+Skills!O4</f>
        <v/>
      </c>
      <c r="G470">
        <f>Skills!G4*IF(Skills!H4&gt;0,Skills!I4/Skills!H4,1)</f>
        <v/>
      </c>
      <c r="H470">
        <f>1-(1-Skills!J4/100)^Skills!K4</f>
        <v/>
      </c>
      <c r="I470" t="inlineStr">
        <is>
          <t>1</t>
        </is>
      </c>
      <c r="J470">
        <f>((Inputs!$B$6*(1+Inputs!$B$7/100))+(((Inputs!$B$12*(1+Inputs!$B$13/100))-(Inputs!$B$12*(1+Inputs!$B$13/100)))+0.25*(Inputs!$B$14-Inputs!$B$14))*(1+Inputs!$B$7/100))*(F470/100)</f>
        <v/>
      </c>
      <c r="K470">
        <f>J470*(1+((Inputs!$B$12*(1+Inputs!$B$13/100))*0.01+Inputs!$B$14*0.0025)/100)*(1+Inputs!$B$15/100)*(1+IF(Inputs!$B$39="pvp",0,(1-Summary!$B$55)*(Inputs!$B$20+0+Skills!P4+B500)+Summary!$B$55*(Inputs!$B$21+Skills!Q4+B500))/100)*(1+Inputs!$B$16/100)*(5000/(6000+Inputs!$B$43*(1-Inputs!$B$19/100)))*(1+(Inputs!$B$24+((C496=TRUE)*(F496-Calc!F30)))/100)*(1+(IF(Skills!A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470)</f>
        <v/>
      </c>
      <c r="L470">
        <f>K470*(MIN(Inputs!$B$22+((C490=TRUE)*(F490-Calc!F24)),(Inputs!$B$23+1)+((C495=TRUE)*(F495-Calc!F29)))/100+((Inputs!$B$23+1)+((C495=TRUE)*(F495-Calc!F29)))/100)/2</f>
        <v/>
      </c>
      <c r="M470">
        <f>L470*(1+(Inputs!$B$10+((C492=TRUE)*(F492-Calc!F26))+B506)/100)</f>
        <v/>
      </c>
      <c r="N470">
        <f>L470*(1-MIN((Inputs!$B$9+((C491=TRUE)*(F491-Calc!F25))+B499),100)/100)+M470*(MIN((Inputs!$B$9+((C491=TRUE)*(F491-Calc!F25))+B499),100)/100)</f>
        <v/>
      </c>
      <c r="O470">
        <f>IF(C470,H470*N470*IF(AND(Inputs!$B$39&lt;&gt;"pvp",Inputs!$B$44&gt;0),((Skills!G4*((R470-1)*IF(Skills!H4&gt;0,Skills!I4/Skills!H4,1)+IF(Skills!H4&gt;0,MIN(Skills!I4,MAX(0,MAX(0,Inputs!$B$44-B510)-((R470-1)*IF(Inputs!$B$39="pvp",15,MAX(0.1,Skills!D4-IF(Skills!E4=TRUE,Inputs!$B$32,0))))))/Skills!H4,1)))/Inputs!$B$44),G470*Q470)*IF(Inputs!$B$39="pvp",1,(1-Summary!$B$55)*(1)+Summary!$B$55*(MIN(MIN(10,0.5*B503*Skills!D4),Inputs!$B$37))),0)</f>
        <v/>
      </c>
      <c r="P470">
        <f>IF(B511=0,0,O470/B511)</f>
        <v/>
      </c>
      <c r="Q470">
        <f>IFERROR(1/IF(Inputs!$B$39="pvp",15,MAX(0.1,Skills!D4-IF(Skills!E4=TRUE,Inputs!$B$32,0))),0)</f>
        <v/>
      </c>
      <c r="R470">
        <f>IF(AND(Inputs!$B$39&lt;&gt;"pvp",Inputs!$B$44&gt;0),IF(MAX(0,Inputs!$B$44-B510)&lt;=0,0,(INT(MAX(0,Inputs!$B$44-B510)/IF(Inputs!$B$39="pvp",15,MAX(0.1,Skills!D4-IF(Skills!E4=TRUE,Inputs!$B$32,0))))+1)),0)</f>
        <v/>
      </c>
      <c r="S470">
        <f>IFERROR(O470/N470,0)</f>
        <v/>
      </c>
      <c r="U470">
        <f>290*U469/1000</f>
        <v/>
      </c>
    </row>
    <row r="471">
      <c r="A471">
        <f>Skills!A5</f>
        <v/>
      </c>
      <c r="B471">
        <f>Skills!B5</f>
        <v/>
      </c>
      <c r="C471">
        <f>Inputs!$B$3&gt;=63</f>
        <v/>
      </c>
      <c r="D471">
        <f>IF(Skills!C5=1,60+Inputs!$B$25+Inputs!$B$29,IF(Skills!C5=2,90+Inputs!$B$26+Inputs!$B$29,IF(Skills!C5=3,120+Inputs!$B$27+Inputs!$B$29,MAX(0,(Inputs!$B$3-100)*3)+Inputs!$B$28+Inputs!$B$29)))</f>
        <v/>
      </c>
      <c r="E471">
        <f>INDEX(FactorTable!$B$2:$Y$301, MATCH(ROUND(MIN(300,MAX(1,D471)),0), FactorTable!$A$2:$A$301,0), Skills!M5+1)</f>
        <v/>
      </c>
      <c r="F471">
        <f>IF(Skills!N5=TRUE,(Skills!L5/10)*(E471/1000),Skills!L5/10)+Skills!O5</f>
        <v/>
      </c>
      <c r="G471">
        <f>Skills!G5*IF(Skills!H5&gt;0,Skills!I5/Skills!H5,1)</f>
        <v/>
      </c>
      <c r="H471">
        <f>1-(1-Skills!J5/100)^Skills!K5</f>
        <v/>
      </c>
      <c r="I471" t="inlineStr">
        <is>
          <t>1</t>
        </is>
      </c>
      <c r="J471">
        <f>((Inputs!$B$6*(1+Inputs!$B$7/100))+(((Inputs!$B$12*(1+Inputs!$B$13/100))-(Inputs!$B$12*(1+Inputs!$B$13/100)))+0.25*(Inputs!$B$14-Inputs!$B$14))*(1+Inputs!$B$7/100))*(F471/100)</f>
        <v/>
      </c>
      <c r="K471">
        <f>J471*(1+((Inputs!$B$12*(1+Inputs!$B$13/100))*0.01+Inputs!$B$14*0.0025)/100)*(1+Inputs!$B$15/100)*(1+IF(Inputs!$B$39="pvp",0,(1-Summary!$B$55)*(Inputs!$B$20+0+Skills!P5+B500)+Summary!$B$55*(Inputs!$B$21+Skills!Q5+B500))/100)*(1+Inputs!$B$16/100)*(5000/(6000+Inputs!$B$43*(1-Inputs!$B$19/100)))*(1+(Inputs!$B$24+((C496=TRUE)*(F496-Calc!F30)))/100)*(1+2.6666666666666665*IF(C484=TRUE,F484,0)/100)*(1+(IF(Skills!A5="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471)</f>
        <v/>
      </c>
      <c r="L471">
        <f>K471*(MIN(Inputs!$B$22+((C490=TRUE)*(F490-Calc!F24)),(Inputs!$B$23+1)+((C495=TRUE)*(F495-Calc!F29)))/100+((Inputs!$B$23+1)+((C495=TRUE)*(F495-Calc!F29)))/100)/2</f>
        <v/>
      </c>
      <c r="M471">
        <f>L471*(1+(Inputs!$B$10+((C492=TRUE)*(F492-Calc!F26))+B506)/100)</f>
        <v/>
      </c>
      <c r="N471">
        <f>L471*(1-MIN((Inputs!$B$9+((C491=TRUE)*(F491-Calc!F25))+B499),100)/100)+M471*(MIN((Inputs!$B$9+((C491=TRUE)*(F491-Calc!F25))+B499),100)/100)</f>
        <v/>
      </c>
      <c r="O471">
        <f>IF(C471,H471*N471*IF(AND(Inputs!$B$39&lt;&gt;"pvp",Inputs!$B$44&gt;0),((Skills!G5*((R471-1)*IF(Skills!H5&gt;0,Skills!I5/Skills!H5,1)+IF(Skills!H5&gt;0,MIN(Skills!I5,MAX(0,MAX(0,Inputs!$B$44-B510)-((R471-1)*IF(Inputs!$B$39="pvp",15,MAX(0.1,Skills!D5-IF(Skills!E5=TRUE,Inputs!$B$32,0))))))/Skills!H5,1)))/Inputs!$B$44),G471*Q471)*IF(Inputs!$B$39="pvp",1,(1-Summary!$B$55)*(1)+Summary!$B$55*(MIN(Skills!W5,Inputs!$B$37))),0)</f>
        <v/>
      </c>
      <c r="P471">
        <f>IF(B511=0,0,O471/B511)</f>
        <v/>
      </c>
      <c r="Q471">
        <f>IFERROR(1/IF(Inputs!$B$39="pvp",15,MAX(0.1,Skills!D5-IF(Skills!E5=TRUE,Inputs!$B$32,0))),0)</f>
        <v/>
      </c>
      <c r="R471">
        <f>IF(AND(Inputs!$B$39&lt;&gt;"pvp",Inputs!$B$44&gt;0),IF(MAX(0,Inputs!$B$44-B510)&lt;=0,0,(INT(MAX(0,Inputs!$B$44-B510)/IF(Inputs!$B$39="pvp",15,MAX(0.1,Skills!D5-IF(Skills!E5=TRUE,Inputs!$B$32,0))))+1)),0)</f>
        <v/>
      </c>
      <c r="S471">
        <f>IFERROR(O471/N471,0)</f>
        <v/>
      </c>
    </row>
    <row r="472">
      <c r="A472">
        <f>Skills!A6</f>
        <v/>
      </c>
      <c r="B472">
        <f>Skills!B6</f>
        <v/>
      </c>
      <c r="C472">
        <f>Inputs!$B$3&gt;=69</f>
        <v/>
      </c>
      <c r="D472">
        <f>IF(Skills!C6=1,60+Inputs!$B$25+Inputs!$B$29,IF(Skills!C6=2,90+Inputs!$B$26+Inputs!$B$29,IF(Skills!C6=3,120+Inputs!$B$27+Inputs!$B$29,MAX(0,(Inputs!$B$3-100)*3)+Inputs!$B$28+Inputs!$B$29)))</f>
        <v/>
      </c>
      <c r="E472">
        <f>INDEX(FactorTable!$B$2:$Y$301, MATCH(ROUND(MIN(300,MAX(1,D472)),0), FactorTable!$A$2:$A$301,0), Skills!M6+1)</f>
        <v/>
      </c>
      <c r="F472">
        <f>IF(Skills!N6=TRUE,(Skills!L6/10)*(E472/1000),Skills!L6/10)+Skills!O6</f>
        <v/>
      </c>
      <c r="G472">
        <f>Skills!G6*IF(Skills!H6&gt;0,Skills!I6/Skills!H6,1)</f>
        <v/>
      </c>
      <c r="H472">
        <f>1-(1-Skills!J6/100)^Skills!K6</f>
        <v/>
      </c>
      <c r="I472" t="inlineStr">
        <is>
          <t>1</t>
        </is>
      </c>
      <c r="J472">
        <f>((Inputs!$B$6*(1+Inputs!$B$7/100))+(((Inputs!$B$12*(1+Inputs!$B$13/100))-(Inputs!$B$12*(1+Inputs!$B$13/100)))+0.25*(Inputs!$B$14-Inputs!$B$14))*(1+Inputs!$B$7/100))*(F472/100)</f>
        <v/>
      </c>
      <c r="K472">
        <f>J472*(1+((Inputs!$B$12*(1+Inputs!$B$13/100))*0.01+Inputs!$B$14*0.0025)/100)*(1+Inputs!$B$15/100)*(1+IF(Inputs!$B$39="pvp",0,(1-Summary!$B$55)*(Inputs!$B$20+0+Skills!P6+B500)+Summary!$B$55*(Inputs!$B$21+Skills!Q6+B500))/100)*(1+Inputs!$B$16/100)*(5000/(6000+Inputs!$B$43*(1-Inputs!$B$19/100)))*(1+(Inputs!$B$24+((C496=TRUE)*(F496-Calc!F30)))/100)*(1+1.0*IF(C484=TRUE,F484,0)/100)*(1+(IF(Skills!A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472)</f>
        <v/>
      </c>
      <c r="L472">
        <f>K472*(MIN(Inputs!$B$22+((C490=TRUE)*(F490-Calc!F24)),(Inputs!$B$23+1)+((C495=TRUE)*(F495-Calc!F29)))/100+((Inputs!$B$23+1)+((C495=TRUE)*(F495-Calc!F29)))/100)/2</f>
        <v/>
      </c>
      <c r="M472">
        <f>L472*(1+(Inputs!$B$10+((C492=TRUE)*(F492-Calc!F26))+B506)/100)</f>
        <v/>
      </c>
      <c r="N472">
        <f>L472*(1-MIN((Inputs!$B$9+((C491=TRUE)*(F491-Calc!F25))+B499),100)/100)+M472*(MIN((Inputs!$B$9+((C491=TRUE)*(F491-Calc!F25))+B499),100)/100)</f>
        <v/>
      </c>
      <c r="O472">
        <f>IF(C472,H472*N472*IF(AND(Inputs!$B$39&lt;&gt;"pvp",Inputs!$B$44&gt;0),((Skills!G6*((R472-1)*IF(Skills!H6&gt;0,Skills!I6/Skills!H6,1)+IF(Skills!H6&gt;0,MIN(Skills!I6,MAX(0,MAX(0,Inputs!$B$44-B510)-((R472-1)*IF(Inputs!$B$39="pvp",15,MAX(0.1,Skills!D6-IF(Skills!E6=TRUE,Inputs!$B$32,0))))))/Skills!H6,1)))/Inputs!$B$44),G472*Q472)*IF(Inputs!$B$39="pvp",1,(1-Summary!$B$55)*(1)+Summary!$B$55*(MIN(Skills!W6,Inputs!$B$37))),0)</f>
        <v/>
      </c>
      <c r="P472">
        <f>IF(B511=0,0,O472/B511)</f>
        <v/>
      </c>
      <c r="Q472">
        <f>IFERROR(1/IF(Inputs!$B$39="pvp",15,MAX(0.1,Skills!D6-IF(Skills!E6=TRUE,Inputs!$B$32,0))),0)</f>
        <v/>
      </c>
      <c r="R472">
        <f>IF(AND(Inputs!$B$39&lt;&gt;"pvp",Inputs!$B$44&gt;0),IF(MAX(0,Inputs!$B$44-B510)&lt;=0,0,(INT(MAX(0,Inputs!$B$44-B510)/IF(Inputs!$B$39="pvp",15,MAX(0.1,Skills!D6-IF(Skills!E6=TRUE,Inputs!$B$32,0))))+1)),0)</f>
        <v/>
      </c>
      <c r="S472">
        <f>IFERROR(O472/N472,0)</f>
        <v/>
      </c>
    </row>
    <row r="473">
      <c r="A473">
        <f>Skills!A7</f>
        <v/>
      </c>
      <c r="B473">
        <f>Skills!B7</f>
        <v/>
      </c>
      <c r="C473">
        <f>Inputs!$B$3&gt;=60</f>
        <v/>
      </c>
      <c r="D473">
        <f>IF(Skills!C7=1,60+Inputs!$B$25+Inputs!$B$29,IF(Skills!C7=2,90+Inputs!$B$26+Inputs!$B$29,IF(Skills!C7=3,120+Inputs!$B$27+Inputs!$B$29,MAX(0,(Inputs!$B$3-100)*3)+Inputs!$B$28+Inputs!$B$29)))</f>
        <v/>
      </c>
      <c r="E473">
        <f>INDEX(FactorTable!$B$2:$Y$301, MATCH(ROUND(MIN(300,MAX(1,D473)),0), FactorTable!$A$2:$A$301,0), Skills!M7+1)</f>
        <v/>
      </c>
      <c r="F473">
        <f>IF(Skills!N7=TRUE,(Skills!L7/10)*(E473/1000),Skills!L7/10)+Skills!O7</f>
        <v/>
      </c>
      <c r="G473">
        <f>Skills!G7*IF(Skills!H7&gt;0,Skills!I7/Skills!H7,1)</f>
        <v/>
      </c>
      <c r="H473">
        <f>1-(1-Skills!J7/100)^Skills!K7</f>
        <v/>
      </c>
      <c r="I473" t="inlineStr">
        <is>
          <t>1</t>
        </is>
      </c>
      <c r="J473" t="inlineStr"/>
      <c r="K473" t="inlineStr"/>
      <c r="L473" t="inlineStr"/>
      <c r="M473" t="inlineStr"/>
      <c r="N473" t="inlineStr"/>
      <c r="O473" t="n">
        <v>0</v>
      </c>
      <c r="P473">
        <f>IF(B511=0,0,O473/B511)</f>
        <v/>
      </c>
      <c r="Q473" t="n">
        <v>0</v>
      </c>
      <c r="R473" t="n">
        <v>0</v>
      </c>
      <c r="S473">
        <f>IFERROR(O473/N473,0)</f>
        <v/>
      </c>
    </row>
    <row r="474">
      <c r="A474">
        <f>Skills!A8</f>
        <v/>
      </c>
      <c r="B474">
        <f>Skills!B8</f>
        <v/>
      </c>
      <c r="C474">
        <f>Inputs!$B$3&gt;=72</f>
        <v/>
      </c>
      <c r="D474">
        <f>IF(Skills!C8=1,60+Inputs!$B$25+Inputs!$B$29,IF(Skills!C8=2,90+Inputs!$B$26+Inputs!$B$29,IF(Skills!C8=3,120+Inputs!$B$27+Inputs!$B$29,MAX(0,(Inputs!$B$3-100)*3)+Inputs!$B$28+Inputs!$B$29)))</f>
        <v/>
      </c>
      <c r="E474">
        <f>INDEX(FactorTable!$B$2:$Y$301, MATCH(ROUND(MIN(300,MAX(1,D474)),0), FactorTable!$A$2:$A$301,0), Skills!M8+1)</f>
        <v/>
      </c>
      <c r="F474">
        <f>IF(Skills!N8=TRUE,(Skills!L8/10)*(E474/1000),Skills!L8/10)+Skills!O8</f>
        <v/>
      </c>
      <c r="G474">
        <f>Skills!G8*IF(Skills!H8&gt;0,Skills!I8/Skills!H8,1)</f>
        <v/>
      </c>
      <c r="H474">
        <f>1-(1-Skills!J8/100)^Skills!K8</f>
        <v/>
      </c>
      <c r="I474" t="inlineStr">
        <is>
          <t>1</t>
        </is>
      </c>
      <c r="J474">
        <f>((Inputs!$B$6*(1+Inputs!$B$7/100))+(((Inputs!$B$12*(1+Inputs!$B$13/100))-(Inputs!$B$12*(1+Inputs!$B$13/100)))+0.25*(Inputs!$B$14-Inputs!$B$14))*(1+Inputs!$B$7/100))*(F474/100)</f>
        <v/>
      </c>
      <c r="K474">
        <f>J474*(1+((Inputs!$B$12*(1+Inputs!$B$13/100))*0.01+Inputs!$B$14*0.0025)/100)*(1+Inputs!$B$15/100)*(1+IF(Inputs!$B$39="pvp",0,(1-Summary!$B$55)*(Inputs!$B$20+0+Skills!P8+B500)+Summary!$B$55*(Inputs!$B$21+Skills!Q8+B500))/100)*(1+Inputs!$B$16/100)*(5000/(6000+Inputs!$B$43*(1-Inputs!$B$19/100)))*(1+(Inputs!$B$24+((C496=TRUE)*(F496-Calc!F30)))/100)*(1+3.3333333333333335*IF(C484=TRUE,F484,0)/100)*(1+(IF(Skills!A8="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474)</f>
        <v/>
      </c>
      <c r="L474">
        <f>K474*(MIN(Inputs!$B$22+((C490=TRUE)*(F490-Calc!F24)),(Inputs!$B$23+1)+((C495=TRUE)*(F495-Calc!F29)))/100+((Inputs!$B$23+1)+((C495=TRUE)*(F495-Calc!F29)))/100)/2</f>
        <v/>
      </c>
      <c r="M474">
        <f>L474*(1+(Inputs!$B$10+((C492=TRUE)*(F492-Calc!F26))+B506)/100)</f>
        <v/>
      </c>
      <c r="N474">
        <f>L474*(1-MIN((Inputs!$B$9+((C491=TRUE)*(F491-Calc!F25))+B499),100)/100)+M474*(MIN((Inputs!$B$9+((C491=TRUE)*(F491-Calc!F25))+B499),100)/100)</f>
        <v/>
      </c>
      <c r="O474">
        <f>IF(C474,H474*N474*IF(AND(Inputs!$B$39&lt;&gt;"pvp",Inputs!$B$44&gt;0),((Skills!G8*((R474-1)*IF(Skills!H8&gt;0,Skills!I8/Skills!H8,1)+IF(Skills!H8&gt;0,MIN(Skills!I8,MAX(0,MAX(0,Inputs!$B$44-B510)-((R474-1)*IF(Inputs!$B$39="pvp",15,MAX(0.1,Skills!D8-IF(Skills!E8=TRUE,Inputs!$B$32,0))))))/Skills!H8,1)))/Inputs!$B$44),G474*Q474)*IF(Inputs!$B$39="pvp",1,(1-Summary!$B$55)*(1)+Summary!$B$55*(MIN(Skills!W8,Inputs!$B$37))),0)</f>
        <v/>
      </c>
      <c r="P474">
        <f>IF(B511=0,0,O474/B511)</f>
        <v/>
      </c>
      <c r="Q474">
        <f>IFERROR(1/IF(Inputs!$B$39="pvp",15,MAX(0.1,Skills!D8-IF(Skills!E8=TRUE,Inputs!$B$32,0))),0)</f>
        <v/>
      </c>
      <c r="R474">
        <f>IF(AND(Inputs!$B$39&lt;&gt;"pvp",Inputs!$B$44&gt;0),IF(MAX(0,Inputs!$B$44-B510)&lt;=0,0,(INT(MAX(0,Inputs!$B$44-B510)/IF(Inputs!$B$39="pvp",15,MAX(0.1,Skills!D8-IF(Skills!E8=TRUE,Inputs!$B$32,0))))+1)),0)</f>
        <v/>
      </c>
      <c r="S474">
        <f>IFERROR(O474/N474,0)</f>
        <v/>
      </c>
    </row>
    <row r="475">
      <c r="A475">
        <f>Skills!A9</f>
        <v/>
      </c>
      <c r="B475">
        <f>Skills!B9</f>
        <v/>
      </c>
      <c r="C475">
        <f>Inputs!$B$3&gt;=117</f>
        <v/>
      </c>
      <c r="D475">
        <f>IF(Skills!C9=1,60+Inputs!$B$25+Inputs!$B$29,IF(Skills!C9=2,90+Inputs!$B$26+Inputs!$B$29,IF(Skills!C9=3,120+Inputs!$B$27+Inputs!$B$29,MAX(0,(Inputs!$B$3-100)*3)+Inputs!$B$28+Inputs!$B$29)))</f>
        <v/>
      </c>
      <c r="E475">
        <f>INDEX(FactorTable!$B$2:$Y$301, MATCH(ROUND(MIN(300,MAX(1,D475)),0), FactorTable!$A$2:$A$301,0), Skills!M9+1)</f>
        <v/>
      </c>
      <c r="F475">
        <f>IF(Skills!N9=TRUE,(Skills!L9/10)*(E475/1000),Skills!L9/10)+Skills!O9</f>
        <v/>
      </c>
      <c r="G475">
        <f>Skills!G9*IF(Skills!H9&gt;0,Skills!I9/Skills!H9,1)</f>
        <v/>
      </c>
      <c r="H475">
        <f>1-(1-Skills!J9/100)^Skills!K9</f>
        <v/>
      </c>
      <c r="I475" t="inlineStr">
        <is>
          <t>1</t>
        </is>
      </c>
      <c r="J475">
        <f>((Inputs!$B$6*(1+Inputs!$B$7/100))+(((Inputs!$B$12*(1+Inputs!$B$13/100))-(Inputs!$B$12*(1+Inputs!$B$13/100)))+0.25*(Inputs!$B$14-Inputs!$B$14))*(1+Inputs!$B$7/100))*(F475/100)</f>
        <v/>
      </c>
      <c r="K475">
        <f>J475*(1+((Inputs!$B$12*(1+Inputs!$B$13/100))*0.01+Inputs!$B$14*0.0025)/100)*(1+Inputs!$B$15/100)*(1+IF(Inputs!$B$39="pvp",0,(1-Summary!$B$55)*(Inputs!$B$20+0+Skills!P9+B500)+Summary!$B$55*(Inputs!$B$21+Skills!Q9+B500))/100)*(1+Inputs!$B$16/100)*(5000/(6000+Inputs!$B$43*(1-Inputs!$B$19/100)))*(1+(Inputs!$B$24+((C496=TRUE)*(F496-Calc!F30)))/100)*(1+(IF(Skills!A9="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475)</f>
        <v/>
      </c>
      <c r="L475">
        <f>K475*(MIN(Inputs!$B$22+((C490=TRUE)*(F490-Calc!F24)),(Inputs!$B$23+1)+((C495=TRUE)*(F495-Calc!F29)))/100+((Inputs!$B$23+1)+((C495=TRUE)*(F495-Calc!F29)))/100)/2</f>
        <v/>
      </c>
      <c r="M475">
        <f>L475*(1+(Inputs!$B$10+((C492=TRUE)*(F492-Calc!F26))+B506)/100)</f>
        <v/>
      </c>
      <c r="N475">
        <f>L475*(1-MIN((Inputs!$B$9+((C491=TRUE)*(F491-Calc!F25))+B499),100)/100)+M475*(MIN((Inputs!$B$9+((C491=TRUE)*(F491-Calc!F25))+B499),100)/100)</f>
        <v/>
      </c>
      <c r="O475">
        <f>IF(C475,0.2*SUMPRODUCT((Skills!Z2:Z30=TRUE)*(C468:C496=TRUE)*S468:S496)*N475,0)</f>
        <v/>
      </c>
      <c r="P475">
        <f>IF(B511=0,0,O475/B511)</f>
        <v/>
      </c>
      <c r="Q475" t="n">
        <v>0</v>
      </c>
      <c r="R475" t="n">
        <v>0</v>
      </c>
      <c r="S475" t="n">
        <v>0</v>
      </c>
    </row>
    <row r="476">
      <c r="A476">
        <f>Skills!A10</f>
        <v/>
      </c>
      <c r="B476">
        <f>Skills!B10</f>
        <v/>
      </c>
      <c r="C476">
        <f>Inputs!$B$3&gt;=74</f>
        <v/>
      </c>
      <c r="D476">
        <f>IF(Skills!C10=1,60+Inputs!$B$25+Inputs!$B$29,IF(Skills!C10=2,90+Inputs!$B$26+Inputs!$B$29,IF(Skills!C10=3,120+Inputs!$B$27+Inputs!$B$29,MAX(0,(Inputs!$B$3-100)*3)+Inputs!$B$28+Inputs!$B$29)))</f>
        <v/>
      </c>
      <c r="E476">
        <f>INDEX(FactorTable!$B$2:$Y$301, MATCH(ROUND(MIN(300,MAX(1,D476)),0), FactorTable!$A$2:$A$301,0), Skills!M10+1)</f>
        <v/>
      </c>
      <c r="F476">
        <f>IF(Skills!N10=TRUE,(Skills!L10/10)*(E476/1000),Skills!L10/10)+Skills!O10</f>
        <v/>
      </c>
      <c r="G476">
        <f>Skills!G10*IF(Skills!H10&gt;0,Skills!I10/Skills!H10,1)</f>
        <v/>
      </c>
      <c r="H476">
        <f>1-(1-Skills!J10/100)^Skills!K10</f>
        <v/>
      </c>
      <c r="I476" t="inlineStr">
        <is>
          <t>1</t>
        </is>
      </c>
      <c r="J476" t="inlineStr"/>
      <c r="K476" t="inlineStr"/>
      <c r="L476" t="inlineStr"/>
      <c r="M476" t="inlineStr"/>
      <c r="N476" t="inlineStr"/>
      <c r="O476" t="n">
        <v>0</v>
      </c>
      <c r="P476">
        <f>IF(B511=0,0,O476/B511)</f>
        <v/>
      </c>
      <c r="Q476">
        <f>IFERROR(1/IF(Inputs!$B$39="pvp",15,MAX(0.1,Skills!D10-IF(Skills!E10=TRUE,Inputs!$B$32,0))),0)</f>
        <v/>
      </c>
      <c r="R476">
        <f>IF(AND(Inputs!$B$39&lt;&gt;"pvp",Inputs!$B$44&gt;0),IF(Inputs!$B$44&lt;=0,0,(INT(Inputs!$B$44/IF(Inputs!$B$39="pvp",15,MAX(0.1,Skills!D10-IF(Skills!E10=TRUE,Inputs!$B$32,0))))+1)),0)</f>
        <v/>
      </c>
      <c r="S476">
        <f>IFERROR(O476/N476,0)</f>
        <v/>
      </c>
    </row>
    <row r="477">
      <c r="A477">
        <f>Skills!A11</f>
        <v/>
      </c>
      <c r="B477">
        <f>Skills!B11</f>
        <v/>
      </c>
      <c r="C477">
        <f>Inputs!$B$3&gt;=103</f>
        <v/>
      </c>
      <c r="D477">
        <f>IF(Skills!C11=1,60+Inputs!$B$25+Inputs!$B$29,IF(Skills!C11=2,90+Inputs!$B$26+Inputs!$B$29,IF(Skills!C11=3,120+Inputs!$B$27+Inputs!$B$29,MAX(0,(Inputs!$B$3-100)*3)+Inputs!$B$28+Inputs!$B$29)))</f>
        <v/>
      </c>
      <c r="E477">
        <f>INDEX(FactorTable!$B$2:$Y$301, MATCH(ROUND(MIN(300,MAX(1,D477)),0), FactorTable!$A$2:$A$301,0), Skills!M11+1)</f>
        <v/>
      </c>
      <c r="F477">
        <f>(Skills!L11/10)*(E477/1000)+IF(Inputs!$B$3&gt;=134,50,0)+0.5*(30000/10)*(INDEX(FactorTable!$B$2:$Y$301, MATCH(ROUND(MIN(300,MAX(1,D477)),0), FactorTable!$A$2:$A$301,0), 13)/1000)*B509</f>
        <v/>
      </c>
      <c r="G477">
        <f>Skills!G11*IF(Skills!H11&gt;0,Skills!I11/Skills!H11,1)</f>
        <v/>
      </c>
      <c r="H477">
        <f>1-(1-Skills!J11/100)^Skills!K11</f>
        <v/>
      </c>
      <c r="I477" t="inlineStr">
        <is>
          <t>1</t>
        </is>
      </c>
      <c r="J477">
        <f>((Inputs!$B$6*(1+Inputs!$B$7/100))+(((Inputs!$B$12*(1+Inputs!$B$13/100))-(Inputs!$B$12*(1+Inputs!$B$13/100)))+0.25*(Inputs!$B$14-Inputs!$B$14))*(1+Inputs!$B$7/100))*(F477/100)</f>
        <v/>
      </c>
      <c r="K477">
        <f>J477*(1+((Inputs!$B$12*(1+Inputs!$B$13/100))*0.01+Inputs!$B$14*0.0025)/100)*(1+Inputs!$B$15/100)*(1+IF(Inputs!$B$39="pvp",0,(1-Summary!$B$55)*(Inputs!$B$20+0+Skills!P11+B500)+Summary!$B$55*(Inputs!$B$21+Skills!Q11+B500))/100)*(1+Inputs!$B$16/100)*(5000/(6000+Inputs!$B$43*(1-Inputs!$B$19/100)))*(1+(Inputs!$B$24+((C496=TRUE)*(F496-Calc!F30)))/100)*(1+(IF(Skills!A11="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477)</f>
        <v/>
      </c>
      <c r="L477">
        <f>K477*(MIN(Inputs!$B$22+((C490=TRUE)*(F490-Calc!F24)),(Inputs!$B$23+1)+((C495=TRUE)*(F495-Calc!F29)))/100+((Inputs!$B$23+1)+((C495=TRUE)*(F495-Calc!F29)))/100)/2</f>
        <v/>
      </c>
      <c r="M477">
        <f>L477*(1+(Inputs!$B$10+((C492=TRUE)*(F492-Calc!F26))+B506)/100)</f>
        <v/>
      </c>
      <c r="N477">
        <f>L477*(1-MIN((Inputs!$B$9+((C491=TRUE)*(F491-Calc!F25))+B499),100)/100)+M477*(MIN((Inputs!$B$9+((C491=TRUE)*(F491-Calc!F25))+B499),100)/100)</f>
        <v/>
      </c>
      <c r="O477">
        <f>IF(C477,H477*N477*IF(AND(Inputs!$B$39&lt;&gt;"pvp",Inputs!$B$44&gt;0),((Skills!G11*((R477-1)*IF(Skills!H11&gt;0,Skills!I11/Skills!H11,1)+IF(Skills!H11&gt;0,MIN(Skills!I11,MAX(0,MAX(0,Inputs!$B$44-B510)-((R477-1)*IF(Inputs!$B$39="pvp",15,MAX(0.1,Skills!D11-IF(Skills!E11=TRUE,Inputs!$B$32,0))))))/Skills!H11,1)))/Inputs!$B$44),G477*Q477)*IF(Inputs!$B$39="pvp",1,(1-Summary!$B$55)*(1)+Summary!$B$55*(MIN(Skills!W11,Inputs!$B$37))),0)</f>
        <v/>
      </c>
      <c r="P477">
        <f>IF(B511=0,0,O477/B511)</f>
        <v/>
      </c>
      <c r="Q477">
        <f>IFERROR(1/IF(Inputs!$B$39="pvp",15,MAX(0.1,Skills!D11-IF(Skills!E11=TRUE,Inputs!$B$32,0))),0)</f>
        <v/>
      </c>
      <c r="R477">
        <f>IF(AND(Inputs!$B$39&lt;&gt;"pvp",Inputs!$B$44&gt;0),IF(MAX(0,Inputs!$B$44-B510)&lt;=0,0,(INT(MAX(0,Inputs!$B$44-B510)/IF(Inputs!$B$39="pvp",15,MAX(0.1,Skills!D11-IF(Skills!E11=TRUE,Inputs!$B$32,0))))+1)),0)</f>
        <v/>
      </c>
      <c r="S477">
        <f>IFERROR(O477/N477,0)</f>
        <v/>
      </c>
    </row>
    <row r="478">
      <c r="A478">
        <f>Skills!A12</f>
        <v/>
      </c>
      <c r="B478">
        <f>Skills!B12</f>
        <v/>
      </c>
      <c r="C478">
        <f>Inputs!$B$3&gt;=105</f>
        <v/>
      </c>
      <c r="D478">
        <f>IF(Skills!C12=1,60+Inputs!$B$25+Inputs!$B$29,IF(Skills!C12=2,90+Inputs!$B$26+Inputs!$B$29,IF(Skills!C12=3,120+Inputs!$B$27+Inputs!$B$29,MAX(0,(Inputs!$B$3-100)*3)+Inputs!$B$28+Inputs!$B$29)))</f>
        <v/>
      </c>
      <c r="E478">
        <f>INDEX(FactorTable!$B$2:$Y$301, MATCH(ROUND(MIN(300,MAX(1,D478)),0), FactorTable!$A$2:$A$301,0), Skills!M12+1)</f>
        <v/>
      </c>
      <c r="F478">
        <f>IF(Skills!N12=TRUE,(Skills!L12/10)*(E478/1000),Skills!L12/10)+Skills!O12</f>
        <v/>
      </c>
      <c r="G478">
        <f>Skills!G12*IF(Skills!H12&gt;0,Skills!I12/Skills!H12,1)</f>
        <v/>
      </c>
      <c r="H478">
        <f>1-(1-Skills!J12/100)^Skills!K12</f>
        <v/>
      </c>
      <c r="I478" t="inlineStr">
        <is>
          <t>1</t>
        </is>
      </c>
      <c r="J478">
        <f>((Inputs!$B$6*(1+Inputs!$B$7/100))+(((Inputs!$B$12*(1+Inputs!$B$13/100))-(Inputs!$B$12*(1+Inputs!$B$13/100)))+0.25*(Inputs!$B$14-Inputs!$B$14))*(1+Inputs!$B$7/100))*(F478/100)</f>
        <v/>
      </c>
      <c r="K478">
        <f>J478*(1+((Inputs!$B$12*(1+Inputs!$B$13/100))*0.01+Inputs!$B$14*0.0025)/100)*(1+Inputs!$B$15/100)*(1+IF(Inputs!$B$39="pvp",0,(1-Summary!$B$55)*(Inputs!$B$20+0+Skills!P12+B500)+Summary!$B$55*(Inputs!$B$21+Skills!Q12+B500))/100)*(1+Inputs!$B$16/100)*(5000/(6000+Inputs!$B$43*(1-Inputs!$B$19/100)))*(1+(Inputs!$B$24+((C496=TRUE)*(F496-Calc!F30)))/100)*(1+(IF(Skills!A12="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478)</f>
        <v/>
      </c>
      <c r="L478">
        <f>K478*(MIN(Inputs!$B$22+((C490=TRUE)*(F490-Calc!F24)),(Inputs!$B$23+1)+((C495=TRUE)*(F495-Calc!F29)))/100+((Inputs!$B$23+1)+((C495=TRUE)*(F495-Calc!F29)))/100)/2</f>
        <v/>
      </c>
      <c r="M478">
        <f>L478*(1+(Inputs!$B$10+((C492=TRUE)*(F492-Calc!F26))+B506)/100)</f>
        <v/>
      </c>
      <c r="N478">
        <f>L478*(1-MIN((Inputs!$B$9+((C491=TRUE)*(F491-Calc!F25))+B499),100)/100)+M478*(MIN((Inputs!$B$9+((C491=TRUE)*(F491-Calc!F25))+B499),100)/100)</f>
        <v/>
      </c>
      <c r="O478">
        <f>IF(C478,H478*N478*IF(AND(Inputs!$B$39&lt;&gt;"pvp",Inputs!$B$44&gt;0),((Skills!G12*((R478-1)*IF(Skills!H12&gt;0,Skills!I12/Skills!H12,1)+IF(Skills!H12&gt;0,MIN(Skills!I12,MAX(0,MAX(0,Inputs!$B$44-B510)-((R478-1)*IF(Inputs!$B$39="pvp",15,MAX(0.1,Skills!D12-IF(Skills!E12=TRUE,Inputs!$B$32,0))))))/Skills!H12,1)))/Inputs!$B$44),G478*Q478)*IF(Inputs!$B$39="pvp",1,(1-Summary!$B$55)*(1)+Summary!$B$55*(MIN(Skills!W12,Inputs!$B$37))),0)</f>
        <v/>
      </c>
      <c r="P478">
        <f>IF(B511=0,0,O478/B511)</f>
        <v/>
      </c>
      <c r="Q478">
        <f>IFERROR(1/IF(Inputs!$B$39="pvp",15,MAX(0.1,Skills!D12-IF(Skills!E12=TRUE,Inputs!$B$32,0))),0)</f>
        <v/>
      </c>
      <c r="R478">
        <f>IF(AND(Inputs!$B$39&lt;&gt;"pvp",Inputs!$B$44&gt;0),IF(MAX(0,Inputs!$B$44-B510)&lt;=0,0,(INT(MAX(0,Inputs!$B$44-B510)/IF(Inputs!$B$39="pvp",15,MAX(0.1,Skills!D12-IF(Skills!E12=TRUE,Inputs!$B$32,0))))+1)),0)</f>
        <v/>
      </c>
      <c r="S478">
        <f>IFERROR(O478/N478,0)</f>
        <v/>
      </c>
    </row>
    <row r="479">
      <c r="A479">
        <f>Skills!A13</f>
        <v/>
      </c>
      <c r="B479">
        <f>Skills!B13</f>
        <v/>
      </c>
      <c r="C479">
        <f>Inputs!$B$3&gt;=105</f>
        <v/>
      </c>
      <c r="D479">
        <f>IF(Skills!C13=1,60+Inputs!$B$25+Inputs!$B$29,IF(Skills!C13=2,90+Inputs!$B$26+Inputs!$B$29,IF(Skills!C13=3,120+Inputs!$B$27+Inputs!$B$29,MAX(0,(Inputs!$B$3-100)*3)+Inputs!$B$28+Inputs!$B$29)))</f>
        <v/>
      </c>
      <c r="E479">
        <f>INDEX(FactorTable!$B$2:$Y$301, MATCH(ROUND(MIN(300,MAX(1,D479)),0), FactorTable!$A$2:$A$301,0), Skills!M13+1)</f>
        <v/>
      </c>
      <c r="F479">
        <f>IF(Skills!N13=TRUE,(Skills!L13/10)*(E479/1000),Skills!L13/10)+Skills!O13</f>
        <v/>
      </c>
      <c r="G479">
        <f>Skills!G13*IF(Skills!H13&gt;0,Skills!I13/Skills!H13,1)</f>
        <v/>
      </c>
      <c r="H479">
        <f>1-(1-Skills!J13/100)^Skills!K13</f>
        <v/>
      </c>
      <c r="I479" t="inlineStr">
        <is>
          <t>1</t>
        </is>
      </c>
      <c r="J479">
        <f>((Inputs!$B$6*(1+Inputs!$B$7/100))+(((Inputs!$B$12*(1+Inputs!$B$13/100))-(Inputs!$B$12*(1+Inputs!$B$13/100)))+0.25*(Inputs!$B$14-Inputs!$B$14))*(1+Inputs!$B$7/100))*(F479/100)</f>
        <v/>
      </c>
      <c r="K479">
        <f>J479*(1+((Inputs!$B$12*(1+Inputs!$B$13/100))*0.01+Inputs!$B$14*0.0025)/100)*(1+Inputs!$B$15/100)*(1+IF(Inputs!$B$39="pvp",0,(1-Summary!$B$55)*(Inputs!$B$20+0+Skills!P13+B500)+Summary!$B$55*(Inputs!$B$21+Skills!Q13+B500))/100)*(1+Inputs!$B$16/100)*(5000/(6000+Inputs!$B$43*(1-Inputs!$B$19/100)))*(1+(Inputs!$B$24+((C496=TRUE)*(F496-Calc!F30)))/100)*(1+(IF(Skills!A13="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479)</f>
        <v/>
      </c>
      <c r="L479">
        <f>K479*(MIN(Inputs!$B$22+((C490=TRUE)*(F490-Calc!F24)),(Inputs!$B$23+1)+((C495=TRUE)*(F495-Calc!F29)))/100+((Inputs!$B$23+1)+((C495=TRUE)*(F495-Calc!F29)))/100)/2</f>
        <v/>
      </c>
      <c r="M479">
        <f>L479*(1+(Inputs!$B$10+((C492=TRUE)*(F492-Calc!F26))+B506)/100)</f>
        <v/>
      </c>
      <c r="N479">
        <f>L479*(1-MIN((Inputs!$B$9+((C491=TRUE)*(F491-Calc!F25))+B499),100)/100)+M479*(MIN((Inputs!$B$9+((C491=TRUE)*(F491-Calc!F25))+B499),100)/100)</f>
        <v/>
      </c>
      <c r="O479">
        <f>IF(C479,H479*N479*IF(AND(Inputs!$B$39&lt;&gt;"pvp",Inputs!$B$44&gt;0),((Skills!G13*((R479-1)*IF(Skills!H13&gt;0,Skills!I13/Skills!H13,1)+IF(Skills!H13&gt;0,MIN(Skills!I13,MAX(0,MAX(0,Inputs!$B$44-B510)-((R479-1)*IF(Inputs!$B$39="pvp",15,MAX(0.1,Skills!D13-IF(Skills!E13=TRUE,Inputs!$B$32,0))))))/Skills!H13,1)))/Inputs!$B$44),G479*Q479)*IF(Inputs!$B$39="pvp",1,(1-Summary!$B$55)*(1)+Summary!$B$55*(MIN(Skills!W13,Inputs!$B$37))),0)</f>
        <v/>
      </c>
      <c r="P479">
        <f>IF(B511=0,0,O479/B511)</f>
        <v/>
      </c>
      <c r="Q479">
        <f>IFERROR(1/IF(Inputs!$B$39="pvp",15,MAX(0.1,Skills!D13-IF(Skills!E13=TRUE,Inputs!$B$32,0))),0)</f>
        <v/>
      </c>
      <c r="R479">
        <f>IF(AND(Inputs!$B$39&lt;&gt;"pvp",Inputs!$B$44&gt;0),IF(MAX(0,Inputs!$B$44-B510)&lt;=0,0,(INT(MAX(0,Inputs!$B$44-B510)/IF(Inputs!$B$39="pvp",15,MAX(0.1,Skills!D13-IF(Skills!E13=TRUE,Inputs!$B$32,0))))+1)),0)</f>
        <v/>
      </c>
      <c r="S479">
        <f>IFERROR(O479/N479,0)</f>
        <v/>
      </c>
    </row>
    <row r="480">
      <c r="A480">
        <f>Skills!A14</f>
        <v/>
      </c>
      <c r="B480">
        <f>Skills!B14</f>
        <v/>
      </c>
      <c r="C480">
        <f>Inputs!$B$3&gt;=107</f>
        <v/>
      </c>
      <c r="D480">
        <f>IF(Skills!C14=1,60+Inputs!$B$25+Inputs!$B$29,IF(Skills!C14=2,90+Inputs!$B$26+Inputs!$B$29,IF(Skills!C14=3,120+Inputs!$B$27+Inputs!$B$29,MAX(0,(Inputs!$B$3-100)*3)+Inputs!$B$28+Inputs!$B$29)))</f>
        <v/>
      </c>
      <c r="E480">
        <f>INDEX(FactorTable!$B$2:$Y$301, MATCH(ROUND(MIN(300,MAX(1,D480)),0), FactorTable!$A$2:$A$301,0), Skills!M14+1)</f>
        <v/>
      </c>
      <c r="F480">
        <f>IF(Skills!N14=TRUE,(Skills!L14/10)*(E480/1000),Skills!L14/10)+Skills!O14</f>
        <v/>
      </c>
      <c r="G480">
        <f>Skills!G14*IF(Skills!H14&gt;0,Skills!I14/Skills!H14,1)</f>
        <v/>
      </c>
      <c r="H480">
        <f>1-(1-Skills!J14/100)^Skills!K14</f>
        <v/>
      </c>
      <c r="I480" t="inlineStr">
        <is>
          <t>1</t>
        </is>
      </c>
      <c r="J480">
        <f>((Inputs!$B$6*(1+Inputs!$B$7/100))+(((Inputs!$B$12*(1+Inputs!$B$13/100))-(Inputs!$B$12*(1+Inputs!$B$13/100)))+0.25*(Inputs!$B$14-Inputs!$B$14))*(1+Inputs!$B$7/100))*(F480/100)</f>
        <v/>
      </c>
      <c r="K480">
        <f>J480*(1+((Inputs!$B$12*(1+Inputs!$B$13/100))*0.01+Inputs!$B$14*0.0025)/100)*(1+Inputs!$B$15/100)*(1+IF(Inputs!$B$39="pvp",0,(1-Summary!$B$55)*(Inputs!$B$20+0+Skills!P14+B500)+Summary!$B$55*(Inputs!$B$21+Skills!Q14+B500))/100)*(1+Inputs!$B$16/100)*(5000/(6000+Inputs!$B$43*(1-Inputs!$B$19/100)))*(1+(Inputs!$B$24+((C496=TRUE)*(F496-Calc!F30)))/100)*(1+(IF(Skills!A14="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480)</f>
        <v/>
      </c>
      <c r="L480">
        <f>K480*(MIN(Inputs!$B$22+((C490=TRUE)*(F490-Calc!F24)),(Inputs!$B$23+1)+((C495=TRUE)*(F495-Calc!F29)))/100+((Inputs!$B$23+1)+((C495=TRUE)*(F495-Calc!F29)))/100)/2</f>
        <v/>
      </c>
      <c r="M480">
        <f>L480*(1+(Inputs!$B$10+((C492=TRUE)*(F492-Calc!F26))+B506)/100)</f>
        <v/>
      </c>
      <c r="N480">
        <f>L480*(1-MIN((Inputs!$B$9+((C491=TRUE)*(F491-Calc!F25))+B499),100)/100)+M480*(MIN((Inputs!$B$9+((C491=TRUE)*(F491-Calc!F25))+B499),100)/100)</f>
        <v/>
      </c>
      <c r="O480">
        <f>IF(C480,H480*N480*IF(AND(Inputs!$B$39&lt;&gt;"pvp",Inputs!$B$44&gt;0),((Skills!G14*((R480-1)*IF(Skills!H14&gt;0,Skills!I14/Skills!H14,1)+IF(Skills!H14&gt;0,MIN(Skills!I14,MAX(0,MAX(0,Inputs!$B$44-B510)-((R480-1)*IF(Inputs!$B$39="pvp",15,MAX(0.1,Skills!D14-IF(Skills!E14=TRUE,Inputs!$B$32,0))))))/Skills!H14,1)))/Inputs!$B$44),G480*Q480)*IF(Inputs!$B$39="pvp",1,(1-Summary!$B$55)*(1)+Summary!$B$55*(MIN(MIN(5,0.25*B503*Skills!D4)*Skills!V14,Inputs!$B$37))),0)</f>
        <v/>
      </c>
      <c r="P480">
        <f>IF(B511=0,0,O480/B511)</f>
        <v/>
      </c>
      <c r="Q480">
        <f>IFERROR(1/IF(Inputs!$B$39="pvp",15,MAX(0.1,Skills!D14-IF(Skills!E14=TRUE,Inputs!$B$32,0))),0)</f>
        <v/>
      </c>
      <c r="R480">
        <f>IF(AND(Inputs!$B$39&lt;&gt;"pvp",Inputs!$B$44&gt;0),IF(MAX(0,Inputs!$B$44-B510)&lt;=0,0,(INT(MAX(0,Inputs!$B$44-B510)/IF(Inputs!$B$39="pvp",15,MAX(0.1,Skills!D14-IF(Skills!E14=TRUE,Inputs!$B$32,0))))+1)),0)</f>
        <v/>
      </c>
      <c r="S480">
        <f>IFERROR(O480/N480,0)</f>
        <v/>
      </c>
    </row>
    <row r="481">
      <c r="A481">
        <f>Skills!A15</f>
        <v/>
      </c>
      <c r="B481">
        <f>Skills!B15</f>
        <v/>
      </c>
      <c r="C481">
        <f>Inputs!$B$3&gt;=110</f>
        <v/>
      </c>
      <c r="D481">
        <f>IF(Skills!C15=1,60+Inputs!$B$25+Inputs!$B$29,IF(Skills!C15=2,90+Inputs!$B$26+Inputs!$B$29,IF(Skills!C15=3,120+Inputs!$B$27+Inputs!$B$29,MAX(0,(Inputs!$B$3-100)*3)+Inputs!$B$28+Inputs!$B$29)))</f>
        <v/>
      </c>
      <c r="E481">
        <f>INDEX(FactorTable!$B$2:$Y$301, MATCH(ROUND(MIN(300,MAX(1,D481)),0), FactorTable!$A$2:$A$301,0), Skills!M15+1)</f>
        <v/>
      </c>
      <c r="F481">
        <f>IF(Skills!N15=TRUE,(Skills!L15/10)*(E481/1000),Skills!L15/10)+Skills!O15</f>
        <v/>
      </c>
      <c r="G481">
        <f>Skills!G15*IF(Skills!H15&gt;0,Skills!I15/Skills!H15,1)</f>
        <v/>
      </c>
      <c r="H481">
        <f>1-(1-Skills!J15/100)^Skills!K15</f>
        <v/>
      </c>
      <c r="I481" t="inlineStr">
        <is>
          <t>1</t>
        </is>
      </c>
      <c r="J481" t="inlineStr"/>
      <c r="K481" t="inlineStr"/>
      <c r="L481" t="inlineStr"/>
      <c r="M481" t="inlineStr"/>
      <c r="N481" t="inlineStr"/>
      <c r="O481" t="n">
        <v>0</v>
      </c>
      <c r="P481">
        <f>IF(B511=0,0,O481/B511)</f>
        <v/>
      </c>
      <c r="Q481">
        <f>IFERROR(1/IF(Inputs!$B$39="pvp",15,MAX(0.1,Skills!D15-IF(Skills!E15=TRUE,Inputs!$B$32,0))),0)</f>
        <v/>
      </c>
      <c r="R481">
        <f>IF(AND(Inputs!$B$39&lt;&gt;"pvp",Inputs!$B$44&gt;0),IF(Inputs!$B$44&lt;=0,0,(INT(Inputs!$B$44/IF(Inputs!$B$39="pvp",15,MAX(0.1,Skills!D15-IF(Skills!E15=TRUE,Inputs!$B$32,0))))+1)),0)</f>
        <v/>
      </c>
      <c r="S481">
        <f>IFERROR(O481/N481,0)</f>
        <v/>
      </c>
    </row>
    <row r="482">
      <c r="A482">
        <f>Skills!A16</f>
        <v/>
      </c>
      <c r="B482">
        <f>Skills!B16</f>
        <v/>
      </c>
      <c r="C482">
        <f>Inputs!$B$3&gt;=115</f>
        <v/>
      </c>
      <c r="D482">
        <f>IF(Skills!C16=1,60+Inputs!$B$25+Inputs!$B$29,IF(Skills!C16=2,90+Inputs!$B$26+Inputs!$B$29,IF(Skills!C16=3,120+Inputs!$B$27+Inputs!$B$29,MAX(0,(Inputs!$B$3-100)*3)+Inputs!$B$28+Inputs!$B$29)))</f>
        <v/>
      </c>
      <c r="E482">
        <f>INDEX(FactorTable!$B$2:$Y$301, MATCH(ROUND(MIN(300,MAX(1,D482)),0), FactorTable!$A$2:$A$301,0), Skills!M16+1)</f>
        <v/>
      </c>
      <c r="F482">
        <f>IF(Skills!N16=TRUE,(Skills!L16/10)*(E482/1000),Skills!L16/10)+Skills!O16</f>
        <v/>
      </c>
      <c r="G482">
        <f>Skills!G16*IF(Skills!H16&gt;0,Skills!I16/Skills!H16,1)</f>
        <v/>
      </c>
      <c r="H482">
        <f>1-(1-Skills!J16/100)^Skills!K16</f>
        <v/>
      </c>
      <c r="I482" t="inlineStr">
        <is>
          <t>1</t>
        </is>
      </c>
      <c r="J482">
        <f>((Inputs!$B$6*(1+Inputs!$B$7/100))+(((Inputs!$B$12*(1+Inputs!$B$13/100))-(Inputs!$B$12*(1+Inputs!$B$13/100)))+0.25*(Inputs!$B$14-Inputs!$B$14))*(1+Inputs!$B$7/100))*(F482/100)</f>
        <v/>
      </c>
      <c r="K482">
        <f>J482*(1+((Inputs!$B$12*(1+Inputs!$B$13/100))*0.01+Inputs!$B$14*0.0025)/100)*(1+Inputs!$B$15/100)*(1+IF(Inputs!$B$39="pvp",0,(1-Summary!$B$55)*(Inputs!$B$20+0+Skills!P16+B500)+Summary!$B$55*(Inputs!$B$21+Skills!Q16+B500))/100)*(1+Inputs!$B$16/100)*(5000/(6000+Inputs!$B$43*(1-Inputs!$B$19/100)))*(1+(Inputs!$B$24+((C496=TRUE)*(F496-Calc!F30)))/100)*(1+(IF(Skills!A16="CRUEL_STAB",Inputs!$B$17+((C493=TRUE)*(F493-Calc!F27)),Inputs!$B$18+((C494=TRUE)*(F494-Calc!F28))))/100)*(((1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B501*I482)</f>
        <v/>
      </c>
      <c r="L482">
        <f>K482*(MIN(Inputs!$B$22+((C490=TRUE)*(F490-Calc!F24)),(Inputs!$B$23+1)+((C495=TRUE)*(F495-Calc!F29)))/100+((Inputs!$B$23+1)+((C495=TRUE)*(F495-Calc!F29)))/100)/2</f>
        <v/>
      </c>
      <c r="M482">
        <f>L482*(1+(Inputs!$B$10+((C492=TRUE)*(F492-Calc!F26))+B506)/100)</f>
        <v/>
      </c>
      <c r="N482">
        <f>L482*(1-MIN((Inputs!$B$9+((C491=TRUE)*(F491-Calc!F25))+B499),100)/100)+M482*(MIN((Inputs!$B$9+((C491=TRUE)*(F491-Calc!F25))+B499),100)/100)</f>
        <v/>
      </c>
      <c r="O482">
        <f>IF(C482,Inputs!$B$38*0.2*N482,0)</f>
        <v/>
      </c>
      <c r="P482">
        <f>IF(B511=0,0,O482/B511)</f>
        <v/>
      </c>
      <c r="Q482" t="n">
        <v>0</v>
      </c>
      <c r="R482" t="n">
        <v>0</v>
      </c>
      <c r="S482">
        <f>IFERROR(O482/N482,0)</f>
        <v/>
      </c>
    </row>
    <row r="483">
      <c r="A483">
        <f>Skills!A17</f>
        <v/>
      </c>
      <c r="B483">
        <f>Skills!B17</f>
        <v/>
      </c>
      <c r="C483">
        <f>Inputs!$B$3&gt;=115</f>
        <v/>
      </c>
      <c r="D483">
        <f>IF(Skills!C17=1,60+Inputs!$B$25+Inputs!$B$29,IF(Skills!C17=2,90+Inputs!$B$26+Inputs!$B$29,IF(Skills!C17=3,120+Inputs!$B$27+Inputs!$B$29,MAX(0,(Inputs!$B$3-100)*3)+Inputs!$B$28+Inputs!$B$29)))</f>
        <v/>
      </c>
      <c r="E483">
        <f>INDEX(FactorTable!$B$2:$Y$301, MATCH(ROUND(MIN(300,MAX(1,D483)),0), FactorTable!$A$2:$A$301,0), Skills!M17+1)</f>
        <v/>
      </c>
      <c r="F483">
        <f>IF(Skills!N17=TRUE,(Skills!L17/10)*(E483/1000),Skills!L17/10)+Skills!O17</f>
        <v/>
      </c>
      <c r="G483">
        <f>Skills!G17*IF(Skills!H17&gt;0,Skills!I17/Skills!H17,1)</f>
        <v/>
      </c>
      <c r="H483">
        <f>1-(1-Skills!J17/100)^Skills!K17</f>
        <v/>
      </c>
      <c r="I483" t="inlineStr">
        <is>
          <t>1</t>
        </is>
      </c>
      <c r="J483" t="inlineStr"/>
      <c r="K483" t="inlineStr"/>
      <c r="L483" t="inlineStr"/>
      <c r="M483" t="inlineStr"/>
      <c r="N483" t="inlineStr"/>
      <c r="O483" t="n">
        <v>0</v>
      </c>
      <c r="P483">
        <f>IF(B511=0,0,O483/B511)</f>
        <v/>
      </c>
      <c r="Q483" t="n">
        <v>0</v>
      </c>
      <c r="R483" t="n">
        <v>0</v>
      </c>
      <c r="S483">
        <f>IFERROR(O483/N483,0)</f>
        <v/>
      </c>
    </row>
    <row r="484">
      <c r="A484">
        <f>Skills!A18</f>
        <v/>
      </c>
      <c r="B484">
        <f>Skills!B18</f>
        <v/>
      </c>
      <c r="C484">
        <f>Inputs!$B$3&gt;=100</f>
        <v/>
      </c>
      <c r="D484">
        <f>IF(Skills!C18=1,60+Inputs!$B$25+Inputs!$B$29,IF(Skills!C18=2,90+Inputs!$B$26+Inputs!$B$29,IF(Skills!C18=3,120+Inputs!$B$27+Inputs!$B$29,MAX(0,(Inputs!$B$3-100)*3)+Inputs!$B$28+Inputs!$B$29)))</f>
        <v/>
      </c>
      <c r="E484">
        <f>INDEX(FactorTable!$B$2:$Y$301, MATCH(ROUND(MIN(300,MAX(1,D484)),0), FactorTable!$A$2:$A$301,0), Skills!M18+1)</f>
        <v/>
      </c>
      <c r="F484">
        <f>IF(Skills!N18=TRUE,(Skills!L18/10)*(E484/1000),Skills!L18/10)+Skills!O18</f>
        <v/>
      </c>
      <c r="G484">
        <f>Skills!G18*IF(Skills!H18&gt;0,Skills!I18/Skills!H18,1)</f>
        <v/>
      </c>
      <c r="H484">
        <f>1-(1-Skills!J18/100)^Skills!K18</f>
        <v/>
      </c>
      <c r="I484" t="inlineStr">
        <is>
          <t>1</t>
        </is>
      </c>
      <c r="J484" t="inlineStr"/>
      <c r="K484" t="inlineStr"/>
      <c r="L484" t="inlineStr"/>
      <c r="M484" t="inlineStr"/>
      <c r="N484" t="inlineStr"/>
      <c r="O484" t="n">
        <v>0</v>
      </c>
      <c r="P484">
        <f>IF(B511=0,0,O484/B511)</f>
        <v/>
      </c>
      <c r="Q484" t="n">
        <v>0</v>
      </c>
      <c r="R484" t="n">
        <v>0</v>
      </c>
      <c r="S484">
        <f>IFERROR(O484/N484,0)</f>
        <v/>
      </c>
    </row>
    <row r="485">
      <c r="A485">
        <f>Skills!A19</f>
        <v/>
      </c>
      <c r="B485">
        <f>Skills!B19</f>
        <v/>
      </c>
      <c r="C485">
        <f>TRUE</f>
        <v/>
      </c>
      <c r="D485">
        <f>IF(Skills!C19=1,60+Inputs!$B$25+Inputs!$B$29,IF(Skills!C19=2,90+Inputs!$B$26+Inputs!$B$29,IF(Skills!C19=3,120+Inputs!$B$27+Inputs!$B$29,MAX(0,(Inputs!$B$3-100)*3)+Inputs!$B$28+Inputs!$B$29)))</f>
        <v/>
      </c>
      <c r="E485">
        <f>INDEX(FactorTable!$B$2:$Y$301, MATCH(ROUND(MIN(300,MAX(1,D485)),0), FactorTable!$A$2:$A$301,0), Skills!M19+1)</f>
        <v/>
      </c>
      <c r="F485">
        <f>IF(Skills!N19=TRUE,(Skills!L19/10)*(E485/1000),Skills!L19/10)+Skills!O19</f>
        <v/>
      </c>
      <c r="G485">
        <f>Skills!G19*IF(Skills!H19&gt;0,Skills!I19/Skills!H19,1)</f>
        <v/>
      </c>
      <c r="H485">
        <f>1-(1-Skills!J19/100)^Skills!K19</f>
        <v/>
      </c>
      <c r="I485" t="inlineStr">
        <is>
          <t>1</t>
        </is>
      </c>
      <c r="J485" t="inlineStr"/>
      <c r="K485" t="inlineStr"/>
      <c r="L485" t="inlineStr"/>
      <c r="M485" t="inlineStr"/>
      <c r="N485" t="inlineStr"/>
      <c r="O485" t="n">
        <v>0</v>
      </c>
      <c r="P485">
        <f>IF(B511=0,0,O485/B511)</f>
        <v/>
      </c>
      <c r="Q485">
        <f>IFERROR(1/IF(Inputs!$B$39="pvp",15,MAX(0.1,Skills!D19-IF(Skills!E19=TRUE,Inputs!$B$32,0))),0)</f>
        <v/>
      </c>
      <c r="R485">
        <f>IF(AND(Inputs!$B$39&lt;&gt;"pvp",Inputs!$B$44&gt;0),IF(Inputs!$B$44&lt;=0,0,(INT(Inputs!$B$44/IF(Inputs!$B$39="pvp",15,MAX(0.1,Skills!D19-IF(Skills!E19=TRUE,Inputs!$B$32,0))))+1)),0)</f>
        <v/>
      </c>
      <c r="S485">
        <f>IFERROR(O485/N485,0)</f>
        <v/>
      </c>
    </row>
    <row r="486">
      <c r="A486">
        <f>Skills!A20</f>
        <v/>
      </c>
      <c r="B486">
        <f>Skills!B20</f>
        <v/>
      </c>
      <c r="C486">
        <f>Inputs!$B$3&gt;=15</f>
        <v/>
      </c>
      <c r="D486">
        <f>IF(Skills!C20=1,60+Inputs!$B$25+Inputs!$B$29,IF(Skills!C20=2,90+Inputs!$B$26+Inputs!$B$29,IF(Skills!C20=3,120+Inputs!$B$27+Inputs!$B$29,MAX(0,(Inputs!$B$3-100)*3)+Inputs!$B$28+Inputs!$B$29)))</f>
        <v/>
      </c>
      <c r="E486">
        <f>INDEX(FactorTable!$B$2:$Y$301, MATCH(ROUND(MIN(300,MAX(1,D486)),0), FactorTable!$A$2:$A$301,0), Skills!M20+1)</f>
        <v/>
      </c>
      <c r="F486">
        <f>IF(Skills!N20=TRUE,(Skills!L20/10)*(E486/1000),Skills!L20/10)+Skills!O20</f>
        <v/>
      </c>
      <c r="G486">
        <f>Skills!G20*IF(Skills!H20&gt;0,Skills!I20/Skills!H20,1)</f>
        <v/>
      </c>
      <c r="H486">
        <f>1-(1-Skills!J20/100)^Skills!K20</f>
        <v/>
      </c>
      <c r="I486" t="inlineStr">
        <is>
          <t>1</t>
        </is>
      </c>
      <c r="J486" t="inlineStr"/>
      <c r="K486" t="inlineStr"/>
      <c r="L486" t="inlineStr"/>
      <c r="M486" t="inlineStr"/>
      <c r="N486" t="inlineStr"/>
      <c r="O486" t="n">
        <v>0</v>
      </c>
      <c r="P486">
        <f>IF(B511=0,0,O486/B511)</f>
        <v/>
      </c>
      <c r="Q486">
        <f>IFERROR(1/IF(Inputs!$B$39="pvp",15,MAX(0.1,Skills!D20-IF(Skills!E20=TRUE,Inputs!$B$32,0))),0)</f>
        <v/>
      </c>
      <c r="R486">
        <f>IF(AND(Inputs!$B$39&lt;&gt;"pvp",Inputs!$B$44&gt;0),IF(Inputs!$B$44&lt;=0,0,(INT(Inputs!$B$44/IF(Inputs!$B$39="pvp",15,MAX(0.1,Skills!D20-IF(Skills!E20=TRUE,Inputs!$B$32,0))))+1)),0)</f>
        <v/>
      </c>
      <c r="S486">
        <f>IFERROR(O486/N486,0)</f>
        <v/>
      </c>
    </row>
    <row r="487">
      <c r="A487">
        <f>Skills!A21</f>
        <v/>
      </c>
      <c r="B487">
        <f>Skills!B21</f>
        <v/>
      </c>
      <c r="C487">
        <f>Inputs!$B$3&gt;=15</f>
        <v/>
      </c>
      <c r="D487">
        <f>IF(Skills!C21=1,60+Inputs!$B$25+Inputs!$B$29,IF(Skills!C21=2,90+Inputs!$B$26+Inputs!$B$29,IF(Skills!C21=3,120+Inputs!$B$27+Inputs!$B$29,MAX(0,(Inputs!$B$3-100)*3)+Inputs!$B$28+Inputs!$B$29)))</f>
        <v/>
      </c>
      <c r="E487">
        <f>INDEX(FactorTable!$B$2:$Y$301, MATCH(ROUND(MIN(300,MAX(1,D487)),0), FactorTable!$A$2:$A$301,0), Skills!M21+1)</f>
        <v/>
      </c>
      <c r="F487">
        <f>IF(Skills!N21=TRUE,(Skills!L21/10)*(E487/1000),Skills!L21/10)+Skills!O21</f>
        <v/>
      </c>
      <c r="G487">
        <f>Skills!G21*IF(Skills!H21&gt;0,Skills!I21/Skills!H21,1)</f>
        <v/>
      </c>
      <c r="H487">
        <f>1-(1-Skills!J21/100)^Skills!K21</f>
        <v/>
      </c>
      <c r="I487" t="inlineStr">
        <is>
          <t>1</t>
        </is>
      </c>
      <c r="J487" t="inlineStr"/>
      <c r="K487" t="inlineStr"/>
      <c r="L487" t="inlineStr"/>
      <c r="M487" t="inlineStr"/>
      <c r="N487" t="inlineStr"/>
      <c r="O487" t="n">
        <v>0</v>
      </c>
      <c r="P487">
        <f>IF(B511=0,0,O487/B511)</f>
        <v/>
      </c>
      <c r="Q487">
        <f>IFERROR(1/IF(Inputs!$B$39="pvp",15,MAX(0.1,Skills!D21-IF(Skills!E21=TRUE,Inputs!$B$32,0))),0)</f>
        <v/>
      </c>
      <c r="R487">
        <f>IF(AND(Inputs!$B$39&lt;&gt;"pvp",Inputs!$B$44&gt;0),IF(Inputs!$B$44&lt;=0,0,(INT(Inputs!$B$44/IF(Inputs!$B$39="pvp",15,MAX(0.1,Skills!D21-IF(Skills!E21=TRUE,Inputs!$B$32,0))))+1)),0)</f>
        <v/>
      </c>
      <c r="S487">
        <f>IFERROR(O487/N487,0)</f>
        <v/>
      </c>
    </row>
    <row r="488">
      <c r="A488">
        <f>Skills!A22</f>
        <v/>
      </c>
      <c r="B488">
        <f>Skills!B22</f>
        <v/>
      </c>
      <c r="C488">
        <f>Inputs!$B$3&gt;=33</f>
        <v/>
      </c>
      <c r="D488">
        <f>IF(Skills!C22=1,60+Inputs!$B$25+Inputs!$B$29,IF(Skills!C22=2,90+Inputs!$B$26+Inputs!$B$29,IF(Skills!C22=3,120+Inputs!$B$27+Inputs!$B$29,MAX(0,(Inputs!$B$3-100)*3)+Inputs!$B$28+Inputs!$B$29)))</f>
        <v/>
      </c>
      <c r="E488">
        <f>INDEX(FactorTable!$B$2:$Y$301, MATCH(ROUND(MIN(300,MAX(1,D488)),0), FactorTable!$A$2:$A$301,0), Skills!M22+1)</f>
        <v/>
      </c>
      <c r="F488">
        <f>IF(Skills!N22=TRUE,(Skills!L22/10)*(E488/1000),Skills!L22/10)+Skills!O22</f>
        <v/>
      </c>
      <c r="G488">
        <f>Skills!G22*IF(Skills!H22&gt;0,Skills!I22/Skills!H22,1)</f>
        <v/>
      </c>
      <c r="H488">
        <f>1-(1-Skills!J22/100)^Skills!K22</f>
        <v/>
      </c>
      <c r="I488" t="inlineStr">
        <is>
          <t>1</t>
        </is>
      </c>
      <c r="J488" t="inlineStr"/>
      <c r="K488" t="inlineStr"/>
      <c r="L488" t="inlineStr"/>
      <c r="M488" t="inlineStr"/>
      <c r="N488" t="inlineStr"/>
      <c r="O488" t="n">
        <v>0</v>
      </c>
      <c r="P488">
        <f>IF(B511=0,0,O488/B511)</f>
        <v/>
      </c>
      <c r="Q488" t="n">
        <v>0</v>
      </c>
      <c r="R488" t="n">
        <v>0</v>
      </c>
      <c r="S488">
        <f>IFERROR(O488/N488,0)</f>
        <v/>
      </c>
    </row>
    <row r="489">
      <c r="A489">
        <f>Skills!A23</f>
        <v/>
      </c>
      <c r="B489">
        <f>Skills!B23</f>
        <v/>
      </c>
      <c r="C489">
        <f>Inputs!$B$3&gt;=40</f>
        <v/>
      </c>
      <c r="D489">
        <f>IF(Skills!C23=1,60+Inputs!$B$25+Inputs!$B$29,IF(Skills!C23=2,90+Inputs!$B$26+Inputs!$B$29,IF(Skills!C23=3,120+Inputs!$B$27+Inputs!$B$29,MAX(0,(Inputs!$B$3-100)*3)+Inputs!$B$28+Inputs!$B$29)))</f>
        <v/>
      </c>
      <c r="E489">
        <f>INDEX(FactorTable!$B$2:$Y$301, MATCH(ROUND(MIN(300,MAX(1,D489)),0), FactorTable!$A$2:$A$301,0), Skills!M23+1)</f>
        <v/>
      </c>
      <c r="F489">
        <f>IF(Skills!N23=TRUE,(Skills!L23/10)*(E489/1000),Skills!L23/10)+Skills!O23</f>
        <v/>
      </c>
      <c r="G489">
        <f>Skills!G23*IF(Skills!H23&gt;0,Skills!I23/Skills!H23,1)</f>
        <v/>
      </c>
      <c r="H489">
        <f>1-(1-Skills!J23/100)^Skills!K23</f>
        <v/>
      </c>
      <c r="I489" t="inlineStr">
        <is>
          <t>1</t>
        </is>
      </c>
      <c r="J489" t="inlineStr"/>
      <c r="K489" t="inlineStr"/>
      <c r="L489" t="inlineStr"/>
      <c r="M489" t="inlineStr"/>
      <c r="N489" t="inlineStr"/>
      <c r="O489" t="n">
        <v>0</v>
      </c>
      <c r="P489">
        <f>IF(B511=0,0,O489/B511)</f>
        <v/>
      </c>
      <c r="Q489" t="n">
        <v>0</v>
      </c>
      <c r="R489" t="n">
        <v>0</v>
      </c>
      <c r="S489">
        <f>IFERROR(O489/N489,0)</f>
        <v/>
      </c>
    </row>
    <row r="490">
      <c r="A490">
        <f>Skills!A24</f>
        <v/>
      </c>
      <c r="B490">
        <f>Skills!B24</f>
        <v/>
      </c>
      <c r="C490">
        <f>Inputs!$B$3&gt;=43</f>
        <v/>
      </c>
      <c r="D490">
        <f>IF(Skills!C24=1,60+Inputs!$B$25+Inputs!$B$29,IF(Skills!C24=2,90+Inputs!$B$26+Inputs!$B$29,IF(Skills!C24=3,120+Inputs!$B$27+Inputs!$B$29,MAX(0,(Inputs!$B$3-100)*3)+Inputs!$B$28+Inputs!$B$29)))</f>
        <v/>
      </c>
      <c r="E490">
        <f>INDEX(FactorTable!$B$2:$Y$301, MATCH(ROUND(MIN(300,MAX(1,D490)),0), FactorTable!$A$2:$A$301,0), Skills!M24+1)</f>
        <v/>
      </c>
      <c r="F490">
        <f>IF(Skills!N24=TRUE,(Skills!L24/10)*(E490/1000),Skills!L24/10)+Skills!O24</f>
        <v/>
      </c>
      <c r="G490">
        <f>Skills!G24*IF(Skills!H24&gt;0,Skills!I24/Skills!H24,1)</f>
        <v/>
      </c>
      <c r="H490">
        <f>1-(1-Skills!J24/100)^Skills!K24</f>
        <v/>
      </c>
      <c r="I490" t="inlineStr">
        <is>
          <t>1</t>
        </is>
      </c>
      <c r="J490" t="inlineStr"/>
      <c r="K490" t="inlineStr"/>
      <c r="L490" t="inlineStr"/>
      <c r="M490" t="inlineStr"/>
      <c r="N490" t="inlineStr"/>
      <c r="O490" t="n">
        <v>0</v>
      </c>
      <c r="P490">
        <f>IF(B511=0,0,O490/B511)</f>
        <v/>
      </c>
      <c r="Q490" t="n">
        <v>0</v>
      </c>
      <c r="R490" t="n">
        <v>0</v>
      </c>
      <c r="S490">
        <f>IFERROR(O490/N490,0)</f>
        <v/>
      </c>
    </row>
    <row r="491">
      <c r="A491">
        <f>Skills!A25</f>
        <v/>
      </c>
      <c r="B491">
        <f>Skills!B25</f>
        <v/>
      </c>
      <c r="C491">
        <f>Inputs!$B$3&gt;=50</f>
        <v/>
      </c>
      <c r="D491">
        <f>IF(Skills!C25=1,60+Inputs!$B$25+Inputs!$B$29,IF(Skills!C25=2,90+Inputs!$B$26+Inputs!$B$29,IF(Skills!C25=3,120+Inputs!$B$27+Inputs!$B$29,MAX(0,(Inputs!$B$3-100)*3)+Inputs!$B$28+Inputs!$B$29)))</f>
        <v/>
      </c>
      <c r="E491">
        <f>INDEX(FactorTable!$B$2:$Y$301, MATCH(ROUND(MIN(300,MAX(1,D491)),0), FactorTable!$A$2:$A$301,0), Skills!M25+1)</f>
        <v/>
      </c>
      <c r="F491">
        <f>IF(Skills!N25=TRUE,(Skills!L25/10)*(E491/1000),Skills!L25/10)+Skills!O25</f>
        <v/>
      </c>
      <c r="G491">
        <f>Skills!G25*IF(Skills!H25&gt;0,Skills!I25/Skills!H25,1)</f>
        <v/>
      </c>
      <c r="H491">
        <f>1-(1-Skills!J25/100)^Skills!K25</f>
        <v/>
      </c>
      <c r="I491" t="inlineStr">
        <is>
          <t>1</t>
        </is>
      </c>
      <c r="J491" t="inlineStr"/>
      <c r="K491" t="inlineStr"/>
      <c r="L491" t="inlineStr"/>
      <c r="M491" t="inlineStr"/>
      <c r="N491" t="inlineStr"/>
      <c r="O491" t="n">
        <v>0</v>
      </c>
      <c r="P491">
        <f>IF(B511=0,0,O491/B511)</f>
        <v/>
      </c>
      <c r="Q491" t="n">
        <v>0</v>
      </c>
      <c r="R491" t="n">
        <v>0</v>
      </c>
      <c r="S491">
        <f>IFERROR(O491/N491,0)</f>
        <v/>
      </c>
    </row>
    <row r="492">
      <c r="A492">
        <f>Skills!A26</f>
        <v/>
      </c>
      <c r="B492">
        <f>Skills!B26</f>
        <v/>
      </c>
      <c r="C492">
        <f>Inputs!$B$3&gt;=50</f>
        <v/>
      </c>
      <c r="D492">
        <f>IF(Skills!C26=1,60+Inputs!$B$25+Inputs!$B$29,IF(Skills!C26=2,90+Inputs!$B$26+Inputs!$B$29,IF(Skills!C26=3,120+Inputs!$B$27+Inputs!$B$29,MAX(0,(Inputs!$B$3-100)*3)+Inputs!$B$28+Inputs!$B$29)))</f>
        <v/>
      </c>
      <c r="E492">
        <f>INDEX(FactorTable!$B$2:$Y$301, MATCH(ROUND(MIN(300,MAX(1,D492)),0), FactorTable!$A$2:$A$301,0), Skills!M26+1)</f>
        <v/>
      </c>
      <c r="F492">
        <f>IF(Skills!N26=TRUE,(Skills!L26/10)*(E492/1000),Skills!L26/10)+Skills!O26</f>
        <v/>
      </c>
      <c r="G492">
        <f>Skills!G26*IF(Skills!H26&gt;0,Skills!I26/Skills!H26,1)</f>
        <v/>
      </c>
      <c r="H492">
        <f>1-(1-Skills!J26/100)^Skills!K26</f>
        <v/>
      </c>
      <c r="I492" t="inlineStr">
        <is>
          <t>1</t>
        </is>
      </c>
      <c r="J492" t="inlineStr"/>
      <c r="K492" t="inlineStr"/>
      <c r="L492" t="inlineStr"/>
      <c r="M492" t="inlineStr"/>
      <c r="N492" t="inlineStr"/>
      <c r="O492" t="n">
        <v>0</v>
      </c>
      <c r="P492">
        <f>IF(B511=0,0,O492/B511)</f>
        <v/>
      </c>
      <c r="Q492" t="n">
        <v>0</v>
      </c>
      <c r="R492" t="n">
        <v>0</v>
      </c>
      <c r="S492">
        <f>IFERROR(O492/N492,0)</f>
        <v/>
      </c>
    </row>
    <row r="493">
      <c r="A493">
        <f>Skills!A27</f>
        <v/>
      </c>
      <c r="B493">
        <f>Skills!B27</f>
        <v/>
      </c>
      <c r="C493">
        <f>Inputs!$B$3&gt;=38</f>
        <v/>
      </c>
      <c r="D493">
        <f>IF(Skills!C27=1,60+Inputs!$B$25+Inputs!$B$29,IF(Skills!C27=2,90+Inputs!$B$26+Inputs!$B$29,IF(Skills!C27=3,120+Inputs!$B$27+Inputs!$B$29,MAX(0,(Inputs!$B$3-100)*3)+Inputs!$B$28+Inputs!$B$29)))</f>
        <v/>
      </c>
      <c r="E493">
        <f>INDEX(FactorTable!$B$2:$Y$301, MATCH(ROUND(MIN(300,MAX(1,D493)),0), FactorTable!$A$2:$A$301,0), Skills!M27+1)</f>
        <v/>
      </c>
      <c r="F493">
        <f>IF(Skills!N27=TRUE,(Skills!L27/10)*(E493/1000),Skills!L27/10)+Skills!O27</f>
        <v/>
      </c>
      <c r="G493">
        <f>Skills!G27*IF(Skills!H27&gt;0,Skills!I27/Skills!H27,1)</f>
        <v/>
      </c>
      <c r="H493">
        <f>1-(1-Skills!J27/100)^Skills!K27</f>
        <v/>
      </c>
      <c r="I493" t="inlineStr">
        <is>
          <t>1</t>
        </is>
      </c>
      <c r="J493" t="inlineStr"/>
      <c r="K493" t="inlineStr"/>
      <c r="L493" t="inlineStr"/>
      <c r="M493" t="inlineStr"/>
      <c r="N493" t="inlineStr"/>
      <c r="O493" t="n">
        <v>0</v>
      </c>
      <c r="P493">
        <f>IF(B511=0,0,O493/B511)</f>
        <v/>
      </c>
      <c r="Q493" t="n">
        <v>0</v>
      </c>
      <c r="R493" t="n">
        <v>0</v>
      </c>
      <c r="S493">
        <f>IFERROR(O493/N493,0)</f>
        <v/>
      </c>
    </row>
    <row r="494">
      <c r="A494">
        <f>Skills!A28</f>
        <v/>
      </c>
      <c r="B494">
        <f>Skills!B28</f>
        <v/>
      </c>
      <c r="C494">
        <f>Inputs!$B$3&gt;=120</f>
        <v/>
      </c>
      <c r="D494">
        <f>IF(Skills!C28=1,60+Inputs!$B$25+Inputs!$B$29,IF(Skills!C28=2,90+Inputs!$B$26+Inputs!$B$29,IF(Skills!C28=3,120+Inputs!$B$27+Inputs!$B$29,MAX(0,(Inputs!$B$3-100)*3)+Inputs!$B$28+Inputs!$B$29)))</f>
        <v/>
      </c>
      <c r="E494">
        <f>INDEX(FactorTable!$B$2:$Y$301, MATCH(ROUND(MIN(300,MAX(1,D494)),0), FactorTable!$A$2:$A$301,0), Skills!M28+1)</f>
        <v/>
      </c>
      <c r="F494">
        <f>IF(Skills!N28=TRUE,(Skills!L28/10)*(E494/1000),Skills!L28/10)+Skills!O28</f>
        <v/>
      </c>
      <c r="G494">
        <f>Skills!G28*IF(Skills!H28&gt;0,Skills!I28/Skills!H28,1)</f>
        <v/>
      </c>
      <c r="H494">
        <f>1-(1-Skills!J28/100)^Skills!K28</f>
        <v/>
      </c>
      <c r="I494" t="inlineStr">
        <is>
          <t>1</t>
        </is>
      </c>
      <c r="J494" t="inlineStr"/>
      <c r="K494" t="inlineStr"/>
      <c r="L494" t="inlineStr"/>
      <c r="M494" t="inlineStr"/>
      <c r="N494" t="inlineStr"/>
      <c r="O494" t="n">
        <v>0</v>
      </c>
      <c r="P494">
        <f>IF(B511=0,0,O494/B511)</f>
        <v/>
      </c>
      <c r="Q494" t="n">
        <v>0</v>
      </c>
      <c r="R494" t="n">
        <v>0</v>
      </c>
      <c r="S494">
        <f>IFERROR(O494/N494,0)</f>
        <v/>
      </c>
    </row>
    <row r="495">
      <c r="A495">
        <f>Skills!A29</f>
        <v/>
      </c>
      <c r="B495">
        <f>Skills!B29</f>
        <v/>
      </c>
      <c r="C495">
        <f>Inputs!$B$3&gt;=120</f>
        <v/>
      </c>
      <c r="D495">
        <f>IF(Skills!C29=1,60+Inputs!$B$25+Inputs!$B$29,IF(Skills!C29=2,90+Inputs!$B$26+Inputs!$B$29,IF(Skills!C29=3,120+Inputs!$B$27+Inputs!$B$29,MAX(0,(Inputs!$B$3-100)*3)+Inputs!$B$28+Inputs!$B$29)))</f>
        <v/>
      </c>
      <c r="E495">
        <f>INDEX(FactorTable!$B$2:$Y$301, MATCH(ROUND(MIN(300,MAX(1,D495)),0), FactorTable!$A$2:$A$301,0), Skills!M29+1)</f>
        <v/>
      </c>
      <c r="F495">
        <f>IF(Skills!N29=TRUE,(Skills!L29/10)*(E495/1000),Skills!L29/10)+Skills!O29</f>
        <v/>
      </c>
      <c r="G495">
        <f>Skills!G29*IF(Skills!H29&gt;0,Skills!I29/Skills!H29,1)</f>
        <v/>
      </c>
      <c r="H495">
        <f>1-(1-Skills!J29/100)^Skills!K29</f>
        <v/>
      </c>
      <c r="I495" t="inlineStr">
        <is>
          <t>1</t>
        </is>
      </c>
      <c r="J495" t="inlineStr"/>
      <c r="K495" t="inlineStr"/>
      <c r="L495" t="inlineStr"/>
      <c r="M495" t="inlineStr"/>
      <c r="N495" t="inlineStr"/>
      <c r="O495" t="n">
        <v>0</v>
      </c>
      <c r="P495">
        <f>IF(B511=0,0,O495/B511)</f>
        <v/>
      </c>
      <c r="Q495" t="n">
        <v>0</v>
      </c>
      <c r="R495" t="n">
        <v>0</v>
      </c>
      <c r="S495">
        <f>IFERROR(O495/N495,0)</f>
        <v/>
      </c>
    </row>
    <row r="496">
      <c r="A496">
        <f>Skills!A30</f>
        <v/>
      </c>
      <c r="B496">
        <f>Skills!B30</f>
        <v/>
      </c>
      <c r="C496">
        <f>Inputs!$B$3&gt;=125</f>
        <v/>
      </c>
      <c r="D496">
        <f>IF(Skills!C30=1,60+Inputs!$B$25+Inputs!$B$29,IF(Skills!C30=2,90+Inputs!$B$26+Inputs!$B$29,IF(Skills!C30=3,120+Inputs!$B$27+Inputs!$B$29,MAX(0,(Inputs!$B$3-100)*3)+Inputs!$B$28+Inputs!$B$29)))</f>
        <v/>
      </c>
      <c r="E496">
        <f>INDEX(FactorTable!$B$2:$Y$301, MATCH(ROUND(MIN(300,MAX(1,D496)),0), FactorTable!$A$2:$A$301,0), Skills!M30+1)</f>
        <v/>
      </c>
      <c r="F496">
        <f>IF(Skills!N30=TRUE,(Skills!L30/10)*(E496/1000),Skills!L30/10)+Skills!O30</f>
        <v/>
      </c>
      <c r="G496">
        <f>Skills!G30*IF(Skills!H30&gt;0,Skills!I30/Skills!H30,1)</f>
        <v/>
      </c>
      <c r="H496">
        <f>1-(1-Skills!J30/100)^Skills!K30</f>
        <v/>
      </c>
      <c r="I496" t="inlineStr">
        <is>
          <t>1</t>
        </is>
      </c>
      <c r="J496" t="inlineStr"/>
      <c r="K496" t="inlineStr"/>
      <c r="L496" t="inlineStr"/>
      <c r="M496" t="inlineStr"/>
      <c r="N496" t="inlineStr"/>
      <c r="O496" t="n">
        <v>0</v>
      </c>
      <c r="P496">
        <f>IF(B511=0,0,O496/B511)</f>
        <v/>
      </c>
      <c r="Q496" t="n">
        <v>0</v>
      </c>
      <c r="R496" t="n">
        <v>0</v>
      </c>
      <c r="S496">
        <f>IFERROR(O496/N496,0)</f>
        <v/>
      </c>
    </row>
    <row r="498">
      <c r="A498" t="inlineStr">
        <is>
          <t>Average Buff Multiplier</t>
        </is>
      </c>
      <c r="B498">
        <f>(1+(((C487=TRUE)*F487*IF(AND(Inputs!$B$39&lt;&gt;"pvp",Inputs!$B$44&gt;0),(((R487-1)*(Skills!Y21*(1+Inputs!$B$34/100))+MIN((Skills!Y21*(1+Inputs!$B$34/100)),MAX(0,Inputs!$B$44-((R487-1)*Skills!D21))))/Inputs!$B$44),IF(Inputs!$B$39="pvp",MIN((Skills!Y21*(1+Inputs!$B$34/100)),15)/15,(Skills!Y21*(1+Inputs!$B$34/100))/Skills!D21)))+((C489=TRUE)*(F489-Calc!F23))+((C483=TRUE)*(F483-Calc!F17)))/100)*(1+((C476=TRUE)*F476*IF(AND(Inputs!$B$39&lt;&gt;"pvp",Inputs!$B$44&gt;0),(((R476-1)*(Skills!Y10*(1+Inputs!$B$34/100))+MIN((Skills!Y10*(1+Inputs!$B$34/100)),MAX(0,Inputs!$B$44-((R476-1)*Skills!D10))))/Inputs!$B$44),IF(Inputs!$B$39="pvp",MIN((Skills!Y10*(1+Inputs!$B$34/100)),15)/15,(Skills!Y10*(1+Inputs!$B$34/100))/Skills!D10)))/100)*(1+((C481=TRUE)*F481*IF(AND(Inputs!$B$39&lt;&gt;"pvp",Inputs!$B$44&gt;0),(((R481-1)*(Skills!Y15*(1+Inputs!$B$34/100))+MIN((Skills!Y15*(1+Inputs!$B$34/100)),MAX(0,Inputs!$B$44-((R481-1)*Skills!D15))))/Inputs!$B$44),IF(Inputs!$B$39="pvp",MIN((Skills!Y15*(1+Inputs!$B$34/100)),15)/15,(Skills!Y15*(1+Inputs!$B$34/100))/Skills!D15)))/100)</f>
        <v/>
      </c>
    </row>
    <row r="499">
      <c r="A499" t="inlineStr">
        <is>
          <t>Global Crit Rate Bonus %</t>
        </is>
      </c>
      <c r="B499">
        <f>((C486=TRUE)*F486*IF(AND(Inputs!$B$39&lt;&gt;"pvp",Inputs!$B$44&gt;0),(((R486-1)*(Skills!Y20*(1+Inputs!$B$34/100))+MIN((Skills!Y20*(1+Inputs!$B$34/100)),MAX(0,Inputs!$B$44-((R486-1)*Skills!D20))))/Inputs!$B$44),IF(Inputs!$B$39="pvp",MIN((Skills!Y20*(1+Inputs!$B$34/100)),15)/15,(Skills!Y20*(1+Inputs!$B$34/100))/Skills!D20)))</f>
        <v/>
      </c>
    </row>
    <row r="500">
      <c r="A500" t="inlineStr">
        <is>
          <t>Global Monster Damage-Taken Bonus %</t>
        </is>
      </c>
      <c r="B500">
        <f>IF(Inputs!$B$3&gt;=82,15,0)</f>
        <v/>
      </c>
    </row>
    <row r="501">
      <c r="A501" t="inlineStr">
        <is>
          <t>Shadow Partner Average Multiplier</t>
        </is>
      </c>
      <c r="B501">
        <f>1+((C473=TRUE)*F473*(1+3.3333333333333335*IF(C484=TRUE,F484,0)/100)*I473*Skills!J7/100)/100</f>
        <v/>
      </c>
    </row>
    <row r="502">
      <c r="A502" t="inlineStr">
        <is>
          <t>Attack Speed Buff Bonus %</t>
        </is>
      </c>
      <c r="B502">
        <f>((C485=TRUE)*F485*IF(AND(Inputs!$B$39&lt;&gt;"pvp",Inputs!$B$44&gt;0),(((R485-1)*(Skills!Y19*(1+Inputs!$B$34/100))+MIN((Skills!Y19*(1+Inputs!$B$34/100)),MAX(0,Inputs!$B$44-((R485-1)*Skills!D19))))/Inputs!$B$44),IF(Inputs!$B$39="pvp",MIN((Skills!Y19*(1+Inputs!$B$34/100)),15)/15,(Skills!Y19*(1+Inputs!$B$34/100))/Skills!D19)))+((C469=TRUE)*F469*3)</f>
        <v/>
      </c>
    </row>
    <row r="503">
      <c r="A503" t="inlineStr">
        <is>
          <t>Actions Per Second</t>
        </is>
      </c>
      <c r="B503">
        <f>1+MIN(150,150*(1-(1-(Inputs!$B$11+((C488=TRUE)*(F488-Calc!F22)))/150)*(1-B502/150)))/100</f>
        <v/>
      </c>
    </row>
    <row r="504">
      <c r="A504" t="inlineStr">
        <is>
          <t>Skill + Buff Cast Rate</t>
        </is>
      </c>
      <c r="B504">
        <f>IF(AND(Inputs!$B$39&lt;&gt;"pvp",Inputs!$B$44&gt;0),SUMPRODUCT((Skills!E2:E30=TRUE)*(C468:C496=TRUE)*R468:R496*Skills!F2:F30)/Inputs!$B$44,SUMPRODUCT((Skills!E2:E30=TRUE)*(C468:C496=TRUE)*Q468:Q496*Skills!F2:F30))</f>
        <v/>
      </c>
    </row>
    <row r="505">
      <c r="A505" t="inlineStr">
        <is>
          <t>Cruel Stab Casts Per Second</t>
        </is>
      </c>
      <c r="B505">
        <f>MAX(0,B503-B504)</f>
        <v/>
      </c>
    </row>
    <row r="506">
      <c r="A506" t="inlineStr">
        <is>
          <t>Global Critical Damage Bonus % (Smokescreen Mastery Lv.113)</t>
        </is>
      </c>
      <c r="B506">
        <f>IF(Inputs!$B$3&gt;=113,30,0)*IF(AND(Inputs!$B$39&lt;&gt;"pvp",Inputs!$B$44&gt;0),(((R481-1)*(Skills!Y15*(1+Inputs!$B$34/100))+MIN((Skills!Y15*(1+Inputs!$B$34/100)),MAX(0,Inputs!$B$44-((R481-1)*Skills!D15))))/Inputs!$B$44),IF(Inputs!$B$39="pvp",MIN((Skills!Y15*(1+Inputs!$B$34/100)),15)/15,(Skills!Y15*(1+Inputs!$B$34/100))/Skills!D15))</f>
        <v/>
      </c>
    </row>
    <row r="507">
      <c r="A507" t="inlineStr">
        <is>
          <t>Meso Explosion average stack count</t>
        </is>
      </c>
      <c r="B507">
        <f>MIN(10,0.5*B503*Skills!D4)</f>
        <v/>
      </c>
    </row>
    <row r="508">
      <c r="A508" t="inlineStr">
        <is>
          <t>Blood Money average stack count</t>
        </is>
      </c>
      <c r="B508">
        <f>MIN(5,0.25*B503*Skills!D4)</f>
        <v/>
      </c>
    </row>
    <row r="509">
      <c r="A509" t="inlineStr">
        <is>
          <t>Assassinate Murderous Intent Multiplier</t>
        </is>
      </c>
      <c r="B509">
        <f>1+IFERROR(MIN(1,Q480*2/Q477),0)</f>
        <v/>
      </c>
    </row>
    <row r="510">
      <c r="A510" t="inlineStr">
        <is>
          <t>Buff-Casting Startup Delay (s, fixed-duration only)</t>
        </is>
      </c>
      <c r="B510">
        <f>IF(AND(Inputs!$B$39&lt;&gt;"pvp",Inputs!$B$44&gt;0),SUMPRODUCT((Skills!Y2:Y30&gt;0)*(Skills!E2:E30=TRUE)*(C468:C496=TRUE))/B503,0)</f>
        <v/>
      </c>
    </row>
    <row r="511">
      <c r="A511" s="5" t="inlineStr">
        <is>
          <t>TOTAL DPS</t>
        </is>
      </c>
      <c r="B511" s="5">
        <f>SUM(O468:O496)</f>
        <v/>
      </c>
    </row>
    <row r="514">
      <c r="A514" s="5" t="inlineStr">
        <is>
          <t>Stat: CRIT_RATE %</t>
        </is>
      </c>
    </row>
    <row r="515">
      <c r="A515" s="9" t="inlineStr">
        <is>
          <t>Key</t>
        </is>
      </c>
      <c r="B515" s="9" t="inlineStr">
        <is>
          <t>Name</t>
        </is>
      </c>
      <c r="C515" s="9" t="inlineStr">
        <is>
          <t>Unlocked</t>
        </is>
      </c>
      <c r="D515" s="9" t="inlineStr">
        <is>
          <t>InputLevel</t>
        </is>
      </c>
      <c r="E515" s="9" t="inlineStr">
        <is>
          <t>Factor</t>
        </is>
      </c>
      <c r="F515" s="9" t="inlineStr">
        <is>
          <t>CoefficientPercent</t>
        </is>
      </c>
      <c r="G515" s="9" t="inlineStr">
        <is>
          <t>EffectiveHits</t>
        </is>
      </c>
      <c r="H515" s="9" t="inlineStr">
        <is>
          <t>ProcProbability</t>
        </is>
      </c>
      <c r="I515" s="9" t="inlineStr">
        <is>
          <t>MapleHeroMultiplier</t>
        </is>
      </c>
      <c r="J515" s="9" t="inlineStr">
        <is>
          <t>BaseDamage</t>
        </is>
      </c>
      <c r="K515" s="9" t="inlineStr">
        <is>
          <t>BaseHitDamage</t>
        </is>
      </c>
      <c r="L515" s="9" t="inlineStr">
        <is>
          <t>NonCritAvg</t>
        </is>
      </c>
      <c r="M515" s="9" t="inlineStr">
        <is>
          <t>CritAvg</t>
        </is>
      </c>
      <c r="N515" s="9" t="inlineStr">
        <is>
          <t>ExpectedDamage(perHit)</t>
        </is>
      </c>
      <c r="O515" s="9" t="inlineStr">
        <is>
          <t>DPS</t>
        </is>
      </c>
      <c r="P515" s="9" t="inlineStr">
        <is>
          <t>% of Total</t>
        </is>
      </c>
      <c r="Q515" s="9" t="inlineStr">
        <is>
          <t>InvCooldown</t>
        </is>
      </c>
      <c r="R515" s="9" t="inlineStr">
        <is>
          <t>CastsInFight</t>
        </is>
      </c>
      <c r="S515" s="9" t="inlineStr">
        <is>
          <t>HitRate(perSec)</t>
        </is>
      </c>
      <c r="U515" t="inlineStr">
        <is>
          <t>helpers</t>
        </is>
      </c>
    </row>
    <row r="516">
      <c r="A516">
        <f>Skills!A2</f>
        <v/>
      </c>
      <c r="B516">
        <f>Skills!B2</f>
        <v/>
      </c>
      <c r="C516">
        <f>Inputs!$B$3&gt;=100</f>
        <v/>
      </c>
      <c r="D516" t="inlineStr"/>
      <c r="E516" t="inlineStr"/>
      <c r="F516">
        <f>U518+Skills!O2</f>
        <v/>
      </c>
      <c r="G516">
        <f>Skills!G2*IF(Skills!H2&gt;0,Skills!I2/Skills!H2,1)</f>
        <v/>
      </c>
      <c r="H516">
        <f>1-(1-Skills!J2/100)^Skills!K2</f>
        <v/>
      </c>
      <c r="I516" t="inlineStr">
        <is>
          <t>1</t>
        </is>
      </c>
      <c r="J516">
        <f>((Inputs!$B$6*(1+Inputs!$B$7/100))+(((Inputs!$B$12*(1+Inputs!$B$13/100))-(Inputs!$B$12*(1+Inputs!$B$13/100)))+0.25*(Inputs!$B$14-Inputs!$B$14))*(1+Inputs!$B$7/100))*(F516/100)</f>
        <v/>
      </c>
      <c r="K516">
        <f>J516*(1+((Inputs!$B$12*(1+Inputs!$B$13/100))*0.01+Inputs!$B$14*0.0025)/100)*(1+Inputs!$B$15/100)*(1+IF(Inputs!$B$39="pvp",0,(1-Summary!$B$55)*(Inputs!$B$20+0+Skills!P2+B548)+Summary!$B$55*(Inputs!$B$21+Skills!Q2+B548))/100)*(1+Inputs!$B$16/100)*(5000/(6000+Inputs!$B$43*(1-Inputs!$B$19/100)))*(1+(Inputs!$B$24+((C544=TRUE)*(F544-Calc!F30)))/100)*(1+(IF(Skills!A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516)</f>
        <v/>
      </c>
      <c r="L516">
        <f>K516*(MIN(Inputs!$B$22+((C538=TRUE)*(F538-Calc!F24)),Inputs!$B$23+((C543=TRUE)*(F543-Calc!F29)))/100+(Inputs!$B$23+((C543=TRUE)*(F543-Calc!F29)))/100)/2</f>
        <v/>
      </c>
      <c r="M516">
        <f>L516*(1+(Inputs!$B$10+((C540=TRUE)*(F540-Calc!F26))+B554)/100)</f>
        <v/>
      </c>
      <c r="N516">
        <f>L516*(1-MIN(((Inputs!$B$9+1)+((C539=TRUE)*(F539-Calc!F25))+B547),100)/100)+M516*(MIN(((Inputs!$B$9+1)+((C539=TRUE)*(F539-Calc!F25))+B547),100)/100)</f>
        <v/>
      </c>
      <c r="O516">
        <f>IF(C516,Skills!G2*N516*B553*IF(Inputs!$B$39="pvp",1,(1-Summary!$B$55)*(1)+Summary!$B$55*(MIN((6+Inputs!$B$33),Inputs!$B$37))),0)</f>
        <v/>
      </c>
      <c r="P516">
        <f>IF(B559=0,0,O516/B559)</f>
        <v/>
      </c>
      <c r="Q516" t="n">
        <v>0</v>
      </c>
      <c r="R516" t="n">
        <v>0</v>
      </c>
      <c r="S516">
        <f>IFERROR(O516/N516,0)</f>
        <v/>
      </c>
      <c r="U516">
        <f>MAX(0,(Inputs!$B$3-100)*3)+Inputs!$B$28+Inputs!$B$29</f>
        <v/>
      </c>
    </row>
    <row r="517">
      <c r="A517">
        <f>Skills!A3</f>
        <v/>
      </c>
      <c r="B517">
        <f>Skills!B3</f>
        <v/>
      </c>
      <c r="C517">
        <f>Inputs!$B$3&gt;=35</f>
        <v/>
      </c>
      <c r="D517">
        <f>IF(Skills!C3=1,60+Inputs!$B$25+Inputs!$B$29,IF(Skills!C3=2,90+Inputs!$B$26+Inputs!$B$29,IF(Skills!C3=3,120+Inputs!$B$27+Inputs!$B$29,MAX(0,(Inputs!$B$3-100)*3)+Inputs!$B$28+Inputs!$B$29)))</f>
        <v/>
      </c>
      <c r="E517">
        <f>INDEX(FactorTable!$B$2:$Y$301, MATCH(ROUND(MIN(300,MAX(1,D517)),0), FactorTable!$A$2:$A$301,0), Skills!M3+1)</f>
        <v/>
      </c>
      <c r="F517">
        <f>IF(Skills!N3=TRUE,(Skills!L3/10)*(E517/1000),Skills!L3/10)+Skills!O3</f>
        <v/>
      </c>
      <c r="G517">
        <f>Skills!G3*IF(Skills!H3&gt;0,Skills!I3/Skills!H3,1)</f>
        <v/>
      </c>
      <c r="H517">
        <f>1-(1-Skills!J3/100)^Skills!K3</f>
        <v/>
      </c>
      <c r="I517" t="inlineStr">
        <is>
          <t>1</t>
        </is>
      </c>
      <c r="J517" t="inlineStr"/>
      <c r="K517" t="inlineStr"/>
      <c r="L517" t="inlineStr"/>
      <c r="M517" t="inlineStr"/>
      <c r="N517" t="inlineStr"/>
      <c r="O517" t="n">
        <v>0</v>
      </c>
      <c r="P517">
        <f>IF(B559=0,0,O517/B559)</f>
        <v/>
      </c>
      <c r="Q517" t="n">
        <v>0</v>
      </c>
      <c r="R517" t="n">
        <v>0</v>
      </c>
      <c r="S517">
        <f>IFERROR(O517/N517,0)</f>
        <v/>
      </c>
      <c r="U517">
        <f>INDEX(FactorTable!$B$2:$Y$301, MATCH(ROUND(MIN(300,MAX(1,U516)),0), FactorTable!$A$2:$A$301,0), 22)</f>
        <v/>
      </c>
    </row>
    <row r="518">
      <c r="A518">
        <f>Skills!A4</f>
        <v/>
      </c>
      <c r="B518">
        <f>Skills!B4</f>
        <v/>
      </c>
      <c r="C518">
        <f>Inputs!$B$3&gt;=66</f>
        <v/>
      </c>
      <c r="D518">
        <f>IF(Skills!C4=1,60+Inputs!$B$25+Inputs!$B$29,IF(Skills!C4=2,90+Inputs!$B$26+Inputs!$B$29,IF(Skills!C4=3,120+Inputs!$B$27+Inputs!$B$29,MAX(0,(Inputs!$B$3-100)*3)+Inputs!$B$28+Inputs!$B$29)))</f>
        <v/>
      </c>
      <c r="E518">
        <f>INDEX(FactorTable!$B$2:$Y$301, MATCH(ROUND(MIN(300,MAX(1,D518)),0), FactorTable!$A$2:$A$301,0), Skills!M4+1)</f>
        <v/>
      </c>
      <c r="F518">
        <f>IF(Skills!N4=TRUE,(Skills!L4/10)*(E518/1000),Skills!L4/10)+Skills!O4</f>
        <v/>
      </c>
      <c r="G518">
        <f>Skills!G4*IF(Skills!H4&gt;0,Skills!I4/Skills!H4,1)</f>
        <v/>
      </c>
      <c r="H518">
        <f>1-(1-Skills!J4/100)^Skills!K4</f>
        <v/>
      </c>
      <c r="I518" t="inlineStr">
        <is>
          <t>1</t>
        </is>
      </c>
      <c r="J518">
        <f>((Inputs!$B$6*(1+Inputs!$B$7/100))+(((Inputs!$B$12*(1+Inputs!$B$13/100))-(Inputs!$B$12*(1+Inputs!$B$13/100)))+0.25*(Inputs!$B$14-Inputs!$B$14))*(1+Inputs!$B$7/100))*(F518/100)</f>
        <v/>
      </c>
      <c r="K518">
        <f>J518*(1+((Inputs!$B$12*(1+Inputs!$B$13/100))*0.01+Inputs!$B$14*0.0025)/100)*(1+Inputs!$B$15/100)*(1+IF(Inputs!$B$39="pvp",0,(1-Summary!$B$55)*(Inputs!$B$20+0+Skills!P4+B548)+Summary!$B$55*(Inputs!$B$21+Skills!Q4+B548))/100)*(1+Inputs!$B$16/100)*(5000/(6000+Inputs!$B$43*(1-Inputs!$B$19/100)))*(1+(Inputs!$B$24+((C544=TRUE)*(F544-Calc!F30)))/100)*(1+(IF(Skills!A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518)</f>
        <v/>
      </c>
      <c r="L518">
        <f>K518*(MIN(Inputs!$B$22+((C538=TRUE)*(F538-Calc!F24)),Inputs!$B$23+((C543=TRUE)*(F543-Calc!F29)))/100+(Inputs!$B$23+((C543=TRUE)*(F543-Calc!F29)))/100)/2</f>
        <v/>
      </c>
      <c r="M518">
        <f>L518*(1+(Inputs!$B$10+((C540=TRUE)*(F540-Calc!F26))+B554)/100)</f>
        <v/>
      </c>
      <c r="N518">
        <f>L518*(1-MIN(((Inputs!$B$9+1)+((C539=TRUE)*(F539-Calc!F25))+B547),100)/100)+M518*(MIN(((Inputs!$B$9+1)+((C539=TRUE)*(F539-Calc!F25))+B547),100)/100)</f>
        <v/>
      </c>
      <c r="O518">
        <f>IF(C518,H518*N518*IF(AND(Inputs!$B$39&lt;&gt;"pvp",Inputs!$B$44&gt;0),((Skills!G4*((R518-1)*IF(Skills!H4&gt;0,Skills!I4/Skills!H4,1)+IF(Skills!H4&gt;0,MIN(Skills!I4,MAX(0,MAX(0,Inputs!$B$44-B558)-((R518-1)*IF(Inputs!$B$39="pvp",15,MAX(0.1,Skills!D4-IF(Skills!E4=TRUE,Inputs!$B$32,0))))))/Skills!H4,1)))/Inputs!$B$44),G518*Q518)*IF(Inputs!$B$39="pvp",1,(1-Summary!$B$55)*(1)+Summary!$B$55*(MIN(MIN(10,0.5*B551*Skills!D4),Inputs!$B$37))),0)</f>
        <v/>
      </c>
      <c r="P518">
        <f>IF(B559=0,0,O518/B559)</f>
        <v/>
      </c>
      <c r="Q518">
        <f>IFERROR(1/IF(Inputs!$B$39="pvp",15,MAX(0.1,Skills!D4-IF(Skills!E4=TRUE,Inputs!$B$32,0))),0)</f>
        <v/>
      </c>
      <c r="R518">
        <f>IF(AND(Inputs!$B$39&lt;&gt;"pvp",Inputs!$B$44&gt;0),IF(MAX(0,Inputs!$B$44-B558)&lt;=0,0,(INT(MAX(0,Inputs!$B$44-B558)/IF(Inputs!$B$39="pvp",15,MAX(0.1,Skills!D4-IF(Skills!E4=TRUE,Inputs!$B$32,0))))+1)),0)</f>
        <v/>
      </c>
      <c r="S518">
        <f>IFERROR(O518/N518,0)</f>
        <v/>
      </c>
      <c r="U518">
        <f>290*U517/1000</f>
        <v/>
      </c>
    </row>
    <row r="519">
      <c r="A519">
        <f>Skills!A5</f>
        <v/>
      </c>
      <c r="B519">
        <f>Skills!B5</f>
        <v/>
      </c>
      <c r="C519">
        <f>Inputs!$B$3&gt;=63</f>
        <v/>
      </c>
      <c r="D519">
        <f>IF(Skills!C5=1,60+Inputs!$B$25+Inputs!$B$29,IF(Skills!C5=2,90+Inputs!$B$26+Inputs!$B$29,IF(Skills!C5=3,120+Inputs!$B$27+Inputs!$B$29,MAX(0,(Inputs!$B$3-100)*3)+Inputs!$B$28+Inputs!$B$29)))</f>
        <v/>
      </c>
      <c r="E519">
        <f>INDEX(FactorTable!$B$2:$Y$301, MATCH(ROUND(MIN(300,MAX(1,D519)),0), FactorTable!$A$2:$A$301,0), Skills!M5+1)</f>
        <v/>
      </c>
      <c r="F519">
        <f>IF(Skills!N5=TRUE,(Skills!L5/10)*(E519/1000),Skills!L5/10)+Skills!O5</f>
        <v/>
      </c>
      <c r="G519">
        <f>Skills!G5*IF(Skills!H5&gt;0,Skills!I5/Skills!H5,1)</f>
        <v/>
      </c>
      <c r="H519">
        <f>1-(1-Skills!J5/100)^Skills!K5</f>
        <v/>
      </c>
      <c r="I519" t="inlineStr">
        <is>
          <t>1</t>
        </is>
      </c>
      <c r="J519">
        <f>((Inputs!$B$6*(1+Inputs!$B$7/100))+(((Inputs!$B$12*(1+Inputs!$B$13/100))-(Inputs!$B$12*(1+Inputs!$B$13/100)))+0.25*(Inputs!$B$14-Inputs!$B$14))*(1+Inputs!$B$7/100))*(F519/100)</f>
        <v/>
      </c>
      <c r="K519">
        <f>J519*(1+((Inputs!$B$12*(1+Inputs!$B$13/100))*0.01+Inputs!$B$14*0.0025)/100)*(1+Inputs!$B$15/100)*(1+IF(Inputs!$B$39="pvp",0,(1-Summary!$B$55)*(Inputs!$B$20+0+Skills!P5+B548)+Summary!$B$55*(Inputs!$B$21+Skills!Q5+B548))/100)*(1+Inputs!$B$16/100)*(5000/(6000+Inputs!$B$43*(1-Inputs!$B$19/100)))*(1+(Inputs!$B$24+((C544=TRUE)*(F544-Calc!F30)))/100)*(1+2.6666666666666665*IF(C532=TRUE,F532,0)/100)*(1+(IF(Skills!A5="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519)</f>
        <v/>
      </c>
      <c r="L519">
        <f>K519*(MIN(Inputs!$B$22+((C538=TRUE)*(F538-Calc!F24)),Inputs!$B$23+((C543=TRUE)*(F543-Calc!F29)))/100+(Inputs!$B$23+((C543=TRUE)*(F543-Calc!F29)))/100)/2</f>
        <v/>
      </c>
      <c r="M519">
        <f>L519*(1+(Inputs!$B$10+((C540=TRUE)*(F540-Calc!F26))+B554)/100)</f>
        <v/>
      </c>
      <c r="N519">
        <f>L519*(1-MIN(((Inputs!$B$9+1)+((C539=TRUE)*(F539-Calc!F25))+B547),100)/100)+M519*(MIN(((Inputs!$B$9+1)+((C539=TRUE)*(F539-Calc!F25))+B547),100)/100)</f>
        <v/>
      </c>
      <c r="O519">
        <f>IF(C519,H519*N519*IF(AND(Inputs!$B$39&lt;&gt;"pvp",Inputs!$B$44&gt;0),((Skills!G5*((R519-1)*IF(Skills!H5&gt;0,Skills!I5/Skills!H5,1)+IF(Skills!H5&gt;0,MIN(Skills!I5,MAX(0,MAX(0,Inputs!$B$44-B558)-((R519-1)*IF(Inputs!$B$39="pvp",15,MAX(0.1,Skills!D5-IF(Skills!E5=TRUE,Inputs!$B$32,0))))))/Skills!H5,1)))/Inputs!$B$44),G519*Q519)*IF(Inputs!$B$39="pvp",1,(1-Summary!$B$55)*(1)+Summary!$B$55*(MIN(Skills!W5,Inputs!$B$37))),0)</f>
        <v/>
      </c>
      <c r="P519">
        <f>IF(B559=0,0,O519/B559)</f>
        <v/>
      </c>
      <c r="Q519">
        <f>IFERROR(1/IF(Inputs!$B$39="pvp",15,MAX(0.1,Skills!D5-IF(Skills!E5=TRUE,Inputs!$B$32,0))),0)</f>
        <v/>
      </c>
      <c r="R519">
        <f>IF(AND(Inputs!$B$39&lt;&gt;"pvp",Inputs!$B$44&gt;0),IF(MAX(0,Inputs!$B$44-B558)&lt;=0,0,(INT(MAX(0,Inputs!$B$44-B558)/IF(Inputs!$B$39="pvp",15,MAX(0.1,Skills!D5-IF(Skills!E5=TRUE,Inputs!$B$32,0))))+1)),0)</f>
        <v/>
      </c>
      <c r="S519">
        <f>IFERROR(O519/N519,0)</f>
        <v/>
      </c>
    </row>
    <row r="520">
      <c r="A520">
        <f>Skills!A6</f>
        <v/>
      </c>
      <c r="B520">
        <f>Skills!B6</f>
        <v/>
      </c>
      <c r="C520">
        <f>Inputs!$B$3&gt;=69</f>
        <v/>
      </c>
      <c r="D520">
        <f>IF(Skills!C6=1,60+Inputs!$B$25+Inputs!$B$29,IF(Skills!C6=2,90+Inputs!$B$26+Inputs!$B$29,IF(Skills!C6=3,120+Inputs!$B$27+Inputs!$B$29,MAX(0,(Inputs!$B$3-100)*3)+Inputs!$B$28+Inputs!$B$29)))</f>
        <v/>
      </c>
      <c r="E520">
        <f>INDEX(FactorTable!$B$2:$Y$301, MATCH(ROUND(MIN(300,MAX(1,D520)),0), FactorTable!$A$2:$A$301,0), Skills!M6+1)</f>
        <v/>
      </c>
      <c r="F520">
        <f>IF(Skills!N6=TRUE,(Skills!L6/10)*(E520/1000),Skills!L6/10)+Skills!O6</f>
        <v/>
      </c>
      <c r="G520">
        <f>Skills!G6*IF(Skills!H6&gt;0,Skills!I6/Skills!H6,1)</f>
        <v/>
      </c>
      <c r="H520">
        <f>1-(1-Skills!J6/100)^Skills!K6</f>
        <v/>
      </c>
      <c r="I520" t="inlineStr">
        <is>
          <t>1</t>
        </is>
      </c>
      <c r="J520">
        <f>((Inputs!$B$6*(1+Inputs!$B$7/100))+(((Inputs!$B$12*(1+Inputs!$B$13/100))-(Inputs!$B$12*(1+Inputs!$B$13/100)))+0.25*(Inputs!$B$14-Inputs!$B$14))*(1+Inputs!$B$7/100))*(F520/100)</f>
        <v/>
      </c>
      <c r="K520">
        <f>J520*(1+((Inputs!$B$12*(1+Inputs!$B$13/100))*0.01+Inputs!$B$14*0.0025)/100)*(1+Inputs!$B$15/100)*(1+IF(Inputs!$B$39="pvp",0,(1-Summary!$B$55)*(Inputs!$B$20+0+Skills!P6+B548)+Summary!$B$55*(Inputs!$B$21+Skills!Q6+B548))/100)*(1+Inputs!$B$16/100)*(5000/(6000+Inputs!$B$43*(1-Inputs!$B$19/100)))*(1+(Inputs!$B$24+((C544=TRUE)*(F544-Calc!F30)))/100)*(1+1.0*IF(C532=TRUE,F532,0)/100)*(1+(IF(Skills!A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520)</f>
        <v/>
      </c>
      <c r="L520">
        <f>K520*(MIN(Inputs!$B$22+((C538=TRUE)*(F538-Calc!F24)),Inputs!$B$23+((C543=TRUE)*(F543-Calc!F29)))/100+(Inputs!$B$23+((C543=TRUE)*(F543-Calc!F29)))/100)/2</f>
        <v/>
      </c>
      <c r="M520">
        <f>L520*(1+(Inputs!$B$10+((C540=TRUE)*(F540-Calc!F26))+B554)/100)</f>
        <v/>
      </c>
      <c r="N520">
        <f>L520*(1-MIN(((Inputs!$B$9+1)+((C539=TRUE)*(F539-Calc!F25))+B547),100)/100)+M520*(MIN(((Inputs!$B$9+1)+((C539=TRUE)*(F539-Calc!F25))+B547),100)/100)</f>
        <v/>
      </c>
      <c r="O520">
        <f>IF(C520,H520*N520*IF(AND(Inputs!$B$39&lt;&gt;"pvp",Inputs!$B$44&gt;0),((Skills!G6*((R520-1)*IF(Skills!H6&gt;0,Skills!I6/Skills!H6,1)+IF(Skills!H6&gt;0,MIN(Skills!I6,MAX(0,MAX(0,Inputs!$B$44-B558)-((R520-1)*IF(Inputs!$B$39="pvp",15,MAX(0.1,Skills!D6-IF(Skills!E6=TRUE,Inputs!$B$32,0))))))/Skills!H6,1)))/Inputs!$B$44),G520*Q520)*IF(Inputs!$B$39="pvp",1,(1-Summary!$B$55)*(1)+Summary!$B$55*(MIN(Skills!W6,Inputs!$B$37))),0)</f>
        <v/>
      </c>
      <c r="P520">
        <f>IF(B559=0,0,O520/B559)</f>
        <v/>
      </c>
      <c r="Q520">
        <f>IFERROR(1/IF(Inputs!$B$39="pvp",15,MAX(0.1,Skills!D6-IF(Skills!E6=TRUE,Inputs!$B$32,0))),0)</f>
        <v/>
      </c>
      <c r="R520">
        <f>IF(AND(Inputs!$B$39&lt;&gt;"pvp",Inputs!$B$44&gt;0),IF(MAX(0,Inputs!$B$44-B558)&lt;=0,0,(INT(MAX(0,Inputs!$B$44-B558)/IF(Inputs!$B$39="pvp",15,MAX(0.1,Skills!D6-IF(Skills!E6=TRUE,Inputs!$B$32,0))))+1)),0)</f>
        <v/>
      </c>
      <c r="S520">
        <f>IFERROR(O520/N520,0)</f>
        <v/>
      </c>
    </row>
    <row r="521">
      <c r="A521">
        <f>Skills!A7</f>
        <v/>
      </c>
      <c r="B521">
        <f>Skills!B7</f>
        <v/>
      </c>
      <c r="C521">
        <f>Inputs!$B$3&gt;=60</f>
        <v/>
      </c>
      <c r="D521">
        <f>IF(Skills!C7=1,60+Inputs!$B$25+Inputs!$B$29,IF(Skills!C7=2,90+Inputs!$B$26+Inputs!$B$29,IF(Skills!C7=3,120+Inputs!$B$27+Inputs!$B$29,MAX(0,(Inputs!$B$3-100)*3)+Inputs!$B$28+Inputs!$B$29)))</f>
        <v/>
      </c>
      <c r="E521">
        <f>INDEX(FactorTable!$B$2:$Y$301, MATCH(ROUND(MIN(300,MAX(1,D521)),0), FactorTable!$A$2:$A$301,0), Skills!M7+1)</f>
        <v/>
      </c>
      <c r="F521">
        <f>IF(Skills!N7=TRUE,(Skills!L7/10)*(E521/1000),Skills!L7/10)+Skills!O7</f>
        <v/>
      </c>
      <c r="G521">
        <f>Skills!G7*IF(Skills!H7&gt;0,Skills!I7/Skills!H7,1)</f>
        <v/>
      </c>
      <c r="H521">
        <f>1-(1-Skills!J7/100)^Skills!K7</f>
        <v/>
      </c>
      <c r="I521" t="inlineStr">
        <is>
          <t>1</t>
        </is>
      </c>
      <c r="J521" t="inlineStr"/>
      <c r="K521" t="inlineStr"/>
      <c r="L521" t="inlineStr"/>
      <c r="M521" t="inlineStr"/>
      <c r="N521" t="inlineStr"/>
      <c r="O521" t="n">
        <v>0</v>
      </c>
      <c r="P521">
        <f>IF(B559=0,0,O521/B559)</f>
        <v/>
      </c>
      <c r="Q521" t="n">
        <v>0</v>
      </c>
      <c r="R521" t="n">
        <v>0</v>
      </c>
      <c r="S521">
        <f>IFERROR(O521/N521,0)</f>
        <v/>
      </c>
    </row>
    <row r="522">
      <c r="A522">
        <f>Skills!A8</f>
        <v/>
      </c>
      <c r="B522">
        <f>Skills!B8</f>
        <v/>
      </c>
      <c r="C522">
        <f>Inputs!$B$3&gt;=72</f>
        <v/>
      </c>
      <c r="D522">
        <f>IF(Skills!C8=1,60+Inputs!$B$25+Inputs!$B$29,IF(Skills!C8=2,90+Inputs!$B$26+Inputs!$B$29,IF(Skills!C8=3,120+Inputs!$B$27+Inputs!$B$29,MAX(0,(Inputs!$B$3-100)*3)+Inputs!$B$28+Inputs!$B$29)))</f>
        <v/>
      </c>
      <c r="E522">
        <f>INDEX(FactorTable!$B$2:$Y$301, MATCH(ROUND(MIN(300,MAX(1,D522)),0), FactorTable!$A$2:$A$301,0), Skills!M8+1)</f>
        <v/>
      </c>
      <c r="F522">
        <f>IF(Skills!N8=TRUE,(Skills!L8/10)*(E522/1000),Skills!L8/10)+Skills!O8</f>
        <v/>
      </c>
      <c r="G522">
        <f>Skills!G8*IF(Skills!H8&gt;0,Skills!I8/Skills!H8,1)</f>
        <v/>
      </c>
      <c r="H522">
        <f>1-(1-Skills!J8/100)^Skills!K8</f>
        <v/>
      </c>
      <c r="I522" t="inlineStr">
        <is>
          <t>1</t>
        </is>
      </c>
      <c r="J522">
        <f>((Inputs!$B$6*(1+Inputs!$B$7/100))+(((Inputs!$B$12*(1+Inputs!$B$13/100))-(Inputs!$B$12*(1+Inputs!$B$13/100)))+0.25*(Inputs!$B$14-Inputs!$B$14))*(1+Inputs!$B$7/100))*(F522/100)</f>
        <v/>
      </c>
      <c r="K522">
        <f>J522*(1+((Inputs!$B$12*(1+Inputs!$B$13/100))*0.01+Inputs!$B$14*0.0025)/100)*(1+Inputs!$B$15/100)*(1+IF(Inputs!$B$39="pvp",0,(1-Summary!$B$55)*(Inputs!$B$20+0+Skills!P8+B548)+Summary!$B$55*(Inputs!$B$21+Skills!Q8+B548))/100)*(1+Inputs!$B$16/100)*(5000/(6000+Inputs!$B$43*(1-Inputs!$B$19/100)))*(1+(Inputs!$B$24+((C544=TRUE)*(F544-Calc!F30)))/100)*(1+3.3333333333333335*IF(C532=TRUE,F532,0)/100)*(1+(IF(Skills!A8="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522)</f>
        <v/>
      </c>
      <c r="L522">
        <f>K522*(MIN(Inputs!$B$22+((C538=TRUE)*(F538-Calc!F24)),Inputs!$B$23+((C543=TRUE)*(F543-Calc!F29)))/100+(Inputs!$B$23+((C543=TRUE)*(F543-Calc!F29)))/100)/2</f>
        <v/>
      </c>
      <c r="M522">
        <f>L522*(1+(Inputs!$B$10+((C540=TRUE)*(F540-Calc!F26))+B554)/100)</f>
        <v/>
      </c>
      <c r="N522">
        <f>L522*(1-MIN(((Inputs!$B$9+1)+((C539=TRUE)*(F539-Calc!F25))+B547),100)/100)+M522*(MIN(((Inputs!$B$9+1)+((C539=TRUE)*(F539-Calc!F25))+B547),100)/100)</f>
        <v/>
      </c>
      <c r="O522">
        <f>IF(C522,H522*N522*IF(AND(Inputs!$B$39&lt;&gt;"pvp",Inputs!$B$44&gt;0),((Skills!G8*((R522-1)*IF(Skills!H8&gt;0,Skills!I8/Skills!H8,1)+IF(Skills!H8&gt;0,MIN(Skills!I8,MAX(0,MAX(0,Inputs!$B$44-B558)-((R522-1)*IF(Inputs!$B$39="pvp",15,MAX(0.1,Skills!D8-IF(Skills!E8=TRUE,Inputs!$B$32,0))))))/Skills!H8,1)))/Inputs!$B$44),G522*Q522)*IF(Inputs!$B$39="pvp",1,(1-Summary!$B$55)*(1)+Summary!$B$55*(MIN(Skills!W8,Inputs!$B$37))),0)</f>
        <v/>
      </c>
      <c r="P522">
        <f>IF(B559=0,0,O522/B559)</f>
        <v/>
      </c>
      <c r="Q522">
        <f>IFERROR(1/IF(Inputs!$B$39="pvp",15,MAX(0.1,Skills!D8-IF(Skills!E8=TRUE,Inputs!$B$32,0))),0)</f>
        <v/>
      </c>
      <c r="R522">
        <f>IF(AND(Inputs!$B$39&lt;&gt;"pvp",Inputs!$B$44&gt;0),IF(MAX(0,Inputs!$B$44-B558)&lt;=0,0,(INT(MAX(0,Inputs!$B$44-B558)/IF(Inputs!$B$39="pvp",15,MAX(0.1,Skills!D8-IF(Skills!E8=TRUE,Inputs!$B$32,0))))+1)),0)</f>
        <v/>
      </c>
      <c r="S522">
        <f>IFERROR(O522/N522,0)</f>
        <v/>
      </c>
    </row>
    <row r="523">
      <c r="A523">
        <f>Skills!A9</f>
        <v/>
      </c>
      <c r="B523">
        <f>Skills!B9</f>
        <v/>
      </c>
      <c r="C523">
        <f>Inputs!$B$3&gt;=117</f>
        <v/>
      </c>
      <c r="D523">
        <f>IF(Skills!C9=1,60+Inputs!$B$25+Inputs!$B$29,IF(Skills!C9=2,90+Inputs!$B$26+Inputs!$B$29,IF(Skills!C9=3,120+Inputs!$B$27+Inputs!$B$29,MAX(0,(Inputs!$B$3-100)*3)+Inputs!$B$28+Inputs!$B$29)))</f>
        <v/>
      </c>
      <c r="E523">
        <f>INDEX(FactorTable!$B$2:$Y$301, MATCH(ROUND(MIN(300,MAX(1,D523)),0), FactorTable!$A$2:$A$301,0), Skills!M9+1)</f>
        <v/>
      </c>
      <c r="F523">
        <f>IF(Skills!N9=TRUE,(Skills!L9/10)*(E523/1000),Skills!L9/10)+Skills!O9</f>
        <v/>
      </c>
      <c r="G523">
        <f>Skills!G9*IF(Skills!H9&gt;0,Skills!I9/Skills!H9,1)</f>
        <v/>
      </c>
      <c r="H523">
        <f>1-(1-Skills!J9/100)^Skills!K9</f>
        <v/>
      </c>
      <c r="I523" t="inlineStr">
        <is>
          <t>1</t>
        </is>
      </c>
      <c r="J523">
        <f>((Inputs!$B$6*(1+Inputs!$B$7/100))+(((Inputs!$B$12*(1+Inputs!$B$13/100))-(Inputs!$B$12*(1+Inputs!$B$13/100)))+0.25*(Inputs!$B$14-Inputs!$B$14))*(1+Inputs!$B$7/100))*(F523/100)</f>
        <v/>
      </c>
      <c r="K523">
        <f>J523*(1+((Inputs!$B$12*(1+Inputs!$B$13/100))*0.01+Inputs!$B$14*0.0025)/100)*(1+Inputs!$B$15/100)*(1+IF(Inputs!$B$39="pvp",0,(1-Summary!$B$55)*(Inputs!$B$20+0+Skills!P9+B548)+Summary!$B$55*(Inputs!$B$21+Skills!Q9+B548))/100)*(1+Inputs!$B$16/100)*(5000/(6000+Inputs!$B$43*(1-Inputs!$B$19/100)))*(1+(Inputs!$B$24+((C544=TRUE)*(F544-Calc!F30)))/100)*(1+(IF(Skills!A9="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523)</f>
        <v/>
      </c>
      <c r="L523">
        <f>K523*(MIN(Inputs!$B$22+((C538=TRUE)*(F538-Calc!F24)),Inputs!$B$23+((C543=TRUE)*(F543-Calc!F29)))/100+(Inputs!$B$23+((C543=TRUE)*(F543-Calc!F29)))/100)/2</f>
        <v/>
      </c>
      <c r="M523">
        <f>L523*(1+(Inputs!$B$10+((C540=TRUE)*(F540-Calc!F26))+B554)/100)</f>
        <v/>
      </c>
      <c r="N523">
        <f>L523*(1-MIN(((Inputs!$B$9+1)+((C539=TRUE)*(F539-Calc!F25))+B547),100)/100)+M523*(MIN(((Inputs!$B$9+1)+((C539=TRUE)*(F539-Calc!F25))+B547),100)/100)</f>
        <v/>
      </c>
      <c r="O523">
        <f>IF(C523,0.2*SUMPRODUCT((Skills!Z2:Z30=TRUE)*(C516:C544=TRUE)*S516:S544)*N523,0)</f>
        <v/>
      </c>
      <c r="P523">
        <f>IF(B559=0,0,O523/B559)</f>
        <v/>
      </c>
      <c r="Q523" t="n">
        <v>0</v>
      </c>
      <c r="R523" t="n">
        <v>0</v>
      </c>
      <c r="S523" t="n">
        <v>0</v>
      </c>
    </row>
    <row r="524">
      <c r="A524">
        <f>Skills!A10</f>
        <v/>
      </c>
      <c r="B524">
        <f>Skills!B10</f>
        <v/>
      </c>
      <c r="C524">
        <f>Inputs!$B$3&gt;=74</f>
        <v/>
      </c>
      <c r="D524">
        <f>IF(Skills!C10=1,60+Inputs!$B$25+Inputs!$B$29,IF(Skills!C10=2,90+Inputs!$B$26+Inputs!$B$29,IF(Skills!C10=3,120+Inputs!$B$27+Inputs!$B$29,MAX(0,(Inputs!$B$3-100)*3)+Inputs!$B$28+Inputs!$B$29)))</f>
        <v/>
      </c>
      <c r="E524">
        <f>INDEX(FactorTable!$B$2:$Y$301, MATCH(ROUND(MIN(300,MAX(1,D524)),0), FactorTable!$A$2:$A$301,0), Skills!M10+1)</f>
        <v/>
      </c>
      <c r="F524">
        <f>IF(Skills!N10=TRUE,(Skills!L10/10)*(E524/1000),Skills!L10/10)+Skills!O10</f>
        <v/>
      </c>
      <c r="G524">
        <f>Skills!G10*IF(Skills!H10&gt;0,Skills!I10/Skills!H10,1)</f>
        <v/>
      </c>
      <c r="H524">
        <f>1-(1-Skills!J10/100)^Skills!K10</f>
        <v/>
      </c>
      <c r="I524" t="inlineStr">
        <is>
          <t>1</t>
        </is>
      </c>
      <c r="J524" t="inlineStr"/>
      <c r="K524" t="inlineStr"/>
      <c r="L524" t="inlineStr"/>
      <c r="M524" t="inlineStr"/>
      <c r="N524" t="inlineStr"/>
      <c r="O524" t="n">
        <v>0</v>
      </c>
      <c r="P524">
        <f>IF(B559=0,0,O524/B559)</f>
        <v/>
      </c>
      <c r="Q524">
        <f>IFERROR(1/IF(Inputs!$B$39="pvp",15,MAX(0.1,Skills!D10-IF(Skills!E10=TRUE,Inputs!$B$32,0))),0)</f>
        <v/>
      </c>
      <c r="R524">
        <f>IF(AND(Inputs!$B$39&lt;&gt;"pvp",Inputs!$B$44&gt;0),IF(Inputs!$B$44&lt;=0,0,(INT(Inputs!$B$44/IF(Inputs!$B$39="pvp",15,MAX(0.1,Skills!D10-IF(Skills!E10=TRUE,Inputs!$B$32,0))))+1)),0)</f>
        <v/>
      </c>
      <c r="S524">
        <f>IFERROR(O524/N524,0)</f>
        <v/>
      </c>
    </row>
    <row r="525">
      <c r="A525">
        <f>Skills!A11</f>
        <v/>
      </c>
      <c r="B525">
        <f>Skills!B11</f>
        <v/>
      </c>
      <c r="C525">
        <f>Inputs!$B$3&gt;=103</f>
        <v/>
      </c>
      <c r="D525">
        <f>IF(Skills!C11=1,60+Inputs!$B$25+Inputs!$B$29,IF(Skills!C11=2,90+Inputs!$B$26+Inputs!$B$29,IF(Skills!C11=3,120+Inputs!$B$27+Inputs!$B$29,MAX(0,(Inputs!$B$3-100)*3)+Inputs!$B$28+Inputs!$B$29)))</f>
        <v/>
      </c>
      <c r="E525">
        <f>INDEX(FactorTable!$B$2:$Y$301, MATCH(ROUND(MIN(300,MAX(1,D525)),0), FactorTable!$A$2:$A$301,0), Skills!M11+1)</f>
        <v/>
      </c>
      <c r="F525">
        <f>(Skills!L11/10)*(E525/1000)+IF(Inputs!$B$3&gt;=134,50,0)+0.5*(30000/10)*(INDEX(FactorTable!$B$2:$Y$301, MATCH(ROUND(MIN(300,MAX(1,D525)),0), FactorTable!$A$2:$A$301,0), 13)/1000)*B557</f>
        <v/>
      </c>
      <c r="G525">
        <f>Skills!G11*IF(Skills!H11&gt;0,Skills!I11/Skills!H11,1)</f>
        <v/>
      </c>
      <c r="H525">
        <f>1-(1-Skills!J11/100)^Skills!K11</f>
        <v/>
      </c>
      <c r="I525" t="inlineStr">
        <is>
          <t>1</t>
        </is>
      </c>
      <c r="J525">
        <f>((Inputs!$B$6*(1+Inputs!$B$7/100))+(((Inputs!$B$12*(1+Inputs!$B$13/100))-(Inputs!$B$12*(1+Inputs!$B$13/100)))+0.25*(Inputs!$B$14-Inputs!$B$14))*(1+Inputs!$B$7/100))*(F525/100)</f>
        <v/>
      </c>
      <c r="K525">
        <f>J525*(1+((Inputs!$B$12*(1+Inputs!$B$13/100))*0.01+Inputs!$B$14*0.0025)/100)*(1+Inputs!$B$15/100)*(1+IF(Inputs!$B$39="pvp",0,(1-Summary!$B$55)*(Inputs!$B$20+0+Skills!P11+B548)+Summary!$B$55*(Inputs!$B$21+Skills!Q11+B548))/100)*(1+Inputs!$B$16/100)*(5000/(6000+Inputs!$B$43*(1-Inputs!$B$19/100)))*(1+(Inputs!$B$24+((C544=TRUE)*(F544-Calc!F30)))/100)*(1+(IF(Skills!A11="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525)</f>
        <v/>
      </c>
      <c r="L525">
        <f>K525*(MIN(Inputs!$B$22+((C538=TRUE)*(F538-Calc!F24)),Inputs!$B$23+((C543=TRUE)*(F543-Calc!F29)))/100+(Inputs!$B$23+((C543=TRUE)*(F543-Calc!F29)))/100)/2</f>
        <v/>
      </c>
      <c r="M525">
        <f>L525*(1+(Inputs!$B$10+((C540=TRUE)*(F540-Calc!F26))+B554)/100)</f>
        <v/>
      </c>
      <c r="N525">
        <f>L525*(1-MIN(((Inputs!$B$9+1)+((C539=TRUE)*(F539-Calc!F25))+B547),100)/100)+M525*(MIN(((Inputs!$B$9+1)+((C539=TRUE)*(F539-Calc!F25))+B547),100)/100)</f>
        <v/>
      </c>
      <c r="O525">
        <f>IF(C525,H525*N525*IF(AND(Inputs!$B$39&lt;&gt;"pvp",Inputs!$B$44&gt;0),((Skills!G11*((R525-1)*IF(Skills!H11&gt;0,Skills!I11/Skills!H11,1)+IF(Skills!H11&gt;0,MIN(Skills!I11,MAX(0,MAX(0,Inputs!$B$44-B558)-((R525-1)*IF(Inputs!$B$39="pvp",15,MAX(0.1,Skills!D11-IF(Skills!E11=TRUE,Inputs!$B$32,0))))))/Skills!H11,1)))/Inputs!$B$44),G525*Q525)*IF(Inputs!$B$39="pvp",1,(1-Summary!$B$55)*(1)+Summary!$B$55*(MIN(Skills!W11,Inputs!$B$37))),0)</f>
        <v/>
      </c>
      <c r="P525">
        <f>IF(B559=0,0,O525/B559)</f>
        <v/>
      </c>
      <c r="Q525">
        <f>IFERROR(1/IF(Inputs!$B$39="pvp",15,MAX(0.1,Skills!D11-IF(Skills!E11=TRUE,Inputs!$B$32,0))),0)</f>
        <v/>
      </c>
      <c r="R525">
        <f>IF(AND(Inputs!$B$39&lt;&gt;"pvp",Inputs!$B$44&gt;0),IF(MAX(0,Inputs!$B$44-B558)&lt;=0,0,(INT(MAX(0,Inputs!$B$44-B558)/IF(Inputs!$B$39="pvp",15,MAX(0.1,Skills!D11-IF(Skills!E11=TRUE,Inputs!$B$32,0))))+1)),0)</f>
        <v/>
      </c>
      <c r="S525">
        <f>IFERROR(O525/N525,0)</f>
        <v/>
      </c>
    </row>
    <row r="526">
      <c r="A526">
        <f>Skills!A12</f>
        <v/>
      </c>
      <c r="B526">
        <f>Skills!B12</f>
        <v/>
      </c>
      <c r="C526">
        <f>Inputs!$B$3&gt;=105</f>
        <v/>
      </c>
      <c r="D526">
        <f>IF(Skills!C12=1,60+Inputs!$B$25+Inputs!$B$29,IF(Skills!C12=2,90+Inputs!$B$26+Inputs!$B$29,IF(Skills!C12=3,120+Inputs!$B$27+Inputs!$B$29,MAX(0,(Inputs!$B$3-100)*3)+Inputs!$B$28+Inputs!$B$29)))</f>
        <v/>
      </c>
      <c r="E526">
        <f>INDEX(FactorTable!$B$2:$Y$301, MATCH(ROUND(MIN(300,MAX(1,D526)),0), FactorTable!$A$2:$A$301,0), Skills!M12+1)</f>
        <v/>
      </c>
      <c r="F526">
        <f>IF(Skills!N12=TRUE,(Skills!L12/10)*(E526/1000),Skills!L12/10)+Skills!O12</f>
        <v/>
      </c>
      <c r="G526">
        <f>Skills!G12*IF(Skills!H12&gt;0,Skills!I12/Skills!H12,1)</f>
        <v/>
      </c>
      <c r="H526">
        <f>1-(1-Skills!J12/100)^Skills!K12</f>
        <v/>
      </c>
      <c r="I526" t="inlineStr">
        <is>
          <t>1</t>
        </is>
      </c>
      <c r="J526">
        <f>((Inputs!$B$6*(1+Inputs!$B$7/100))+(((Inputs!$B$12*(1+Inputs!$B$13/100))-(Inputs!$B$12*(1+Inputs!$B$13/100)))+0.25*(Inputs!$B$14-Inputs!$B$14))*(1+Inputs!$B$7/100))*(F526/100)</f>
        <v/>
      </c>
      <c r="K526">
        <f>J526*(1+((Inputs!$B$12*(1+Inputs!$B$13/100))*0.01+Inputs!$B$14*0.0025)/100)*(1+Inputs!$B$15/100)*(1+IF(Inputs!$B$39="pvp",0,(1-Summary!$B$55)*(Inputs!$B$20+0+Skills!P12+B548)+Summary!$B$55*(Inputs!$B$21+Skills!Q12+B548))/100)*(1+Inputs!$B$16/100)*(5000/(6000+Inputs!$B$43*(1-Inputs!$B$19/100)))*(1+(Inputs!$B$24+((C544=TRUE)*(F544-Calc!F30)))/100)*(1+(IF(Skills!A12="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526)</f>
        <v/>
      </c>
      <c r="L526">
        <f>K526*(MIN(Inputs!$B$22+((C538=TRUE)*(F538-Calc!F24)),Inputs!$B$23+((C543=TRUE)*(F543-Calc!F29)))/100+(Inputs!$B$23+((C543=TRUE)*(F543-Calc!F29)))/100)/2</f>
        <v/>
      </c>
      <c r="M526">
        <f>L526*(1+(Inputs!$B$10+((C540=TRUE)*(F540-Calc!F26))+B554)/100)</f>
        <v/>
      </c>
      <c r="N526">
        <f>L526*(1-MIN(((Inputs!$B$9+1)+((C539=TRUE)*(F539-Calc!F25))+B547),100)/100)+M526*(MIN(((Inputs!$B$9+1)+((C539=TRUE)*(F539-Calc!F25))+B547),100)/100)</f>
        <v/>
      </c>
      <c r="O526">
        <f>IF(C526,H526*N526*IF(AND(Inputs!$B$39&lt;&gt;"pvp",Inputs!$B$44&gt;0),((Skills!G12*((R526-1)*IF(Skills!H12&gt;0,Skills!I12/Skills!H12,1)+IF(Skills!H12&gt;0,MIN(Skills!I12,MAX(0,MAX(0,Inputs!$B$44-B558)-((R526-1)*IF(Inputs!$B$39="pvp",15,MAX(0.1,Skills!D12-IF(Skills!E12=TRUE,Inputs!$B$32,0))))))/Skills!H12,1)))/Inputs!$B$44),G526*Q526)*IF(Inputs!$B$39="pvp",1,(1-Summary!$B$55)*(1)+Summary!$B$55*(MIN(Skills!W12,Inputs!$B$37))),0)</f>
        <v/>
      </c>
      <c r="P526">
        <f>IF(B559=0,0,O526/B559)</f>
        <v/>
      </c>
      <c r="Q526">
        <f>IFERROR(1/IF(Inputs!$B$39="pvp",15,MAX(0.1,Skills!D12-IF(Skills!E12=TRUE,Inputs!$B$32,0))),0)</f>
        <v/>
      </c>
      <c r="R526">
        <f>IF(AND(Inputs!$B$39&lt;&gt;"pvp",Inputs!$B$44&gt;0),IF(MAX(0,Inputs!$B$44-B558)&lt;=0,0,(INT(MAX(0,Inputs!$B$44-B558)/IF(Inputs!$B$39="pvp",15,MAX(0.1,Skills!D12-IF(Skills!E12=TRUE,Inputs!$B$32,0))))+1)),0)</f>
        <v/>
      </c>
      <c r="S526">
        <f>IFERROR(O526/N526,0)</f>
        <v/>
      </c>
    </row>
    <row r="527">
      <c r="A527">
        <f>Skills!A13</f>
        <v/>
      </c>
      <c r="B527">
        <f>Skills!B13</f>
        <v/>
      </c>
      <c r="C527">
        <f>Inputs!$B$3&gt;=105</f>
        <v/>
      </c>
      <c r="D527">
        <f>IF(Skills!C13=1,60+Inputs!$B$25+Inputs!$B$29,IF(Skills!C13=2,90+Inputs!$B$26+Inputs!$B$29,IF(Skills!C13=3,120+Inputs!$B$27+Inputs!$B$29,MAX(0,(Inputs!$B$3-100)*3)+Inputs!$B$28+Inputs!$B$29)))</f>
        <v/>
      </c>
      <c r="E527">
        <f>INDEX(FactorTable!$B$2:$Y$301, MATCH(ROUND(MIN(300,MAX(1,D527)),0), FactorTable!$A$2:$A$301,0), Skills!M13+1)</f>
        <v/>
      </c>
      <c r="F527">
        <f>IF(Skills!N13=TRUE,(Skills!L13/10)*(E527/1000),Skills!L13/10)+Skills!O13</f>
        <v/>
      </c>
      <c r="G527">
        <f>Skills!G13*IF(Skills!H13&gt;0,Skills!I13/Skills!H13,1)</f>
        <v/>
      </c>
      <c r="H527">
        <f>1-(1-Skills!J13/100)^Skills!K13</f>
        <v/>
      </c>
      <c r="I527" t="inlineStr">
        <is>
          <t>1</t>
        </is>
      </c>
      <c r="J527">
        <f>((Inputs!$B$6*(1+Inputs!$B$7/100))+(((Inputs!$B$12*(1+Inputs!$B$13/100))-(Inputs!$B$12*(1+Inputs!$B$13/100)))+0.25*(Inputs!$B$14-Inputs!$B$14))*(1+Inputs!$B$7/100))*(F527/100)</f>
        <v/>
      </c>
      <c r="K527">
        <f>J527*(1+((Inputs!$B$12*(1+Inputs!$B$13/100))*0.01+Inputs!$B$14*0.0025)/100)*(1+Inputs!$B$15/100)*(1+IF(Inputs!$B$39="pvp",0,(1-Summary!$B$55)*(Inputs!$B$20+0+Skills!P13+B548)+Summary!$B$55*(Inputs!$B$21+Skills!Q13+B548))/100)*(1+Inputs!$B$16/100)*(5000/(6000+Inputs!$B$43*(1-Inputs!$B$19/100)))*(1+(Inputs!$B$24+((C544=TRUE)*(F544-Calc!F30)))/100)*(1+(IF(Skills!A13="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527)</f>
        <v/>
      </c>
      <c r="L527">
        <f>K527*(MIN(Inputs!$B$22+((C538=TRUE)*(F538-Calc!F24)),Inputs!$B$23+((C543=TRUE)*(F543-Calc!F29)))/100+(Inputs!$B$23+((C543=TRUE)*(F543-Calc!F29)))/100)/2</f>
        <v/>
      </c>
      <c r="M527">
        <f>L527*(1+(Inputs!$B$10+((C540=TRUE)*(F540-Calc!F26))+B554)/100)</f>
        <v/>
      </c>
      <c r="N527">
        <f>L527*(1-MIN(((Inputs!$B$9+1)+((C539=TRUE)*(F539-Calc!F25))+B547),100)/100)+M527*(MIN(((Inputs!$B$9+1)+((C539=TRUE)*(F539-Calc!F25))+B547),100)/100)</f>
        <v/>
      </c>
      <c r="O527">
        <f>IF(C527,H527*N527*IF(AND(Inputs!$B$39&lt;&gt;"pvp",Inputs!$B$44&gt;0),((Skills!G13*((R527-1)*IF(Skills!H13&gt;0,Skills!I13/Skills!H13,1)+IF(Skills!H13&gt;0,MIN(Skills!I13,MAX(0,MAX(0,Inputs!$B$44-B558)-((R527-1)*IF(Inputs!$B$39="pvp",15,MAX(0.1,Skills!D13-IF(Skills!E13=TRUE,Inputs!$B$32,0))))))/Skills!H13,1)))/Inputs!$B$44),G527*Q527)*IF(Inputs!$B$39="pvp",1,(1-Summary!$B$55)*(1)+Summary!$B$55*(MIN(Skills!W13,Inputs!$B$37))),0)</f>
        <v/>
      </c>
      <c r="P527">
        <f>IF(B559=0,0,O527/B559)</f>
        <v/>
      </c>
      <c r="Q527">
        <f>IFERROR(1/IF(Inputs!$B$39="pvp",15,MAX(0.1,Skills!D13-IF(Skills!E13=TRUE,Inputs!$B$32,0))),0)</f>
        <v/>
      </c>
      <c r="R527">
        <f>IF(AND(Inputs!$B$39&lt;&gt;"pvp",Inputs!$B$44&gt;0),IF(MAX(0,Inputs!$B$44-B558)&lt;=0,0,(INT(MAX(0,Inputs!$B$44-B558)/IF(Inputs!$B$39="pvp",15,MAX(0.1,Skills!D13-IF(Skills!E13=TRUE,Inputs!$B$32,0))))+1)),0)</f>
        <v/>
      </c>
      <c r="S527">
        <f>IFERROR(O527/N527,0)</f>
        <v/>
      </c>
    </row>
    <row r="528">
      <c r="A528">
        <f>Skills!A14</f>
        <v/>
      </c>
      <c r="B528">
        <f>Skills!B14</f>
        <v/>
      </c>
      <c r="C528">
        <f>Inputs!$B$3&gt;=107</f>
        <v/>
      </c>
      <c r="D528">
        <f>IF(Skills!C14=1,60+Inputs!$B$25+Inputs!$B$29,IF(Skills!C14=2,90+Inputs!$B$26+Inputs!$B$29,IF(Skills!C14=3,120+Inputs!$B$27+Inputs!$B$29,MAX(0,(Inputs!$B$3-100)*3)+Inputs!$B$28+Inputs!$B$29)))</f>
        <v/>
      </c>
      <c r="E528">
        <f>INDEX(FactorTable!$B$2:$Y$301, MATCH(ROUND(MIN(300,MAX(1,D528)),0), FactorTable!$A$2:$A$301,0), Skills!M14+1)</f>
        <v/>
      </c>
      <c r="F528">
        <f>IF(Skills!N14=TRUE,(Skills!L14/10)*(E528/1000),Skills!L14/10)+Skills!O14</f>
        <v/>
      </c>
      <c r="G528">
        <f>Skills!G14*IF(Skills!H14&gt;0,Skills!I14/Skills!H14,1)</f>
        <v/>
      </c>
      <c r="H528">
        <f>1-(1-Skills!J14/100)^Skills!K14</f>
        <v/>
      </c>
      <c r="I528" t="inlineStr">
        <is>
          <t>1</t>
        </is>
      </c>
      <c r="J528">
        <f>((Inputs!$B$6*(1+Inputs!$B$7/100))+(((Inputs!$B$12*(1+Inputs!$B$13/100))-(Inputs!$B$12*(1+Inputs!$B$13/100)))+0.25*(Inputs!$B$14-Inputs!$B$14))*(1+Inputs!$B$7/100))*(F528/100)</f>
        <v/>
      </c>
      <c r="K528">
        <f>J528*(1+((Inputs!$B$12*(1+Inputs!$B$13/100))*0.01+Inputs!$B$14*0.0025)/100)*(1+Inputs!$B$15/100)*(1+IF(Inputs!$B$39="pvp",0,(1-Summary!$B$55)*(Inputs!$B$20+0+Skills!P14+B548)+Summary!$B$55*(Inputs!$B$21+Skills!Q14+B548))/100)*(1+Inputs!$B$16/100)*(5000/(6000+Inputs!$B$43*(1-Inputs!$B$19/100)))*(1+(Inputs!$B$24+((C544=TRUE)*(F544-Calc!F30)))/100)*(1+(IF(Skills!A14="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528)</f>
        <v/>
      </c>
      <c r="L528">
        <f>K528*(MIN(Inputs!$B$22+((C538=TRUE)*(F538-Calc!F24)),Inputs!$B$23+((C543=TRUE)*(F543-Calc!F29)))/100+(Inputs!$B$23+((C543=TRUE)*(F543-Calc!F29)))/100)/2</f>
        <v/>
      </c>
      <c r="M528">
        <f>L528*(1+(Inputs!$B$10+((C540=TRUE)*(F540-Calc!F26))+B554)/100)</f>
        <v/>
      </c>
      <c r="N528">
        <f>L528*(1-MIN(((Inputs!$B$9+1)+((C539=TRUE)*(F539-Calc!F25))+B547),100)/100)+M528*(MIN(((Inputs!$B$9+1)+((C539=TRUE)*(F539-Calc!F25))+B547),100)/100)</f>
        <v/>
      </c>
      <c r="O528">
        <f>IF(C528,H528*N528*IF(AND(Inputs!$B$39&lt;&gt;"pvp",Inputs!$B$44&gt;0),((Skills!G14*((R528-1)*IF(Skills!H14&gt;0,Skills!I14/Skills!H14,1)+IF(Skills!H14&gt;0,MIN(Skills!I14,MAX(0,MAX(0,Inputs!$B$44-B558)-((R528-1)*IF(Inputs!$B$39="pvp",15,MAX(0.1,Skills!D14-IF(Skills!E14=TRUE,Inputs!$B$32,0))))))/Skills!H14,1)))/Inputs!$B$44),G528*Q528)*IF(Inputs!$B$39="pvp",1,(1-Summary!$B$55)*(1)+Summary!$B$55*(MIN(MIN(5,0.25*B551*Skills!D4)*Skills!V14,Inputs!$B$37))),0)</f>
        <v/>
      </c>
      <c r="P528">
        <f>IF(B559=0,0,O528/B559)</f>
        <v/>
      </c>
      <c r="Q528">
        <f>IFERROR(1/IF(Inputs!$B$39="pvp",15,MAX(0.1,Skills!D14-IF(Skills!E14=TRUE,Inputs!$B$32,0))),0)</f>
        <v/>
      </c>
      <c r="R528">
        <f>IF(AND(Inputs!$B$39&lt;&gt;"pvp",Inputs!$B$44&gt;0),IF(MAX(0,Inputs!$B$44-B558)&lt;=0,0,(INT(MAX(0,Inputs!$B$44-B558)/IF(Inputs!$B$39="pvp",15,MAX(0.1,Skills!D14-IF(Skills!E14=TRUE,Inputs!$B$32,0))))+1)),0)</f>
        <v/>
      </c>
      <c r="S528">
        <f>IFERROR(O528/N528,0)</f>
        <v/>
      </c>
    </row>
    <row r="529">
      <c r="A529">
        <f>Skills!A15</f>
        <v/>
      </c>
      <c r="B529">
        <f>Skills!B15</f>
        <v/>
      </c>
      <c r="C529">
        <f>Inputs!$B$3&gt;=110</f>
        <v/>
      </c>
      <c r="D529">
        <f>IF(Skills!C15=1,60+Inputs!$B$25+Inputs!$B$29,IF(Skills!C15=2,90+Inputs!$B$26+Inputs!$B$29,IF(Skills!C15=3,120+Inputs!$B$27+Inputs!$B$29,MAX(0,(Inputs!$B$3-100)*3)+Inputs!$B$28+Inputs!$B$29)))</f>
        <v/>
      </c>
      <c r="E529">
        <f>INDEX(FactorTable!$B$2:$Y$301, MATCH(ROUND(MIN(300,MAX(1,D529)),0), FactorTable!$A$2:$A$301,0), Skills!M15+1)</f>
        <v/>
      </c>
      <c r="F529">
        <f>IF(Skills!N15=TRUE,(Skills!L15/10)*(E529/1000),Skills!L15/10)+Skills!O15</f>
        <v/>
      </c>
      <c r="G529">
        <f>Skills!G15*IF(Skills!H15&gt;0,Skills!I15/Skills!H15,1)</f>
        <v/>
      </c>
      <c r="H529">
        <f>1-(1-Skills!J15/100)^Skills!K15</f>
        <v/>
      </c>
      <c r="I529" t="inlineStr">
        <is>
          <t>1</t>
        </is>
      </c>
      <c r="J529" t="inlineStr"/>
      <c r="K529" t="inlineStr"/>
      <c r="L529" t="inlineStr"/>
      <c r="M529" t="inlineStr"/>
      <c r="N529" t="inlineStr"/>
      <c r="O529" t="n">
        <v>0</v>
      </c>
      <c r="P529">
        <f>IF(B559=0,0,O529/B559)</f>
        <v/>
      </c>
      <c r="Q529">
        <f>IFERROR(1/IF(Inputs!$B$39="pvp",15,MAX(0.1,Skills!D15-IF(Skills!E15=TRUE,Inputs!$B$32,0))),0)</f>
        <v/>
      </c>
      <c r="R529">
        <f>IF(AND(Inputs!$B$39&lt;&gt;"pvp",Inputs!$B$44&gt;0),IF(Inputs!$B$44&lt;=0,0,(INT(Inputs!$B$44/IF(Inputs!$B$39="pvp",15,MAX(0.1,Skills!D15-IF(Skills!E15=TRUE,Inputs!$B$32,0))))+1)),0)</f>
        <v/>
      </c>
      <c r="S529">
        <f>IFERROR(O529/N529,0)</f>
        <v/>
      </c>
    </row>
    <row r="530">
      <c r="A530">
        <f>Skills!A16</f>
        <v/>
      </c>
      <c r="B530">
        <f>Skills!B16</f>
        <v/>
      </c>
      <c r="C530">
        <f>Inputs!$B$3&gt;=115</f>
        <v/>
      </c>
      <c r="D530">
        <f>IF(Skills!C16=1,60+Inputs!$B$25+Inputs!$B$29,IF(Skills!C16=2,90+Inputs!$B$26+Inputs!$B$29,IF(Skills!C16=3,120+Inputs!$B$27+Inputs!$B$29,MAX(0,(Inputs!$B$3-100)*3)+Inputs!$B$28+Inputs!$B$29)))</f>
        <v/>
      </c>
      <c r="E530">
        <f>INDEX(FactorTable!$B$2:$Y$301, MATCH(ROUND(MIN(300,MAX(1,D530)),0), FactorTable!$A$2:$A$301,0), Skills!M16+1)</f>
        <v/>
      </c>
      <c r="F530">
        <f>IF(Skills!N16=TRUE,(Skills!L16/10)*(E530/1000),Skills!L16/10)+Skills!O16</f>
        <v/>
      </c>
      <c r="G530">
        <f>Skills!G16*IF(Skills!H16&gt;0,Skills!I16/Skills!H16,1)</f>
        <v/>
      </c>
      <c r="H530">
        <f>1-(1-Skills!J16/100)^Skills!K16</f>
        <v/>
      </c>
      <c r="I530" t="inlineStr">
        <is>
          <t>1</t>
        </is>
      </c>
      <c r="J530">
        <f>((Inputs!$B$6*(1+Inputs!$B$7/100))+(((Inputs!$B$12*(1+Inputs!$B$13/100))-(Inputs!$B$12*(1+Inputs!$B$13/100)))+0.25*(Inputs!$B$14-Inputs!$B$14))*(1+Inputs!$B$7/100))*(F530/100)</f>
        <v/>
      </c>
      <c r="K530">
        <f>J530*(1+((Inputs!$B$12*(1+Inputs!$B$13/100))*0.01+Inputs!$B$14*0.0025)/100)*(1+Inputs!$B$15/100)*(1+IF(Inputs!$B$39="pvp",0,(1-Summary!$B$55)*(Inputs!$B$20+0+Skills!P16+B548)+Summary!$B$55*(Inputs!$B$21+Skills!Q16+B548))/100)*(1+Inputs!$B$16/100)*(5000/(6000+Inputs!$B$43*(1-Inputs!$B$19/100)))*(1+(Inputs!$B$24+((C544=TRUE)*(F544-Calc!F30)))/100)*(1+(IF(Skills!A16="CRUEL_STAB",Inputs!$B$17+((C541=TRUE)*(F541-Calc!F27)),Inputs!$B$18+((C542=TRUE)*(F542-Calc!F28))))/100)*(((1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B549*I530)</f>
        <v/>
      </c>
      <c r="L530">
        <f>K530*(MIN(Inputs!$B$22+((C538=TRUE)*(F538-Calc!F24)),Inputs!$B$23+((C543=TRUE)*(F543-Calc!F29)))/100+(Inputs!$B$23+((C543=TRUE)*(F543-Calc!F29)))/100)/2</f>
        <v/>
      </c>
      <c r="M530">
        <f>L530*(1+(Inputs!$B$10+((C540=TRUE)*(F540-Calc!F26))+B554)/100)</f>
        <v/>
      </c>
      <c r="N530">
        <f>L530*(1-MIN(((Inputs!$B$9+1)+((C539=TRUE)*(F539-Calc!F25))+B547),100)/100)+M530*(MIN(((Inputs!$B$9+1)+((C539=TRUE)*(F539-Calc!F25))+B547),100)/100)</f>
        <v/>
      </c>
      <c r="O530">
        <f>IF(C530,Inputs!$B$38*0.2*N530,0)</f>
        <v/>
      </c>
      <c r="P530">
        <f>IF(B559=0,0,O530/B559)</f>
        <v/>
      </c>
      <c r="Q530" t="n">
        <v>0</v>
      </c>
      <c r="R530" t="n">
        <v>0</v>
      </c>
      <c r="S530">
        <f>IFERROR(O530/N530,0)</f>
        <v/>
      </c>
    </row>
    <row r="531">
      <c r="A531">
        <f>Skills!A17</f>
        <v/>
      </c>
      <c r="B531">
        <f>Skills!B17</f>
        <v/>
      </c>
      <c r="C531">
        <f>Inputs!$B$3&gt;=115</f>
        <v/>
      </c>
      <c r="D531">
        <f>IF(Skills!C17=1,60+Inputs!$B$25+Inputs!$B$29,IF(Skills!C17=2,90+Inputs!$B$26+Inputs!$B$29,IF(Skills!C17=3,120+Inputs!$B$27+Inputs!$B$29,MAX(0,(Inputs!$B$3-100)*3)+Inputs!$B$28+Inputs!$B$29)))</f>
        <v/>
      </c>
      <c r="E531">
        <f>INDEX(FactorTable!$B$2:$Y$301, MATCH(ROUND(MIN(300,MAX(1,D531)),0), FactorTable!$A$2:$A$301,0), Skills!M17+1)</f>
        <v/>
      </c>
      <c r="F531">
        <f>IF(Skills!N17=TRUE,(Skills!L17/10)*(E531/1000),Skills!L17/10)+Skills!O17</f>
        <v/>
      </c>
      <c r="G531">
        <f>Skills!G17*IF(Skills!H17&gt;0,Skills!I17/Skills!H17,1)</f>
        <v/>
      </c>
      <c r="H531">
        <f>1-(1-Skills!J17/100)^Skills!K17</f>
        <v/>
      </c>
      <c r="I531" t="inlineStr">
        <is>
          <t>1</t>
        </is>
      </c>
      <c r="J531" t="inlineStr"/>
      <c r="K531" t="inlineStr"/>
      <c r="L531" t="inlineStr"/>
      <c r="M531" t="inlineStr"/>
      <c r="N531" t="inlineStr"/>
      <c r="O531" t="n">
        <v>0</v>
      </c>
      <c r="P531">
        <f>IF(B559=0,0,O531/B559)</f>
        <v/>
      </c>
      <c r="Q531" t="n">
        <v>0</v>
      </c>
      <c r="R531" t="n">
        <v>0</v>
      </c>
      <c r="S531">
        <f>IFERROR(O531/N531,0)</f>
        <v/>
      </c>
    </row>
    <row r="532">
      <c r="A532">
        <f>Skills!A18</f>
        <v/>
      </c>
      <c r="B532">
        <f>Skills!B18</f>
        <v/>
      </c>
      <c r="C532">
        <f>Inputs!$B$3&gt;=100</f>
        <v/>
      </c>
      <c r="D532">
        <f>IF(Skills!C18=1,60+Inputs!$B$25+Inputs!$B$29,IF(Skills!C18=2,90+Inputs!$B$26+Inputs!$B$29,IF(Skills!C18=3,120+Inputs!$B$27+Inputs!$B$29,MAX(0,(Inputs!$B$3-100)*3)+Inputs!$B$28+Inputs!$B$29)))</f>
        <v/>
      </c>
      <c r="E532">
        <f>INDEX(FactorTable!$B$2:$Y$301, MATCH(ROUND(MIN(300,MAX(1,D532)),0), FactorTable!$A$2:$A$301,0), Skills!M18+1)</f>
        <v/>
      </c>
      <c r="F532">
        <f>IF(Skills!N18=TRUE,(Skills!L18/10)*(E532/1000),Skills!L18/10)+Skills!O18</f>
        <v/>
      </c>
      <c r="G532">
        <f>Skills!G18*IF(Skills!H18&gt;0,Skills!I18/Skills!H18,1)</f>
        <v/>
      </c>
      <c r="H532">
        <f>1-(1-Skills!J18/100)^Skills!K18</f>
        <v/>
      </c>
      <c r="I532" t="inlineStr">
        <is>
          <t>1</t>
        </is>
      </c>
      <c r="J532" t="inlineStr"/>
      <c r="K532" t="inlineStr"/>
      <c r="L532" t="inlineStr"/>
      <c r="M532" t="inlineStr"/>
      <c r="N532" t="inlineStr"/>
      <c r="O532" t="n">
        <v>0</v>
      </c>
      <c r="P532">
        <f>IF(B559=0,0,O532/B559)</f>
        <v/>
      </c>
      <c r="Q532" t="n">
        <v>0</v>
      </c>
      <c r="R532" t="n">
        <v>0</v>
      </c>
      <c r="S532">
        <f>IFERROR(O532/N532,0)</f>
        <v/>
      </c>
    </row>
    <row r="533">
      <c r="A533">
        <f>Skills!A19</f>
        <v/>
      </c>
      <c r="B533">
        <f>Skills!B19</f>
        <v/>
      </c>
      <c r="C533">
        <f>TRUE</f>
        <v/>
      </c>
      <c r="D533">
        <f>IF(Skills!C19=1,60+Inputs!$B$25+Inputs!$B$29,IF(Skills!C19=2,90+Inputs!$B$26+Inputs!$B$29,IF(Skills!C19=3,120+Inputs!$B$27+Inputs!$B$29,MAX(0,(Inputs!$B$3-100)*3)+Inputs!$B$28+Inputs!$B$29)))</f>
        <v/>
      </c>
      <c r="E533">
        <f>INDEX(FactorTable!$B$2:$Y$301, MATCH(ROUND(MIN(300,MAX(1,D533)),0), FactorTable!$A$2:$A$301,0), Skills!M19+1)</f>
        <v/>
      </c>
      <c r="F533">
        <f>IF(Skills!N19=TRUE,(Skills!L19/10)*(E533/1000),Skills!L19/10)+Skills!O19</f>
        <v/>
      </c>
      <c r="G533">
        <f>Skills!G19*IF(Skills!H19&gt;0,Skills!I19/Skills!H19,1)</f>
        <v/>
      </c>
      <c r="H533">
        <f>1-(1-Skills!J19/100)^Skills!K19</f>
        <v/>
      </c>
      <c r="I533" t="inlineStr">
        <is>
          <t>1</t>
        </is>
      </c>
      <c r="J533" t="inlineStr"/>
      <c r="K533" t="inlineStr"/>
      <c r="L533" t="inlineStr"/>
      <c r="M533" t="inlineStr"/>
      <c r="N533" t="inlineStr"/>
      <c r="O533" t="n">
        <v>0</v>
      </c>
      <c r="P533">
        <f>IF(B559=0,0,O533/B559)</f>
        <v/>
      </c>
      <c r="Q533">
        <f>IFERROR(1/IF(Inputs!$B$39="pvp",15,MAX(0.1,Skills!D19-IF(Skills!E19=TRUE,Inputs!$B$32,0))),0)</f>
        <v/>
      </c>
      <c r="R533">
        <f>IF(AND(Inputs!$B$39&lt;&gt;"pvp",Inputs!$B$44&gt;0),IF(Inputs!$B$44&lt;=0,0,(INT(Inputs!$B$44/IF(Inputs!$B$39="pvp",15,MAX(0.1,Skills!D19-IF(Skills!E19=TRUE,Inputs!$B$32,0))))+1)),0)</f>
        <v/>
      </c>
      <c r="S533">
        <f>IFERROR(O533/N533,0)</f>
        <v/>
      </c>
    </row>
    <row r="534">
      <c r="A534">
        <f>Skills!A20</f>
        <v/>
      </c>
      <c r="B534">
        <f>Skills!B20</f>
        <v/>
      </c>
      <c r="C534">
        <f>Inputs!$B$3&gt;=15</f>
        <v/>
      </c>
      <c r="D534">
        <f>IF(Skills!C20=1,60+Inputs!$B$25+Inputs!$B$29,IF(Skills!C20=2,90+Inputs!$B$26+Inputs!$B$29,IF(Skills!C20=3,120+Inputs!$B$27+Inputs!$B$29,MAX(0,(Inputs!$B$3-100)*3)+Inputs!$B$28+Inputs!$B$29)))</f>
        <v/>
      </c>
      <c r="E534">
        <f>INDEX(FactorTable!$B$2:$Y$301, MATCH(ROUND(MIN(300,MAX(1,D534)),0), FactorTable!$A$2:$A$301,0), Skills!M20+1)</f>
        <v/>
      </c>
      <c r="F534">
        <f>IF(Skills!N20=TRUE,(Skills!L20/10)*(E534/1000),Skills!L20/10)+Skills!O20</f>
        <v/>
      </c>
      <c r="G534">
        <f>Skills!G20*IF(Skills!H20&gt;0,Skills!I20/Skills!H20,1)</f>
        <v/>
      </c>
      <c r="H534">
        <f>1-(1-Skills!J20/100)^Skills!K20</f>
        <v/>
      </c>
      <c r="I534" t="inlineStr">
        <is>
          <t>1</t>
        </is>
      </c>
      <c r="J534" t="inlineStr"/>
      <c r="K534" t="inlineStr"/>
      <c r="L534" t="inlineStr"/>
      <c r="M534" t="inlineStr"/>
      <c r="N534" t="inlineStr"/>
      <c r="O534" t="n">
        <v>0</v>
      </c>
      <c r="P534">
        <f>IF(B559=0,0,O534/B559)</f>
        <v/>
      </c>
      <c r="Q534">
        <f>IFERROR(1/IF(Inputs!$B$39="pvp",15,MAX(0.1,Skills!D20-IF(Skills!E20=TRUE,Inputs!$B$32,0))),0)</f>
        <v/>
      </c>
      <c r="R534">
        <f>IF(AND(Inputs!$B$39&lt;&gt;"pvp",Inputs!$B$44&gt;0),IF(Inputs!$B$44&lt;=0,0,(INT(Inputs!$B$44/IF(Inputs!$B$39="pvp",15,MAX(0.1,Skills!D20-IF(Skills!E20=TRUE,Inputs!$B$32,0))))+1)),0)</f>
        <v/>
      </c>
      <c r="S534">
        <f>IFERROR(O534/N534,0)</f>
        <v/>
      </c>
    </row>
    <row r="535">
      <c r="A535">
        <f>Skills!A21</f>
        <v/>
      </c>
      <c r="B535">
        <f>Skills!B21</f>
        <v/>
      </c>
      <c r="C535">
        <f>Inputs!$B$3&gt;=15</f>
        <v/>
      </c>
      <c r="D535">
        <f>IF(Skills!C21=1,60+Inputs!$B$25+Inputs!$B$29,IF(Skills!C21=2,90+Inputs!$B$26+Inputs!$B$29,IF(Skills!C21=3,120+Inputs!$B$27+Inputs!$B$29,MAX(0,(Inputs!$B$3-100)*3)+Inputs!$B$28+Inputs!$B$29)))</f>
        <v/>
      </c>
      <c r="E535">
        <f>INDEX(FactorTable!$B$2:$Y$301, MATCH(ROUND(MIN(300,MAX(1,D535)),0), FactorTable!$A$2:$A$301,0), Skills!M21+1)</f>
        <v/>
      </c>
      <c r="F535">
        <f>IF(Skills!N21=TRUE,(Skills!L21/10)*(E535/1000),Skills!L21/10)+Skills!O21</f>
        <v/>
      </c>
      <c r="G535">
        <f>Skills!G21*IF(Skills!H21&gt;0,Skills!I21/Skills!H21,1)</f>
        <v/>
      </c>
      <c r="H535">
        <f>1-(1-Skills!J21/100)^Skills!K21</f>
        <v/>
      </c>
      <c r="I535" t="inlineStr">
        <is>
          <t>1</t>
        </is>
      </c>
      <c r="J535" t="inlineStr"/>
      <c r="K535" t="inlineStr"/>
      <c r="L535" t="inlineStr"/>
      <c r="M535" t="inlineStr"/>
      <c r="N535" t="inlineStr"/>
      <c r="O535" t="n">
        <v>0</v>
      </c>
      <c r="P535">
        <f>IF(B559=0,0,O535/B559)</f>
        <v/>
      </c>
      <c r="Q535">
        <f>IFERROR(1/IF(Inputs!$B$39="pvp",15,MAX(0.1,Skills!D21-IF(Skills!E21=TRUE,Inputs!$B$32,0))),0)</f>
        <v/>
      </c>
      <c r="R535">
        <f>IF(AND(Inputs!$B$39&lt;&gt;"pvp",Inputs!$B$44&gt;0),IF(Inputs!$B$44&lt;=0,0,(INT(Inputs!$B$44/IF(Inputs!$B$39="pvp",15,MAX(0.1,Skills!D21-IF(Skills!E21=TRUE,Inputs!$B$32,0))))+1)),0)</f>
        <v/>
      </c>
      <c r="S535">
        <f>IFERROR(O535/N535,0)</f>
        <v/>
      </c>
    </row>
    <row r="536">
      <c r="A536">
        <f>Skills!A22</f>
        <v/>
      </c>
      <c r="B536">
        <f>Skills!B22</f>
        <v/>
      </c>
      <c r="C536">
        <f>Inputs!$B$3&gt;=33</f>
        <v/>
      </c>
      <c r="D536">
        <f>IF(Skills!C22=1,60+Inputs!$B$25+Inputs!$B$29,IF(Skills!C22=2,90+Inputs!$B$26+Inputs!$B$29,IF(Skills!C22=3,120+Inputs!$B$27+Inputs!$B$29,MAX(0,(Inputs!$B$3-100)*3)+Inputs!$B$28+Inputs!$B$29)))</f>
        <v/>
      </c>
      <c r="E536">
        <f>INDEX(FactorTable!$B$2:$Y$301, MATCH(ROUND(MIN(300,MAX(1,D536)),0), FactorTable!$A$2:$A$301,0), Skills!M22+1)</f>
        <v/>
      </c>
      <c r="F536">
        <f>IF(Skills!N22=TRUE,(Skills!L22/10)*(E536/1000),Skills!L22/10)+Skills!O22</f>
        <v/>
      </c>
      <c r="G536">
        <f>Skills!G22*IF(Skills!H22&gt;0,Skills!I22/Skills!H22,1)</f>
        <v/>
      </c>
      <c r="H536">
        <f>1-(1-Skills!J22/100)^Skills!K22</f>
        <v/>
      </c>
      <c r="I536" t="inlineStr">
        <is>
          <t>1</t>
        </is>
      </c>
      <c r="J536" t="inlineStr"/>
      <c r="K536" t="inlineStr"/>
      <c r="L536" t="inlineStr"/>
      <c r="M536" t="inlineStr"/>
      <c r="N536" t="inlineStr"/>
      <c r="O536" t="n">
        <v>0</v>
      </c>
      <c r="P536">
        <f>IF(B559=0,0,O536/B559)</f>
        <v/>
      </c>
      <c r="Q536" t="n">
        <v>0</v>
      </c>
      <c r="R536" t="n">
        <v>0</v>
      </c>
      <c r="S536">
        <f>IFERROR(O536/N536,0)</f>
        <v/>
      </c>
    </row>
    <row r="537">
      <c r="A537">
        <f>Skills!A23</f>
        <v/>
      </c>
      <c r="B537">
        <f>Skills!B23</f>
        <v/>
      </c>
      <c r="C537">
        <f>Inputs!$B$3&gt;=40</f>
        <v/>
      </c>
      <c r="D537">
        <f>IF(Skills!C23=1,60+Inputs!$B$25+Inputs!$B$29,IF(Skills!C23=2,90+Inputs!$B$26+Inputs!$B$29,IF(Skills!C23=3,120+Inputs!$B$27+Inputs!$B$29,MAX(0,(Inputs!$B$3-100)*3)+Inputs!$B$28+Inputs!$B$29)))</f>
        <v/>
      </c>
      <c r="E537">
        <f>INDEX(FactorTable!$B$2:$Y$301, MATCH(ROUND(MIN(300,MAX(1,D537)),0), FactorTable!$A$2:$A$301,0), Skills!M23+1)</f>
        <v/>
      </c>
      <c r="F537">
        <f>IF(Skills!N23=TRUE,(Skills!L23/10)*(E537/1000),Skills!L23/10)+Skills!O23</f>
        <v/>
      </c>
      <c r="G537">
        <f>Skills!G23*IF(Skills!H23&gt;0,Skills!I23/Skills!H23,1)</f>
        <v/>
      </c>
      <c r="H537">
        <f>1-(1-Skills!J23/100)^Skills!K23</f>
        <v/>
      </c>
      <c r="I537" t="inlineStr">
        <is>
          <t>1</t>
        </is>
      </c>
      <c r="J537" t="inlineStr"/>
      <c r="K537" t="inlineStr"/>
      <c r="L537" t="inlineStr"/>
      <c r="M537" t="inlineStr"/>
      <c r="N537" t="inlineStr"/>
      <c r="O537" t="n">
        <v>0</v>
      </c>
      <c r="P537">
        <f>IF(B559=0,0,O537/B559)</f>
        <v/>
      </c>
      <c r="Q537" t="n">
        <v>0</v>
      </c>
      <c r="R537" t="n">
        <v>0</v>
      </c>
      <c r="S537">
        <f>IFERROR(O537/N537,0)</f>
        <v/>
      </c>
    </row>
    <row r="538">
      <c r="A538">
        <f>Skills!A24</f>
        <v/>
      </c>
      <c r="B538">
        <f>Skills!B24</f>
        <v/>
      </c>
      <c r="C538">
        <f>Inputs!$B$3&gt;=43</f>
        <v/>
      </c>
      <c r="D538">
        <f>IF(Skills!C24=1,60+Inputs!$B$25+Inputs!$B$29,IF(Skills!C24=2,90+Inputs!$B$26+Inputs!$B$29,IF(Skills!C24=3,120+Inputs!$B$27+Inputs!$B$29,MAX(0,(Inputs!$B$3-100)*3)+Inputs!$B$28+Inputs!$B$29)))</f>
        <v/>
      </c>
      <c r="E538">
        <f>INDEX(FactorTable!$B$2:$Y$301, MATCH(ROUND(MIN(300,MAX(1,D538)),0), FactorTable!$A$2:$A$301,0), Skills!M24+1)</f>
        <v/>
      </c>
      <c r="F538">
        <f>IF(Skills!N24=TRUE,(Skills!L24/10)*(E538/1000),Skills!L24/10)+Skills!O24</f>
        <v/>
      </c>
      <c r="G538">
        <f>Skills!G24*IF(Skills!H24&gt;0,Skills!I24/Skills!H24,1)</f>
        <v/>
      </c>
      <c r="H538">
        <f>1-(1-Skills!J24/100)^Skills!K24</f>
        <v/>
      </c>
      <c r="I538" t="inlineStr">
        <is>
          <t>1</t>
        </is>
      </c>
      <c r="J538" t="inlineStr"/>
      <c r="K538" t="inlineStr"/>
      <c r="L538" t="inlineStr"/>
      <c r="M538" t="inlineStr"/>
      <c r="N538" t="inlineStr"/>
      <c r="O538" t="n">
        <v>0</v>
      </c>
      <c r="P538">
        <f>IF(B559=0,0,O538/B559)</f>
        <v/>
      </c>
      <c r="Q538" t="n">
        <v>0</v>
      </c>
      <c r="R538" t="n">
        <v>0</v>
      </c>
      <c r="S538">
        <f>IFERROR(O538/N538,0)</f>
        <v/>
      </c>
    </row>
    <row r="539">
      <c r="A539">
        <f>Skills!A25</f>
        <v/>
      </c>
      <c r="B539">
        <f>Skills!B25</f>
        <v/>
      </c>
      <c r="C539">
        <f>Inputs!$B$3&gt;=50</f>
        <v/>
      </c>
      <c r="D539">
        <f>IF(Skills!C25=1,60+Inputs!$B$25+Inputs!$B$29,IF(Skills!C25=2,90+Inputs!$B$26+Inputs!$B$29,IF(Skills!C25=3,120+Inputs!$B$27+Inputs!$B$29,MAX(0,(Inputs!$B$3-100)*3)+Inputs!$B$28+Inputs!$B$29)))</f>
        <v/>
      </c>
      <c r="E539">
        <f>INDEX(FactorTable!$B$2:$Y$301, MATCH(ROUND(MIN(300,MAX(1,D539)),0), FactorTable!$A$2:$A$301,0), Skills!M25+1)</f>
        <v/>
      </c>
      <c r="F539">
        <f>IF(Skills!N25=TRUE,(Skills!L25/10)*(E539/1000),Skills!L25/10)+Skills!O25</f>
        <v/>
      </c>
      <c r="G539">
        <f>Skills!G25*IF(Skills!H25&gt;0,Skills!I25/Skills!H25,1)</f>
        <v/>
      </c>
      <c r="H539">
        <f>1-(1-Skills!J25/100)^Skills!K25</f>
        <v/>
      </c>
      <c r="I539" t="inlineStr">
        <is>
          <t>1</t>
        </is>
      </c>
      <c r="J539" t="inlineStr"/>
      <c r="K539" t="inlineStr"/>
      <c r="L539" t="inlineStr"/>
      <c r="M539" t="inlineStr"/>
      <c r="N539" t="inlineStr"/>
      <c r="O539" t="n">
        <v>0</v>
      </c>
      <c r="P539">
        <f>IF(B559=0,0,O539/B559)</f>
        <v/>
      </c>
      <c r="Q539" t="n">
        <v>0</v>
      </c>
      <c r="R539" t="n">
        <v>0</v>
      </c>
      <c r="S539">
        <f>IFERROR(O539/N539,0)</f>
        <v/>
      </c>
    </row>
    <row r="540">
      <c r="A540">
        <f>Skills!A26</f>
        <v/>
      </c>
      <c r="B540">
        <f>Skills!B26</f>
        <v/>
      </c>
      <c r="C540">
        <f>Inputs!$B$3&gt;=50</f>
        <v/>
      </c>
      <c r="D540">
        <f>IF(Skills!C26=1,60+Inputs!$B$25+Inputs!$B$29,IF(Skills!C26=2,90+Inputs!$B$26+Inputs!$B$29,IF(Skills!C26=3,120+Inputs!$B$27+Inputs!$B$29,MAX(0,(Inputs!$B$3-100)*3)+Inputs!$B$28+Inputs!$B$29)))</f>
        <v/>
      </c>
      <c r="E540">
        <f>INDEX(FactorTable!$B$2:$Y$301, MATCH(ROUND(MIN(300,MAX(1,D540)),0), FactorTable!$A$2:$A$301,0), Skills!M26+1)</f>
        <v/>
      </c>
      <c r="F540">
        <f>IF(Skills!N26=TRUE,(Skills!L26/10)*(E540/1000),Skills!L26/10)+Skills!O26</f>
        <v/>
      </c>
      <c r="G540">
        <f>Skills!G26*IF(Skills!H26&gt;0,Skills!I26/Skills!H26,1)</f>
        <v/>
      </c>
      <c r="H540">
        <f>1-(1-Skills!J26/100)^Skills!K26</f>
        <v/>
      </c>
      <c r="I540" t="inlineStr">
        <is>
          <t>1</t>
        </is>
      </c>
      <c r="J540" t="inlineStr"/>
      <c r="K540" t="inlineStr"/>
      <c r="L540" t="inlineStr"/>
      <c r="M540" t="inlineStr"/>
      <c r="N540" t="inlineStr"/>
      <c r="O540" t="n">
        <v>0</v>
      </c>
      <c r="P540">
        <f>IF(B559=0,0,O540/B559)</f>
        <v/>
      </c>
      <c r="Q540" t="n">
        <v>0</v>
      </c>
      <c r="R540" t="n">
        <v>0</v>
      </c>
      <c r="S540">
        <f>IFERROR(O540/N540,0)</f>
        <v/>
      </c>
    </row>
    <row r="541">
      <c r="A541">
        <f>Skills!A27</f>
        <v/>
      </c>
      <c r="B541">
        <f>Skills!B27</f>
        <v/>
      </c>
      <c r="C541">
        <f>Inputs!$B$3&gt;=38</f>
        <v/>
      </c>
      <c r="D541">
        <f>IF(Skills!C27=1,60+Inputs!$B$25+Inputs!$B$29,IF(Skills!C27=2,90+Inputs!$B$26+Inputs!$B$29,IF(Skills!C27=3,120+Inputs!$B$27+Inputs!$B$29,MAX(0,(Inputs!$B$3-100)*3)+Inputs!$B$28+Inputs!$B$29)))</f>
        <v/>
      </c>
      <c r="E541">
        <f>INDEX(FactorTable!$B$2:$Y$301, MATCH(ROUND(MIN(300,MAX(1,D541)),0), FactorTable!$A$2:$A$301,0), Skills!M27+1)</f>
        <v/>
      </c>
      <c r="F541">
        <f>IF(Skills!N27=TRUE,(Skills!L27/10)*(E541/1000),Skills!L27/10)+Skills!O27</f>
        <v/>
      </c>
      <c r="G541">
        <f>Skills!G27*IF(Skills!H27&gt;0,Skills!I27/Skills!H27,1)</f>
        <v/>
      </c>
      <c r="H541">
        <f>1-(1-Skills!J27/100)^Skills!K27</f>
        <v/>
      </c>
      <c r="I541" t="inlineStr">
        <is>
          <t>1</t>
        </is>
      </c>
      <c r="J541" t="inlineStr"/>
      <c r="K541" t="inlineStr"/>
      <c r="L541" t="inlineStr"/>
      <c r="M541" t="inlineStr"/>
      <c r="N541" t="inlineStr"/>
      <c r="O541" t="n">
        <v>0</v>
      </c>
      <c r="P541">
        <f>IF(B559=0,0,O541/B559)</f>
        <v/>
      </c>
      <c r="Q541" t="n">
        <v>0</v>
      </c>
      <c r="R541" t="n">
        <v>0</v>
      </c>
      <c r="S541">
        <f>IFERROR(O541/N541,0)</f>
        <v/>
      </c>
    </row>
    <row r="542">
      <c r="A542">
        <f>Skills!A28</f>
        <v/>
      </c>
      <c r="B542">
        <f>Skills!B28</f>
        <v/>
      </c>
      <c r="C542">
        <f>Inputs!$B$3&gt;=120</f>
        <v/>
      </c>
      <c r="D542">
        <f>IF(Skills!C28=1,60+Inputs!$B$25+Inputs!$B$29,IF(Skills!C28=2,90+Inputs!$B$26+Inputs!$B$29,IF(Skills!C28=3,120+Inputs!$B$27+Inputs!$B$29,MAX(0,(Inputs!$B$3-100)*3)+Inputs!$B$28+Inputs!$B$29)))</f>
        <v/>
      </c>
      <c r="E542">
        <f>INDEX(FactorTable!$B$2:$Y$301, MATCH(ROUND(MIN(300,MAX(1,D542)),0), FactorTable!$A$2:$A$301,0), Skills!M28+1)</f>
        <v/>
      </c>
      <c r="F542">
        <f>IF(Skills!N28=TRUE,(Skills!L28/10)*(E542/1000),Skills!L28/10)+Skills!O28</f>
        <v/>
      </c>
      <c r="G542">
        <f>Skills!G28*IF(Skills!H28&gt;0,Skills!I28/Skills!H28,1)</f>
        <v/>
      </c>
      <c r="H542">
        <f>1-(1-Skills!J28/100)^Skills!K28</f>
        <v/>
      </c>
      <c r="I542" t="inlineStr">
        <is>
          <t>1</t>
        </is>
      </c>
      <c r="J542" t="inlineStr"/>
      <c r="K542" t="inlineStr"/>
      <c r="L542" t="inlineStr"/>
      <c r="M542" t="inlineStr"/>
      <c r="N542" t="inlineStr"/>
      <c r="O542" t="n">
        <v>0</v>
      </c>
      <c r="P542">
        <f>IF(B559=0,0,O542/B559)</f>
        <v/>
      </c>
      <c r="Q542" t="n">
        <v>0</v>
      </c>
      <c r="R542" t="n">
        <v>0</v>
      </c>
      <c r="S542">
        <f>IFERROR(O542/N542,0)</f>
        <v/>
      </c>
    </row>
    <row r="543">
      <c r="A543">
        <f>Skills!A29</f>
        <v/>
      </c>
      <c r="B543">
        <f>Skills!B29</f>
        <v/>
      </c>
      <c r="C543">
        <f>Inputs!$B$3&gt;=120</f>
        <v/>
      </c>
      <c r="D543">
        <f>IF(Skills!C29=1,60+Inputs!$B$25+Inputs!$B$29,IF(Skills!C29=2,90+Inputs!$B$26+Inputs!$B$29,IF(Skills!C29=3,120+Inputs!$B$27+Inputs!$B$29,MAX(0,(Inputs!$B$3-100)*3)+Inputs!$B$28+Inputs!$B$29)))</f>
        <v/>
      </c>
      <c r="E543">
        <f>INDEX(FactorTable!$B$2:$Y$301, MATCH(ROUND(MIN(300,MAX(1,D543)),0), FactorTable!$A$2:$A$301,0), Skills!M29+1)</f>
        <v/>
      </c>
      <c r="F543">
        <f>IF(Skills!N29=TRUE,(Skills!L29/10)*(E543/1000),Skills!L29/10)+Skills!O29</f>
        <v/>
      </c>
      <c r="G543">
        <f>Skills!G29*IF(Skills!H29&gt;0,Skills!I29/Skills!H29,1)</f>
        <v/>
      </c>
      <c r="H543">
        <f>1-(1-Skills!J29/100)^Skills!K29</f>
        <v/>
      </c>
      <c r="I543" t="inlineStr">
        <is>
          <t>1</t>
        </is>
      </c>
      <c r="J543" t="inlineStr"/>
      <c r="K543" t="inlineStr"/>
      <c r="L543" t="inlineStr"/>
      <c r="M543" t="inlineStr"/>
      <c r="N543" t="inlineStr"/>
      <c r="O543" t="n">
        <v>0</v>
      </c>
      <c r="P543">
        <f>IF(B559=0,0,O543/B559)</f>
        <v/>
      </c>
      <c r="Q543" t="n">
        <v>0</v>
      </c>
      <c r="R543" t="n">
        <v>0</v>
      </c>
      <c r="S543">
        <f>IFERROR(O543/N543,0)</f>
        <v/>
      </c>
    </row>
    <row r="544">
      <c r="A544">
        <f>Skills!A30</f>
        <v/>
      </c>
      <c r="B544">
        <f>Skills!B30</f>
        <v/>
      </c>
      <c r="C544">
        <f>Inputs!$B$3&gt;=125</f>
        <v/>
      </c>
      <c r="D544">
        <f>IF(Skills!C30=1,60+Inputs!$B$25+Inputs!$B$29,IF(Skills!C30=2,90+Inputs!$B$26+Inputs!$B$29,IF(Skills!C30=3,120+Inputs!$B$27+Inputs!$B$29,MAX(0,(Inputs!$B$3-100)*3)+Inputs!$B$28+Inputs!$B$29)))</f>
        <v/>
      </c>
      <c r="E544">
        <f>INDEX(FactorTable!$B$2:$Y$301, MATCH(ROUND(MIN(300,MAX(1,D544)),0), FactorTable!$A$2:$A$301,0), Skills!M30+1)</f>
        <v/>
      </c>
      <c r="F544">
        <f>IF(Skills!N30=TRUE,(Skills!L30/10)*(E544/1000),Skills!L30/10)+Skills!O30</f>
        <v/>
      </c>
      <c r="G544">
        <f>Skills!G30*IF(Skills!H30&gt;0,Skills!I30/Skills!H30,1)</f>
        <v/>
      </c>
      <c r="H544">
        <f>1-(1-Skills!J30/100)^Skills!K30</f>
        <v/>
      </c>
      <c r="I544" t="inlineStr">
        <is>
          <t>1</t>
        </is>
      </c>
      <c r="J544" t="inlineStr"/>
      <c r="K544" t="inlineStr"/>
      <c r="L544" t="inlineStr"/>
      <c r="M544" t="inlineStr"/>
      <c r="N544" t="inlineStr"/>
      <c r="O544" t="n">
        <v>0</v>
      </c>
      <c r="P544">
        <f>IF(B559=0,0,O544/B559)</f>
        <v/>
      </c>
      <c r="Q544" t="n">
        <v>0</v>
      </c>
      <c r="R544" t="n">
        <v>0</v>
      </c>
      <c r="S544">
        <f>IFERROR(O544/N544,0)</f>
        <v/>
      </c>
    </row>
    <row r="546">
      <c r="A546" t="inlineStr">
        <is>
          <t>Average Buff Multiplier</t>
        </is>
      </c>
      <c r="B546">
        <f>(1+(((C535=TRUE)*F535*IF(AND(Inputs!$B$39&lt;&gt;"pvp",Inputs!$B$44&gt;0),(((R535-1)*(Skills!Y21*(1+Inputs!$B$34/100))+MIN((Skills!Y21*(1+Inputs!$B$34/100)),MAX(0,Inputs!$B$44-((R535-1)*Skills!D21))))/Inputs!$B$44),IF(Inputs!$B$39="pvp",MIN((Skills!Y21*(1+Inputs!$B$34/100)),15)/15,(Skills!Y21*(1+Inputs!$B$34/100))/Skills!D21)))+((C537=TRUE)*(F537-Calc!F23))+((C531=TRUE)*(F531-Calc!F17)))/100)*(1+((C524=TRUE)*F524*IF(AND(Inputs!$B$39&lt;&gt;"pvp",Inputs!$B$44&gt;0),(((R524-1)*(Skills!Y10*(1+Inputs!$B$34/100))+MIN((Skills!Y10*(1+Inputs!$B$34/100)),MAX(0,Inputs!$B$44-((R524-1)*Skills!D10))))/Inputs!$B$44),IF(Inputs!$B$39="pvp",MIN((Skills!Y10*(1+Inputs!$B$34/100)),15)/15,(Skills!Y10*(1+Inputs!$B$34/100))/Skills!D10)))/100)*(1+((C529=TRUE)*F529*IF(AND(Inputs!$B$39&lt;&gt;"pvp",Inputs!$B$44&gt;0),(((R529-1)*(Skills!Y15*(1+Inputs!$B$34/100))+MIN((Skills!Y15*(1+Inputs!$B$34/100)),MAX(0,Inputs!$B$44-((R529-1)*Skills!D15))))/Inputs!$B$44),IF(Inputs!$B$39="pvp",MIN((Skills!Y15*(1+Inputs!$B$34/100)),15)/15,(Skills!Y15*(1+Inputs!$B$34/100))/Skills!D15)))/100)</f>
        <v/>
      </c>
    </row>
    <row r="547">
      <c r="A547" t="inlineStr">
        <is>
          <t>Global Crit Rate Bonus %</t>
        </is>
      </c>
      <c r="B547">
        <f>((C534=TRUE)*F534*IF(AND(Inputs!$B$39&lt;&gt;"pvp",Inputs!$B$44&gt;0),(((R534-1)*(Skills!Y20*(1+Inputs!$B$34/100))+MIN((Skills!Y20*(1+Inputs!$B$34/100)),MAX(0,Inputs!$B$44-((R534-1)*Skills!D20))))/Inputs!$B$44),IF(Inputs!$B$39="pvp",MIN((Skills!Y20*(1+Inputs!$B$34/100)),15)/15,(Skills!Y20*(1+Inputs!$B$34/100))/Skills!D20)))</f>
        <v/>
      </c>
    </row>
    <row r="548">
      <c r="A548" t="inlineStr">
        <is>
          <t>Global Monster Damage-Taken Bonus %</t>
        </is>
      </c>
      <c r="B548">
        <f>IF(Inputs!$B$3&gt;=82,15,0)</f>
        <v/>
      </c>
    </row>
    <row r="549">
      <c r="A549" t="inlineStr">
        <is>
          <t>Shadow Partner Average Multiplier</t>
        </is>
      </c>
      <c r="B549">
        <f>1+((C521=TRUE)*F521*(1+3.3333333333333335*IF(C532=TRUE,F532,0)/100)*I521*Skills!J7/100)/100</f>
        <v/>
      </c>
    </row>
    <row r="550">
      <c r="A550" t="inlineStr">
        <is>
          <t>Attack Speed Buff Bonus %</t>
        </is>
      </c>
      <c r="B550">
        <f>((C533=TRUE)*F533*IF(AND(Inputs!$B$39&lt;&gt;"pvp",Inputs!$B$44&gt;0),(((R533-1)*(Skills!Y19*(1+Inputs!$B$34/100))+MIN((Skills!Y19*(1+Inputs!$B$34/100)),MAX(0,Inputs!$B$44-((R533-1)*Skills!D19))))/Inputs!$B$44),IF(Inputs!$B$39="pvp",MIN((Skills!Y19*(1+Inputs!$B$34/100)),15)/15,(Skills!Y19*(1+Inputs!$B$34/100))/Skills!D19)))+((C517=TRUE)*F517*3)</f>
        <v/>
      </c>
    </row>
    <row r="551">
      <c r="A551" t="inlineStr">
        <is>
          <t>Actions Per Second</t>
        </is>
      </c>
      <c r="B551">
        <f>1+MIN(150,150*(1-(1-(Inputs!$B$11+((C536=TRUE)*(F536-Calc!F22)))/150)*(1-B550/150)))/100</f>
        <v/>
      </c>
    </row>
    <row r="552">
      <c r="A552" t="inlineStr">
        <is>
          <t>Skill + Buff Cast Rate</t>
        </is>
      </c>
      <c r="B552">
        <f>IF(AND(Inputs!$B$39&lt;&gt;"pvp",Inputs!$B$44&gt;0),SUMPRODUCT((Skills!E2:E30=TRUE)*(C516:C544=TRUE)*R516:R544*Skills!F2:F30)/Inputs!$B$44,SUMPRODUCT((Skills!E2:E30=TRUE)*(C516:C544=TRUE)*Q516:Q544*Skills!F2:F30))</f>
        <v/>
      </c>
    </row>
    <row r="553">
      <c r="A553" t="inlineStr">
        <is>
          <t>Cruel Stab Casts Per Second</t>
        </is>
      </c>
      <c r="B553">
        <f>MAX(0,B551-B552)</f>
        <v/>
      </c>
    </row>
    <row r="554">
      <c r="A554" t="inlineStr">
        <is>
          <t>Global Critical Damage Bonus % (Smokescreen Mastery Lv.113)</t>
        </is>
      </c>
      <c r="B554">
        <f>IF(Inputs!$B$3&gt;=113,30,0)*IF(AND(Inputs!$B$39&lt;&gt;"pvp",Inputs!$B$44&gt;0),(((R529-1)*(Skills!Y15*(1+Inputs!$B$34/100))+MIN((Skills!Y15*(1+Inputs!$B$34/100)),MAX(0,Inputs!$B$44-((R529-1)*Skills!D15))))/Inputs!$B$44),IF(Inputs!$B$39="pvp",MIN((Skills!Y15*(1+Inputs!$B$34/100)),15)/15,(Skills!Y15*(1+Inputs!$B$34/100))/Skills!D15))</f>
        <v/>
      </c>
    </row>
    <row r="555">
      <c r="A555" t="inlineStr">
        <is>
          <t>Meso Explosion average stack count</t>
        </is>
      </c>
      <c r="B555">
        <f>MIN(10,0.5*B551*Skills!D4)</f>
        <v/>
      </c>
    </row>
    <row r="556">
      <c r="A556" t="inlineStr">
        <is>
          <t>Blood Money average stack count</t>
        </is>
      </c>
      <c r="B556">
        <f>MIN(5,0.25*B551*Skills!D4)</f>
        <v/>
      </c>
    </row>
    <row r="557">
      <c r="A557" t="inlineStr">
        <is>
          <t>Assassinate Murderous Intent Multiplier</t>
        </is>
      </c>
      <c r="B557">
        <f>1+IFERROR(MIN(1,Q528*2/Q525),0)</f>
        <v/>
      </c>
    </row>
    <row r="558">
      <c r="A558" t="inlineStr">
        <is>
          <t>Buff-Casting Startup Delay (s, fixed-duration only)</t>
        </is>
      </c>
      <c r="B558">
        <f>IF(AND(Inputs!$B$39&lt;&gt;"pvp",Inputs!$B$44&gt;0),SUMPRODUCT((Skills!Y2:Y30&gt;0)*(Skills!E2:E30=TRUE)*(C516:C544=TRUE))/B551,0)</f>
        <v/>
      </c>
    </row>
    <row r="559">
      <c r="A559" s="5" t="inlineStr">
        <is>
          <t>TOTAL DPS</t>
        </is>
      </c>
      <c r="B559" s="5">
        <f>SUM(O516:O544)</f>
        <v/>
      </c>
    </row>
    <row r="562">
      <c r="A562" s="5" t="inlineStr">
        <is>
          <t>Stat: CRIT_DAMAGE %</t>
        </is>
      </c>
    </row>
    <row r="563">
      <c r="A563" s="9" t="inlineStr">
        <is>
          <t>Key</t>
        </is>
      </c>
      <c r="B563" s="9" t="inlineStr">
        <is>
          <t>Name</t>
        </is>
      </c>
      <c r="C563" s="9" t="inlineStr">
        <is>
          <t>Unlocked</t>
        </is>
      </c>
      <c r="D563" s="9" t="inlineStr">
        <is>
          <t>InputLevel</t>
        </is>
      </c>
      <c r="E563" s="9" t="inlineStr">
        <is>
          <t>Factor</t>
        </is>
      </c>
      <c r="F563" s="9" t="inlineStr">
        <is>
          <t>CoefficientPercent</t>
        </is>
      </c>
      <c r="G563" s="9" t="inlineStr">
        <is>
          <t>EffectiveHits</t>
        </is>
      </c>
      <c r="H563" s="9" t="inlineStr">
        <is>
          <t>ProcProbability</t>
        </is>
      </c>
      <c r="I563" s="9" t="inlineStr">
        <is>
          <t>MapleHeroMultiplier</t>
        </is>
      </c>
      <c r="J563" s="9" t="inlineStr">
        <is>
          <t>BaseDamage</t>
        </is>
      </c>
      <c r="K563" s="9" t="inlineStr">
        <is>
          <t>BaseHitDamage</t>
        </is>
      </c>
      <c r="L563" s="9" t="inlineStr">
        <is>
          <t>NonCritAvg</t>
        </is>
      </c>
      <c r="M563" s="9" t="inlineStr">
        <is>
          <t>CritAvg</t>
        </is>
      </c>
      <c r="N563" s="9" t="inlineStr">
        <is>
          <t>ExpectedDamage(perHit)</t>
        </is>
      </c>
      <c r="O563" s="9" t="inlineStr">
        <is>
          <t>DPS</t>
        </is>
      </c>
      <c r="P563" s="9" t="inlineStr">
        <is>
          <t>% of Total</t>
        </is>
      </c>
      <c r="Q563" s="9" t="inlineStr">
        <is>
          <t>InvCooldown</t>
        </is>
      </c>
      <c r="R563" s="9" t="inlineStr">
        <is>
          <t>CastsInFight</t>
        </is>
      </c>
      <c r="S563" s="9" t="inlineStr">
        <is>
          <t>HitRate(perSec)</t>
        </is>
      </c>
      <c r="U563" t="inlineStr">
        <is>
          <t>helpers</t>
        </is>
      </c>
    </row>
    <row r="564">
      <c r="A564">
        <f>Skills!A2</f>
        <v/>
      </c>
      <c r="B564">
        <f>Skills!B2</f>
        <v/>
      </c>
      <c r="C564">
        <f>Inputs!$B$3&gt;=100</f>
        <v/>
      </c>
      <c r="D564" t="inlineStr"/>
      <c r="E564" t="inlineStr"/>
      <c r="F564">
        <f>U566+Skills!O2</f>
        <v/>
      </c>
      <c r="G564">
        <f>Skills!G2*IF(Skills!H2&gt;0,Skills!I2/Skills!H2,1)</f>
        <v/>
      </c>
      <c r="H564">
        <f>1-(1-Skills!J2/100)^Skills!K2</f>
        <v/>
      </c>
      <c r="I564" t="inlineStr">
        <is>
          <t>1</t>
        </is>
      </c>
      <c r="J564">
        <f>((Inputs!$B$6*(1+Inputs!$B$7/100))+(((Inputs!$B$12*(1+Inputs!$B$13/100))-(Inputs!$B$12*(1+Inputs!$B$13/100)))+0.25*(Inputs!$B$14-Inputs!$B$14))*(1+Inputs!$B$7/100))*(F564/100)</f>
        <v/>
      </c>
      <c r="K564">
        <f>J564*(1+((Inputs!$B$12*(1+Inputs!$B$13/100))*0.01+Inputs!$B$14*0.0025)/100)*(1+Inputs!$B$15/100)*(1+IF(Inputs!$B$39="pvp",0,(1-Summary!$B$55)*(Inputs!$B$20+0+Skills!P2+B596)+Summary!$B$55*(Inputs!$B$21+Skills!Q2+B596))/100)*(1+Inputs!$B$16/100)*(5000/(6000+Inputs!$B$43*(1-Inputs!$B$19/100)))*(1+(Inputs!$B$24+((C592=TRUE)*(F592-Calc!F30)))/100)*(1+(IF(Skills!A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564)</f>
        <v/>
      </c>
      <c r="L564">
        <f>K564*(MIN(Inputs!$B$22+((C586=TRUE)*(F586-Calc!F24)),Inputs!$B$23+((C591=TRUE)*(F591-Calc!F29)))/100+(Inputs!$B$23+((C591=TRUE)*(F591-Calc!F29)))/100)/2</f>
        <v/>
      </c>
      <c r="M564">
        <f>L564*(1+((Inputs!$B$10+1)+((C588=TRUE)*(F588-Calc!F26))+B602)/100)</f>
        <v/>
      </c>
      <c r="N564">
        <f>L564*(1-MIN((Inputs!$B$9+((C587=TRUE)*(F587-Calc!F25))+B595),100)/100)+M564*(MIN((Inputs!$B$9+((C587=TRUE)*(F587-Calc!F25))+B595),100)/100)</f>
        <v/>
      </c>
      <c r="O564">
        <f>IF(C564,Skills!G2*N564*B601*IF(Inputs!$B$39="pvp",1,(1-Summary!$B$55)*(1)+Summary!$B$55*(MIN((6+Inputs!$B$33),Inputs!$B$37))),0)</f>
        <v/>
      </c>
      <c r="P564">
        <f>IF(B607=0,0,O564/B607)</f>
        <v/>
      </c>
      <c r="Q564" t="n">
        <v>0</v>
      </c>
      <c r="R564" t="n">
        <v>0</v>
      </c>
      <c r="S564">
        <f>IFERROR(O564/N564,0)</f>
        <v/>
      </c>
      <c r="U564">
        <f>MAX(0,(Inputs!$B$3-100)*3)+Inputs!$B$28+Inputs!$B$29</f>
        <v/>
      </c>
    </row>
    <row r="565">
      <c r="A565">
        <f>Skills!A3</f>
        <v/>
      </c>
      <c r="B565">
        <f>Skills!B3</f>
        <v/>
      </c>
      <c r="C565">
        <f>Inputs!$B$3&gt;=35</f>
        <v/>
      </c>
      <c r="D565">
        <f>IF(Skills!C3=1,60+Inputs!$B$25+Inputs!$B$29,IF(Skills!C3=2,90+Inputs!$B$26+Inputs!$B$29,IF(Skills!C3=3,120+Inputs!$B$27+Inputs!$B$29,MAX(0,(Inputs!$B$3-100)*3)+Inputs!$B$28+Inputs!$B$29)))</f>
        <v/>
      </c>
      <c r="E565">
        <f>INDEX(FactorTable!$B$2:$Y$301, MATCH(ROUND(MIN(300,MAX(1,D565)),0), FactorTable!$A$2:$A$301,0), Skills!M3+1)</f>
        <v/>
      </c>
      <c r="F565">
        <f>IF(Skills!N3=TRUE,(Skills!L3/10)*(E565/1000),Skills!L3/10)+Skills!O3</f>
        <v/>
      </c>
      <c r="G565">
        <f>Skills!G3*IF(Skills!H3&gt;0,Skills!I3/Skills!H3,1)</f>
        <v/>
      </c>
      <c r="H565">
        <f>1-(1-Skills!J3/100)^Skills!K3</f>
        <v/>
      </c>
      <c r="I565" t="inlineStr">
        <is>
          <t>1</t>
        </is>
      </c>
      <c r="J565" t="inlineStr"/>
      <c r="K565" t="inlineStr"/>
      <c r="L565" t="inlineStr"/>
      <c r="M565" t="inlineStr"/>
      <c r="N565" t="inlineStr"/>
      <c r="O565" t="n">
        <v>0</v>
      </c>
      <c r="P565">
        <f>IF(B607=0,0,O565/B607)</f>
        <v/>
      </c>
      <c r="Q565" t="n">
        <v>0</v>
      </c>
      <c r="R565" t="n">
        <v>0</v>
      </c>
      <c r="S565">
        <f>IFERROR(O565/N565,0)</f>
        <v/>
      </c>
      <c r="U565">
        <f>INDEX(FactorTable!$B$2:$Y$301, MATCH(ROUND(MIN(300,MAX(1,U564)),0), FactorTable!$A$2:$A$301,0), 22)</f>
        <v/>
      </c>
    </row>
    <row r="566">
      <c r="A566">
        <f>Skills!A4</f>
        <v/>
      </c>
      <c r="B566">
        <f>Skills!B4</f>
        <v/>
      </c>
      <c r="C566">
        <f>Inputs!$B$3&gt;=66</f>
        <v/>
      </c>
      <c r="D566">
        <f>IF(Skills!C4=1,60+Inputs!$B$25+Inputs!$B$29,IF(Skills!C4=2,90+Inputs!$B$26+Inputs!$B$29,IF(Skills!C4=3,120+Inputs!$B$27+Inputs!$B$29,MAX(0,(Inputs!$B$3-100)*3)+Inputs!$B$28+Inputs!$B$29)))</f>
        <v/>
      </c>
      <c r="E566">
        <f>INDEX(FactorTable!$B$2:$Y$301, MATCH(ROUND(MIN(300,MAX(1,D566)),0), FactorTable!$A$2:$A$301,0), Skills!M4+1)</f>
        <v/>
      </c>
      <c r="F566">
        <f>IF(Skills!N4=TRUE,(Skills!L4/10)*(E566/1000),Skills!L4/10)+Skills!O4</f>
        <v/>
      </c>
      <c r="G566">
        <f>Skills!G4*IF(Skills!H4&gt;0,Skills!I4/Skills!H4,1)</f>
        <v/>
      </c>
      <c r="H566">
        <f>1-(1-Skills!J4/100)^Skills!K4</f>
        <v/>
      </c>
      <c r="I566" t="inlineStr">
        <is>
          <t>1</t>
        </is>
      </c>
      <c r="J566">
        <f>((Inputs!$B$6*(1+Inputs!$B$7/100))+(((Inputs!$B$12*(1+Inputs!$B$13/100))-(Inputs!$B$12*(1+Inputs!$B$13/100)))+0.25*(Inputs!$B$14-Inputs!$B$14))*(1+Inputs!$B$7/100))*(F566/100)</f>
        <v/>
      </c>
      <c r="K566">
        <f>J566*(1+((Inputs!$B$12*(1+Inputs!$B$13/100))*0.01+Inputs!$B$14*0.0025)/100)*(1+Inputs!$B$15/100)*(1+IF(Inputs!$B$39="pvp",0,(1-Summary!$B$55)*(Inputs!$B$20+0+Skills!P4+B596)+Summary!$B$55*(Inputs!$B$21+Skills!Q4+B596))/100)*(1+Inputs!$B$16/100)*(5000/(6000+Inputs!$B$43*(1-Inputs!$B$19/100)))*(1+(Inputs!$B$24+((C592=TRUE)*(F592-Calc!F30)))/100)*(1+(IF(Skills!A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566)</f>
        <v/>
      </c>
      <c r="L566">
        <f>K566*(MIN(Inputs!$B$22+((C586=TRUE)*(F586-Calc!F24)),Inputs!$B$23+((C591=TRUE)*(F591-Calc!F29)))/100+(Inputs!$B$23+((C591=TRUE)*(F591-Calc!F29)))/100)/2</f>
        <v/>
      </c>
      <c r="M566">
        <f>L566*(1+((Inputs!$B$10+1)+((C588=TRUE)*(F588-Calc!F26))+B602)/100)</f>
        <v/>
      </c>
      <c r="N566">
        <f>L566*(1-MIN((Inputs!$B$9+((C587=TRUE)*(F587-Calc!F25))+B595),100)/100)+M566*(MIN((Inputs!$B$9+((C587=TRUE)*(F587-Calc!F25))+B595),100)/100)</f>
        <v/>
      </c>
      <c r="O566">
        <f>IF(C566,H566*N566*IF(AND(Inputs!$B$39&lt;&gt;"pvp",Inputs!$B$44&gt;0),((Skills!G4*((R566-1)*IF(Skills!H4&gt;0,Skills!I4/Skills!H4,1)+IF(Skills!H4&gt;0,MIN(Skills!I4,MAX(0,MAX(0,Inputs!$B$44-B606)-((R566-1)*IF(Inputs!$B$39="pvp",15,MAX(0.1,Skills!D4-IF(Skills!E4=TRUE,Inputs!$B$32,0))))))/Skills!H4,1)))/Inputs!$B$44),G566*Q566)*IF(Inputs!$B$39="pvp",1,(1-Summary!$B$55)*(1)+Summary!$B$55*(MIN(MIN(10,0.5*B599*Skills!D4),Inputs!$B$37))),0)</f>
        <v/>
      </c>
      <c r="P566">
        <f>IF(B607=0,0,O566/B607)</f>
        <v/>
      </c>
      <c r="Q566">
        <f>IFERROR(1/IF(Inputs!$B$39="pvp",15,MAX(0.1,Skills!D4-IF(Skills!E4=TRUE,Inputs!$B$32,0))),0)</f>
        <v/>
      </c>
      <c r="R566">
        <f>IF(AND(Inputs!$B$39&lt;&gt;"pvp",Inputs!$B$44&gt;0),IF(MAX(0,Inputs!$B$44-B606)&lt;=0,0,(INT(MAX(0,Inputs!$B$44-B606)/IF(Inputs!$B$39="pvp",15,MAX(0.1,Skills!D4-IF(Skills!E4=TRUE,Inputs!$B$32,0))))+1)),0)</f>
        <v/>
      </c>
      <c r="S566">
        <f>IFERROR(O566/N566,0)</f>
        <v/>
      </c>
      <c r="U566">
        <f>290*U565/1000</f>
        <v/>
      </c>
    </row>
    <row r="567">
      <c r="A567">
        <f>Skills!A5</f>
        <v/>
      </c>
      <c r="B567">
        <f>Skills!B5</f>
        <v/>
      </c>
      <c r="C567">
        <f>Inputs!$B$3&gt;=63</f>
        <v/>
      </c>
      <c r="D567">
        <f>IF(Skills!C5=1,60+Inputs!$B$25+Inputs!$B$29,IF(Skills!C5=2,90+Inputs!$B$26+Inputs!$B$29,IF(Skills!C5=3,120+Inputs!$B$27+Inputs!$B$29,MAX(0,(Inputs!$B$3-100)*3)+Inputs!$B$28+Inputs!$B$29)))</f>
        <v/>
      </c>
      <c r="E567">
        <f>INDEX(FactorTable!$B$2:$Y$301, MATCH(ROUND(MIN(300,MAX(1,D567)),0), FactorTable!$A$2:$A$301,0), Skills!M5+1)</f>
        <v/>
      </c>
      <c r="F567">
        <f>IF(Skills!N5=TRUE,(Skills!L5/10)*(E567/1000),Skills!L5/10)+Skills!O5</f>
        <v/>
      </c>
      <c r="G567">
        <f>Skills!G5*IF(Skills!H5&gt;0,Skills!I5/Skills!H5,1)</f>
        <v/>
      </c>
      <c r="H567">
        <f>1-(1-Skills!J5/100)^Skills!K5</f>
        <v/>
      </c>
      <c r="I567" t="inlineStr">
        <is>
          <t>1</t>
        </is>
      </c>
      <c r="J567">
        <f>((Inputs!$B$6*(1+Inputs!$B$7/100))+(((Inputs!$B$12*(1+Inputs!$B$13/100))-(Inputs!$B$12*(1+Inputs!$B$13/100)))+0.25*(Inputs!$B$14-Inputs!$B$14))*(1+Inputs!$B$7/100))*(F567/100)</f>
        <v/>
      </c>
      <c r="K567">
        <f>J567*(1+((Inputs!$B$12*(1+Inputs!$B$13/100))*0.01+Inputs!$B$14*0.0025)/100)*(1+Inputs!$B$15/100)*(1+IF(Inputs!$B$39="pvp",0,(1-Summary!$B$55)*(Inputs!$B$20+0+Skills!P5+B596)+Summary!$B$55*(Inputs!$B$21+Skills!Q5+B596))/100)*(1+Inputs!$B$16/100)*(5000/(6000+Inputs!$B$43*(1-Inputs!$B$19/100)))*(1+(Inputs!$B$24+((C592=TRUE)*(F592-Calc!F30)))/100)*(1+2.6666666666666665*IF(C580=TRUE,F580,0)/100)*(1+(IF(Skills!A5="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567)</f>
        <v/>
      </c>
      <c r="L567">
        <f>K567*(MIN(Inputs!$B$22+((C586=TRUE)*(F586-Calc!F24)),Inputs!$B$23+((C591=TRUE)*(F591-Calc!F29)))/100+(Inputs!$B$23+((C591=TRUE)*(F591-Calc!F29)))/100)/2</f>
        <v/>
      </c>
      <c r="M567">
        <f>L567*(1+((Inputs!$B$10+1)+((C588=TRUE)*(F588-Calc!F26))+B602)/100)</f>
        <v/>
      </c>
      <c r="N567">
        <f>L567*(1-MIN((Inputs!$B$9+((C587=TRUE)*(F587-Calc!F25))+B595),100)/100)+M567*(MIN((Inputs!$B$9+((C587=TRUE)*(F587-Calc!F25))+B595),100)/100)</f>
        <v/>
      </c>
      <c r="O567">
        <f>IF(C567,H567*N567*IF(AND(Inputs!$B$39&lt;&gt;"pvp",Inputs!$B$44&gt;0),((Skills!G5*((R567-1)*IF(Skills!H5&gt;0,Skills!I5/Skills!H5,1)+IF(Skills!H5&gt;0,MIN(Skills!I5,MAX(0,MAX(0,Inputs!$B$44-B606)-((R567-1)*IF(Inputs!$B$39="pvp",15,MAX(0.1,Skills!D5-IF(Skills!E5=TRUE,Inputs!$B$32,0))))))/Skills!H5,1)))/Inputs!$B$44),G567*Q567)*IF(Inputs!$B$39="pvp",1,(1-Summary!$B$55)*(1)+Summary!$B$55*(MIN(Skills!W5,Inputs!$B$37))),0)</f>
        <v/>
      </c>
      <c r="P567">
        <f>IF(B607=0,0,O567/B607)</f>
        <v/>
      </c>
      <c r="Q567">
        <f>IFERROR(1/IF(Inputs!$B$39="pvp",15,MAX(0.1,Skills!D5-IF(Skills!E5=TRUE,Inputs!$B$32,0))),0)</f>
        <v/>
      </c>
      <c r="R567">
        <f>IF(AND(Inputs!$B$39&lt;&gt;"pvp",Inputs!$B$44&gt;0),IF(MAX(0,Inputs!$B$44-B606)&lt;=0,0,(INT(MAX(0,Inputs!$B$44-B606)/IF(Inputs!$B$39="pvp",15,MAX(0.1,Skills!D5-IF(Skills!E5=TRUE,Inputs!$B$32,0))))+1)),0)</f>
        <v/>
      </c>
      <c r="S567">
        <f>IFERROR(O567/N567,0)</f>
        <v/>
      </c>
    </row>
    <row r="568">
      <c r="A568">
        <f>Skills!A6</f>
        <v/>
      </c>
      <c r="B568">
        <f>Skills!B6</f>
        <v/>
      </c>
      <c r="C568">
        <f>Inputs!$B$3&gt;=69</f>
        <v/>
      </c>
      <c r="D568">
        <f>IF(Skills!C6=1,60+Inputs!$B$25+Inputs!$B$29,IF(Skills!C6=2,90+Inputs!$B$26+Inputs!$B$29,IF(Skills!C6=3,120+Inputs!$B$27+Inputs!$B$29,MAX(0,(Inputs!$B$3-100)*3)+Inputs!$B$28+Inputs!$B$29)))</f>
        <v/>
      </c>
      <c r="E568">
        <f>INDEX(FactorTable!$B$2:$Y$301, MATCH(ROUND(MIN(300,MAX(1,D568)),0), FactorTable!$A$2:$A$301,0), Skills!M6+1)</f>
        <v/>
      </c>
      <c r="F568">
        <f>IF(Skills!N6=TRUE,(Skills!L6/10)*(E568/1000),Skills!L6/10)+Skills!O6</f>
        <v/>
      </c>
      <c r="G568">
        <f>Skills!G6*IF(Skills!H6&gt;0,Skills!I6/Skills!H6,1)</f>
        <v/>
      </c>
      <c r="H568">
        <f>1-(1-Skills!J6/100)^Skills!K6</f>
        <v/>
      </c>
      <c r="I568" t="inlineStr">
        <is>
          <t>1</t>
        </is>
      </c>
      <c r="J568">
        <f>((Inputs!$B$6*(1+Inputs!$B$7/100))+(((Inputs!$B$12*(1+Inputs!$B$13/100))-(Inputs!$B$12*(1+Inputs!$B$13/100)))+0.25*(Inputs!$B$14-Inputs!$B$14))*(1+Inputs!$B$7/100))*(F568/100)</f>
        <v/>
      </c>
      <c r="K568">
        <f>J568*(1+((Inputs!$B$12*(1+Inputs!$B$13/100))*0.01+Inputs!$B$14*0.0025)/100)*(1+Inputs!$B$15/100)*(1+IF(Inputs!$B$39="pvp",0,(1-Summary!$B$55)*(Inputs!$B$20+0+Skills!P6+B596)+Summary!$B$55*(Inputs!$B$21+Skills!Q6+B596))/100)*(1+Inputs!$B$16/100)*(5000/(6000+Inputs!$B$43*(1-Inputs!$B$19/100)))*(1+(Inputs!$B$24+((C592=TRUE)*(F592-Calc!F30)))/100)*(1+1.0*IF(C580=TRUE,F580,0)/100)*(1+(IF(Skills!A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568)</f>
        <v/>
      </c>
      <c r="L568">
        <f>K568*(MIN(Inputs!$B$22+((C586=TRUE)*(F586-Calc!F24)),Inputs!$B$23+((C591=TRUE)*(F591-Calc!F29)))/100+(Inputs!$B$23+((C591=TRUE)*(F591-Calc!F29)))/100)/2</f>
        <v/>
      </c>
      <c r="M568">
        <f>L568*(1+((Inputs!$B$10+1)+((C588=TRUE)*(F588-Calc!F26))+B602)/100)</f>
        <v/>
      </c>
      <c r="N568">
        <f>L568*(1-MIN((Inputs!$B$9+((C587=TRUE)*(F587-Calc!F25))+B595),100)/100)+M568*(MIN((Inputs!$B$9+((C587=TRUE)*(F587-Calc!F25))+B595),100)/100)</f>
        <v/>
      </c>
      <c r="O568">
        <f>IF(C568,H568*N568*IF(AND(Inputs!$B$39&lt;&gt;"pvp",Inputs!$B$44&gt;0),((Skills!G6*((R568-1)*IF(Skills!H6&gt;0,Skills!I6/Skills!H6,1)+IF(Skills!H6&gt;0,MIN(Skills!I6,MAX(0,MAX(0,Inputs!$B$44-B606)-((R568-1)*IF(Inputs!$B$39="pvp",15,MAX(0.1,Skills!D6-IF(Skills!E6=TRUE,Inputs!$B$32,0))))))/Skills!H6,1)))/Inputs!$B$44),G568*Q568)*IF(Inputs!$B$39="pvp",1,(1-Summary!$B$55)*(1)+Summary!$B$55*(MIN(Skills!W6,Inputs!$B$37))),0)</f>
        <v/>
      </c>
      <c r="P568">
        <f>IF(B607=0,0,O568/B607)</f>
        <v/>
      </c>
      <c r="Q568">
        <f>IFERROR(1/IF(Inputs!$B$39="pvp",15,MAX(0.1,Skills!D6-IF(Skills!E6=TRUE,Inputs!$B$32,0))),0)</f>
        <v/>
      </c>
      <c r="R568">
        <f>IF(AND(Inputs!$B$39&lt;&gt;"pvp",Inputs!$B$44&gt;0),IF(MAX(0,Inputs!$B$44-B606)&lt;=0,0,(INT(MAX(0,Inputs!$B$44-B606)/IF(Inputs!$B$39="pvp",15,MAX(0.1,Skills!D6-IF(Skills!E6=TRUE,Inputs!$B$32,0))))+1)),0)</f>
        <v/>
      </c>
      <c r="S568">
        <f>IFERROR(O568/N568,0)</f>
        <v/>
      </c>
    </row>
    <row r="569">
      <c r="A569">
        <f>Skills!A7</f>
        <v/>
      </c>
      <c r="B569">
        <f>Skills!B7</f>
        <v/>
      </c>
      <c r="C569">
        <f>Inputs!$B$3&gt;=60</f>
        <v/>
      </c>
      <c r="D569">
        <f>IF(Skills!C7=1,60+Inputs!$B$25+Inputs!$B$29,IF(Skills!C7=2,90+Inputs!$B$26+Inputs!$B$29,IF(Skills!C7=3,120+Inputs!$B$27+Inputs!$B$29,MAX(0,(Inputs!$B$3-100)*3)+Inputs!$B$28+Inputs!$B$29)))</f>
        <v/>
      </c>
      <c r="E569">
        <f>INDEX(FactorTable!$B$2:$Y$301, MATCH(ROUND(MIN(300,MAX(1,D569)),0), FactorTable!$A$2:$A$301,0), Skills!M7+1)</f>
        <v/>
      </c>
      <c r="F569">
        <f>IF(Skills!N7=TRUE,(Skills!L7/10)*(E569/1000),Skills!L7/10)+Skills!O7</f>
        <v/>
      </c>
      <c r="G569">
        <f>Skills!G7*IF(Skills!H7&gt;0,Skills!I7/Skills!H7,1)</f>
        <v/>
      </c>
      <c r="H569">
        <f>1-(1-Skills!J7/100)^Skills!K7</f>
        <v/>
      </c>
      <c r="I569" t="inlineStr">
        <is>
          <t>1</t>
        </is>
      </c>
      <c r="J569" t="inlineStr"/>
      <c r="K569" t="inlineStr"/>
      <c r="L569" t="inlineStr"/>
      <c r="M569" t="inlineStr"/>
      <c r="N569" t="inlineStr"/>
      <c r="O569" t="n">
        <v>0</v>
      </c>
      <c r="P569">
        <f>IF(B607=0,0,O569/B607)</f>
        <v/>
      </c>
      <c r="Q569" t="n">
        <v>0</v>
      </c>
      <c r="R569" t="n">
        <v>0</v>
      </c>
      <c r="S569">
        <f>IFERROR(O569/N569,0)</f>
        <v/>
      </c>
    </row>
    <row r="570">
      <c r="A570">
        <f>Skills!A8</f>
        <v/>
      </c>
      <c r="B570">
        <f>Skills!B8</f>
        <v/>
      </c>
      <c r="C570">
        <f>Inputs!$B$3&gt;=72</f>
        <v/>
      </c>
      <c r="D570">
        <f>IF(Skills!C8=1,60+Inputs!$B$25+Inputs!$B$29,IF(Skills!C8=2,90+Inputs!$B$26+Inputs!$B$29,IF(Skills!C8=3,120+Inputs!$B$27+Inputs!$B$29,MAX(0,(Inputs!$B$3-100)*3)+Inputs!$B$28+Inputs!$B$29)))</f>
        <v/>
      </c>
      <c r="E570">
        <f>INDEX(FactorTable!$B$2:$Y$301, MATCH(ROUND(MIN(300,MAX(1,D570)),0), FactorTable!$A$2:$A$301,0), Skills!M8+1)</f>
        <v/>
      </c>
      <c r="F570">
        <f>IF(Skills!N8=TRUE,(Skills!L8/10)*(E570/1000),Skills!L8/10)+Skills!O8</f>
        <v/>
      </c>
      <c r="G570">
        <f>Skills!G8*IF(Skills!H8&gt;0,Skills!I8/Skills!H8,1)</f>
        <v/>
      </c>
      <c r="H570">
        <f>1-(1-Skills!J8/100)^Skills!K8</f>
        <v/>
      </c>
      <c r="I570" t="inlineStr">
        <is>
          <t>1</t>
        </is>
      </c>
      <c r="J570">
        <f>((Inputs!$B$6*(1+Inputs!$B$7/100))+(((Inputs!$B$12*(1+Inputs!$B$13/100))-(Inputs!$B$12*(1+Inputs!$B$13/100)))+0.25*(Inputs!$B$14-Inputs!$B$14))*(1+Inputs!$B$7/100))*(F570/100)</f>
        <v/>
      </c>
      <c r="K570">
        <f>J570*(1+((Inputs!$B$12*(1+Inputs!$B$13/100))*0.01+Inputs!$B$14*0.0025)/100)*(1+Inputs!$B$15/100)*(1+IF(Inputs!$B$39="pvp",0,(1-Summary!$B$55)*(Inputs!$B$20+0+Skills!P8+B596)+Summary!$B$55*(Inputs!$B$21+Skills!Q8+B596))/100)*(1+Inputs!$B$16/100)*(5000/(6000+Inputs!$B$43*(1-Inputs!$B$19/100)))*(1+(Inputs!$B$24+((C592=TRUE)*(F592-Calc!F30)))/100)*(1+3.3333333333333335*IF(C580=TRUE,F580,0)/100)*(1+(IF(Skills!A8="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570)</f>
        <v/>
      </c>
      <c r="L570">
        <f>K570*(MIN(Inputs!$B$22+((C586=TRUE)*(F586-Calc!F24)),Inputs!$B$23+((C591=TRUE)*(F591-Calc!F29)))/100+(Inputs!$B$23+((C591=TRUE)*(F591-Calc!F29)))/100)/2</f>
        <v/>
      </c>
      <c r="M570">
        <f>L570*(1+((Inputs!$B$10+1)+((C588=TRUE)*(F588-Calc!F26))+B602)/100)</f>
        <v/>
      </c>
      <c r="N570">
        <f>L570*(1-MIN((Inputs!$B$9+((C587=TRUE)*(F587-Calc!F25))+B595),100)/100)+M570*(MIN((Inputs!$B$9+((C587=TRUE)*(F587-Calc!F25))+B595),100)/100)</f>
        <v/>
      </c>
      <c r="O570">
        <f>IF(C570,H570*N570*IF(AND(Inputs!$B$39&lt;&gt;"pvp",Inputs!$B$44&gt;0),((Skills!G8*((R570-1)*IF(Skills!H8&gt;0,Skills!I8/Skills!H8,1)+IF(Skills!H8&gt;0,MIN(Skills!I8,MAX(0,MAX(0,Inputs!$B$44-B606)-((R570-1)*IF(Inputs!$B$39="pvp",15,MAX(0.1,Skills!D8-IF(Skills!E8=TRUE,Inputs!$B$32,0))))))/Skills!H8,1)))/Inputs!$B$44),G570*Q570)*IF(Inputs!$B$39="pvp",1,(1-Summary!$B$55)*(1)+Summary!$B$55*(MIN(Skills!W8,Inputs!$B$37))),0)</f>
        <v/>
      </c>
      <c r="P570">
        <f>IF(B607=0,0,O570/B607)</f>
        <v/>
      </c>
      <c r="Q570">
        <f>IFERROR(1/IF(Inputs!$B$39="pvp",15,MAX(0.1,Skills!D8-IF(Skills!E8=TRUE,Inputs!$B$32,0))),0)</f>
        <v/>
      </c>
      <c r="R570">
        <f>IF(AND(Inputs!$B$39&lt;&gt;"pvp",Inputs!$B$44&gt;0),IF(MAX(0,Inputs!$B$44-B606)&lt;=0,0,(INT(MAX(0,Inputs!$B$44-B606)/IF(Inputs!$B$39="pvp",15,MAX(0.1,Skills!D8-IF(Skills!E8=TRUE,Inputs!$B$32,0))))+1)),0)</f>
        <v/>
      </c>
      <c r="S570">
        <f>IFERROR(O570/N570,0)</f>
        <v/>
      </c>
    </row>
    <row r="571">
      <c r="A571">
        <f>Skills!A9</f>
        <v/>
      </c>
      <c r="B571">
        <f>Skills!B9</f>
        <v/>
      </c>
      <c r="C571">
        <f>Inputs!$B$3&gt;=117</f>
        <v/>
      </c>
      <c r="D571">
        <f>IF(Skills!C9=1,60+Inputs!$B$25+Inputs!$B$29,IF(Skills!C9=2,90+Inputs!$B$26+Inputs!$B$29,IF(Skills!C9=3,120+Inputs!$B$27+Inputs!$B$29,MAX(0,(Inputs!$B$3-100)*3)+Inputs!$B$28+Inputs!$B$29)))</f>
        <v/>
      </c>
      <c r="E571">
        <f>INDEX(FactorTable!$B$2:$Y$301, MATCH(ROUND(MIN(300,MAX(1,D571)),0), FactorTable!$A$2:$A$301,0), Skills!M9+1)</f>
        <v/>
      </c>
      <c r="F571">
        <f>IF(Skills!N9=TRUE,(Skills!L9/10)*(E571/1000),Skills!L9/10)+Skills!O9</f>
        <v/>
      </c>
      <c r="G571">
        <f>Skills!G9*IF(Skills!H9&gt;0,Skills!I9/Skills!H9,1)</f>
        <v/>
      </c>
      <c r="H571">
        <f>1-(1-Skills!J9/100)^Skills!K9</f>
        <v/>
      </c>
      <c r="I571" t="inlineStr">
        <is>
          <t>1</t>
        </is>
      </c>
      <c r="J571">
        <f>((Inputs!$B$6*(1+Inputs!$B$7/100))+(((Inputs!$B$12*(1+Inputs!$B$13/100))-(Inputs!$B$12*(1+Inputs!$B$13/100)))+0.25*(Inputs!$B$14-Inputs!$B$14))*(1+Inputs!$B$7/100))*(F571/100)</f>
        <v/>
      </c>
      <c r="K571">
        <f>J571*(1+((Inputs!$B$12*(1+Inputs!$B$13/100))*0.01+Inputs!$B$14*0.0025)/100)*(1+Inputs!$B$15/100)*(1+IF(Inputs!$B$39="pvp",0,(1-Summary!$B$55)*(Inputs!$B$20+0+Skills!P9+B596)+Summary!$B$55*(Inputs!$B$21+Skills!Q9+B596))/100)*(1+Inputs!$B$16/100)*(5000/(6000+Inputs!$B$43*(1-Inputs!$B$19/100)))*(1+(Inputs!$B$24+((C592=TRUE)*(F592-Calc!F30)))/100)*(1+(IF(Skills!A9="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571)</f>
        <v/>
      </c>
      <c r="L571">
        <f>K571*(MIN(Inputs!$B$22+((C586=TRUE)*(F586-Calc!F24)),Inputs!$B$23+((C591=TRUE)*(F591-Calc!F29)))/100+(Inputs!$B$23+((C591=TRUE)*(F591-Calc!F29)))/100)/2</f>
        <v/>
      </c>
      <c r="M571">
        <f>L571*(1+((Inputs!$B$10+1)+((C588=TRUE)*(F588-Calc!F26))+B602)/100)</f>
        <v/>
      </c>
      <c r="N571">
        <f>L571*(1-MIN((Inputs!$B$9+((C587=TRUE)*(F587-Calc!F25))+B595),100)/100)+M571*(MIN((Inputs!$B$9+((C587=TRUE)*(F587-Calc!F25))+B595),100)/100)</f>
        <v/>
      </c>
      <c r="O571">
        <f>IF(C571,0.2*SUMPRODUCT((Skills!Z2:Z30=TRUE)*(C564:C592=TRUE)*S564:S592)*N571,0)</f>
        <v/>
      </c>
      <c r="P571">
        <f>IF(B607=0,0,O571/B607)</f>
        <v/>
      </c>
      <c r="Q571" t="n">
        <v>0</v>
      </c>
      <c r="R571" t="n">
        <v>0</v>
      </c>
      <c r="S571" t="n">
        <v>0</v>
      </c>
    </row>
    <row r="572">
      <c r="A572">
        <f>Skills!A10</f>
        <v/>
      </c>
      <c r="B572">
        <f>Skills!B10</f>
        <v/>
      </c>
      <c r="C572">
        <f>Inputs!$B$3&gt;=74</f>
        <v/>
      </c>
      <c r="D572">
        <f>IF(Skills!C10=1,60+Inputs!$B$25+Inputs!$B$29,IF(Skills!C10=2,90+Inputs!$B$26+Inputs!$B$29,IF(Skills!C10=3,120+Inputs!$B$27+Inputs!$B$29,MAX(0,(Inputs!$B$3-100)*3)+Inputs!$B$28+Inputs!$B$29)))</f>
        <v/>
      </c>
      <c r="E572">
        <f>INDEX(FactorTable!$B$2:$Y$301, MATCH(ROUND(MIN(300,MAX(1,D572)),0), FactorTable!$A$2:$A$301,0), Skills!M10+1)</f>
        <v/>
      </c>
      <c r="F572">
        <f>IF(Skills!N10=TRUE,(Skills!L10/10)*(E572/1000),Skills!L10/10)+Skills!O10</f>
        <v/>
      </c>
      <c r="G572">
        <f>Skills!G10*IF(Skills!H10&gt;0,Skills!I10/Skills!H10,1)</f>
        <v/>
      </c>
      <c r="H572">
        <f>1-(1-Skills!J10/100)^Skills!K10</f>
        <v/>
      </c>
      <c r="I572" t="inlineStr">
        <is>
          <t>1</t>
        </is>
      </c>
      <c r="J572" t="inlineStr"/>
      <c r="K572" t="inlineStr"/>
      <c r="L572" t="inlineStr"/>
      <c r="M572" t="inlineStr"/>
      <c r="N572" t="inlineStr"/>
      <c r="O572" t="n">
        <v>0</v>
      </c>
      <c r="P572">
        <f>IF(B607=0,0,O572/B607)</f>
        <v/>
      </c>
      <c r="Q572">
        <f>IFERROR(1/IF(Inputs!$B$39="pvp",15,MAX(0.1,Skills!D10-IF(Skills!E10=TRUE,Inputs!$B$32,0))),0)</f>
        <v/>
      </c>
      <c r="R572">
        <f>IF(AND(Inputs!$B$39&lt;&gt;"pvp",Inputs!$B$44&gt;0),IF(Inputs!$B$44&lt;=0,0,(INT(Inputs!$B$44/IF(Inputs!$B$39="pvp",15,MAX(0.1,Skills!D10-IF(Skills!E10=TRUE,Inputs!$B$32,0))))+1)),0)</f>
        <v/>
      </c>
      <c r="S572">
        <f>IFERROR(O572/N572,0)</f>
        <v/>
      </c>
    </row>
    <row r="573">
      <c r="A573">
        <f>Skills!A11</f>
        <v/>
      </c>
      <c r="B573">
        <f>Skills!B11</f>
        <v/>
      </c>
      <c r="C573">
        <f>Inputs!$B$3&gt;=103</f>
        <v/>
      </c>
      <c r="D573">
        <f>IF(Skills!C11=1,60+Inputs!$B$25+Inputs!$B$29,IF(Skills!C11=2,90+Inputs!$B$26+Inputs!$B$29,IF(Skills!C11=3,120+Inputs!$B$27+Inputs!$B$29,MAX(0,(Inputs!$B$3-100)*3)+Inputs!$B$28+Inputs!$B$29)))</f>
        <v/>
      </c>
      <c r="E573">
        <f>INDEX(FactorTable!$B$2:$Y$301, MATCH(ROUND(MIN(300,MAX(1,D573)),0), FactorTable!$A$2:$A$301,0), Skills!M11+1)</f>
        <v/>
      </c>
      <c r="F573">
        <f>(Skills!L11/10)*(E573/1000)+IF(Inputs!$B$3&gt;=134,50,0)+0.5*(30000/10)*(INDEX(FactorTable!$B$2:$Y$301, MATCH(ROUND(MIN(300,MAX(1,D573)),0), FactorTable!$A$2:$A$301,0), 13)/1000)*B605</f>
        <v/>
      </c>
      <c r="G573">
        <f>Skills!G11*IF(Skills!H11&gt;0,Skills!I11/Skills!H11,1)</f>
        <v/>
      </c>
      <c r="H573">
        <f>1-(1-Skills!J11/100)^Skills!K11</f>
        <v/>
      </c>
      <c r="I573" t="inlineStr">
        <is>
          <t>1</t>
        </is>
      </c>
      <c r="J573">
        <f>((Inputs!$B$6*(1+Inputs!$B$7/100))+(((Inputs!$B$12*(1+Inputs!$B$13/100))-(Inputs!$B$12*(1+Inputs!$B$13/100)))+0.25*(Inputs!$B$14-Inputs!$B$14))*(1+Inputs!$B$7/100))*(F573/100)</f>
        <v/>
      </c>
      <c r="K573">
        <f>J573*(1+((Inputs!$B$12*(1+Inputs!$B$13/100))*0.01+Inputs!$B$14*0.0025)/100)*(1+Inputs!$B$15/100)*(1+IF(Inputs!$B$39="pvp",0,(1-Summary!$B$55)*(Inputs!$B$20+0+Skills!P11+B596)+Summary!$B$55*(Inputs!$B$21+Skills!Q11+B596))/100)*(1+Inputs!$B$16/100)*(5000/(6000+Inputs!$B$43*(1-Inputs!$B$19/100)))*(1+(Inputs!$B$24+((C592=TRUE)*(F592-Calc!F30)))/100)*(1+(IF(Skills!A11="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573)</f>
        <v/>
      </c>
      <c r="L573">
        <f>K573*(MIN(Inputs!$B$22+((C586=TRUE)*(F586-Calc!F24)),Inputs!$B$23+((C591=TRUE)*(F591-Calc!F29)))/100+(Inputs!$B$23+((C591=TRUE)*(F591-Calc!F29)))/100)/2</f>
        <v/>
      </c>
      <c r="M573">
        <f>L573*(1+((Inputs!$B$10+1)+((C588=TRUE)*(F588-Calc!F26))+B602)/100)</f>
        <v/>
      </c>
      <c r="N573">
        <f>L573*(1-MIN((Inputs!$B$9+((C587=TRUE)*(F587-Calc!F25))+B595),100)/100)+M573*(MIN((Inputs!$B$9+((C587=TRUE)*(F587-Calc!F25))+B595),100)/100)</f>
        <v/>
      </c>
      <c r="O573">
        <f>IF(C573,H573*N573*IF(AND(Inputs!$B$39&lt;&gt;"pvp",Inputs!$B$44&gt;0),((Skills!G11*((R573-1)*IF(Skills!H11&gt;0,Skills!I11/Skills!H11,1)+IF(Skills!H11&gt;0,MIN(Skills!I11,MAX(0,MAX(0,Inputs!$B$44-B606)-((R573-1)*IF(Inputs!$B$39="pvp",15,MAX(0.1,Skills!D11-IF(Skills!E11=TRUE,Inputs!$B$32,0))))))/Skills!H11,1)))/Inputs!$B$44),G573*Q573)*IF(Inputs!$B$39="pvp",1,(1-Summary!$B$55)*(1)+Summary!$B$55*(MIN(Skills!W11,Inputs!$B$37))),0)</f>
        <v/>
      </c>
      <c r="P573">
        <f>IF(B607=0,0,O573/B607)</f>
        <v/>
      </c>
      <c r="Q573">
        <f>IFERROR(1/IF(Inputs!$B$39="pvp",15,MAX(0.1,Skills!D11-IF(Skills!E11=TRUE,Inputs!$B$32,0))),0)</f>
        <v/>
      </c>
      <c r="R573">
        <f>IF(AND(Inputs!$B$39&lt;&gt;"pvp",Inputs!$B$44&gt;0),IF(MAX(0,Inputs!$B$44-B606)&lt;=0,0,(INT(MAX(0,Inputs!$B$44-B606)/IF(Inputs!$B$39="pvp",15,MAX(0.1,Skills!D11-IF(Skills!E11=TRUE,Inputs!$B$32,0))))+1)),0)</f>
        <v/>
      </c>
      <c r="S573">
        <f>IFERROR(O573/N573,0)</f>
        <v/>
      </c>
    </row>
    <row r="574">
      <c r="A574">
        <f>Skills!A12</f>
        <v/>
      </c>
      <c r="B574">
        <f>Skills!B12</f>
        <v/>
      </c>
      <c r="C574">
        <f>Inputs!$B$3&gt;=105</f>
        <v/>
      </c>
      <c r="D574">
        <f>IF(Skills!C12=1,60+Inputs!$B$25+Inputs!$B$29,IF(Skills!C12=2,90+Inputs!$B$26+Inputs!$B$29,IF(Skills!C12=3,120+Inputs!$B$27+Inputs!$B$29,MAX(0,(Inputs!$B$3-100)*3)+Inputs!$B$28+Inputs!$B$29)))</f>
        <v/>
      </c>
      <c r="E574">
        <f>INDEX(FactorTable!$B$2:$Y$301, MATCH(ROUND(MIN(300,MAX(1,D574)),0), FactorTable!$A$2:$A$301,0), Skills!M12+1)</f>
        <v/>
      </c>
      <c r="F574">
        <f>IF(Skills!N12=TRUE,(Skills!L12/10)*(E574/1000),Skills!L12/10)+Skills!O12</f>
        <v/>
      </c>
      <c r="G574">
        <f>Skills!G12*IF(Skills!H12&gt;0,Skills!I12/Skills!H12,1)</f>
        <v/>
      </c>
      <c r="H574">
        <f>1-(1-Skills!J12/100)^Skills!K12</f>
        <v/>
      </c>
      <c r="I574" t="inlineStr">
        <is>
          <t>1</t>
        </is>
      </c>
      <c r="J574">
        <f>((Inputs!$B$6*(1+Inputs!$B$7/100))+(((Inputs!$B$12*(1+Inputs!$B$13/100))-(Inputs!$B$12*(1+Inputs!$B$13/100)))+0.25*(Inputs!$B$14-Inputs!$B$14))*(1+Inputs!$B$7/100))*(F574/100)</f>
        <v/>
      </c>
      <c r="K574">
        <f>J574*(1+((Inputs!$B$12*(1+Inputs!$B$13/100))*0.01+Inputs!$B$14*0.0025)/100)*(1+Inputs!$B$15/100)*(1+IF(Inputs!$B$39="pvp",0,(1-Summary!$B$55)*(Inputs!$B$20+0+Skills!P12+B596)+Summary!$B$55*(Inputs!$B$21+Skills!Q12+B596))/100)*(1+Inputs!$B$16/100)*(5000/(6000+Inputs!$B$43*(1-Inputs!$B$19/100)))*(1+(Inputs!$B$24+((C592=TRUE)*(F592-Calc!F30)))/100)*(1+(IF(Skills!A12="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574)</f>
        <v/>
      </c>
      <c r="L574">
        <f>K574*(MIN(Inputs!$B$22+((C586=TRUE)*(F586-Calc!F24)),Inputs!$B$23+((C591=TRUE)*(F591-Calc!F29)))/100+(Inputs!$B$23+((C591=TRUE)*(F591-Calc!F29)))/100)/2</f>
        <v/>
      </c>
      <c r="M574">
        <f>L574*(1+((Inputs!$B$10+1)+((C588=TRUE)*(F588-Calc!F26))+B602)/100)</f>
        <v/>
      </c>
      <c r="N574">
        <f>L574*(1-MIN((Inputs!$B$9+((C587=TRUE)*(F587-Calc!F25))+B595),100)/100)+M574*(MIN((Inputs!$B$9+((C587=TRUE)*(F587-Calc!F25))+B595),100)/100)</f>
        <v/>
      </c>
      <c r="O574">
        <f>IF(C574,H574*N574*IF(AND(Inputs!$B$39&lt;&gt;"pvp",Inputs!$B$44&gt;0),((Skills!G12*((R574-1)*IF(Skills!H12&gt;0,Skills!I12/Skills!H12,1)+IF(Skills!H12&gt;0,MIN(Skills!I12,MAX(0,MAX(0,Inputs!$B$44-B606)-((R574-1)*IF(Inputs!$B$39="pvp",15,MAX(0.1,Skills!D12-IF(Skills!E12=TRUE,Inputs!$B$32,0))))))/Skills!H12,1)))/Inputs!$B$44),G574*Q574)*IF(Inputs!$B$39="pvp",1,(1-Summary!$B$55)*(1)+Summary!$B$55*(MIN(Skills!W12,Inputs!$B$37))),0)</f>
        <v/>
      </c>
      <c r="P574">
        <f>IF(B607=0,0,O574/B607)</f>
        <v/>
      </c>
      <c r="Q574">
        <f>IFERROR(1/IF(Inputs!$B$39="pvp",15,MAX(0.1,Skills!D12-IF(Skills!E12=TRUE,Inputs!$B$32,0))),0)</f>
        <v/>
      </c>
      <c r="R574">
        <f>IF(AND(Inputs!$B$39&lt;&gt;"pvp",Inputs!$B$44&gt;0),IF(MAX(0,Inputs!$B$44-B606)&lt;=0,0,(INT(MAX(0,Inputs!$B$44-B606)/IF(Inputs!$B$39="pvp",15,MAX(0.1,Skills!D12-IF(Skills!E12=TRUE,Inputs!$B$32,0))))+1)),0)</f>
        <v/>
      </c>
      <c r="S574">
        <f>IFERROR(O574/N574,0)</f>
        <v/>
      </c>
    </row>
    <row r="575">
      <c r="A575">
        <f>Skills!A13</f>
        <v/>
      </c>
      <c r="B575">
        <f>Skills!B13</f>
        <v/>
      </c>
      <c r="C575">
        <f>Inputs!$B$3&gt;=105</f>
        <v/>
      </c>
      <c r="D575">
        <f>IF(Skills!C13=1,60+Inputs!$B$25+Inputs!$B$29,IF(Skills!C13=2,90+Inputs!$B$26+Inputs!$B$29,IF(Skills!C13=3,120+Inputs!$B$27+Inputs!$B$29,MAX(0,(Inputs!$B$3-100)*3)+Inputs!$B$28+Inputs!$B$29)))</f>
        <v/>
      </c>
      <c r="E575">
        <f>INDEX(FactorTable!$B$2:$Y$301, MATCH(ROUND(MIN(300,MAX(1,D575)),0), FactorTable!$A$2:$A$301,0), Skills!M13+1)</f>
        <v/>
      </c>
      <c r="F575">
        <f>IF(Skills!N13=TRUE,(Skills!L13/10)*(E575/1000),Skills!L13/10)+Skills!O13</f>
        <v/>
      </c>
      <c r="G575">
        <f>Skills!G13*IF(Skills!H13&gt;0,Skills!I13/Skills!H13,1)</f>
        <v/>
      </c>
      <c r="H575">
        <f>1-(1-Skills!J13/100)^Skills!K13</f>
        <v/>
      </c>
      <c r="I575" t="inlineStr">
        <is>
          <t>1</t>
        </is>
      </c>
      <c r="J575">
        <f>((Inputs!$B$6*(1+Inputs!$B$7/100))+(((Inputs!$B$12*(1+Inputs!$B$13/100))-(Inputs!$B$12*(1+Inputs!$B$13/100)))+0.25*(Inputs!$B$14-Inputs!$B$14))*(1+Inputs!$B$7/100))*(F575/100)</f>
        <v/>
      </c>
      <c r="K575">
        <f>J575*(1+((Inputs!$B$12*(1+Inputs!$B$13/100))*0.01+Inputs!$B$14*0.0025)/100)*(1+Inputs!$B$15/100)*(1+IF(Inputs!$B$39="pvp",0,(1-Summary!$B$55)*(Inputs!$B$20+0+Skills!P13+B596)+Summary!$B$55*(Inputs!$B$21+Skills!Q13+B596))/100)*(1+Inputs!$B$16/100)*(5000/(6000+Inputs!$B$43*(1-Inputs!$B$19/100)))*(1+(Inputs!$B$24+((C592=TRUE)*(F592-Calc!F30)))/100)*(1+(IF(Skills!A13="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575)</f>
        <v/>
      </c>
      <c r="L575">
        <f>K575*(MIN(Inputs!$B$22+((C586=TRUE)*(F586-Calc!F24)),Inputs!$B$23+((C591=TRUE)*(F591-Calc!F29)))/100+(Inputs!$B$23+((C591=TRUE)*(F591-Calc!F29)))/100)/2</f>
        <v/>
      </c>
      <c r="M575">
        <f>L575*(1+((Inputs!$B$10+1)+((C588=TRUE)*(F588-Calc!F26))+B602)/100)</f>
        <v/>
      </c>
      <c r="N575">
        <f>L575*(1-MIN((Inputs!$B$9+((C587=TRUE)*(F587-Calc!F25))+B595),100)/100)+M575*(MIN((Inputs!$B$9+((C587=TRUE)*(F587-Calc!F25))+B595),100)/100)</f>
        <v/>
      </c>
      <c r="O575">
        <f>IF(C575,H575*N575*IF(AND(Inputs!$B$39&lt;&gt;"pvp",Inputs!$B$44&gt;0),((Skills!G13*((R575-1)*IF(Skills!H13&gt;0,Skills!I13/Skills!H13,1)+IF(Skills!H13&gt;0,MIN(Skills!I13,MAX(0,MAX(0,Inputs!$B$44-B606)-((R575-1)*IF(Inputs!$B$39="pvp",15,MAX(0.1,Skills!D13-IF(Skills!E13=TRUE,Inputs!$B$32,0))))))/Skills!H13,1)))/Inputs!$B$44),G575*Q575)*IF(Inputs!$B$39="pvp",1,(1-Summary!$B$55)*(1)+Summary!$B$55*(MIN(Skills!W13,Inputs!$B$37))),0)</f>
        <v/>
      </c>
      <c r="P575">
        <f>IF(B607=0,0,O575/B607)</f>
        <v/>
      </c>
      <c r="Q575">
        <f>IFERROR(1/IF(Inputs!$B$39="pvp",15,MAX(0.1,Skills!D13-IF(Skills!E13=TRUE,Inputs!$B$32,0))),0)</f>
        <v/>
      </c>
      <c r="R575">
        <f>IF(AND(Inputs!$B$39&lt;&gt;"pvp",Inputs!$B$44&gt;0),IF(MAX(0,Inputs!$B$44-B606)&lt;=0,0,(INT(MAX(0,Inputs!$B$44-B606)/IF(Inputs!$B$39="pvp",15,MAX(0.1,Skills!D13-IF(Skills!E13=TRUE,Inputs!$B$32,0))))+1)),0)</f>
        <v/>
      </c>
      <c r="S575">
        <f>IFERROR(O575/N575,0)</f>
        <v/>
      </c>
    </row>
    <row r="576">
      <c r="A576">
        <f>Skills!A14</f>
        <v/>
      </c>
      <c r="B576">
        <f>Skills!B14</f>
        <v/>
      </c>
      <c r="C576">
        <f>Inputs!$B$3&gt;=107</f>
        <v/>
      </c>
      <c r="D576">
        <f>IF(Skills!C14=1,60+Inputs!$B$25+Inputs!$B$29,IF(Skills!C14=2,90+Inputs!$B$26+Inputs!$B$29,IF(Skills!C14=3,120+Inputs!$B$27+Inputs!$B$29,MAX(0,(Inputs!$B$3-100)*3)+Inputs!$B$28+Inputs!$B$29)))</f>
        <v/>
      </c>
      <c r="E576">
        <f>INDEX(FactorTable!$B$2:$Y$301, MATCH(ROUND(MIN(300,MAX(1,D576)),0), FactorTable!$A$2:$A$301,0), Skills!M14+1)</f>
        <v/>
      </c>
      <c r="F576">
        <f>IF(Skills!N14=TRUE,(Skills!L14/10)*(E576/1000),Skills!L14/10)+Skills!O14</f>
        <v/>
      </c>
      <c r="G576">
        <f>Skills!G14*IF(Skills!H14&gt;0,Skills!I14/Skills!H14,1)</f>
        <v/>
      </c>
      <c r="H576">
        <f>1-(1-Skills!J14/100)^Skills!K14</f>
        <v/>
      </c>
      <c r="I576" t="inlineStr">
        <is>
          <t>1</t>
        </is>
      </c>
      <c r="J576">
        <f>((Inputs!$B$6*(1+Inputs!$B$7/100))+(((Inputs!$B$12*(1+Inputs!$B$13/100))-(Inputs!$B$12*(1+Inputs!$B$13/100)))+0.25*(Inputs!$B$14-Inputs!$B$14))*(1+Inputs!$B$7/100))*(F576/100)</f>
        <v/>
      </c>
      <c r="K576">
        <f>J576*(1+((Inputs!$B$12*(1+Inputs!$B$13/100))*0.01+Inputs!$B$14*0.0025)/100)*(1+Inputs!$B$15/100)*(1+IF(Inputs!$B$39="pvp",0,(1-Summary!$B$55)*(Inputs!$B$20+0+Skills!P14+B596)+Summary!$B$55*(Inputs!$B$21+Skills!Q14+B596))/100)*(1+Inputs!$B$16/100)*(5000/(6000+Inputs!$B$43*(1-Inputs!$B$19/100)))*(1+(Inputs!$B$24+((C592=TRUE)*(F592-Calc!F30)))/100)*(1+(IF(Skills!A14="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576)</f>
        <v/>
      </c>
      <c r="L576">
        <f>K576*(MIN(Inputs!$B$22+((C586=TRUE)*(F586-Calc!F24)),Inputs!$B$23+((C591=TRUE)*(F591-Calc!F29)))/100+(Inputs!$B$23+((C591=TRUE)*(F591-Calc!F29)))/100)/2</f>
        <v/>
      </c>
      <c r="M576">
        <f>L576*(1+((Inputs!$B$10+1)+((C588=TRUE)*(F588-Calc!F26))+B602)/100)</f>
        <v/>
      </c>
      <c r="N576">
        <f>L576*(1-MIN((Inputs!$B$9+((C587=TRUE)*(F587-Calc!F25))+B595),100)/100)+M576*(MIN((Inputs!$B$9+((C587=TRUE)*(F587-Calc!F25))+B595),100)/100)</f>
        <v/>
      </c>
      <c r="O576">
        <f>IF(C576,H576*N576*IF(AND(Inputs!$B$39&lt;&gt;"pvp",Inputs!$B$44&gt;0),((Skills!G14*((R576-1)*IF(Skills!H14&gt;0,Skills!I14/Skills!H14,1)+IF(Skills!H14&gt;0,MIN(Skills!I14,MAX(0,MAX(0,Inputs!$B$44-B606)-((R576-1)*IF(Inputs!$B$39="pvp",15,MAX(0.1,Skills!D14-IF(Skills!E14=TRUE,Inputs!$B$32,0))))))/Skills!H14,1)))/Inputs!$B$44),G576*Q576)*IF(Inputs!$B$39="pvp",1,(1-Summary!$B$55)*(1)+Summary!$B$55*(MIN(MIN(5,0.25*B599*Skills!D4)*Skills!V14,Inputs!$B$37))),0)</f>
        <v/>
      </c>
      <c r="P576">
        <f>IF(B607=0,0,O576/B607)</f>
        <v/>
      </c>
      <c r="Q576">
        <f>IFERROR(1/IF(Inputs!$B$39="pvp",15,MAX(0.1,Skills!D14-IF(Skills!E14=TRUE,Inputs!$B$32,0))),0)</f>
        <v/>
      </c>
      <c r="R576">
        <f>IF(AND(Inputs!$B$39&lt;&gt;"pvp",Inputs!$B$44&gt;0),IF(MAX(0,Inputs!$B$44-B606)&lt;=0,0,(INT(MAX(0,Inputs!$B$44-B606)/IF(Inputs!$B$39="pvp",15,MAX(0.1,Skills!D14-IF(Skills!E14=TRUE,Inputs!$B$32,0))))+1)),0)</f>
        <v/>
      </c>
      <c r="S576">
        <f>IFERROR(O576/N576,0)</f>
        <v/>
      </c>
    </row>
    <row r="577">
      <c r="A577">
        <f>Skills!A15</f>
        <v/>
      </c>
      <c r="B577">
        <f>Skills!B15</f>
        <v/>
      </c>
      <c r="C577">
        <f>Inputs!$B$3&gt;=110</f>
        <v/>
      </c>
      <c r="D577">
        <f>IF(Skills!C15=1,60+Inputs!$B$25+Inputs!$B$29,IF(Skills!C15=2,90+Inputs!$B$26+Inputs!$B$29,IF(Skills!C15=3,120+Inputs!$B$27+Inputs!$B$29,MAX(0,(Inputs!$B$3-100)*3)+Inputs!$B$28+Inputs!$B$29)))</f>
        <v/>
      </c>
      <c r="E577">
        <f>INDEX(FactorTable!$B$2:$Y$301, MATCH(ROUND(MIN(300,MAX(1,D577)),0), FactorTable!$A$2:$A$301,0), Skills!M15+1)</f>
        <v/>
      </c>
      <c r="F577">
        <f>IF(Skills!N15=TRUE,(Skills!L15/10)*(E577/1000),Skills!L15/10)+Skills!O15</f>
        <v/>
      </c>
      <c r="G577">
        <f>Skills!G15*IF(Skills!H15&gt;0,Skills!I15/Skills!H15,1)</f>
        <v/>
      </c>
      <c r="H577">
        <f>1-(1-Skills!J15/100)^Skills!K15</f>
        <v/>
      </c>
      <c r="I577" t="inlineStr">
        <is>
          <t>1</t>
        </is>
      </c>
      <c r="J577" t="inlineStr"/>
      <c r="K577" t="inlineStr"/>
      <c r="L577" t="inlineStr"/>
      <c r="M577" t="inlineStr"/>
      <c r="N577" t="inlineStr"/>
      <c r="O577" t="n">
        <v>0</v>
      </c>
      <c r="P577">
        <f>IF(B607=0,0,O577/B607)</f>
        <v/>
      </c>
      <c r="Q577">
        <f>IFERROR(1/IF(Inputs!$B$39="pvp",15,MAX(0.1,Skills!D15-IF(Skills!E15=TRUE,Inputs!$B$32,0))),0)</f>
        <v/>
      </c>
      <c r="R577">
        <f>IF(AND(Inputs!$B$39&lt;&gt;"pvp",Inputs!$B$44&gt;0),IF(Inputs!$B$44&lt;=0,0,(INT(Inputs!$B$44/IF(Inputs!$B$39="pvp",15,MAX(0.1,Skills!D15-IF(Skills!E15=TRUE,Inputs!$B$32,0))))+1)),0)</f>
        <v/>
      </c>
      <c r="S577">
        <f>IFERROR(O577/N577,0)</f>
        <v/>
      </c>
    </row>
    <row r="578">
      <c r="A578">
        <f>Skills!A16</f>
        <v/>
      </c>
      <c r="B578">
        <f>Skills!B16</f>
        <v/>
      </c>
      <c r="C578">
        <f>Inputs!$B$3&gt;=115</f>
        <v/>
      </c>
      <c r="D578">
        <f>IF(Skills!C16=1,60+Inputs!$B$25+Inputs!$B$29,IF(Skills!C16=2,90+Inputs!$B$26+Inputs!$B$29,IF(Skills!C16=3,120+Inputs!$B$27+Inputs!$B$29,MAX(0,(Inputs!$B$3-100)*3)+Inputs!$B$28+Inputs!$B$29)))</f>
        <v/>
      </c>
      <c r="E578">
        <f>INDEX(FactorTable!$B$2:$Y$301, MATCH(ROUND(MIN(300,MAX(1,D578)),0), FactorTable!$A$2:$A$301,0), Skills!M16+1)</f>
        <v/>
      </c>
      <c r="F578">
        <f>IF(Skills!N16=TRUE,(Skills!L16/10)*(E578/1000),Skills!L16/10)+Skills!O16</f>
        <v/>
      </c>
      <c r="G578">
        <f>Skills!G16*IF(Skills!H16&gt;0,Skills!I16/Skills!H16,1)</f>
        <v/>
      </c>
      <c r="H578">
        <f>1-(1-Skills!J16/100)^Skills!K16</f>
        <v/>
      </c>
      <c r="I578" t="inlineStr">
        <is>
          <t>1</t>
        </is>
      </c>
      <c r="J578">
        <f>((Inputs!$B$6*(1+Inputs!$B$7/100))+(((Inputs!$B$12*(1+Inputs!$B$13/100))-(Inputs!$B$12*(1+Inputs!$B$13/100)))+0.25*(Inputs!$B$14-Inputs!$B$14))*(1+Inputs!$B$7/100))*(F578/100)</f>
        <v/>
      </c>
      <c r="K578">
        <f>J578*(1+((Inputs!$B$12*(1+Inputs!$B$13/100))*0.01+Inputs!$B$14*0.0025)/100)*(1+Inputs!$B$15/100)*(1+IF(Inputs!$B$39="pvp",0,(1-Summary!$B$55)*(Inputs!$B$20+0+Skills!P16+B596)+Summary!$B$55*(Inputs!$B$21+Skills!Q16+B596))/100)*(1+Inputs!$B$16/100)*(5000/(6000+Inputs!$B$43*(1-Inputs!$B$19/100)))*(1+(Inputs!$B$24+((C592=TRUE)*(F592-Calc!F30)))/100)*(1+(IF(Skills!A16="CRUEL_STAB",Inputs!$B$17+((C589=TRUE)*(F589-Calc!F27)),Inputs!$B$18+((C590=TRUE)*(F590-Calc!F28))))/100)*(((1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B597*I578)</f>
        <v/>
      </c>
      <c r="L578">
        <f>K578*(MIN(Inputs!$B$22+((C586=TRUE)*(F586-Calc!F24)),Inputs!$B$23+((C591=TRUE)*(F591-Calc!F29)))/100+(Inputs!$B$23+((C591=TRUE)*(F591-Calc!F29)))/100)/2</f>
        <v/>
      </c>
      <c r="M578">
        <f>L578*(1+((Inputs!$B$10+1)+((C588=TRUE)*(F588-Calc!F26))+B602)/100)</f>
        <v/>
      </c>
      <c r="N578">
        <f>L578*(1-MIN((Inputs!$B$9+((C587=TRUE)*(F587-Calc!F25))+B595),100)/100)+M578*(MIN((Inputs!$B$9+((C587=TRUE)*(F587-Calc!F25))+B595),100)/100)</f>
        <v/>
      </c>
      <c r="O578">
        <f>IF(C578,Inputs!$B$38*0.2*N578,0)</f>
        <v/>
      </c>
      <c r="P578">
        <f>IF(B607=0,0,O578/B607)</f>
        <v/>
      </c>
      <c r="Q578" t="n">
        <v>0</v>
      </c>
      <c r="R578" t="n">
        <v>0</v>
      </c>
      <c r="S578">
        <f>IFERROR(O578/N578,0)</f>
        <v/>
      </c>
    </row>
    <row r="579">
      <c r="A579">
        <f>Skills!A17</f>
        <v/>
      </c>
      <c r="B579">
        <f>Skills!B17</f>
        <v/>
      </c>
      <c r="C579">
        <f>Inputs!$B$3&gt;=115</f>
        <v/>
      </c>
      <c r="D579">
        <f>IF(Skills!C17=1,60+Inputs!$B$25+Inputs!$B$29,IF(Skills!C17=2,90+Inputs!$B$26+Inputs!$B$29,IF(Skills!C17=3,120+Inputs!$B$27+Inputs!$B$29,MAX(0,(Inputs!$B$3-100)*3)+Inputs!$B$28+Inputs!$B$29)))</f>
        <v/>
      </c>
      <c r="E579">
        <f>INDEX(FactorTable!$B$2:$Y$301, MATCH(ROUND(MIN(300,MAX(1,D579)),0), FactorTable!$A$2:$A$301,0), Skills!M17+1)</f>
        <v/>
      </c>
      <c r="F579">
        <f>IF(Skills!N17=TRUE,(Skills!L17/10)*(E579/1000),Skills!L17/10)+Skills!O17</f>
        <v/>
      </c>
      <c r="G579">
        <f>Skills!G17*IF(Skills!H17&gt;0,Skills!I17/Skills!H17,1)</f>
        <v/>
      </c>
      <c r="H579">
        <f>1-(1-Skills!J17/100)^Skills!K17</f>
        <v/>
      </c>
      <c r="I579" t="inlineStr">
        <is>
          <t>1</t>
        </is>
      </c>
      <c r="J579" t="inlineStr"/>
      <c r="K579" t="inlineStr"/>
      <c r="L579" t="inlineStr"/>
      <c r="M579" t="inlineStr"/>
      <c r="N579" t="inlineStr"/>
      <c r="O579" t="n">
        <v>0</v>
      </c>
      <c r="P579">
        <f>IF(B607=0,0,O579/B607)</f>
        <v/>
      </c>
      <c r="Q579" t="n">
        <v>0</v>
      </c>
      <c r="R579" t="n">
        <v>0</v>
      </c>
      <c r="S579">
        <f>IFERROR(O579/N579,0)</f>
        <v/>
      </c>
    </row>
    <row r="580">
      <c r="A580">
        <f>Skills!A18</f>
        <v/>
      </c>
      <c r="B580">
        <f>Skills!B18</f>
        <v/>
      </c>
      <c r="C580">
        <f>Inputs!$B$3&gt;=100</f>
        <v/>
      </c>
      <c r="D580">
        <f>IF(Skills!C18=1,60+Inputs!$B$25+Inputs!$B$29,IF(Skills!C18=2,90+Inputs!$B$26+Inputs!$B$29,IF(Skills!C18=3,120+Inputs!$B$27+Inputs!$B$29,MAX(0,(Inputs!$B$3-100)*3)+Inputs!$B$28+Inputs!$B$29)))</f>
        <v/>
      </c>
      <c r="E580">
        <f>INDEX(FactorTable!$B$2:$Y$301, MATCH(ROUND(MIN(300,MAX(1,D580)),0), FactorTable!$A$2:$A$301,0), Skills!M18+1)</f>
        <v/>
      </c>
      <c r="F580">
        <f>IF(Skills!N18=TRUE,(Skills!L18/10)*(E580/1000),Skills!L18/10)+Skills!O18</f>
        <v/>
      </c>
      <c r="G580">
        <f>Skills!G18*IF(Skills!H18&gt;0,Skills!I18/Skills!H18,1)</f>
        <v/>
      </c>
      <c r="H580">
        <f>1-(1-Skills!J18/100)^Skills!K18</f>
        <v/>
      </c>
      <c r="I580" t="inlineStr">
        <is>
          <t>1</t>
        </is>
      </c>
      <c r="J580" t="inlineStr"/>
      <c r="K580" t="inlineStr"/>
      <c r="L580" t="inlineStr"/>
      <c r="M580" t="inlineStr"/>
      <c r="N580" t="inlineStr"/>
      <c r="O580" t="n">
        <v>0</v>
      </c>
      <c r="P580">
        <f>IF(B607=0,0,O580/B607)</f>
        <v/>
      </c>
      <c r="Q580" t="n">
        <v>0</v>
      </c>
      <c r="R580" t="n">
        <v>0</v>
      </c>
      <c r="S580">
        <f>IFERROR(O580/N580,0)</f>
        <v/>
      </c>
    </row>
    <row r="581">
      <c r="A581">
        <f>Skills!A19</f>
        <v/>
      </c>
      <c r="B581">
        <f>Skills!B19</f>
        <v/>
      </c>
      <c r="C581">
        <f>TRUE</f>
        <v/>
      </c>
      <c r="D581">
        <f>IF(Skills!C19=1,60+Inputs!$B$25+Inputs!$B$29,IF(Skills!C19=2,90+Inputs!$B$26+Inputs!$B$29,IF(Skills!C19=3,120+Inputs!$B$27+Inputs!$B$29,MAX(0,(Inputs!$B$3-100)*3)+Inputs!$B$28+Inputs!$B$29)))</f>
        <v/>
      </c>
      <c r="E581">
        <f>INDEX(FactorTable!$B$2:$Y$301, MATCH(ROUND(MIN(300,MAX(1,D581)),0), FactorTable!$A$2:$A$301,0), Skills!M19+1)</f>
        <v/>
      </c>
      <c r="F581">
        <f>IF(Skills!N19=TRUE,(Skills!L19/10)*(E581/1000),Skills!L19/10)+Skills!O19</f>
        <v/>
      </c>
      <c r="G581">
        <f>Skills!G19*IF(Skills!H19&gt;0,Skills!I19/Skills!H19,1)</f>
        <v/>
      </c>
      <c r="H581">
        <f>1-(1-Skills!J19/100)^Skills!K19</f>
        <v/>
      </c>
      <c r="I581" t="inlineStr">
        <is>
          <t>1</t>
        </is>
      </c>
      <c r="J581" t="inlineStr"/>
      <c r="K581" t="inlineStr"/>
      <c r="L581" t="inlineStr"/>
      <c r="M581" t="inlineStr"/>
      <c r="N581" t="inlineStr"/>
      <c r="O581" t="n">
        <v>0</v>
      </c>
      <c r="P581">
        <f>IF(B607=0,0,O581/B607)</f>
        <v/>
      </c>
      <c r="Q581">
        <f>IFERROR(1/IF(Inputs!$B$39="pvp",15,MAX(0.1,Skills!D19-IF(Skills!E19=TRUE,Inputs!$B$32,0))),0)</f>
        <v/>
      </c>
      <c r="R581">
        <f>IF(AND(Inputs!$B$39&lt;&gt;"pvp",Inputs!$B$44&gt;0),IF(Inputs!$B$44&lt;=0,0,(INT(Inputs!$B$44/IF(Inputs!$B$39="pvp",15,MAX(0.1,Skills!D19-IF(Skills!E19=TRUE,Inputs!$B$32,0))))+1)),0)</f>
        <v/>
      </c>
      <c r="S581">
        <f>IFERROR(O581/N581,0)</f>
        <v/>
      </c>
    </row>
    <row r="582">
      <c r="A582">
        <f>Skills!A20</f>
        <v/>
      </c>
      <c r="B582">
        <f>Skills!B20</f>
        <v/>
      </c>
      <c r="C582">
        <f>Inputs!$B$3&gt;=15</f>
        <v/>
      </c>
      <c r="D582">
        <f>IF(Skills!C20=1,60+Inputs!$B$25+Inputs!$B$29,IF(Skills!C20=2,90+Inputs!$B$26+Inputs!$B$29,IF(Skills!C20=3,120+Inputs!$B$27+Inputs!$B$29,MAX(0,(Inputs!$B$3-100)*3)+Inputs!$B$28+Inputs!$B$29)))</f>
        <v/>
      </c>
      <c r="E582">
        <f>INDEX(FactorTable!$B$2:$Y$301, MATCH(ROUND(MIN(300,MAX(1,D582)),0), FactorTable!$A$2:$A$301,0), Skills!M20+1)</f>
        <v/>
      </c>
      <c r="F582">
        <f>IF(Skills!N20=TRUE,(Skills!L20/10)*(E582/1000),Skills!L20/10)+Skills!O20</f>
        <v/>
      </c>
      <c r="G582">
        <f>Skills!G20*IF(Skills!H20&gt;0,Skills!I20/Skills!H20,1)</f>
        <v/>
      </c>
      <c r="H582">
        <f>1-(1-Skills!J20/100)^Skills!K20</f>
        <v/>
      </c>
      <c r="I582" t="inlineStr">
        <is>
          <t>1</t>
        </is>
      </c>
      <c r="J582" t="inlineStr"/>
      <c r="K582" t="inlineStr"/>
      <c r="L582" t="inlineStr"/>
      <c r="M582" t="inlineStr"/>
      <c r="N582" t="inlineStr"/>
      <c r="O582" t="n">
        <v>0</v>
      </c>
      <c r="P582">
        <f>IF(B607=0,0,O582/B607)</f>
        <v/>
      </c>
      <c r="Q582">
        <f>IFERROR(1/IF(Inputs!$B$39="pvp",15,MAX(0.1,Skills!D20-IF(Skills!E20=TRUE,Inputs!$B$32,0))),0)</f>
        <v/>
      </c>
      <c r="R582">
        <f>IF(AND(Inputs!$B$39&lt;&gt;"pvp",Inputs!$B$44&gt;0),IF(Inputs!$B$44&lt;=0,0,(INT(Inputs!$B$44/IF(Inputs!$B$39="pvp",15,MAX(0.1,Skills!D20-IF(Skills!E20=TRUE,Inputs!$B$32,0))))+1)),0)</f>
        <v/>
      </c>
      <c r="S582">
        <f>IFERROR(O582/N582,0)</f>
        <v/>
      </c>
    </row>
    <row r="583">
      <c r="A583">
        <f>Skills!A21</f>
        <v/>
      </c>
      <c r="B583">
        <f>Skills!B21</f>
        <v/>
      </c>
      <c r="C583">
        <f>Inputs!$B$3&gt;=15</f>
        <v/>
      </c>
      <c r="D583">
        <f>IF(Skills!C21=1,60+Inputs!$B$25+Inputs!$B$29,IF(Skills!C21=2,90+Inputs!$B$26+Inputs!$B$29,IF(Skills!C21=3,120+Inputs!$B$27+Inputs!$B$29,MAX(0,(Inputs!$B$3-100)*3)+Inputs!$B$28+Inputs!$B$29)))</f>
        <v/>
      </c>
      <c r="E583">
        <f>INDEX(FactorTable!$B$2:$Y$301, MATCH(ROUND(MIN(300,MAX(1,D583)),0), FactorTable!$A$2:$A$301,0), Skills!M21+1)</f>
        <v/>
      </c>
      <c r="F583">
        <f>IF(Skills!N21=TRUE,(Skills!L21/10)*(E583/1000),Skills!L21/10)+Skills!O21</f>
        <v/>
      </c>
      <c r="G583">
        <f>Skills!G21*IF(Skills!H21&gt;0,Skills!I21/Skills!H21,1)</f>
        <v/>
      </c>
      <c r="H583">
        <f>1-(1-Skills!J21/100)^Skills!K21</f>
        <v/>
      </c>
      <c r="I583" t="inlineStr">
        <is>
          <t>1</t>
        </is>
      </c>
      <c r="J583" t="inlineStr"/>
      <c r="K583" t="inlineStr"/>
      <c r="L583" t="inlineStr"/>
      <c r="M583" t="inlineStr"/>
      <c r="N583" t="inlineStr"/>
      <c r="O583" t="n">
        <v>0</v>
      </c>
      <c r="P583">
        <f>IF(B607=0,0,O583/B607)</f>
        <v/>
      </c>
      <c r="Q583">
        <f>IFERROR(1/IF(Inputs!$B$39="pvp",15,MAX(0.1,Skills!D21-IF(Skills!E21=TRUE,Inputs!$B$32,0))),0)</f>
        <v/>
      </c>
      <c r="R583">
        <f>IF(AND(Inputs!$B$39&lt;&gt;"pvp",Inputs!$B$44&gt;0),IF(Inputs!$B$44&lt;=0,0,(INT(Inputs!$B$44/IF(Inputs!$B$39="pvp",15,MAX(0.1,Skills!D21-IF(Skills!E21=TRUE,Inputs!$B$32,0))))+1)),0)</f>
        <v/>
      </c>
      <c r="S583">
        <f>IFERROR(O583/N583,0)</f>
        <v/>
      </c>
    </row>
    <row r="584">
      <c r="A584">
        <f>Skills!A22</f>
        <v/>
      </c>
      <c r="B584">
        <f>Skills!B22</f>
        <v/>
      </c>
      <c r="C584">
        <f>Inputs!$B$3&gt;=33</f>
        <v/>
      </c>
      <c r="D584">
        <f>IF(Skills!C22=1,60+Inputs!$B$25+Inputs!$B$29,IF(Skills!C22=2,90+Inputs!$B$26+Inputs!$B$29,IF(Skills!C22=3,120+Inputs!$B$27+Inputs!$B$29,MAX(0,(Inputs!$B$3-100)*3)+Inputs!$B$28+Inputs!$B$29)))</f>
        <v/>
      </c>
      <c r="E584">
        <f>INDEX(FactorTable!$B$2:$Y$301, MATCH(ROUND(MIN(300,MAX(1,D584)),0), FactorTable!$A$2:$A$301,0), Skills!M22+1)</f>
        <v/>
      </c>
      <c r="F584">
        <f>IF(Skills!N22=TRUE,(Skills!L22/10)*(E584/1000),Skills!L22/10)+Skills!O22</f>
        <v/>
      </c>
      <c r="G584">
        <f>Skills!G22*IF(Skills!H22&gt;0,Skills!I22/Skills!H22,1)</f>
        <v/>
      </c>
      <c r="H584">
        <f>1-(1-Skills!J22/100)^Skills!K22</f>
        <v/>
      </c>
      <c r="I584" t="inlineStr">
        <is>
          <t>1</t>
        </is>
      </c>
      <c r="J584" t="inlineStr"/>
      <c r="K584" t="inlineStr"/>
      <c r="L584" t="inlineStr"/>
      <c r="M584" t="inlineStr"/>
      <c r="N584" t="inlineStr"/>
      <c r="O584" t="n">
        <v>0</v>
      </c>
      <c r="P584">
        <f>IF(B607=0,0,O584/B607)</f>
        <v/>
      </c>
      <c r="Q584" t="n">
        <v>0</v>
      </c>
      <c r="R584" t="n">
        <v>0</v>
      </c>
      <c r="S584">
        <f>IFERROR(O584/N584,0)</f>
        <v/>
      </c>
    </row>
    <row r="585">
      <c r="A585">
        <f>Skills!A23</f>
        <v/>
      </c>
      <c r="B585">
        <f>Skills!B23</f>
        <v/>
      </c>
      <c r="C585">
        <f>Inputs!$B$3&gt;=40</f>
        <v/>
      </c>
      <c r="D585">
        <f>IF(Skills!C23=1,60+Inputs!$B$25+Inputs!$B$29,IF(Skills!C23=2,90+Inputs!$B$26+Inputs!$B$29,IF(Skills!C23=3,120+Inputs!$B$27+Inputs!$B$29,MAX(0,(Inputs!$B$3-100)*3)+Inputs!$B$28+Inputs!$B$29)))</f>
        <v/>
      </c>
      <c r="E585">
        <f>INDEX(FactorTable!$B$2:$Y$301, MATCH(ROUND(MIN(300,MAX(1,D585)),0), FactorTable!$A$2:$A$301,0), Skills!M23+1)</f>
        <v/>
      </c>
      <c r="F585">
        <f>IF(Skills!N23=TRUE,(Skills!L23/10)*(E585/1000),Skills!L23/10)+Skills!O23</f>
        <v/>
      </c>
      <c r="G585">
        <f>Skills!G23*IF(Skills!H23&gt;0,Skills!I23/Skills!H23,1)</f>
        <v/>
      </c>
      <c r="H585">
        <f>1-(1-Skills!J23/100)^Skills!K23</f>
        <v/>
      </c>
      <c r="I585" t="inlineStr">
        <is>
          <t>1</t>
        </is>
      </c>
      <c r="J585" t="inlineStr"/>
      <c r="K585" t="inlineStr"/>
      <c r="L585" t="inlineStr"/>
      <c r="M585" t="inlineStr"/>
      <c r="N585" t="inlineStr"/>
      <c r="O585" t="n">
        <v>0</v>
      </c>
      <c r="P585">
        <f>IF(B607=0,0,O585/B607)</f>
        <v/>
      </c>
      <c r="Q585" t="n">
        <v>0</v>
      </c>
      <c r="R585" t="n">
        <v>0</v>
      </c>
      <c r="S585">
        <f>IFERROR(O585/N585,0)</f>
        <v/>
      </c>
    </row>
    <row r="586">
      <c r="A586">
        <f>Skills!A24</f>
        <v/>
      </c>
      <c r="B586">
        <f>Skills!B24</f>
        <v/>
      </c>
      <c r="C586">
        <f>Inputs!$B$3&gt;=43</f>
        <v/>
      </c>
      <c r="D586">
        <f>IF(Skills!C24=1,60+Inputs!$B$25+Inputs!$B$29,IF(Skills!C24=2,90+Inputs!$B$26+Inputs!$B$29,IF(Skills!C24=3,120+Inputs!$B$27+Inputs!$B$29,MAX(0,(Inputs!$B$3-100)*3)+Inputs!$B$28+Inputs!$B$29)))</f>
        <v/>
      </c>
      <c r="E586">
        <f>INDEX(FactorTable!$B$2:$Y$301, MATCH(ROUND(MIN(300,MAX(1,D586)),0), FactorTable!$A$2:$A$301,0), Skills!M24+1)</f>
        <v/>
      </c>
      <c r="F586">
        <f>IF(Skills!N24=TRUE,(Skills!L24/10)*(E586/1000),Skills!L24/10)+Skills!O24</f>
        <v/>
      </c>
      <c r="G586">
        <f>Skills!G24*IF(Skills!H24&gt;0,Skills!I24/Skills!H24,1)</f>
        <v/>
      </c>
      <c r="H586">
        <f>1-(1-Skills!J24/100)^Skills!K24</f>
        <v/>
      </c>
      <c r="I586" t="inlineStr">
        <is>
          <t>1</t>
        </is>
      </c>
      <c r="J586" t="inlineStr"/>
      <c r="K586" t="inlineStr"/>
      <c r="L586" t="inlineStr"/>
      <c r="M586" t="inlineStr"/>
      <c r="N586" t="inlineStr"/>
      <c r="O586" t="n">
        <v>0</v>
      </c>
      <c r="P586">
        <f>IF(B607=0,0,O586/B607)</f>
        <v/>
      </c>
      <c r="Q586" t="n">
        <v>0</v>
      </c>
      <c r="R586" t="n">
        <v>0</v>
      </c>
      <c r="S586">
        <f>IFERROR(O586/N586,0)</f>
        <v/>
      </c>
    </row>
    <row r="587">
      <c r="A587">
        <f>Skills!A25</f>
        <v/>
      </c>
      <c r="B587">
        <f>Skills!B25</f>
        <v/>
      </c>
      <c r="C587">
        <f>Inputs!$B$3&gt;=50</f>
        <v/>
      </c>
      <c r="D587">
        <f>IF(Skills!C25=1,60+Inputs!$B$25+Inputs!$B$29,IF(Skills!C25=2,90+Inputs!$B$26+Inputs!$B$29,IF(Skills!C25=3,120+Inputs!$B$27+Inputs!$B$29,MAX(0,(Inputs!$B$3-100)*3)+Inputs!$B$28+Inputs!$B$29)))</f>
        <v/>
      </c>
      <c r="E587">
        <f>INDEX(FactorTable!$B$2:$Y$301, MATCH(ROUND(MIN(300,MAX(1,D587)),0), FactorTable!$A$2:$A$301,0), Skills!M25+1)</f>
        <v/>
      </c>
      <c r="F587">
        <f>IF(Skills!N25=TRUE,(Skills!L25/10)*(E587/1000),Skills!L25/10)+Skills!O25</f>
        <v/>
      </c>
      <c r="G587">
        <f>Skills!G25*IF(Skills!H25&gt;0,Skills!I25/Skills!H25,1)</f>
        <v/>
      </c>
      <c r="H587">
        <f>1-(1-Skills!J25/100)^Skills!K25</f>
        <v/>
      </c>
      <c r="I587" t="inlineStr">
        <is>
          <t>1</t>
        </is>
      </c>
      <c r="J587" t="inlineStr"/>
      <c r="K587" t="inlineStr"/>
      <c r="L587" t="inlineStr"/>
      <c r="M587" t="inlineStr"/>
      <c r="N587" t="inlineStr"/>
      <c r="O587" t="n">
        <v>0</v>
      </c>
      <c r="P587">
        <f>IF(B607=0,0,O587/B607)</f>
        <v/>
      </c>
      <c r="Q587" t="n">
        <v>0</v>
      </c>
      <c r="R587" t="n">
        <v>0</v>
      </c>
      <c r="S587">
        <f>IFERROR(O587/N587,0)</f>
        <v/>
      </c>
    </row>
    <row r="588">
      <c r="A588">
        <f>Skills!A26</f>
        <v/>
      </c>
      <c r="B588">
        <f>Skills!B26</f>
        <v/>
      </c>
      <c r="C588">
        <f>Inputs!$B$3&gt;=50</f>
        <v/>
      </c>
      <c r="D588">
        <f>IF(Skills!C26=1,60+Inputs!$B$25+Inputs!$B$29,IF(Skills!C26=2,90+Inputs!$B$26+Inputs!$B$29,IF(Skills!C26=3,120+Inputs!$B$27+Inputs!$B$29,MAX(0,(Inputs!$B$3-100)*3)+Inputs!$B$28+Inputs!$B$29)))</f>
        <v/>
      </c>
      <c r="E588">
        <f>INDEX(FactorTable!$B$2:$Y$301, MATCH(ROUND(MIN(300,MAX(1,D588)),0), FactorTable!$A$2:$A$301,0), Skills!M26+1)</f>
        <v/>
      </c>
      <c r="F588">
        <f>IF(Skills!N26=TRUE,(Skills!L26/10)*(E588/1000),Skills!L26/10)+Skills!O26</f>
        <v/>
      </c>
      <c r="G588">
        <f>Skills!G26*IF(Skills!H26&gt;0,Skills!I26/Skills!H26,1)</f>
        <v/>
      </c>
      <c r="H588">
        <f>1-(1-Skills!J26/100)^Skills!K26</f>
        <v/>
      </c>
      <c r="I588" t="inlineStr">
        <is>
          <t>1</t>
        </is>
      </c>
      <c r="J588" t="inlineStr"/>
      <c r="K588" t="inlineStr"/>
      <c r="L588" t="inlineStr"/>
      <c r="M588" t="inlineStr"/>
      <c r="N588" t="inlineStr"/>
      <c r="O588" t="n">
        <v>0</v>
      </c>
      <c r="P588">
        <f>IF(B607=0,0,O588/B607)</f>
        <v/>
      </c>
      <c r="Q588" t="n">
        <v>0</v>
      </c>
      <c r="R588" t="n">
        <v>0</v>
      </c>
      <c r="S588">
        <f>IFERROR(O588/N588,0)</f>
        <v/>
      </c>
    </row>
    <row r="589">
      <c r="A589">
        <f>Skills!A27</f>
        <v/>
      </c>
      <c r="B589">
        <f>Skills!B27</f>
        <v/>
      </c>
      <c r="C589">
        <f>Inputs!$B$3&gt;=38</f>
        <v/>
      </c>
      <c r="D589">
        <f>IF(Skills!C27=1,60+Inputs!$B$25+Inputs!$B$29,IF(Skills!C27=2,90+Inputs!$B$26+Inputs!$B$29,IF(Skills!C27=3,120+Inputs!$B$27+Inputs!$B$29,MAX(0,(Inputs!$B$3-100)*3)+Inputs!$B$28+Inputs!$B$29)))</f>
        <v/>
      </c>
      <c r="E589">
        <f>INDEX(FactorTable!$B$2:$Y$301, MATCH(ROUND(MIN(300,MAX(1,D589)),0), FactorTable!$A$2:$A$301,0), Skills!M27+1)</f>
        <v/>
      </c>
      <c r="F589">
        <f>IF(Skills!N27=TRUE,(Skills!L27/10)*(E589/1000),Skills!L27/10)+Skills!O27</f>
        <v/>
      </c>
      <c r="G589">
        <f>Skills!G27*IF(Skills!H27&gt;0,Skills!I27/Skills!H27,1)</f>
        <v/>
      </c>
      <c r="H589">
        <f>1-(1-Skills!J27/100)^Skills!K27</f>
        <v/>
      </c>
      <c r="I589" t="inlineStr">
        <is>
          <t>1</t>
        </is>
      </c>
      <c r="J589" t="inlineStr"/>
      <c r="K589" t="inlineStr"/>
      <c r="L589" t="inlineStr"/>
      <c r="M589" t="inlineStr"/>
      <c r="N589" t="inlineStr"/>
      <c r="O589" t="n">
        <v>0</v>
      </c>
      <c r="P589">
        <f>IF(B607=0,0,O589/B607)</f>
        <v/>
      </c>
      <c r="Q589" t="n">
        <v>0</v>
      </c>
      <c r="R589" t="n">
        <v>0</v>
      </c>
      <c r="S589">
        <f>IFERROR(O589/N589,0)</f>
        <v/>
      </c>
    </row>
    <row r="590">
      <c r="A590">
        <f>Skills!A28</f>
        <v/>
      </c>
      <c r="B590">
        <f>Skills!B28</f>
        <v/>
      </c>
      <c r="C590">
        <f>Inputs!$B$3&gt;=120</f>
        <v/>
      </c>
      <c r="D590">
        <f>IF(Skills!C28=1,60+Inputs!$B$25+Inputs!$B$29,IF(Skills!C28=2,90+Inputs!$B$26+Inputs!$B$29,IF(Skills!C28=3,120+Inputs!$B$27+Inputs!$B$29,MAX(0,(Inputs!$B$3-100)*3)+Inputs!$B$28+Inputs!$B$29)))</f>
        <v/>
      </c>
      <c r="E590">
        <f>INDEX(FactorTable!$B$2:$Y$301, MATCH(ROUND(MIN(300,MAX(1,D590)),0), FactorTable!$A$2:$A$301,0), Skills!M28+1)</f>
        <v/>
      </c>
      <c r="F590">
        <f>IF(Skills!N28=TRUE,(Skills!L28/10)*(E590/1000),Skills!L28/10)+Skills!O28</f>
        <v/>
      </c>
      <c r="G590">
        <f>Skills!G28*IF(Skills!H28&gt;0,Skills!I28/Skills!H28,1)</f>
        <v/>
      </c>
      <c r="H590">
        <f>1-(1-Skills!J28/100)^Skills!K28</f>
        <v/>
      </c>
      <c r="I590" t="inlineStr">
        <is>
          <t>1</t>
        </is>
      </c>
      <c r="J590" t="inlineStr"/>
      <c r="K590" t="inlineStr"/>
      <c r="L590" t="inlineStr"/>
      <c r="M590" t="inlineStr"/>
      <c r="N590" t="inlineStr"/>
      <c r="O590" t="n">
        <v>0</v>
      </c>
      <c r="P590">
        <f>IF(B607=0,0,O590/B607)</f>
        <v/>
      </c>
      <c r="Q590" t="n">
        <v>0</v>
      </c>
      <c r="R590" t="n">
        <v>0</v>
      </c>
      <c r="S590">
        <f>IFERROR(O590/N590,0)</f>
        <v/>
      </c>
    </row>
    <row r="591">
      <c r="A591">
        <f>Skills!A29</f>
        <v/>
      </c>
      <c r="B591">
        <f>Skills!B29</f>
        <v/>
      </c>
      <c r="C591">
        <f>Inputs!$B$3&gt;=120</f>
        <v/>
      </c>
      <c r="D591">
        <f>IF(Skills!C29=1,60+Inputs!$B$25+Inputs!$B$29,IF(Skills!C29=2,90+Inputs!$B$26+Inputs!$B$29,IF(Skills!C29=3,120+Inputs!$B$27+Inputs!$B$29,MAX(0,(Inputs!$B$3-100)*3)+Inputs!$B$28+Inputs!$B$29)))</f>
        <v/>
      </c>
      <c r="E591">
        <f>INDEX(FactorTable!$B$2:$Y$301, MATCH(ROUND(MIN(300,MAX(1,D591)),0), FactorTable!$A$2:$A$301,0), Skills!M29+1)</f>
        <v/>
      </c>
      <c r="F591">
        <f>IF(Skills!N29=TRUE,(Skills!L29/10)*(E591/1000),Skills!L29/10)+Skills!O29</f>
        <v/>
      </c>
      <c r="G591">
        <f>Skills!G29*IF(Skills!H29&gt;0,Skills!I29/Skills!H29,1)</f>
        <v/>
      </c>
      <c r="H591">
        <f>1-(1-Skills!J29/100)^Skills!K29</f>
        <v/>
      </c>
      <c r="I591" t="inlineStr">
        <is>
          <t>1</t>
        </is>
      </c>
      <c r="J591" t="inlineStr"/>
      <c r="K591" t="inlineStr"/>
      <c r="L591" t="inlineStr"/>
      <c r="M591" t="inlineStr"/>
      <c r="N591" t="inlineStr"/>
      <c r="O591" t="n">
        <v>0</v>
      </c>
      <c r="P591">
        <f>IF(B607=0,0,O591/B607)</f>
        <v/>
      </c>
      <c r="Q591" t="n">
        <v>0</v>
      </c>
      <c r="R591" t="n">
        <v>0</v>
      </c>
      <c r="S591">
        <f>IFERROR(O591/N591,0)</f>
        <v/>
      </c>
    </row>
    <row r="592">
      <c r="A592">
        <f>Skills!A30</f>
        <v/>
      </c>
      <c r="B592">
        <f>Skills!B30</f>
        <v/>
      </c>
      <c r="C592">
        <f>Inputs!$B$3&gt;=125</f>
        <v/>
      </c>
      <c r="D592">
        <f>IF(Skills!C30=1,60+Inputs!$B$25+Inputs!$B$29,IF(Skills!C30=2,90+Inputs!$B$26+Inputs!$B$29,IF(Skills!C30=3,120+Inputs!$B$27+Inputs!$B$29,MAX(0,(Inputs!$B$3-100)*3)+Inputs!$B$28+Inputs!$B$29)))</f>
        <v/>
      </c>
      <c r="E592">
        <f>INDEX(FactorTable!$B$2:$Y$301, MATCH(ROUND(MIN(300,MAX(1,D592)),0), FactorTable!$A$2:$A$301,0), Skills!M30+1)</f>
        <v/>
      </c>
      <c r="F592">
        <f>IF(Skills!N30=TRUE,(Skills!L30/10)*(E592/1000),Skills!L30/10)+Skills!O30</f>
        <v/>
      </c>
      <c r="G592">
        <f>Skills!G30*IF(Skills!H30&gt;0,Skills!I30/Skills!H30,1)</f>
        <v/>
      </c>
      <c r="H592">
        <f>1-(1-Skills!J30/100)^Skills!K30</f>
        <v/>
      </c>
      <c r="I592" t="inlineStr">
        <is>
          <t>1</t>
        </is>
      </c>
      <c r="J592" t="inlineStr"/>
      <c r="K592" t="inlineStr"/>
      <c r="L592" t="inlineStr"/>
      <c r="M592" t="inlineStr"/>
      <c r="N592" t="inlineStr"/>
      <c r="O592" t="n">
        <v>0</v>
      </c>
      <c r="P592">
        <f>IF(B607=0,0,O592/B607)</f>
        <v/>
      </c>
      <c r="Q592" t="n">
        <v>0</v>
      </c>
      <c r="R592" t="n">
        <v>0</v>
      </c>
      <c r="S592">
        <f>IFERROR(O592/N592,0)</f>
        <v/>
      </c>
    </row>
    <row r="594">
      <c r="A594" t="inlineStr">
        <is>
          <t>Average Buff Multiplier</t>
        </is>
      </c>
      <c r="B594">
        <f>(1+(((C583=TRUE)*F583*IF(AND(Inputs!$B$39&lt;&gt;"pvp",Inputs!$B$44&gt;0),(((R583-1)*(Skills!Y21*(1+Inputs!$B$34/100))+MIN((Skills!Y21*(1+Inputs!$B$34/100)),MAX(0,Inputs!$B$44-((R583-1)*Skills!D21))))/Inputs!$B$44),IF(Inputs!$B$39="pvp",MIN((Skills!Y21*(1+Inputs!$B$34/100)),15)/15,(Skills!Y21*(1+Inputs!$B$34/100))/Skills!D21)))+((C585=TRUE)*(F585-Calc!F23))+((C579=TRUE)*(F579-Calc!F17)))/100)*(1+((C572=TRUE)*F572*IF(AND(Inputs!$B$39&lt;&gt;"pvp",Inputs!$B$44&gt;0),(((R572-1)*(Skills!Y10*(1+Inputs!$B$34/100))+MIN((Skills!Y10*(1+Inputs!$B$34/100)),MAX(0,Inputs!$B$44-((R572-1)*Skills!D10))))/Inputs!$B$44),IF(Inputs!$B$39="pvp",MIN((Skills!Y10*(1+Inputs!$B$34/100)),15)/15,(Skills!Y10*(1+Inputs!$B$34/100))/Skills!D10)))/100)*(1+((C577=TRUE)*F577*IF(AND(Inputs!$B$39&lt;&gt;"pvp",Inputs!$B$44&gt;0),(((R577-1)*(Skills!Y15*(1+Inputs!$B$34/100))+MIN((Skills!Y15*(1+Inputs!$B$34/100)),MAX(0,Inputs!$B$44-((R577-1)*Skills!D15))))/Inputs!$B$44),IF(Inputs!$B$39="pvp",MIN((Skills!Y15*(1+Inputs!$B$34/100)),15)/15,(Skills!Y15*(1+Inputs!$B$34/100))/Skills!D15)))/100)</f>
        <v/>
      </c>
    </row>
    <row r="595">
      <c r="A595" t="inlineStr">
        <is>
          <t>Global Crit Rate Bonus %</t>
        </is>
      </c>
      <c r="B595">
        <f>((C582=TRUE)*F582*IF(AND(Inputs!$B$39&lt;&gt;"pvp",Inputs!$B$44&gt;0),(((R582-1)*(Skills!Y20*(1+Inputs!$B$34/100))+MIN((Skills!Y20*(1+Inputs!$B$34/100)),MAX(0,Inputs!$B$44-((R582-1)*Skills!D20))))/Inputs!$B$44),IF(Inputs!$B$39="pvp",MIN((Skills!Y20*(1+Inputs!$B$34/100)),15)/15,(Skills!Y20*(1+Inputs!$B$34/100))/Skills!D20)))</f>
        <v/>
      </c>
    </row>
    <row r="596">
      <c r="A596" t="inlineStr">
        <is>
          <t>Global Monster Damage-Taken Bonus %</t>
        </is>
      </c>
      <c r="B596">
        <f>IF(Inputs!$B$3&gt;=82,15,0)</f>
        <v/>
      </c>
    </row>
    <row r="597">
      <c r="A597" t="inlineStr">
        <is>
          <t>Shadow Partner Average Multiplier</t>
        </is>
      </c>
      <c r="B597">
        <f>1+((C569=TRUE)*F569*(1+3.3333333333333335*IF(C580=TRUE,F580,0)/100)*I569*Skills!J7/100)/100</f>
        <v/>
      </c>
    </row>
    <row r="598">
      <c r="A598" t="inlineStr">
        <is>
          <t>Attack Speed Buff Bonus %</t>
        </is>
      </c>
      <c r="B598">
        <f>((C581=TRUE)*F581*IF(AND(Inputs!$B$39&lt;&gt;"pvp",Inputs!$B$44&gt;0),(((R581-1)*(Skills!Y19*(1+Inputs!$B$34/100))+MIN((Skills!Y19*(1+Inputs!$B$34/100)),MAX(0,Inputs!$B$44-((R581-1)*Skills!D19))))/Inputs!$B$44),IF(Inputs!$B$39="pvp",MIN((Skills!Y19*(1+Inputs!$B$34/100)),15)/15,(Skills!Y19*(1+Inputs!$B$34/100))/Skills!D19)))+((C565=TRUE)*F565*3)</f>
        <v/>
      </c>
    </row>
    <row r="599">
      <c r="A599" t="inlineStr">
        <is>
          <t>Actions Per Second</t>
        </is>
      </c>
      <c r="B599">
        <f>1+MIN(150,150*(1-(1-(Inputs!$B$11+((C584=TRUE)*(F584-Calc!F22)))/150)*(1-B598/150)))/100</f>
        <v/>
      </c>
    </row>
    <row r="600">
      <c r="A600" t="inlineStr">
        <is>
          <t>Skill + Buff Cast Rate</t>
        </is>
      </c>
      <c r="B600">
        <f>IF(AND(Inputs!$B$39&lt;&gt;"pvp",Inputs!$B$44&gt;0),SUMPRODUCT((Skills!E2:E30=TRUE)*(C564:C592=TRUE)*R564:R592*Skills!F2:F30)/Inputs!$B$44,SUMPRODUCT((Skills!E2:E30=TRUE)*(C564:C592=TRUE)*Q564:Q592*Skills!F2:F30))</f>
        <v/>
      </c>
    </row>
    <row r="601">
      <c r="A601" t="inlineStr">
        <is>
          <t>Cruel Stab Casts Per Second</t>
        </is>
      </c>
      <c r="B601">
        <f>MAX(0,B599-B600)</f>
        <v/>
      </c>
    </row>
    <row r="602">
      <c r="A602" t="inlineStr">
        <is>
          <t>Global Critical Damage Bonus % (Smokescreen Mastery Lv.113)</t>
        </is>
      </c>
      <c r="B602">
        <f>IF(Inputs!$B$3&gt;=113,30,0)*IF(AND(Inputs!$B$39&lt;&gt;"pvp",Inputs!$B$44&gt;0),(((R577-1)*(Skills!Y15*(1+Inputs!$B$34/100))+MIN((Skills!Y15*(1+Inputs!$B$34/100)),MAX(0,Inputs!$B$44-((R577-1)*Skills!D15))))/Inputs!$B$44),IF(Inputs!$B$39="pvp",MIN((Skills!Y15*(1+Inputs!$B$34/100)),15)/15,(Skills!Y15*(1+Inputs!$B$34/100))/Skills!D15))</f>
        <v/>
      </c>
    </row>
    <row r="603">
      <c r="A603" t="inlineStr">
        <is>
          <t>Meso Explosion average stack count</t>
        </is>
      </c>
      <c r="B603">
        <f>MIN(10,0.5*B599*Skills!D4)</f>
        <v/>
      </c>
    </row>
    <row r="604">
      <c r="A604" t="inlineStr">
        <is>
          <t>Blood Money average stack count</t>
        </is>
      </c>
      <c r="B604">
        <f>MIN(5,0.25*B599*Skills!D4)</f>
        <v/>
      </c>
    </row>
    <row r="605">
      <c r="A605" t="inlineStr">
        <is>
          <t>Assassinate Murderous Intent Multiplier</t>
        </is>
      </c>
      <c r="B605">
        <f>1+IFERROR(MIN(1,Q576*2/Q573),0)</f>
        <v/>
      </c>
    </row>
    <row r="606">
      <c r="A606" t="inlineStr">
        <is>
          <t>Buff-Casting Startup Delay (s, fixed-duration only)</t>
        </is>
      </c>
      <c r="B606">
        <f>IF(AND(Inputs!$B$39&lt;&gt;"pvp",Inputs!$B$44&gt;0),SUMPRODUCT((Skills!Y2:Y30&gt;0)*(Skills!E2:E30=TRUE)*(C564:C592=TRUE))/B599,0)</f>
        <v/>
      </c>
    </row>
    <row r="607">
      <c r="A607" s="5" t="inlineStr">
        <is>
          <t>TOTAL DPS</t>
        </is>
      </c>
      <c r="B607" s="5">
        <f>SUM(O564:O592)</f>
        <v/>
      </c>
    </row>
    <row r="610">
      <c r="A610" s="5" t="inlineStr">
        <is>
          <t>Stat: ATTACK_SPEED % (diminishing returns, factor 150)</t>
        </is>
      </c>
    </row>
    <row r="611">
      <c r="A611" s="9" t="inlineStr">
        <is>
          <t>Key</t>
        </is>
      </c>
      <c r="B611" s="9" t="inlineStr">
        <is>
          <t>Name</t>
        </is>
      </c>
      <c r="C611" s="9" t="inlineStr">
        <is>
          <t>Unlocked</t>
        </is>
      </c>
      <c r="D611" s="9" t="inlineStr">
        <is>
          <t>InputLevel</t>
        </is>
      </c>
      <c r="E611" s="9" t="inlineStr">
        <is>
          <t>Factor</t>
        </is>
      </c>
      <c r="F611" s="9" t="inlineStr">
        <is>
          <t>CoefficientPercent</t>
        </is>
      </c>
      <c r="G611" s="9" t="inlineStr">
        <is>
          <t>EffectiveHits</t>
        </is>
      </c>
      <c r="H611" s="9" t="inlineStr">
        <is>
          <t>ProcProbability</t>
        </is>
      </c>
      <c r="I611" s="9" t="inlineStr">
        <is>
          <t>MapleHeroMultiplier</t>
        </is>
      </c>
      <c r="J611" s="9" t="inlineStr">
        <is>
          <t>BaseDamage</t>
        </is>
      </c>
      <c r="K611" s="9" t="inlineStr">
        <is>
          <t>BaseHitDamage</t>
        </is>
      </c>
      <c r="L611" s="9" t="inlineStr">
        <is>
          <t>NonCritAvg</t>
        </is>
      </c>
      <c r="M611" s="9" t="inlineStr">
        <is>
          <t>CritAvg</t>
        </is>
      </c>
      <c r="N611" s="9" t="inlineStr">
        <is>
          <t>ExpectedDamage(perHit)</t>
        </is>
      </c>
      <c r="O611" s="9" t="inlineStr">
        <is>
          <t>DPS</t>
        </is>
      </c>
      <c r="P611" s="9" t="inlineStr">
        <is>
          <t>% of Total</t>
        </is>
      </c>
      <c r="Q611" s="9" t="inlineStr">
        <is>
          <t>InvCooldown</t>
        </is>
      </c>
      <c r="R611" s="9" t="inlineStr">
        <is>
          <t>CastsInFight</t>
        </is>
      </c>
      <c r="S611" s="9" t="inlineStr">
        <is>
          <t>HitRate(perSec)</t>
        </is>
      </c>
      <c r="U611" t="inlineStr">
        <is>
          <t>helpers</t>
        </is>
      </c>
    </row>
    <row r="612">
      <c r="A612">
        <f>Skills!A2</f>
        <v/>
      </c>
      <c r="B612">
        <f>Skills!B2</f>
        <v/>
      </c>
      <c r="C612">
        <f>Inputs!$B$3&gt;=100</f>
        <v/>
      </c>
      <c r="D612" t="inlineStr"/>
      <c r="E612" t="inlineStr"/>
      <c r="F612">
        <f>U614+Skills!O2</f>
        <v/>
      </c>
      <c r="G612">
        <f>Skills!G2*IF(Skills!H2&gt;0,Skills!I2/Skills!H2,1)</f>
        <v/>
      </c>
      <c r="H612">
        <f>1-(1-Skills!J2/100)^Skills!K2</f>
        <v/>
      </c>
      <c r="I612" t="inlineStr">
        <is>
          <t>1</t>
        </is>
      </c>
      <c r="J612">
        <f>((Inputs!$B$6*(1+Inputs!$B$7/100))+(((Inputs!$B$12*(1+Inputs!$B$13/100))-(Inputs!$B$12*(1+Inputs!$B$13/100)))+0.25*(Inputs!$B$14-Inputs!$B$14))*(1+Inputs!$B$7/100))*(F612/100)</f>
        <v/>
      </c>
      <c r="K612">
        <f>J612*(1+((Inputs!$B$12*(1+Inputs!$B$13/100))*0.01+Inputs!$B$14*0.0025)/100)*(1+Inputs!$B$15/100)*(1+IF(Inputs!$B$39="pvp",0,(1-Summary!$B$55)*(Inputs!$B$20+0+Skills!P2+B644)+Summary!$B$55*(Inputs!$B$21+Skills!Q2+B644))/100)*(1+Inputs!$B$16/100)*(5000/(6000+Inputs!$B$43*(1-Inputs!$B$19/100)))*(1+(Inputs!$B$24+((C640=TRUE)*(F640-Calc!F30)))/100)*(1+(IF(Skills!A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612)</f>
        <v/>
      </c>
      <c r="L612">
        <f>K612*(MIN(Inputs!$B$22+((C634=TRUE)*(F634-Calc!F24)),Inputs!$B$23+((C639=TRUE)*(F639-Calc!F29)))/100+(Inputs!$B$23+((C639=TRUE)*(F639-Calc!F29)))/100)/2</f>
        <v/>
      </c>
      <c r="M612">
        <f>L612*(1+(Inputs!$B$10+((C636=TRUE)*(F636-Calc!F26))+B650)/100)</f>
        <v/>
      </c>
      <c r="N612">
        <f>L612*(1-MIN((Inputs!$B$9+((C635=TRUE)*(F635-Calc!F25))+B643),100)/100)+M612*(MIN((Inputs!$B$9+((C635=TRUE)*(F635-Calc!F25))+B643),100)/100)</f>
        <v/>
      </c>
      <c r="O612">
        <f>IF(C612,Skills!G2*N612*B649*IF(Inputs!$B$39="pvp",1,(1-Summary!$B$55)*(1)+Summary!$B$55*(MIN((6+Inputs!$B$33),Inputs!$B$37))),0)</f>
        <v/>
      </c>
      <c r="P612">
        <f>IF(B655=0,0,O612/B655)</f>
        <v/>
      </c>
      <c r="Q612" t="n">
        <v>0</v>
      </c>
      <c r="R612" t="n">
        <v>0</v>
      </c>
      <c r="S612">
        <f>IFERROR(O612/N612,0)</f>
        <v/>
      </c>
      <c r="U612">
        <f>MAX(0,(Inputs!$B$3-100)*3)+Inputs!$B$28+Inputs!$B$29</f>
        <v/>
      </c>
    </row>
    <row r="613">
      <c r="A613">
        <f>Skills!A3</f>
        <v/>
      </c>
      <c r="B613">
        <f>Skills!B3</f>
        <v/>
      </c>
      <c r="C613">
        <f>Inputs!$B$3&gt;=35</f>
        <v/>
      </c>
      <c r="D613">
        <f>IF(Skills!C3=1,60+Inputs!$B$25+Inputs!$B$29,IF(Skills!C3=2,90+Inputs!$B$26+Inputs!$B$29,IF(Skills!C3=3,120+Inputs!$B$27+Inputs!$B$29,MAX(0,(Inputs!$B$3-100)*3)+Inputs!$B$28+Inputs!$B$29)))</f>
        <v/>
      </c>
      <c r="E613">
        <f>INDEX(FactorTable!$B$2:$Y$301, MATCH(ROUND(MIN(300,MAX(1,D613)),0), FactorTable!$A$2:$A$301,0), Skills!M3+1)</f>
        <v/>
      </c>
      <c r="F613">
        <f>IF(Skills!N3=TRUE,(Skills!L3/10)*(E613/1000),Skills!L3/10)+Skills!O3</f>
        <v/>
      </c>
      <c r="G613">
        <f>Skills!G3*IF(Skills!H3&gt;0,Skills!I3/Skills!H3,1)</f>
        <v/>
      </c>
      <c r="H613">
        <f>1-(1-Skills!J3/100)^Skills!K3</f>
        <v/>
      </c>
      <c r="I613" t="inlineStr">
        <is>
          <t>1</t>
        </is>
      </c>
      <c r="J613" t="inlineStr"/>
      <c r="K613" t="inlineStr"/>
      <c r="L613" t="inlineStr"/>
      <c r="M613" t="inlineStr"/>
      <c r="N613" t="inlineStr"/>
      <c r="O613" t="n">
        <v>0</v>
      </c>
      <c r="P613">
        <f>IF(B655=0,0,O613/B655)</f>
        <v/>
      </c>
      <c r="Q613" t="n">
        <v>0</v>
      </c>
      <c r="R613" t="n">
        <v>0</v>
      </c>
      <c r="S613">
        <f>IFERROR(O613/N613,0)</f>
        <v/>
      </c>
      <c r="U613">
        <f>INDEX(FactorTable!$B$2:$Y$301, MATCH(ROUND(MIN(300,MAX(1,U612)),0), FactorTable!$A$2:$A$301,0), 22)</f>
        <v/>
      </c>
    </row>
    <row r="614">
      <c r="A614">
        <f>Skills!A4</f>
        <v/>
      </c>
      <c r="B614">
        <f>Skills!B4</f>
        <v/>
      </c>
      <c r="C614">
        <f>Inputs!$B$3&gt;=66</f>
        <v/>
      </c>
      <c r="D614">
        <f>IF(Skills!C4=1,60+Inputs!$B$25+Inputs!$B$29,IF(Skills!C4=2,90+Inputs!$B$26+Inputs!$B$29,IF(Skills!C4=3,120+Inputs!$B$27+Inputs!$B$29,MAX(0,(Inputs!$B$3-100)*3)+Inputs!$B$28+Inputs!$B$29)))</f>
        <v/>
      </c>
      <c r="E614">
        <f>INDEX(FactorTable!$B$2:$Y$301, MATCH(ROUND(MIN(300,MAX(1,D614)),0), FactorTable!$A$2:$A$301,0), Skills!M4+1)</f>
        <v/>
      </c>
      <c r="F614">
        <f>IF(Skills!N4=TRUE,(Skills!L4/10)*(E614/1000),Skills!L4/10)+Skills!O4</f>
        <v/>
      </c>
      <c r="G614">
        <f>Skills!G4*IF(Skills!H4&gt;0,Skills!I4/Skills!H4,1)</f>
        <v/>
      </c>
      <c r="H614">
        <f>1-(1-Skills!J4/100)^Skills!K4</f>
        <v/>
      </c>
      <c r="I614" t="inlineStr">
        <is>
          <t>1</t>
        </is>
      </c>
      <c r="J614">
        <f>((Inputs!$B$6*(1+Inputs!$B$7/100))+(((Inputs!$B$12*(1+Inputs!$B$13/100))-(Inputs!$B$12*(1+Inputs!$B$13/100)))+0.25*(Inputs!$B$14-Inputs!$B$14))*(1+Inputs!$B$7/100))*(F614/100)</f>
        <v/>
      </c>
      <c r="K614">
        <f>J614*(1+((Inputs!$B$12*(1+Inputs!$B$13/100))*0.01+Inputs!$B$14*0.0025)/100)*(1+Inputs!$B$15/100)*(1+IF(Inputs!$B$39="pvp",0,(1-Summary!$B$55)*(Inputs!$B$20+0+Skills!P4+B644)+Summary!$B$55*(Inputs!$B$21+Skills!Q4+B644))/100)*(1+Inputs!$B$16/100)*(5000/(6000+Inputs!$B$43*(1-Inputs!$B$19/100)))*(1+(Inputs!$B$24+((C640=TRUE)*(F640-Calc!F30)))/100)*(1+(IF(Skills!A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614)</f>
        <v/>
      </c>
      <c r="L614">
        <f>K614*(MIN(Inputs!$B$22+((C634=TRUE)*(F634-Calc!F24)),Inputs!$B$23+((C639=TRUE)*(F639-Calc!F29)))/100+(Inputs!$B$23+((C639=TRUE)*(F639-Calc!F29)))/100)/2</f>
        <v/>
      </c>
      <c r="M614">
        <f>L614*(1+(Inputs!$B$10+((C636=TRUE)*(F636-Calc!F26))+B650)/100)</f>
        <v/>
      </c>
      <c r="N614">
        <f>L614*(1-MIN((Inputs!$B$9+((C635=TRUE)*(F635-Calc!F25))+B643),100)/100)+M614*(MIN((Inputs!$B$9+((C635=TRUE)*(F635-Calc!F25))+B643),100)/100)</f>
        <v/>
      </c>
      <c r="O614">
        <f>IF(C614,H614*N614*IF(AND(Inputs!$B$39&lt;&gt;"pvp",Inputs!$B$44&gt;0),((Skills!G4*((R614-1)*IF(Skills!H4&gt;0,Skills!I4/Skills!H4,1)+IF(Skills!H4&gt;0,MIN(Skills!I4,MAX(0,MAX(0,Inputs!$B$44-B654)-((R614-1)*IF(Inputs!$B$39="pvp",15,MAX(0.1,Skills!D4-IF(Skills!E4=TRUE,Inputs!$B$32,0))))))/Skills!H4,1)))/Inputs!$B$44),G614*Q614)*IF(Inputs!$B$39="pvp",1,(1-Summary!$B$55)*(1)+Summary!$B$55*(MIN(MIN(10,0.5*B647*Skills!D4),Inputs!$B$37))),0)</f>
        <v/>
      </c>
      <c r="P614">
        <f>IF(B655=0,0,O614/B655)</f>
        <v/>
      </c>
      <c r="Q614">
        <f>IFERROR(1/IF(Inputs!$B$39="pvp",15,MAX(0.1,Skills!D4-IF(Skills!E4=TRUE,Inputs!$B$32,0))),0)</f>
        <v/>
      </c>
      <c r="R614">
        <f>IF(AND(Inputs!$B$39&lt;&gt;"pvp",Inputs!$B$44&gt;0),IF(MAX(0,Inputs!$B$44-B654)&lt;=0,0,(INT(MAX(0,Inputs!$B$44-B654)/IF(Inputs!$B$39="pvp",15,MAX(0.1,Skills!D4-IF(Skills!E4=TRUE,Inputs!$B$32,0))))+1)),0)</f>
        <v/>
      </c>
      <c r="S614">
        <f>IFERROR(O614/N614,0)</f>
        <v/>
      </c>
      <c r="U614">
        <f>290*U613/1000</f>
        <v/>
      </c>
    </row>
    <row r="615">
      <c r="A615">
        <f>Skills!A5</f>
        <v/>
      </c>
      <c r="B615">
        <f>Skills!B5</f>
        <v/>
      </c>
      <c r="C615">
        <f>Inputs!$B$3&gt;=63</f>
        <v/>
      </c>
      <c r="D615">
        <f>IF(Skills!C5=1,60+Inputs!$B$25+Inputs!$B$29,IF(Skills!C5=2,90+Inputs!$B$26+Inputs!$B$29,IF(Skills!C5=3,120+Inputs!$B$27+Inputs!$B$29,MAX(0,(Inputs!$B$3-100)*3)+Inputs!$B$28+Inputs!$B$29)))</f>
        <v/>
      </c>
      <c r="E615">
        <f>INDEX(FactorTable!$B$2:$Y$301, MATCH(ROUND(MIN(300,MAX(1,D615)),0), FactorTable!$A$2:$A$301,0), Skills!M5+1)</f>
        <v/>
      </c>
      <c r="F615">
        <f>IF(Skills!N5=TRUE,(Skills!L5/10)*(E615/1000),Skills!L5/10)+Skills!O5</f>
        <v/>
      </c>
      <c r="G615">
        <f>Skills!G5*IF(Skills!H5&gt;0,Skills!I5/Skills!H5,1)</f>
        <v/>
      </c>
      <c r="H615">
        <f>1-(1-Skills!J5/100)^Skills!K5</f>
        <v/>
      </c>
      <c r="I615" t="inlineStr">
        <is>
          <t>1</t>
        </is>
      </c>
      <c r="J615">
        <f>((Inputs!$B$6*(1+Inputs!$B$7/100))+(((Inputs!$B$12*(1+Inputs!$B$13/100))-(Inputs!$B$12*(1+Inputs!$B$13/100)))+0.25*(Inputs!$B$14-Inputs!$B$14))*(1+Inputs!$B$7/100))*(F615/100)</f>
        <v/>
      </c>
      <c r="K615">
        <f>J615*(1+((Inputs!$B$12*(1+Inputs!$B$13/100))*0.01+Inputs!$B$14*0.0025)/100)*(1+Inputs!$B$15/100)*(1+IF(Inputs!$B$39="pvp",0,(1-Summary!$B$55)*(Inputs!$B$20+0+Skills!P5+B644)+Summary!$B$55*(Inputs!$B$21+Skills!Q5+B644))/100)*(1+Inputs!$B$16/100)*(5000/(6000+Inputs!$B$43*(1-Inputs!$B$19/100)))*(1+(Inputs!$B$24+((C640=TRUE)*(F640-Calc!F30)))/100)*(1+2.6666666666666665*IF(C628=TRUE,F628,0)/100)*(1+(IF(Skills!A5="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615)</f>
        <v/>
      </c>
      <c r="L615">
        <f>K615*(MIN(Inputs!$B$22+((C634=TRUE)*(F634-Calc!F24)),Inputs!$B$23+((C639=TRUE)*(F639-Calc!F29)))/100+(Inputs!$B$23+((C639=TRUE)*(F639-Calc!F29)))/100)/2</f>
        <v/>
      </c>
      <c r="M615">
        <f>L615*(1+(Inputs!$B$10+((C636=TRUE)*(F636-Calc!F26))+B650)/100)</f>
        <v/>
      </c>
      <c r="N615">
        <f>L615*(1-MIN((Inputs!$B$9+((C635=TRUE)*(F635-Calc!F25))+B643),100)/100)+M615*(MIN((Inputs!$B$9+((C635=TRUE)*(F635-Calc!F25))+B643),100)/100)</f>
        <v/>
      </c>
      <c r="O615">
        <f>IF(C615,H615*N615*IF(AND(Inputs!$B$39&lt;&gt;"pvp",Inputs!$B$44&gt;0),((Skills!G5*((R615-1)*IF(Skills!H5&gt;0,Skills!I5/Skills!H5,1)+IF(Skills!H5&gt;0,MIN(Skills!I5,MAX(0,MAX(0,Inputs!$B$44-B654)-((R615-1)*IF(Inputs!$B$39="pvp",15,MAX(0.1,Skills!D5-IF(Skills!E5=TRUE,Inputs!$B$32,0))))))/Skills!H5,1)))/Inputs!$B$44),G615*Q615)*IF(Inputs!$B$39="pvp",1,(1-Summary!$B$55)*(1)+Summary!$B$55*(MIN(Skills!W5,Inputs!$B$37))),0)</f>
        <v/>
      </c>
      <c r="P615">
        <f>IF(B655=0,0,O615/B655)</f>
        <v/>
      </c>
      <c r="Q615">
        <f>IFERROR(1/IF(Inputs!$B$39="pvp",15,MAX(0.1,Skills!D5-IF(Skills!E5=TRUE,Inputs!$B$32,0))),0)</f>
        <v/>
      </c>
      <c r="R615">
        <f>IF(AND(Inputs!$B$39&lt;&gt;"pvp",Inputs!$B$44&gt;0),IF(MAX(0,Inputs!$B$44-B654)&lt;=0,0,(INT(MAX(0,Inputs!$B$44-B654)/IF(Inputs!$B$39="pvp",15,MAX(0.1,Skills!D5-IF(Skills!E5=TRUE,Inputs!$B$32,0))))+1)),0)</f>
        <v/>
      </c>
      <c r="S615">
        <f>IFERROR(O615/N615,0)</f>
        <v/>
      </c>
    </row>
    <row r="616">
      <c r="A616">
        <f>Skills!A6</f>
        <v/>
      </c>
      <c r="B616">
        <f>Skills!B6</f>
        <v/>
      </c>
      <c r="C616">
        <f>Inputs!$B$3&gt;=69</f>
        <v/>
      </c>
      <c r="D616">
        <f>IF(Skills!C6=1,60+Inputs!$B$25+Inputs!$B$29,IF(Skills!C6=2,90+Inputs!$B$26+Inputs!$B$29,IF(Skills!C6=3,120+Inputs!$B$27+Inputs!$B$29,MAX(0,(Inputs!$B$3-100)*3)+Inputs!$B$28+Inputs!$B$29)))</f>
        <v/>
      </c>
      <c r="E616">
        <f>INDEX(FactorTable!$B$2:$Y$301, MATCH(ROUND(MIN(300,MAX(1,D616)),0), FactorTable!$A$2:$A$301,0), Skills!M6+1)</f>
        <v/>
      </c>
      <c r="F616">
        <f>IF(Skills!N6=TRUE,(Skills!L6/10)*(E616/1000),Skills!L6/10)+Skills!O6</f>
        <v/>
      </c>
      <c r="G616">
        <f>Skills!G6*IF(Skills!H6&gt;0,Skills!I6/Skills!H6,1)</f>
        <v/>
      </c>
      <c r="H616">
        <f>1-(1-Skills!J6/100)^Skills!K6</f>
        <v/>
      </c>
      <c r="I616" t="inlineStr">
        <is>
          <t>1</t>
        </is>
      </c>
      <c r="J616">
        <f>((Inputs!$B$6*(1+Inputs!$B$7/100))+(((Inputs!$B$12*(1+Inputs!$B$13/100))-(Inputs!$B$12*(1+Inputs!$B$13/100)))+0.25*(Inputs!$B$14-Inputs!$B$14))*(1+Inputs!$B$7/100))*(F616/100)</f>
        <v/>
      </c>
      <c r="K616">
        <f>J616*(1+((Inputs!$B$12*(1+Inputs!$B$13/100))*0.01+Inputs!$B$14*0.0025)/100)*(1+Inputs!$B$15/100)*(1+IF(Inputs!$B$39="pvp",0,(1-Summary!$B$55)*(Inputs!$B$20+0+Skills!P6+B644)+Summary!$B$55*(Inputs!$B$21+Skills!Q6+B644))/100)*(1+Inputs!$B$16/100)*(5000/(6000+Inputs!$B$43*(1-Inputs!$B$19/100)))*(1+(Inputs!$B$24+((C640=TRUE)*(F640-Calc!F30)))/100)*(1+1.0*IF(C628=TRUE,F628,0)/100)*(1+(IF(Skills!A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616)</f>
        <v/>
      </c>
      <c r="L616">
        <f>K616*(MIN(Inputs!$B$22+((C634=TRUE)*(F634-Calc!F24)),Inputs!$B$23+((C639=TRUE)*(F639-Calc!F29)))/100+(Inputs!$B$23+((C639=TRUE)*(F639-Calc!F29)))/100)/2</f>
        <v/>
      </c>
      <c r="M616">
        <f>L616*(1+(Inputs!$B$10+((C636=TRUE)*(F636-Calc!F26))+B650)/100)</f>
        <v/>
      </c>
      <c r="N616">
        <f>L616*(1-MIN((Inputs!$B$9+((C635=TRUE)*(F635-Calc!F25))+B643),100)/100)+M616*(MIN((Inputs!$B$9+((C635=TRUE)*(F635-Calc!F25))+B643),100)/100)</f>
        <v/>
      </c>
      <c r="O616">
        <f>IF(C616,H616*N616*IF(AND(Inputs!$B$39&lt;&gt;"pvp",Inputs!$B$44&gt;0),((Skills!G6*((R616-1)*IF(Skills!H6&gt;0,Skills!I6/Skills!H6,1)+IF(Skills!H6&gt;0,MIN(Skills!I6,MAX(0,MAX(0,Inputs!$B$44-B654)-((R616-1)*IF(Inputs!$B$39="pvp",15,MAX(0.1,Skills!D6-IF(Skills!E6=TRUE,Inputs!$B$32,0))))))/Skills!H6,1)))/Inputs!$B$44),G616*Q616)*IF(Inputs!$B$39="pvp",1,(1-Summary!$B$55)*(1)+Summary!$B$55*(MIN(Skills!W6,Inputs!$B$37))),0)</f>
        <v/>
      </c>
      <c r="P616">
        <f>IF(B655=0,0,O616/B655)</f>
        <v/>
      </c>
      <c r="Q616">
        <f>IFERROR(1/IF(Inputs!$B$39="pvp",15,MAX(0.1,Skills!D6-IF(Skills!E6=TRUE,Inputs!$B$32,0))),0)</f>
        <v/>
      </c>
      <c r="R616">
        <f>IF(AND(Inputs!$B$39&lt;&gt;"pvp",Inputs!$B$44&gt;0),IF(MAX(0,Inputs!$B$44-B654)&lt;=0,0,(INT(MAX(0,Inputs!$B$44-B654)/IF(Inputs!$B$39="pvp",15,MAX(0.1,Skills!D6-IF(Skills!E6=TRUE,Inputs!$B$32,0))))+1)),0)</f>
        <v/>
      </c>
      <c r="S616">
        <f>IFERROR(O616/N616,0)</f>
        <v/>
      </c>
    </row>
    <row r="617">
      <c r="A617">
        <f>Skills!A7</f>
        <v/>
      </c>
      <c r="B617">
        <f>Skills!B7</f>
        <v/>
      </c>
      <c r="C617">
        <f>Inputs!$B$3&gt;=60</f>
        <v/>
      </c>
      <c r="D617">
        <f>IF(Skills!C7=1,60+Inputs!$B$25+Inputs!$B$29,IF(Skills!C7=2,90+Inputs!$B$26+Inputs!$B$29,IF(Skills!C7=3,120+Inputs!$B$27+Inputs!$B$29,MAX(0,(Inputs!$B$3-100)*3)+Inputs!$B$28+Inputs!$B$29)))</f>
        <v/>
      </c>
      <c r="E617">
        <f>INDEX(FactorTable!$B$2:$Y$301, MATCH(ROUND(MIN(300,MAX(1,D617)),0), FactorTable!$A$2:$A$301,0), Skills!M7+1)</f>
        <v/>
      </c>
      <c r="F617">
        <f>IF(Skills!N7=TRUE,(Skills!L7/10)*(E617/1000),Skills!L7/10)+Skills!O7</f>
        <v/>
      </c>
      <c r="G617">
        <f>Skills!G7*IF(Skills!H7&gt;0,Skills!I7/Skills!H7,1)</f>
        <v/>
      </c>
      <c r="H617">
        <f>1-(1-Skills!J7/100)^Skills!K7</f>
        <v/>
      </c>
      <c r="I617" t="inlineStr">
        <is>
          <t>1</t>
        </is>
      </c>
      <c r="J617" t="inlineStr"/>
      <c r="K617" t="inlineStr"/>
      <c r="L617" t="inlineStr"/>
      <c r="M617" t="inlineStr"/>
      <c r="N617" t="inlineStr"/>
      <c r="O617" t="n">
        <v>0</v>
      </c>
      <c r="P617">
        <f>IF(B655=0,0,O617/B655)</f>
        <v/>
      </c>
      <c r="Q617" t="n">
        <v>0</v>
      </c>
      <c r="R617" t="n">
        <v>0</v>
      </c>
      <c r="S617">
        <f>IFERROR(O617/N617,0)</f>
        <v/>
      </c>
    </row>
    <row r="618">
      <c r="A618">
        <f>Skills!A8</f>
        <v/>
      </c>
      <c r="B618">
        <f>Skills!B8</f>
        <v/>
      </c>
      <c r="C618">
        <f>Inputs!$B$3&gt;=72</f>
        <v/>
      </c>
      <c r="D618">
        <f>IF(Skills!C8=1,60+Inputs!$B$25+Inputs!$B$29,IF(Skills!C8=2,90+Inputs!$B$26+Inputs!$B$29,IF(Skills!C8=3,120+Inputs!$B$27+Inputs!$B$29,MAX(0,(Inputs!$B$3-100)*3)+Inputs!$B$28+Inputs!$B$29)))</f>
        <v/>
      </c>
      <c r="E618">
        <f>INDEX(FactorTable!$B$2:$Y$301, MATCH(ROUND(MIN(300,MAX(1,D618)),0), FactorTable!$A$2:$A$301,0), Skills!M8+1)</f>
        <v/>
      </c>
      <c r="F618">
        <f>IF(Skills!N8=TRUE,(Skills!L8/10)*(E618/1000),Skills!L8/10)+Skills!O8</f>
        <v/>
      </c>
      <c r="G618">
        <f>Skills!G8*IF(Skills!H8&gt;0,Skills!I8/Skills!H8,1)</f>
        <v/>
      </c>
      <c r="H618">
        <f>1-(1-Skills!J8/100)^Skills!K8</f>
        <v/>
      </c>
      <c r="I618" t="inlineStr">
        <is>
          <t>1</t>
        </is>
      </c>
      <c r="J618">
        <f>((Inputs!$B$6*(1+Inputs!$B$7/100))+(((Inputs!$B$12*(1+Inputs!$B$13/100))-(Inputs!$B$12*(1+Inputs!$B$13/100)))+0.25*(Inputs!$B$14-Inputs!$B$14))*(1+Inputs!$B$7/100))*(F618/100)</f>
        <v/>
      </c>
      <c r="K618">
        <f>J618*(1+((Inputs!$B$12*(1+Inputs!$B$13/100))*0.01+Inputs!$B$14*0.0025)/100)*(1+Inputs!$B$15/100)*(1+IF(Inputs!$B$39="pvp",0,(1-Summary!$B$55)*(Inputs!$B$20+0+Skills!P8+B644)+Summary!$B$55*(Inputs!$B$21+Skills!Q8+B644))/100)*(1+Inputs!$B$16/100)*(5000/(6000+Inputs!$B$43*(1-Inputs!$B$19/100)))*(1+(Inputs!$B$24+((C640=TRUE)*(F640-Calc!F30)))/100)*(1+3.3333333333333335*IF(C628=TRUE,F628,0)/100)*(1+(IF(Skills!A8="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618)</f>
        <v/>
      </c>
      <c r="L618">
        <f>K618*(MIN(Inputs!$B$22+((C634=TRUE)*(F634-Calc!F24)),Inputs!$B$23+((C639=TRUE)*(F639-Calc!F29)))/100+(Inputs!$B$23+((C639=TRUE)*(F639-Calc!F29)))/100)/2</f>
        <v/>
      </c>
      <c r="M618">
        <f>L618*(1+(Inputs!$B$10+((C636=TRUE)*(F636-Calc!F26))+B650)/100)</f>
        <v/>
      </c>
      <c r="N618">
        <f>L618*(1-MIN((Inputs!$B$9+((C635=TRUE)*(F635-Calc!F25))+B643),100)/100)+M618*(MIN((Inputs!$B$9+((C635=TRUE)*(F635-Calc!F25))+B643),100)/100)</f>
        <v/>
      </c>
      <c r="O618">
        <f>IF(C618,H618*N618*IF(AND(Inputs!$B$39&lt;&gt;"pvp",Inputs!$B$44&gt;0),((Skills!G8*((R618-1)*IF(Skills!H8&gt;0,Skills!I8/Skills!H8,1)+IF(Skills!H8&gt;0,MIN(Skills!I8,MAX(0,MAX(0,Inputs!$B$44-B654)-((R618-1)*IF(Inputs!$B$39="pvp",15,MAX(0.1,Skills!D8-IF(Skills!E8=TRUE,Inputs!$B$32,0))))))/Skills!H8,1)))/Inputs!$B$44),G618*Q618)*IF(Inputs!$B$39="pvp",1,(1-Summary!$B$55)*(1)+Summary!$B$55*(MIN(Skills!W8,Inputs!$B$37))),0)</f>
        <v/>
      </c>
      <c r="P618">
        <f>IF(B655=0,0,O618/B655)</f>
        <v/>
      </c>
      <c r="Q618">
        <f>IFERROR(1/IF(Inputs!$B$39="pvp",15,MAX(0.1,Skills!D8-IF(Skills!E8=TRUE,Inputs!$B$32,0))),0)</f>
        <v/>
      </c>
      <c r="R618">
        <f>IF(AND(Inputs!$B$39&lt;&gt;"pvp",Inputs!$B$44&gt;0),IF(MAX(0,Inputs!$B$44-B654)&lt;=0,0,(INT(MAX(0,Inputs!$B$44-B654)/IF(Inputs!$B$39="pvp",15,MAX(0.1,Skills!D8-IF(Skills!E8=TRUE,Inputs!$B$32,0))))+1)),0)</f>
        <v/>
      </c>
      <c r="S618">
        <f>IFERROR(O618/N618,0)</f>
        <v/>
      </c>
    </row>
    <row r="619">
      <c r="A619">
        <f>Skills!A9</f>
        <v/>
      </c>
      <c r="B619">
        <f>Skills!B9</f>
        <v/>
      </c>
      <c r="C619">
        <f>Inputs!$B$3&gt;=117</f>
        <v/>
      </c>
      <c r="D619">
        <f>IF(Skills!C9=1,60+Inputs!$B$25+Inputs!$B$29,IF(Skills!C9=2,90+Inputs!$B$26+Inputs!$B$29,IF(Skills!C9=3,120+Inputs!$B$27+Inputs!$B$29,MAX(0,(Inputs!$B$3-100)*3)+Inputs!$B$28+Inputs!$B$29)))</f>
        <v/>
      </c>
      <c r="E619">
        <f>INDEX(FactorTable!$B$2:$Y$301, MATCH(ROUND(MIN(300,MAX(1,D619)),0), FactorTable!$A$2:$A$301,0), Skills!M9+1)</f>
        <v/>
      </c>
      <c r="F619">
        <f>IF(Skills!N9=TRUE,(Skills!L9/10)*(E619/1000),Skills!L9/10)+Skills!O9</f>
        <v/>
      </c>
      <c r="G619">
        <f>Skills!G9*IF(Skills!H9&gt;0,Skills!I9/Skills!H9,1)</f>
        <v/>
      </c>
      <c r="H619">
        <f>1-(1-Skills!J9/100)^Skills!K9</f>
        <v/>
      </c>
      <c r="I619" t="inlineStr">
        <is>
          <t>1</t>
        </is>
      </c>
      <c r="J619">
        <f>((Inputs!$B$6*(1+Inputs!$B$7/100))+(((Inputs!$B$12*(1+Inputs!$B$13/100))-(Inputs!$B$12*(1+Inputs!$B$13/100)))+0.25*(Inputs!$B$14-Inputs!$B$14))*(1+Inputs!$B$7/100))*(F619/100)</f>
        <v/>
      </c>
      <c r="K619">
        <f>J619*(1+((Inputs!$B$12*(1+Inputs!$B$13/100))*0.01+Inputs!$B$14*0.0025)/100)*(1+Inputs!$B$15/100)*(1+IF(Inputs!$B$39="pvp",0,(1-Summary!$B$55)*(Inputs!$B$20+0+Skills!P9+B644)+Summary!$B$55*(Inputs!$B$21+Skills!Q9+B644))/100)*(1+Inputs!$B$16/100)*(5000/(6000+Inputs!$B$43*(1-Inputs!$B$19/100)))*(1+(Inputs!$B$24+((C640=TRUE)*(F640-Calc!F30)))/100)*(1+(IF(Skills!A9="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619)</f>
        <v/>
      </c>
      <c r="L619">
        <f>K619*(MIN(Inputs!$B$22+((C634=TRUE)*(F634-Calc!F24)),Inputs!$B$23+((C639=TRUE)*(F639-Calc!F29)))/100+(Inputs!$B$23+((C639=TRUE)*(F639-Calc!F29)))/100)/2</f>
        <v/>
      </c>
      <c r="M619">
        <f>L619*(1+(Inputs!$B$10+((C636=TRUE)*(F636-Calc!F26))+B650)/100)</f>
        <v/>
      </c>
      <c r="N619">
        <f>L619*(1-MIN((Inputs!$B$9+((C635=TRUE)*(F635-Calc!F25))+B643),100)/100)+M619*(MIN((Inputs!$B$9+((C635=TRUE)*(F635-Calc!F25))+B643),100)/100)</f>
        <v/>
      </c>
      <c r="O619">
        <f>IF(C619,0.2*SUMPRODUCT((Skills!Z2:Z30=TRUE)*(C612:C640=TRUE)*S612:S640)*N619,0)</f>
        <v/>
      </c>
      <c r="P619">
        <f>IF(B655=0,0,O619/B655)</f>
        <v/>
      </c>
      <c r="Q619" t="n">
        <v>0</v>
      </c>
      <c r="R619" t="n">
        <v>0</v>
      </c>
      <c r="S619" t="n">
        <v>0</v>
      </c>
    </row>
    <row r="620">
      <c r="A620">
        <f>Skills!A10</f>
        <v/>
      </c>
      <c r="B620">
        <f>Skills!B10</f>
        <v/>
      </c>
      <c r="C620">
        <f>Inputs!$B$3&gt;=74</f>
        <v/>
      </c>
      <c r="D620">
        <f>IF(Skills!C10=1,60+Inputs!$B$25+Inputs!$B$29,IF(Skills!C10=2,90+Inputs!$B$26+Inputs!$B$29,IF(Skills!C10=3,120+Inputs!$B$27+Inputs!$B$29,MAX(0,(Inputs!$B$3-100)*3)+Inputs!$B$28+Inputs!$B$29)))</f>
        <v/>
      </c>
      <c r="E620">
        <f>INDEX(FactorTable!$B$2:$Y$301, MATCH(ROUND(MIN(300,MAX(1,D620)),0), FactorTable!$A$2:$A$301,0), Skills!M10+1)</f>
        <v/>
      </c>
      <c r="F620">
        <f>IF(Skills!N10=TRUE,(Skills!L10/10)*(E620/1000),Skills!L10/10)+Skills!O10</f>
        <v/>
      </c>
      <c r="G620">
        <f>Skills!G10*IF(Skills!H10&gt;0,Skills!I10/Skills!H10,1)</f>
        <v/>
      </c>
      <c r="H620">
        <f>1-(1-Skills!J10/100)^Skills!K10</f>
        <v/>
      </c>
      <c r="I620" t="inlineStr">
        <is>
          <t>1</t>
        </is>
      </c>
      <c r="J620" t="inlineStr"/>
      <c r="K620" t="inlineStr"/>
      <c r="L620" t="inlineStr"/>
      <c r="M620" t="inlineStr"/>
      <c r="N620" t="inlineStr"/>
      <c r="O620" t="n">
        <v>0</v>
      </c>
      <c r="P620">
        <f>IF(B655=0,0,O620/B655)</f>
        <v/>
      </c>
      <c r="Q620">
        <f>IFERROR(1/IF(Inputs!$B$39="pvp",15,MAX(0.1,Skills!D10-IF(Skills!E10=TRUE,Inputs!$B$32,0))),0)</f>
        <v/>
      </c>
      <c r="R620">
        <f>IF(AND(Inputs!$B$39&lt;&gt;"pvp",Inputs!$B$44&gt;0),IF(Inputs!$B$44&lt;=0,0,(INT(Inputs!$B$44/IF(Inputs!$B$39="pvp",15,MAX(0.1,Skills!D10-IF(Skills!E10=TRUE,Inputs!$B$32,0))))+1)),0)</f>
        <v/>
      </c>
      <c r="S620">
        <f>IFERROR(O620/N620,0)</f>
        <v/>
      </c>
    </row>
    <row r="621">
      <c r="A621">
        <f>Skills!A11</f>
        <v/>
      </c>
      <c r="B621">
        <f>Skills!B11</f>
        <v/>
      </c>
      <c r="C621">
        <f>Inputs!$B$3&gt;=103</f>
        <v/>
      </c>
      <c r="D621">
        <f>IF(Skills!C11=1,60+Inputs!$B$25+Inputs!$B$29,IF(Skills!C11=2,90+Inputs!$B$26+Inputs!$B$29,IF(Skills!C11=3,120+Inputs!$B$27+Inputs!$B$29,MAX(0,(Inputs!$B$3-100)*3)+Inputs!$B$28+Inputs!$B$29)))</f>
        <v/>
      </c>
      <c r="E621">
        <f>INDEX(FactorTable!$B$2:$Y$301, MATCH(ROUND(MIN(300,MAX(1,D621)),0), FactorTable!$A$2:$A$301,0), Skills!M11+1)</f>
        <v/>
      </c>
      <c r="F621">
        <f>(Skills!L11/10)*(E621/1000)+IF(Inputs!$B$3&gt;=134,50,0)+0.5*(30000/10)*(INDEX(FactorTable!$B$2:$Y$301, MATCH(ROUND(MIN(300,MAX(1,D621)),0), FactorTable!$A$2:$A$301,0), 13)/1000)*B653</f>
        <v/>
      </c>
      <c r="G621">
        <f>Skills!G11*IF(Skills!H11&gt;0,Skills!I11/Skills!H11,1)</f>
        <v/>
      </c>
      <c r="H621">
        <f>1-(1-Skills!J11/100)^Skills!K11</f>
        <v/>
      </c>
      <c r="I621" t="inlineStr">
        <is>
          <t>1</t>
        </is>
      </c>
      <c r="J621">
        <f>((Inputs!$B$6*(1+Inputs!$B$7/100))+(((Inputs!$B$12*(1+Inputs!$B$13/100))-(Inputs!$B$12*(1+Inputs!$B$13/100)))+0.25*(Inputs!$B$14-Inputs!$B$14))*(1+Inputs!$B$7/100))*(F621/100)</f>
        <v/>
      </c>
      <c r="K621">
        <f>J621*(1+((Inputs!$B$12*(1+Inputs!$B$13/100))*0.01+Inputs!$B$14*0.0025)/100)*(1+Inputs!$B$15/100)*(1+IF(Inputs!$B$39="pvp",0,(1-Summary!$B$55)*(Inputs!$B$20+0+Skills!P11+B644)+Summary!$B$55*(Inputs!$B$21+Skills!Q11+B644))/100)*(1+Inputs!$B$16/100)*(5000/(6000+Inputs!$B$43*(1-Inputs!$B$19/100)))*(1+(Inputs!$B$24+((C640=TRUE)*(F640-Calc!F30)))/100)*(1+(IF(Skills!A11="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621)</f>
        <v/>
      </c>
      <c r="L621">
        <f>K621*(MIN(Inputs!$B$22+((C634=TRUE)*(F634-Calc!F24)),Inputs!$B$23+((C639=TRUE)*(F639-Calc!F29)))/100+(Inputs!$B$23+((C639=TRUE)*(F639-Calc!F29)))/100)/2</f>
        <v/>
      </c>
      <c r="M621">
        <f>L621*(1+(Inputs!$B$10+((C636=TRUE)*(F636-Calc!F26))+B650)/100)</f>
        <v/>
      </c>
      <c r="N621">
        <f>L621*(1-MIN((Inputs!$B$9+((C635=TRUE)*(F635-Calc!F25))+B643),100)/100)+M621*(MIN((Inputs!$B$9+((C635=TRUE)*(F635-Calc!F25))+B643),100)/100)</f>
        <v/>
      </c>
      <c r="O621">
        <f>IF(C621,H621*N621*IF(AND(Inputs!$B$39&lt;&gt;"pvp",Inputs!$B$44&gt;0),((Skills!G11*((R621-1)*IF(Skills!H11&gt;0,Skills!I11/Skills!H11,1)+IF(Skills!H11&gt;0,MIN(Skills!I11,MAX(0,MAX(0,Inputs!$B$44-B654)-((R621-1)*IF(Inputs!$B$39="pvp",15,MAX(0.1,Skills!D11-IF(Skills!E11=TRUE,Inputs!$B$32,0))))))/Skills!H11,1)))/Inputs!$B$44),G621*Q621)*IF(Inputs!$B$39="pvp",1,(1-Summary!$B$55)*(1)+Summary!$B$55*(MIN(Skills!W11,Inputs!$B$37))),0)</f>
        <v/>
      </c>
      <c r="P621">
        <f>IF(B655=0,0,O621/B655)</f>
        <v/>
      </c>
      <c r="Q621">
        <f>IFERROR(1/IF(Inputs!$B$39="pvp",15,MAX(0.1,Skills!D11-IF(Skills!E11=TRUE,Inputs!$B$32,0))),0)</f>
        <v/>
      </c>
      <c r="R621">
        <f>IF(AND(Inputs!$B$39&lt;&gt;"pvp",Inputs!$B$44&gt;0),IF(MAX(0,Inputs!$B$44-B654)&lt;=0,0,(INT(MAX(0,Inputs!$B$44-B654)/IF(Inputs!$B$39="pvp",15,MAX(0.1,Skills!D11-IF(Skills!E11=TRUE,Inputs!$B$32,0))))+1)),0)</f>
        <v/>
      </c>
      <c r="S621">
        <f>IFERROR(O621/N621,0)</f>
        <v/>
      </c>
    </row>
    <row r="622">
      <c r="A622">
        <f>Skills!A12</f>
        <v/>
      </c>
      <c r="B622">
        <f>Skills!B12</f>
        <v/>
      </c>
      <c r="C622">
        <f>Inputs!$B$3&gt;=105</f>
        <v/>
      </c>
      <c r="D622">
        <f>IF(Skills!C12=1,60+Inputs!$B$25+Inputs!$B$29,IF(Skills!C12=2,90+Inputs!$B$26+Inputs!$B$29,IF(Skills!C12=3,120+Inputs!$B$27+Inputs!$B$29,MAX(0,(Inputs!$B$3-100)*3)+Inputs!$B$28+Inputs!$B$29)))</f>
        <v/>
      </c>
      <c r="E622">
        <f>INDEX(FactorTable!$B$2:$Y$301, MATCH(ROUND(MIN(300,MAX(1,D622)),0), FactorTable!$A$2:$A$301,0), Skills!M12+1)</f>
        <v/>
      </c>
      <c r="F622">
        <f>IF(Skills!N12=TRUE,(Skills!L12/10)*(E622/1000),Skills!L12/10)+Skills!O12</f>
        <v/>
      </c>
      <c r="G622">
        <f>Skills!G12*IF(Skills!H12&gt;0,Skills!I12/Skills!H12,1)</f>
        <v/>
      </c>
      <c r="H622">
        <f>1-(1-Skills!J12/100)^Skills!K12</f>
        <v/>
      </c>
      <c r="I622" t="inlineStr">
        <is>
          <t>1</t>
        </is>
      </c>
      <c r="J622">
        <f>((Inputs!$B$6*(1+Inputs!$B$7/100))+(((Inputs!$B$12*(1+Inputs!$B$13/100))-(Inputs!$B$12*(1+Inputs!$B$13/100)))+0.25*(Inputs!$B$14-Inputs!$B$14))*(1+Inputs!$B$7/100))*(F622/100)</f>
        <v/>
      </c>
      <c r="K622">
        <f>J622*(1+((Inputs!$B$12*(1+Inputs!$B$13/100))*0.01+Inputs!$B$14*0.0025)/100)*(1+Inputs!$B$15/100)*(1+IF(Inputs!$B$39="pvp",0,(1-Summary!$B$55)*(Inputs!$B$20+0+Skills!P12+B644)+Summary!$B$55*(Inputs!$B$21+Skills!Q12+B644))/100)*(1+Inputs!$B$16/100)*(5000/(6000+Inputs!$B$43*(1-Inputs!$B$19/100)))*(1+(Inputs!$B$24+((C640=TRUE)*(F640-Calc!F30)))/100)*(1+(IF(Skills!A12="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622)</f>
        <v/>
      </c>
      <c r="L622">
        <f>K622*(MIN(Inputs!$B$22+((C634=TRUE)*(F634-Calc!F24)),Inputs!$B$23+((C639=TRUE)*(F639-Calc!F29)))/100+(Inputs!$B$23+((C639=TRUE)*(F639-Calc!F29)))/100)/2</f>
        <v/>
      </c>
      <c r="M622">
        <f>L622*(1+(Inputs!$B$10+((C636=TRUE)*(F636-Calc!F26))+B650)/100)</f>
        <v/>
      </c>
      <c r="N622">
        <f>L622*(1-MIN((Inputs!$B$9+((C635=TRUE)*(F635-Calc!F25))+B643),100)/100)+M622*(MIN((Inputs!$B$9+((C635=TRUE)*(F635-Calc!F25))+B643),100)/100)</f>
        <v/>
      </c>
      <c r="O622">
        <f>IF(C622,H622*N622*IF(AND(Inputs!$B$39&lt;&gt;"pvp",Inputs!$B$44&gt;0),((Skills!G12*((R622-1)*IF(Skills!H12&gt;0,Skills!I12/Skills!H12,1)+IF(Skills!H12&gt;0,MIN(Skills!I12,MAX(0,MAX(0,Inputs!$B$44-B654)-((R622-1)*IF(Inputs!$B$39="pvp",15,MAX(0.1,Skills!D12-IF(Skills!E12=TRUE,Inputs!$B$32,0))))))/Skills!H12,1)))/Inputs!$B$44),G622*Q622)*IF(Inputs!$B$39="pvp",1,(1-Summary!$B$55)*(1)+Summary!$B$55*(MIN(Skills!W12,Inputs!$B$37))),0)</f>
        <v/>
      </c>
      <c r="P622">
        <f>IF(B655=0,0,O622/B655)</f>
        <v/>
      </c>
      <c r="Q622">
        <f>IFERROR(1/IF(Inputs!$B$39="pvp",15,MAX(0.1,Skills!D12-IF(Skills!E12=TRUE,Inputs!$B$32,0))),0)</f>
        <v/>
      </c>
      <c r="R622">
        <f>IF(AND(Inputs!$B$39&lt;&gt;"pvp",Inputs!$B$44&gt;0),IF(MAX(0,Inputs!$B$44-B654)&lt;=0,0,(INT(MAX(0,Inputs!$B$44-B654)/IF(Inputs!$B$39="pvp",15,MAX(0.1,Skills!D12-IF(Skills!E12=TRUE,Inputs!$B$32,0))))+1)),0)</f>
        <v/>
      </c>
      <c r="S622">
        <f>IFERROR(O622/N622,0)</f>
        <v/>
      </c>
    </row>
    <row r="623">
      <c r="A623">
        <f>Skills!A13</f>
        <v/>
      </c>
      <c r="B623">
        <f>Skills!B13</f>
        <v/>
      </c>
      <c r="C623">
        <f>Inputs!$B$3&gt;=105</f>
        <v/>
      </c>
      <c r="D623">
        <f>IF(Skills!C13=1,60+Inputs!$B$25+Inputs!$B$29,IF(Skills!C13=2,90+Inputs!$B$26+Inputs!$B$29,IF(Skills!C13=3,120+Inputs!$B$27+Inputs!$B$29,MAX(0,(Inputs!$B$3-100)*3)+Inputs!$B$28+Inputs!$B$29)))</f>
        <v/>
      </c>
      <c r="E623">
        <f>INDEX(FactorTable!$B$2:$Y$301, MATCH(ROUND(MIN(300,MAX(1,D623)),0), FactorTable!$A$2:$A$301,0), Skills!M13+1)</f>
        <v/>
      </c>
      <c r="F623">
        <f>IF(Skills!N13=TRUE,(Skills!L13/10)*(E623/1000),Skills!L13/10)+Skills!O13</f>
        <v/>
      </c>
      <c r="G623">
        <f>Skills!G13*IF(Skills!H13&gt;0,Skills!I13/Skills!H13,1)</f>
        <v/>
      </c>
      <c r="H623">
        <f>1-(1-Skills!J13/100)^Skills!K13</f>
        <v/>
      </c>
      <c r="I623" t="inlineStr">
        <is>
          <t>1</t>
        </is>
      </c>
      <c r="J623">
        <f>((Inputs!$B$6*(1+Inputs!$B$7/100))+(((Inputs!$B$12*(1+Inputs!$B$13/100))-(Inputs!$B$12*(1+Inputs!$B$13/100)))+0.25*(Inputs!$B$14-Inputs!$B$14))*(1+Inputs!$B$7/100))*(F623/100)</f>
        <v/>
      </c>
      <c r="K623">
        <f>J623*(1+((Inputs!$B$12*(1+Inputs!$B$13/100))*0.01+Inputs!$B$14*0.0025)/100)*(1+Inputs!$B$15/100)*(1+IF(Inputs!$B$39="pvp",0,(1-Summary!$B$55)*(Inputs!$B$20+0+Skills!P13+B644)+Summary!$B$55*(Inputs!$B$21+Skills!Q13+B644))/100)*(1+Inputs!$B$16/100)*(5000/(6000+Inputs!$B$43*(1-Inputs!$B$19/100)))*(1+(Inputs!$B$24+((C640=TRUE)*(F640-Calc!F30)))/100)*(1+(IF(Skills!A13="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623)</f>
        <v/>
      </c>
      <c r="L623">
        <f>K623*(MIN(Inputs!$B$22+((C634=TRUE)*(F634-Calc!F24)),Inputs!$B$23+((C639=TRUE)*(F639-Calc!F29)))/100+(Inputs!$B$23+((C639=TRUE)*(F639-Calc!F29)))/100)/2</f>
        <v/>
      </c>
      <c r="M623">
        <f>L623*(1+(Inputs!$B$10+((C636=TRUE)*(F636-Calc!F26))+B650)/100)</f>
        <v/>
      </c>
      <c r="N623">
        <f>L623*(1-MIN((Inputs!$B$9+((C635=TRUE)*(F635-Calc!F25))+B643),100)/100)+M623*(MIN((Inputs!$B$9+((C635=TRUE)*(F635-Calc!F25))+B643),100)/100)</f>
        <v/>
      </c>
      <c r="O623">
        <f>IF(C623,H623*N623*IF(AND(Inputs!$B$39&lt;&gt;"pvp",Inputs!$B$44&gt;0),((Skills!G13*((R623-1)*IF(Skills!H13&gt;0,Skills!I13/Skills!H13,1)+IF(Skills!H13&gt;0,MIN(Skills!I13,MAX(0,MAX(0,Inputs!$B$44-B654)-((R623-1)*IF(Inputs!$B$39="pvp",15,MAX(0.1,Skills!D13-IF(Skills!E13=TRUE,Inputs!$B$32,0))))))/Skills!H13,1)))/Inputs!$B$44),G623*Q623)*IF(Inputs!$B$39="pvp",1,(1-Summary!$B$55)*(1)+Summary!$B$55*(MIN(Skills!W13,Inputs!$B$37))),0)</f>
        <v/>
      </c>
      <c r="P623">
        <f>IF(B655=0,0,O623/B655)</f>
        <v/>
      </c>
      <c r="Q623">
        <f>IFERROR(1/IF(Inputs!$B$39="pvp",15,MAX(0.1,Skills!D13-IF(Skills!E13=TRUE,Inputs!$B$32,0))),0)</f>
        <v/>
      </c>
      <c r="R623">
        <f>IF(AND(Inputs!$B$39&lt;&gt;"pvp",Inputs!$B$44&gt;0),IF(MAX(0,Inputs!$B$44-B654)&lt;=0,0,(INT(MAX(0,Inputs!$B$44-B654)/IF(Inputs!$B$39="pvp",15,MAX(0.1,Skills!D13-IF(Skills!E13=TRUE,Inputs!$B$32,0))))+1)),0)</f>
        <v/>
      </c>
      <c r="S623">
        <f>IFERROR(O623/N623,0)</f>
        <v/>
      </c>
    </row>
    <row r="624">
      <c r="A624">
        <f>Skills!A14</f>
        <v/>
      </c>
      <c r="B624">
        <f>Skills!B14</f>
        <v/>
      </c>
      <c r="C624">
        <f>Inputs!$B$3&gt;=107</f>
        <v/>
      </c>
      <c r="D624">
        <f>IF(Skills!C14=1,60+Inputs!$B$25+Inputs!$B$29,IF(Skills!C14=2,90+Inputs!$B$26+Inputs!$B$29,IF(Skills!C14=3,120+Inputs!$B$27+Inputs!$B$29,MAX(0,(Inputs!$B$3-100)*3)+Inputs!$B$28+Inputs!$B$29)))</f>
        <v/>
      </c>
      <c r="E624">
        <f>INDEX(FactorTable!$B$2:$Y$301, MATCH(ROUND(MIN(300,MAX(1,D624)),0), FactorTable!$A$2:$A$301,0), Skills!M14+1)</f>
        <v/>
      </c>
      <c r="F624">
        <f>IF(Skills!N14=TRUE,(Skills!L14/10)*(E624/1000),Skills!L14/10)+Skills!O14</f>
        <v/>
      </c>
      <c r="G624">
        <f>Skills!G14*IF(Skills!H14&gt;0,Skills!I14/Skills!H14,1)</f>
        <v/>
      </c>
      <c r="H624">
        <f>1-(1-Skills!J14/100)^Skills!K14</f>
        <v/>
      </c>
      <c r="I624" t="inlineStr">
        <is>
          <t>1</t>
        </is>
      </c>
      <c r="J624">
        <f>((Inputs!$B$6*(1+Inputs!$B$7/100))+(((Inputs!$B$12*(1+Inputs!$B$13/100))-(Inputs!$B$12*(1+Inputs!$B$13/100)))+0.25*(Inputs!$B$14-Inputs!$B$14))*(1+Inputs!$B$7/100))*(F624/100)</f>
        <v/>
      </c>
      <c r="K624">
        <f>J624*(1+((Inputs!$B$12*(1+Inputs!$B$13/100))*0.01+Inputs!$B$14*0.0025)/100)*(1+Inputs!$B$15/100)*(1+IF(Inputs!$B$39="pvp",0,(1-Summary!$B$55)*(Inputs!$B$20+0+Skills!P14+B644)+Summary!$B$55*(Inputs!$B$21+Skills!Q14+B644))/100)*(1+Inputs!$B$16/100)*(5000/(6000+Inputs!$B$43*(1-Inputs!$B$19/100)))*(1+(Inputs!$B$24+((C640=TRUE)*(F640-Calc!F30)))/100)*(1+(IF(Skills!A14="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624)</f>
        <v/>
      </c>
      <c r="L624">
        <f>K624*(MIN(Inputs!$B$22+((C634=TRUE)*(F634-Calc!F24)),Inputs!$B$23+((C639=TRUE)*(F639-Calc!F29)))/100+(Inputs!$B$23+((C639=TRUE)*(F639-Calc!F29)))/100)/2</f>
        <v/>
      </c>
      <c r="M624">
        <f>L624*(1+(Inputs!$B$10+((C636=TRUE)*(F636-Calc!F26))+B650)/100)</f>
        <v/>
      </c>
      <c r="N624">
        <f>L624*(1-MIN((Inputs!$B$9+((C635=TRUE)*(F635-Calc!F25))+B643),100)/100)+M624*(MIN((Inputs!$B$9+((C635=TRUE)*(F635-Calc!F25))+B643),100)/100)</f>
        <v/>
      </c>
      <c r="O624">
        <f>IF(C624,H624*N624*IF(AND(Inputs!$B$39&lt;&gt;"pvp",Inputs!$B$44&gt;0),((Skills!G14*((R624-1)*IF(Skills!H14&gt;0,Skills!I14/Skills!H14,1)+IF(Skills!H14&gt;0,MIN(Skills!I14,MAX(0,MAX(0,Inputs!$B$44-B654)-((R624-1)*IF(Inputs!$B$39="pvp",15,MAX(0.1,Skills!D14-IF(Skills!E14=TRUE,Inputs!$B$32,0))))))/Skills!H14,1)))/Inputs!$B$44),G624*Q624)*IF(Inputs!$B$39="pvp",1,(1-Summary!$B$55)*(1)+Summary!$B$55*(MIN(MIN(5,0.25*B647*Skills!D4)*Skills!V14,Inputs!$B$37))),0)</f>
        <v/>
      </c>
      <c r="P624">
        <f>IF(B655=0,0,O624/B655)</f>
        <v/>
      </c>
      <c r="Q624">
        <f>IFERROR(1/IF(Inputs!$B$39="pvp",15,MAX(0.1,Skills!D14-IF(Skills!E14=TRUE,Inputs!$B$32,0))),0)</f>
        <v/>
      </c>
      <c r="R624">
        <f>IF(AND(Inputs!$B$39&lt;&gt;"pvp",Inputs!$B$44&gt;0),IF(MAX(0,Inputs!$B$44-B654)&lt;=0,0,(INT(MAX(0,Inputs!$B$44-B654)/IF(Inputs!$B$39="pvp",15,MAX(0.1,Skills!D14-IF(Skills!E14=TRUE,Inputs!$B$32,0))))+1)),0)</f>
        <v/>
      </c>
      <c r="S624">
        <f>IFERROR(O624/N624,0)</f>
        <v/>
      </c>
    </row>
    <row r="625">
      <c r="A625">
        <f>Skills!A15</f>
        <v/>
      </c>
      <c r="B625">
        <f>Skills!B15</f>
        <v/>
      </c>
      <c r="C625">
        <f>Inputs!$B$3&gt;=110</f>
        <v/>
      </c>
      <c r="D625">
        <f>IF(Skills!C15=1,60+Inputs!$B$25+Inputs!$B$29,IF(Skills!C15=2,90+Inputs!$B$26+Inputs!$B$29,IF(Skills!C15=3,120+Inputs!$B$27+Inputs!$B$29,MAX(0,(Inputs!$B$3-100)*3)+Inputs!$B$28+Inputs!$B$29)))</f>
        <v/>
      </c>
      <c r="E625">
        <f>INDEX(FactorTable!$B$2:$Y$301, MATCH(ROUND(MIN(300,MAX(1,D625)),0), FactorTable!$A$2:$A$301,0), Skills!M15+1)</f>
        <v/>
      </c>
      <c r="F625">
        <f>IF(Skills!N15=TRUE,(Skills!L15/10)*(E625/1000),Skills!L15/10)+Skills!O15</f>
        <v/>
      </c>
      <c r="G625">
        <f>Skills!G15*IF(Skills!H15&gt;0,Skills!I15/Skills!H15,1)</f>
        <v/>
      </c>
      <c r="H625">
        <f>1-(1-Skills!J15/100)^Skills!K15</f>
        <v/>
      </c>
      <c r="I625" t="inlineStr">
        <is>
          <t>1</t>
        </is>
      </c>
      <c r="J625" t="inlineStr"/>
      <c r="K625" t="inlineStr"/>
      <c r="L625" t="inlineStr"/>
      <c r="M625" t="inlineStr"/>
      <c r="N625" t="inlineStr"/>
      <c r="O625" t="n">
        <v>0</v>
      </c>
      <c r="P625">
        <f>IF(B655=0,0,O625/B655)</f>
        <v/>
      </c>
      <c r="Q625">
        <f>IFERROR(1/IF(Inputs!$B$39="pvp",15,MAX(0.1,Skills!D15-IF(Skills!E15=TRUE,Inputs!$B$32,0))),0)</f>
        <v/>
      </c>
      <c r="R625">
        <f>IF(AND(Inputs!$B$39&lt;&gt;"pvp",Inputs!$B$44&gt;0),IF(Inputs!$B$44&lt;=0,0,(INT(Inputs!$B$44/IF(Inputs!$B$39="pvp",15,MAX(0.1,Skills!D15-IF(Skills!E15=TRUE,Inputs!$B$32,0))))+1)),0)</f>
        <v/>
      </c>
      <c r="S625">
        <f>IFERROR(O625/N625,0)</f>
        <v/>
      </c>
    </row>
    <row r="626">
      <c r="A626">
        <f>Skills!A16</f>
        <v/>
      </c>
      <c r="B626">
        <f>Skills!B16</f>
        <v/>
      </c>
      <c r="C626">
        <f>Inputs!$B$3&gt;=115</f>
        <v/>
      </c>
      <c r="D626">
        <f>IF(Skills!C16=1,60+Inputs!$B$25+Inputs!$B$29,IF(Skills!C16=2,90+Inputs!$B$26+Inputs!$B$29,IF(Skills!C16=3,120+Inputs!$B$27+Inputs!$B$29,MAX(0,(Inputs!$B$3-100)*3)+Inputs!$B$28+Inputs!$B$29)))</f>
        <v/>
      </c>
      <c r="E626">
        <f>INDEX(FactorTable!$B$2:$Y$301, MATCH(ROUND(MIN(300,MAX(1,D626)),0), FactorTable!$A$2:$A$301,0), Skills!M16+1)</f>
        <v/>
      </c>
      <c r="F626">
        <f>IF(Skills!N16=TRUE,(Skills!L16/10)*(E626/1000),Skills!L16/10)+Skills!O16</f>
        <v/>
      </c>
      <c r="G626">
        <f>Skills!G16*IF(Skills!H16&gt;0,Skills!I16/Skills!H16,1)</f>
        <v/>
      </c>
      <c r="H626">
        <f>1-(1-Skills!J16/100)^Skills!K16</f>
        <v/>
      </c>
      <c r="I626" t="inlineStr">
        <is>
          <t>1</t>
        </is>
      </c>
      <c r="J626">
        <f>((Inputs!$B$6*(1+Inputs!$B$7/100))+(((Inputs!$B$12*(1+Inputs!$B$13/100))-(Inputs!$B$12*(1+Inputs!$B$13/100)))+0.25*(Inputs!$B$14-Inputs!$B$14))*(1+Inputs!$B$7/100))*(F626/100)</f>
        <v/>
      </c>
      <c r="K626">
        <f>J626*(1+((Inputs!$B$12*(1+Inputs!$B$13/100))*0.01+Inputs!$B$14*0.0025)/100)*(1+Inputs!$B$15/100)*(1+IF(Inputs!$B$39="pvp",0,(1-Summary!$B$55)*(Inputs!$B$20+0+Skills!P16+B644)+Summary!$B$55*(Inputs!$B$21+Skills!Q16+B644))/100)*(1+Inputs!$B$16/100)*(5000/(6000+Inputs!$B$43*(1-Inputs!$B$19/100)))*(1+(Inputs!$B$24+((C640=TRUE)*(F640-Calc!F30)))/100)*(1+(IF(Skills!A16="CRUEL_STAB",Inputs!$B$17+((C637=TRUE)*(F637-Calc!F27)),Inputs!$B$18+((C638=TRUE)*(F638-Calc!F28))))/100)*(((1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B645*I626)</f>
        <v/>
      </c>
      <c r="L626">
        <f>K626*(MIN(Inputs!$B$22+((C634=TRUE)*(F634-Calc!F24)),Inputs!$B$23+((C639=TRUE)*(F639-Calc!F29)))/100+(Inputs!$B$23+((C639=TRUE)*(F639-Calc!F29)))/100)/2</f>
        <v/>
      </c>
      <c r="M626">
        <f>L626*(1+(Inputs!$B$10+((C636=TRUE)*(F636-Calc!F26))+B650)/100)</f>
        <v/>
      </c>
      <c r="N626">
        <f>L626*(1-MIN((Inputs!$B$9+((C635=TRUE)*(F635-Calc!F25))+B643),100)/100)+M626*(MIN((Inputs!$B$9+((C635=TRUE)*(F635-Calc!F25))+B643),100)/100)</f>
        <v/>
      </c>
      <c r="O626">
        <f>IF(C626,Inputs!$B$38*0.2*N626,0)</f>
        <v/>
      </c>
      <c r="P626">
        <f>IF(B655=0,0,O626/B655)</f>
        <v/>
      </c>
      <c r="Q626" t="n">
        <v>0</v>
      </c>
      <c r="R626" t="n">
        <v>0</v>
      </c>
      <c r="S626">
        <f>IFERROR(O626/N626,0)</f>
        <v/>
      </c>
    </row>
    <row r="627">
      <c r="A627">
        <f>Skills!A17</f>
        <v/>
      </c>
      <c r="B627">
        <f>Skills!B17</f>
        <v/>
      </c>
      <c r="C627">
        <f>Inputs!$B$3&gt;=115</f>
        <v/>
      </c>
      <c r="D627">
        <f>IF(Skills!C17=1,60+Inputs!$B$25+Inputs!$B$29,IF(Skills!C17=2,90+Inputs!$B$26+Inputs!$B$29,IF(Skills!C17=3,120+Inputs!$B$27+Inputs!$B$29,MAX(0,(Inputs!$B$3-100)*3)+Inputs!$B$28+Inputs!$B$29)))</f>
        <v/>
      </c>
      <c r="E627">
        <f>INDEX(FactorTable!$B$2:$Y$301, MATCH(ROUND(MIN(300,MAX(1,D627)),0), FactorTable!$A$2:$A$301,0), Skills!M17+1)</f>
        <v/>
      </c>
      <c r="F627">
        <f>IF(Skills!N17=TRUE,(Skills!L17/10)*(E627/1000),Skills!L17/10)+Skills!O17</f>
        <v/>
      </c>
      <c r="G627">
        <f>Skills!G17*IF(Skills!H17&gt;0,Skills!I17/Skills!H17,1)</f>
        <v/>
      </c>
      <c r="H627">
        <f>1-(1-Skills!J17/100)^Skills!K17</f>
        <v/>
      </c>
      <c r="I627" t="inlineStr">
        <is>
          <t>1</t>
        </is>
      </c>
      <c r="J627" t="inlineStr"/>
      <c r="K627" t="inlineStr"/>
      <c r="L627" t="inlineStr"/>
      <c r="M627" t="inlineStr"/>
      <c r="N627" t="inlineStr"/>
      <c r="O627" t="n">
        <v>0</v>
      </c>
      <c r="P627">
        <f>IF(B655=0,0,O627/B655)</f>
        <v/>
      </c>
      <c r="Q627" t="n">
        <v>0</v>
      </c>
      <c r="R627" t="n">
        <v>0</v>
      </c>
      <c r="S627">
        <f>IFERROR(O627/N627,0)</f>
        <v/>
      </c>
    </row>
    <row r="628">
      <c r="A628">
        <f>Skills!A18</f>
        <v/>
      </c>
      <c r="B628">
        <f>Skills!B18</f>
        <v/>
      </c>
      <c r="C628">
        <f>Inputs!$B$3&gt;=100</f>
        <v/>
      </c>
      <c r="D628">
        <f>IF(Skills!C18=1,60+Inputs!$B$25+Inputs!$B$29,IF(Skills!C18=2,90+Inputs!$B$26+Inputs!$B$29,IF(Skills!C18=3,120+Inputs!$B$27+Inputs!$B$29,MAX(0,(Inputs!$B$3-100)*3)+Inputs!$B$28+Inputs!$B$29)))</f>
        <v/>
      </c>
      <c r="E628">
        <f>INDEX(FactorTable!$B$2:$Y$301, MATCH(ROUND(MIN(300,MAX(1,D628)),0), FactorTable!$A$2:$A$301,0), Skills!M18+1)</f>
        <v/>
      </c>
      <c r="F628">
        <f>IF(Skills!N18=TRUE,(Skills!L18/10)*(E628/1000),Skills!L18/10)+Skills!O18</f>
        <v/>
      </c>
      <c r="G628">
        <f>Skills!G18*IF(Skills!H18&gt;0,Skills!I18/Skills!H18,1)</f>
        <v/>
      </c>
      <c r="H628">
        <f>1-(1-Skills!J18/100)^Skills!K18</f>
        <v/>
      </c>
      <c r="I628" t="inlineStr">
        <is>
          <t>1</t>
        </is>
      </c>
      <c r="J628" t="inlineStr"/>
      <c r="K628" t="inlineStr"/>
      <c r="L628" t="inlineStr"/>
      <c r="M628" t="inlineStr"/>
      <c r="N628" t="inlineStr"/>
      <c r="O628" t="n">
        <v>0</v>
      </c>
      <c r="P628">
        <f>IF(B655=0,0,O628/B655)</f>
        <v/>
      </c>
      <c r="Q628" t="n">
        <v>0</v>
      </c>
      <c r="R628" t="n">
        <v>0</v>
      </c>
      <c r="S628">
        <f>IFERROR(O628/N628,0)</f>
        <v/>
      </c>
    </row>
    <row r="629">
      <c r="A629">
        <f>Skills!A19</f>
        <v/>
      </c>
      <c r="B629">
        <f>Skills!B19</f>
        <v/>
      </c>
      <c r="C629">
        <f>TRUE</f>
        <v/>
      </c>
      <c r="D629">
        <f>IF(Skills!C19=1,60+Inputs!$B$25+Inputs!$B$29,IF(Skills!C19=2,90+Inputs!$B$26+Inputs!$B$29,IF(Skills!C19=3,120+Inputs!$B$27+Inputs!$B$29,MAX(0,(Inputs!$B$3-100)*3)+Inputs!$B$28+Inputs!$B$29)))</f>
        <v/>
      </c>
      <c r="E629">
        <f>INDEX(FactorTable!$B$2:$Y$301, MATCH(ROUND(MIN(300,MAX(1,D629)),0), FactorTable!$A$2:$A$301,0), Skills!M19+1)</f>
        <v/>
      </c>
      <c r="F629">
        <f>IF(Skills!N19=TRUE,(Skills!L19/10)*(E629/1000),Skills!L19/10)+Skills!O19</f>
        <v/>
      </c>
      <c r="G629">
        <f>Skills!G19*IF(Skills!H19&gt;0,Skills!I19/Skills!H19,1)</f>
        <v/>
      </c>
      <c r="H629">
        <f>1-(1-Skills!J19/100)^Skills!K19</f>
        <v/>
      </c>
      <c r="I629" t="inlineStr">
        <is>
          <t>1</t>
        </is>
      </c>
      <c r="J629" t="inlineStr"/>
      <c r="K629" t="inlineStr"/>
      <c r="L629" t="inlineStr"/>
      <c r="M629" t="inlineStr"/>
      <c r="N629" t="inlineStr"/>
      <c r="O629" t="n">
        <v>0</v>
      </c>
      <c r="P629">
        <f>IF(B655=0,0,O629/B655)</f>
        <v/>
      </c>
      <c r="Q629">
        <f>IFERROR(1/IF(Inputs!$B$39="pvp",15,MAX(0.1,Skills!D19-IF(Skills!E19=TRUE,Inputs!$B$32,0))),0)</f>
        <v/>
      </c>
      <c r="R629">
        <f>IF(AND(Inputs!$B$39&lt;&gt;"pvp",Inputs!$B$44&gt;0),IF(Inputs!$B$44&lt;=0,0,(INT(Inputs!$B$44/IF(Inputs!$B$39="pvp",15,MAX(0.1,Skills!D19-IF(Skills!E19=TRUE,Inputs!$B$32,0))))+1)),0)</f>
        <v/>
      </c>
      <c r="S629">
        <f>IFERROR(O629/N629,0)</f>
        <v/>
      </c>
    </row>
    <row r="630">
      <c r="A630">
        <f>Skills!A20</f>
        <v/>
      </c>
      <c r="B630">
        <f>Skills!B20</f>
        <v/>
      </c>
      <c r="C630">
        <f>Inputs!$B$3&gt;=15</f>
        <v/>
      </c>
      <c r="D630">
        <f>IF(Skills!C20=1,60+Inputs!$B$25+Inputs!$B$29,IF(Skills!C20=2,90+Inputs!$B$26+Inputs!$B$29,IF(Skills!C20=3,120+Inputs!$B$27+Inputs!$B$29,MAX(0,(Inputs!$B$3-100)*3)+Inputs!$B$28+Inputs!$B$29)))</f>
        <v/>
      </c>
      <c r="E630">
        <f>INDEX(FactorTable!$B$2:$Y$301, MATCH(ROUND(MIN(300,MAX(1,D630)),0), FactorTable!$A$2:$A$301,0), Skills!M20+1)</f>
        <v/>
      </c>
      <c r="F630">
        <f>IF(Skills!N20=TRUE,(Skills!L20/10)*(E630/1000),Skills!L20/10)+Skills!O20</f>
        <v/>
      </c>
      <c r="G630">
        <f>Skills!G20*IF(Skills!H20&gt;0,Skills!I20/Skills!H20,1)</f>
        <v/>
      </c>
      <c r="H630">
        <f>1-(1-Skills!J20/100)^Skills!K20</f>
        <v/>
      </c>
      <c r="I630" t="inlineStr">
        <is>
          <t>1</t>
        </is>
      </c>
      <c r="J630" t="inlineStr"/>
      <c r="K630" t="inlineStr"/>
      <c r="L630" t="inlineStr"/>
      <c r="M630" t="inlineStr"/>
      <c r="N630" t="inlineStr"/>
      <c r="O630" t="n">
        <v>0</v>
      </c>
      <c r="P630">
        <f>IF(B655=0,0,O630/B655)</f>
        <v/>
      </c>
      <c r="Q630">
        <f>IFERROR(1/IF(Inputs!$B$39="pvp",15,MAX(0.1,Skills!D20-IF(Skills!E20=TRUE,Inputs!$B$32,0))),0)</f>
        <v/>
      </c>
      <c r="R630">
        <f>IF(AND(Inputs!$B$39&lt;&gt;"pvp",Inputs!$B$44&gt;0),IF(Inputs!$B$44&lt;=0,0,(INT(Inputs!$B$44/IF(Inputs!$B$39="pvp",15,MAX(0.1,Skills!D20-IF(Skills!E20=TRUE,Inputs!$B$32,0))))+1)),0)</f>
        <v/>
      </c>
      <c r="S630">
        <f>IFERROR(O630/N630,0)</f>
        <v/>
      </c>
    </row>
    <row r="631">
      <c r="A631">
        <f>Skills!A21</f>
        <v/>
      </c>
      <c r="B631">
        <f>Skills!B21</f>
        <v/>
      </c>
      <c r="C631">
        <f>Inputs!$B$3&gt;=15</f>
        <v/>
      </c>
      <c r="D631">
        <f>IF(Skills!C21=1,60+Inputs!$B$25+Inputs!$B$29,IF(Skills!C21=2,90+Inputs!$B$26+Inputs!$B$29,IF(Skills!C21=3,120+Inputs!$B$27+Inputs!$B$29,MAX(0,(Inputs!$B$3-100)*3)+Inputs!$B$28+Inputs!$B$29)))</f>
        <v/>
      </c>
      <c r="E631">
        <f>INDEX(FactorTable!$B$2:$Y$301, MATCH(ROUND(MIN(300,MAX(1,D631)),0), FactorTable!$A$2:$A$301,0), Skills!M21+1)</f>
        <v/>
      </c>
      <c r="F631">
        <f>IF(Skills!N21=TRUE,(Skills!L21/10)*(E631/1000),Skills!L21/10)+Skills!O21</f>
        <v/>
      </c>
      <c r="G631">
        <f>Skills!G21*IF(Skills!H21&gt;0,Skills!I21/Skills!H21,1)</f>
        <v/>
      </c>
      <c r="H631">
        <f>1-(1-Skills!J21/100)^Skills!K21</f>
        <v/>
      </c>
      <c r="I631" t="inlineStr">
        <is>
          <t>1</t>
        </is>
      </c>
      <c r="J631" t="inlineStr"/>
      <c r="K631" t="inlineStr"/>
      <c r="L631" t="inlineStr"/>
      <c r="M631" t="inlineStr"/>
      <c r="N631" t="inlineStr"/>
      <c r="O631" t="n">
        <v>0</v>
      </c>
      <c r="P631">
        <f>IF(B655=0,0,O631/B655)</f>
        <v/>
      </c>
      <c r="Q631">
        <f>IFERROR(1/IF(Inputs!$B$39="pvp",15,MAX(0.1,Skills!D21-IF(Skills!E21=TRUE,Inputs!$B$32,0))),0)</f>
        <v/>
      </c>
      <c r="R631">
        <f>IF(AND(Inputs!$B$39&lt;&gt;"pvp",Inputs!$B$44&gt;0),IF(Inputs!$B$44&lt;=0,0,(INT(Inputs!$B$44/IF(Inputs!$B$39="pvp",15,MAX(0.1,Skills!D21-IF(Skills!E21=TRUE,Inputs!$B$32,0))))+1)),0)</f>
        <v/>
      </c>
      <c r="S631">
        <f>IFERROR(O631/N631,0)</f>
        <v/>
      </c>
    </row>
    <row r="632">
      <c r="A632">
        <f>Skills!A22</f>
        <v/>
      </c>
      <c r="B632">
        <f>Skills!B22</f>
        <v/>
      </c>
      <c r="C632">
        <f>Inputs!$B$3&gt;=33</f>
        <v/>
      </c>
      <c r="D632">
        <f>IF(Skills!C22=1,60+Inputs!$B$25+Inputs!$B$29,IF(Skills!C22=2,90+Inputs!$B$26+Inputs!$B$29,IF(Skills!C22=3,120+Inputs!$B$27+Inputs!$B$29,MAX(0,(Inputs!$B$3-100)*3)+Inputs!$B$28+Inputs!$B$29)))</f>
        <v/>
      </c>
      <c r="E632">
        <f>INDEX(FactorTable!$B$2:$Y$301, MATCH(ROUND(MIN(300,MAX(1,D632)),0), FactorTable!$A$2:$A$301,0), Skills!M22+1)</f>
        <v/>
      </c>
      <c r="F632">
        <f>IF(Skills!N22=TRUE,(Skills!L22/10)*(E632/1000),Skills!L22/10)+Skills!O22</f>
        <v/>
      </c>
      <c r="G632">
        <f>Skills!G22*IF(Skills!H22&gt;0,Skills!I22/Skills!H22,1)</f>
        <v/>
      </c>
      <c r="H632">
        <f>1-(1-Skills!J22/100)^Skills!K22</f>
        <v/>
      </c>
      <c r="I632" t="inlineStr">
        <is>
          <t>1</t>
        </is>
      </c>
      <c r="J632" t="inlineStr"/>
      <c r="K632" t="inlineStr"/>
      <c r="L632" t="inlineStr"/>
      <c r="M632" t="inlineStr"/>
      <c r="N632" t="inlineStr"/>
      <c r="O632" t="n">
        <v>0</v>
      </c>
      <c r="P632">
        <f>IF(B655=0,0,O632/B655)</f>
        <v/>
      </c>
      <c r="Q632" t="n">
        <v>0</v>
      </c>
      <c r="R632" t="n">
        <v>0</v>
      </c>
      <c r="S632">
        <f>IFERROR(O632/N632,0)</f>
        <v/>
      </c>
    </row>
    <row r="633">
      <c r="A633">
        <f>Skills!A23</f>
        <v/>
      </c>
      <c r="B633">
        <f>Skills!B23</f>
        <v/>
      </c>
      <c r="C633">
        <f>Inputs!$B$3&gt;=40</f>
        <v/>
      </c>
      <c r="D633">
        <f>IF(Skills!C23=1,60+Inputs!$B$25+Inputs!$B$29,IF(Skills!C23=2,90+Inputs!$B$26+Inputs!$B$29,IF(Skills!C23=3,120+Inputs!$B$27+Inputs!$B$29,MAX(0,(Inputs!$B$3-100)*3)+Inputs!$B$28+Inputs!$B$29)))</f>
        <v/>
      </c>
      <c r="E633">
        <f>INDEX(FactorTable!$B$2:$Y$301, MATCH(ROUND(MIN(300,MAX(1,D633)),0), FactorTable!$A$2:$A$301,0), Skills!M23+1)</f>
        <v/>
      </c>
      <c r="F633">
        <f>IF(Skills!N23=TRUE,(Skills!L23/10)*(E633/1000),Skills!L23/10)+Skills!O23</f>
        <v/>
      </c>
      <c r="G633">
        <f>Skills!G23*IF(Skills!H23&gt;0,Skills!I23/Skills!H23,1)</f>
        <v/>
      </c>
      <c r="H633">
        <f>1-(1-Skills!J23/100)^Skills!K23</f>
        <v/>
      </c>
      <c r="I633" t="inlineStr">
        <is>
          <t>1</t>
        </is>
      </c>
      <c r="J633" t="inlineStr"/>
      <c r="K633" t="inlineStr"/>
      <c r="L633" t="inlineStr"/>
      <c r="M633" t="inlineStr"/>
      <c r="N633" t="inlineStr"/>
      <c r="O633" t="n">
        <v>0</v>
      </c>
      <c r="P633">
        <f>IF(B655=0,0,O633/B655)</f>
        <v/>
      </c>
      <c r="Q633" t="n">
        <v>0</v>
      </c>
      <c r="R633" t="n">
        <v>0</v>
      </c>
      <c r="S633">
        <f>IFERROR(O633/N633,0)</f>
        <v/>
      </c>
    </row>
    <row r="634">
      <c r="A634">
        <f>Skills!A24</f>
        <v/>
      </c>
      <c r="B634">
        <f>Skills!B24</f>
        <v/>
      </c>
      <c r="C634">
        <f>Inputs!$B$3&gt;=43</f>
        <v/>
      </c>
      <c r="D634">
        <f>IF(Skills!C24=1,60+Inputs!$B$25+Inputs!$B$29,IF(Skills!C24=2,90+Inputs!$B$26+Inputs!$B$29,IF(Skills!C24=3,120+Inputs!$B$27+Inputs!$B$29,MAX(0,(Inputs!$B$3-100)*3)+Inputs!$B$28+Inputs!$B$29)))</f>
        <v/>
      </c>
      <c r="E634">
        <f>INDEX(FactorTable!$B$2:$Y$301, MATCH(ROUND(MIN(300,MAX(1,D634)),0), FactorTable!$A$2:$A$301,0), Skills!M24+1)</f>
        <v/>
      </c>
      <c r="F634">
        <f>IF(Skills!N24=TRUE,(Skills!L24/10)*(E634/1000),Skills!L24/10)+Skills!O24</f>
        <v/>
      </c>
      <c r="G634">
        <f>Skills!G24*IF(Skills!H24&gt;0,Skills!I24/Skills!H24,1)</f>
        <v/>
      </c>
      <c r="H634">
        <f>1-(1-Skills!J24/100)^Skills!K24</f>
        <v/>
      </c>
      <c r="I634" t="inlineStr">
        <is>
          <t>1</t>
        </is>
      </c>
      <c r="J634" t="inlineStr"/>
      <c r="K634" t="inlineStr"/>
      <c r="L634" t="inlineStr"/>
      <c r="M634" t="inlineStr"/>
      <c r="N634" t="inlineStr"/>
      <c r="O634" t="n">
        <v>0</v>
      </c>
      <c r="P634">
        <f>IF(B655=0,0,O634/B655)</f>
        <v/>
      </c>
      <c r="Q634" t="n">
        <v>0</v>
      </c>
      <c r="R634" t="n">
        <v>0</v>
      </c>
      <c r="S634">
        <f>IFERROR(O634/N634,0)</f>
        <v/>
      </c>
    </row>
    <row r="635">
      <c r="A635">
        <f>Skills!A25</f>
        <v/>
      </c>
      <c r="B635">
        <f>Skills!B25</f>
        <v/>
      </c>
      <c r="C635">
        <f>Inputs!$B$3&gt;=50</f>
        <v/>
      </c>
      <c r="D635">
        <f>IF(Skills!C25=1,60+Inputs!$B$25+Inputs!$B$29,IF(Skills!C25=2,90+Inputs!$B$26+Inputs!$B$29,IF(Skills!C25=3,120+Inputs!$B$27+Inputs!$B$29,MAX(0,(Inputs!$B$3-100)*3)+Inputs!$B$28+Inputs!$B$29)))</f>
        <v/>
      </c>
      <c r="E635">
        <f>INDEX(FactorTable!$B$2:$Y$301, MATCH(ROUND(MIN(300,MAX(1,D635)),0), FactorTable!$A$2:$A$301,0), Skills!M25+1)</f>
        <v/>
      </c>
      <c r="F635">
        <f>IF(Skills!N25=TRUE,(Skills!L25/10)*(E635/1000),Skills!L25/10)+Skills!O25</f>
        <v/>
      </c>
      <c r="G635">
        <f>Skills!G25*IF(Skills!H25&gt;0,Skills!I25/Skills!H25,1)</f>
        <v/>
      </c>
      <c r="H635">
        <f>1-(1-Skills!J25/100)^Skills!K25</f>
        <v/>
      </c>
      <c r="I635" t="inlineStr">
        <is>
          <t>1</t>
        </is>
      </c>
      <c r="J635" t="inlineStr"/>
      <c r="K635" t="inlineStr"/>
      <c r="L635" t="inlineStr"/>
      <c r="M635" t="inlineStr"/>
      <c r="N635" t="inlineStr"/>
      <c r="O635" t="n">
        <v>0</v>
      </c>
      <c r="P635">
        <f>IF(B655=0,0,O635/B655)</f>
        <v/>
      </c>
      <c r="Q635" t="n">
        <v>0</v>
      </c>
      <c r="R635" t="n">
        <v>0</v>
      </c>
      <c r="S635">
        <f>IFERROR(O635/N635,0)</f>
        <v/>
      </c>
    </row>
    <row r="636">
      <c r="A636">
        <f>Skills!A26</f>
        <v/>
      </c>
      <c r="B636">
        <f>Skills!B26</f>
        <v/>
      </c>
      <c r="C636">
        <f>Inputs!$B$3&gt;=50</f>
        <v/>
      </c>
      <c r="D636">
        <f>IF(Skills!C26=1,60+Inputs!$B$25+Inputs!$B$29,IF(Skills!C26=2,90+Inputs!$B$26+Inputs!$B$29,IF(Skills!C26=3,120+Inputs!$B$27+Inputs!$B$29,MAX(0,(Inputs!$B$3-100)*3)+Inputs!$B$28+Inputs!$B$29)))</f>
        <v/>
      </c>
      <c r="E636">
        <f>INDEX(FactorTable!$B$2:$Y$301, MATCH(ROUND(MIN(300,MAX(1,D636)),0), FactorTable!$A$2:$A$301,0), Skills!M26+1)</f>
        <v/>
      </c>
      <c r="F636">
        <f>IF(Skills!N26=TRUE,(Skills!L26/10)*(E636/1000),Skills!L26/10)+Skills!O26</f>
        <v/>
      </c>
      <c r="G636">
        <f>Skills!G26*IF(Skills!H26&gt;0,Skills!I26/Skills!H26,1)</f>
        <v/>
      </c>
      <c r="H636">
        <f>1-(1-Skills!J26/100)^Skills!K26</f>
        <v/>
      </c>
      <c r="I636" t="inlineStr">
        <is>
          <t>1</t>
        </is>
      </c>
      <c r="J636" t="inlineStr"/>
      <c r="K636" t="inlineStr"/>
      <c r="L636" t="inlineStr"/>
      <c r="M636" t="inlineStr"/>
      <c r="N636" t="inlineStr"/>
      <c r="O636" t="n">
        <v>0</v>
      </c>
      <c r="P636">
        <f>IF(B655=0,0,O636/B655)</f>
        <v/>
      </c>
      <c r="Q636" t="n">
        <v>0</v>
      </c>
      <c r="R636" t="n">
        <v>0</v>
      </c>
      <c r="S636">
        <f>IFERROR(O636/N636,0)</f>
        <v/>
      </c>
    </row>
    <row r="637">
      <c r="A637">
        <f>Skills!A27</f>
        <v/>
      </c>
      <c r="B637">
        <f>Skills!B27</f>
        <v/>
      </c>
      <c r="C637">
        <f>Inputs!$B$3&gt;=38</f>
        <v/>
      </c>
      <c r="D637">
        <f>IF(Skills!C27=1,60+Inputs!$B$25+Inputs!$B$29,IF(Skills!C27=2,90+Inputs!$B$26+Inputs!$B$29,IF(Skills!C27=3,120+Inputs!$B$27+Inputs!$B$29,MAX(0,(Inputs!$B$3-100)*3)+Inputs!$B$28+Inputs!$B$29)))</f>
        <v/>
      </c>
      <c r="E637">
        <f>INDEX(FactorTable!$B$2:$Y$301, MATCH(ROUND(MIN(300,MAX(1,D637)),0), FactorTable!$A$2:$A$301,0), Skills!M27+1)</f>
        <v/>
      </c>
      <c r="F637">
        <f>IF(Skills!N27=TRUE,(Skills!L27/10)*(E637/1000),Skills!L27/10)+Skills!O27</f>
        <v/>
      </c>
      <c r="G637">
        <f>Skills!G27*IF(Skills!H27&gt;0,Skills!I27/Skills!H27,1)</f>
        <v/>
      </c>
      <c r="H637">
        <f>1-(1-Skills!J27/100)^Skills!K27</f>
        <v/>
      </c>
      <c r="I637" t="inlineStr">
        <is>
          <t>1</t>
        </is>
      </c>
      <c r="J637" t="inlineStr"/>
      <c r="K637" t="inlineStr"/>
      <c r="L637" t="inlineStr"/>
      <c r="M637" t="inlineStr"/>
      <c r="N637" t="inlineStr"/>
      <c r="O637" t="n">
        <v>0</v>
      </c>
      <c r="P637">
        <f>IF(B655=0,0,O637/B655)</f>
        <v/>
      </c>
      <c r="Q637" t="n">
        <v>0</v>
      </c>
      <c r="R637" t="n">
        <v>0</v>
      </c>
      <c r="S637">
        <f>IFERROR(O637/N637,0)</f>
        <v/>
      </c>
    </row>
    <row r="638">
      <c r="A638">
        <f>Skills!A28</f>
        <v/>
      </c>
      <c r="B638">
        <f>Skills!B28</f>
        <v/>
      </c>
      <c r="C638">
        <f>Inputs!$B$3&gt;=120</f>
        <v/>
      </c>
      <c r="D638">
        <f>IF(Skills!C28=1,60+Inputs!$B$25+Inputs!$B$29,IF(Skills!C28=2,90+Inputs!$B$26+Inputs!$B$29,IF(Skills!C28=3,120+Inputs!$B$27+Inputs!$B$29,MAX(0,(Inputs!$B$3-100)*3)+Inputs!$B$28+Inputs!$B$29)))</f>
        <v/>
      </c>
      <c r="E638">
        <f>INDEX(FactorTable!$B$2:$Y$301, MATCH(ROUND(MIN(300,MAX(1,D638)),0), FactorTable!$A$2:$A$301,0), Skills!M28+1)</f>
        <v/>
      </c>
      <c r="F638">
        <f>IF(Skills!N28=TRUE,(Skills!L28/10)*(E638/1000),Skills!L28/10)+Skills!O28</f>
        <v/>
      </c>
      <c r="G638">
        <f>Skills!G28*IF(Skills!H28&gt;0,Skills!I28/Skills!H28,1)</f>
        <v/>
      </c>
      <c r="H638">
        <f>1-(1-Skills!J28/100)^Skills!K28</f>
        <v/>
      </c>
      <c r="I638" t="inlineStr">
        <is>
          <t>1</t>
        </is>
      </c>
      <c r="J638" t="inlineStr"/>
      <c r="K638" t="inlineStr"/>
      <c r="L638" t="inlineStr"/>
      <c r="M638" t="inlineStr"/>
      <c r="N638" t="inlineStr"/>
      <c r="O638" t="n">
        <v>0</v>
      </c>
      <c r="P638">
        <f>IF(B655=0,0,O638/B655)</f>
        <v/>
      </c>
      <c r="Q638" t="n">
        <v>0</v>
      </c>
      <c r="R638" t="n">
        <v>0</v>
      </c>
      <c r="S638">
        <f>IFERROR(O638/N638,0)</f>
        <v/>
      </c>
    </row>
    <row r="639">
      <c r="A639">
        <f>Skills!A29</f>
        <v/>
      </c>
      <c r="B639">
        <f>Skills!B29</f>
        <v/>
      </c>
      <c r="C639">
        <f>Inputs!$B$3&gt;=120</f>
        <v/>
      </c>
      <c r="D639">
        <f>IF(Skills!C29=1,60+Inputs!$B$25+Inputs!$B$29,IF(Skills!C29=2,90+Inputs!$B$26+Inputs!$B$29,IF(Skills!C29=3,120+Inputs!$B$27+Inputs!$B$29,MAX(0,(Inputs!$B$3-100)*3)+Inputs!$B$28+Inputs!$B$29)))</f>
        <v/>
      </c>
      <c r="E639">
        <f>INDEX(FactorTable!$B$2:$Y$301, MATCH(ROUND(MIN(300,MAX(1,D639)),0), FactorTable!$A$2:$A$301,0), Skills!M29+1)</f>
        <v/>
      </c>
      <c r="F639">
        <f>IF(Skills!N29=TRUE,(Skills!L29/10)*(E639/1000),Skills!L29/10)+Skills!O29</f>
        <v/>
      </c>
      <c r="G639">
        <f>Skills!G29*IF(Skills!H29&gt;0,Skills!I29/Skills!H29,1)</f>
        <v/>
      </c>
      <c r="H639">
        <f>1-(1-Skills!J29/100)^Skills!K29</f>
        <v/>
      </c>
      <c r="I639" t="inlineStr">
        <is>
          <t>1</t>
        </is>
      </c>
      <c r="J639" t="inlineStr"/>
      <c r="K639" t="inlineStr"/>
      <c r="L639" t="inlineStr"/>
      <c r="M639" t="inlineStr"/>
      <c r="N639" t="inlineStr"/>
      <c r="O639" t="n">
        <v>0</v>
      </c>
      <c r="P639">
        <f>IF(B655=0,0,O639/B655)</f>
        <v/>
      </c>
      <c r="Q639" t="n">
        <v>0</v>
      </c>
      <c r="R639" t="n">
        <v>0</v>
      </c>
      <c r="S639">
        <f>IFERROR(O639/N639,0)</f>
        <v/>
      </c>
    </row>
    <row r="640">
      <c r="A640">
        <f>Skills!A30</f>
        <v/>
      </c>
      <c r="B640">
        <f>Skills!B30</f>
        <v/>
      </c>
      <c r="C640">
        <f>Inputs!$B$3&gt;=125</f>
        <v/>
      </c>
      <c r="D640">
        <f>IF(Skills!C30=1,60+Inputs!$B$25+Inputs!$B$29,IF(Skills!C30=2,90+Inputs!$B$26+Inputs!$B$29,IF(Skills!C30=3,120+Inputs!$B$27+Inputs!$B$29,MAX(0,(Inputs!$B$3-100)*3)+Inputs!$B$28+Inputs!$B$29)))</f>
        <v/>
      </c>
      <c r="E640">
        <f>INDEX(FactorTable!$B$2:$Y$301, MATCH(ROUND(MIN(300,MAX(1,D640)),0), FactorTable!$A$2:$A$301,0), Skills!M30+1)</f>
        <v/>
      </c>
      <c r="F640">
        <f>IF(Skills!N30=TRUE,(Skills!L30/10)*(E640/1000),Skills!L30/10)+Skills!O30</f>
        <v/>
      </c>
      <c r="G640">
        <f>Skills!G30*IF(Skills!H30&gt;0,Skills!I30/Skills!H30,1)</f>
        <v/>
      </c>
      <c r="H640">
        <f>1-(1-Skills!J30/100)^Skills!K30</f>
        <v/>
      </c>
      <c r="I640" t="inlineStr">
        <is>
          <t>1</t>
        </is>
      </c>
      <c r="J640" t="inlineStr"/>
      <c r="K640" t="inlineStr"/>
      <c r="L640" t="inlineStr"/>
      <c r="M640" t="inlineStr"/>
      <c r="N640" t="inlineStr"/>
      <c r="O640" t="n">
        <v>0</v>
      </c>
      <c r="P640">
        <f>IF(B655=0,0,O640/B655)</f>
        <v/>
      </c>
      <c r="Q640" t="n">
        <v>0</v>
      </c>
      <c r="R640" t="n">
        <v>0</v>
      </c>
      <c r="S640">
        <f>IFERROR(O640/N640,0)</f>
        <v/>
      </c>
    </row>
    <row r="642">
      <c r="A642" t="inlineStr">
        <is>
          <t>Average Buff Multiplier</t>
        </is>
      </c>
      <c r="B642">
        <f>(1+(((C631=TRUE)*F631*IF(AND(Inputs!$B$39&lt;&gt;"pvp",Inputs!$B$44&gt;0),(((R631-1)*(Skills!Y21*(1+Inputs!$B$34/100))+MIN((Skills!Y21*(1+Inputs!$B$34/100)),MAX(0,Inputs!$B$44-((R631-1)*Skills!D21))))/Inputs!$B$44),IF(Inputs!$B$39="pvp",MIN((Skills!Y21*(1+Inputs!$B$34/100)),15)/15,(Skills!Y21*(1+Inputs!$B$34/100))/Skills!D21)))+((C633=TRUE)*(F633-Calc!F23))+((C627=TRUE)*(F627-Calc!F17)))/100)*(1+((C620=TRUE)*F620*IF(AND(Inputs!$B$39&lt;&gt;"pvp",Inputs!$B$44&gt;0),(((R620-1)*(Skills!Y10*(1+Inputs!$B$34/100))+MIN((Skills!Y10*(1+Inputs!$B$34/100)),MAX(0,Inputs!$B$44-((R620-1)*Skills!D10))))/Inputs!$B$44),IF(Inputs!$B$39="pvp",MIN((Skills!Y10*(1+Inputs!$B$34/100)),15)/15,(Skills!Y10*(1+Inputs!$B$34/100))/Skills!D10)))/100)*(1+((C625=TRUE)*F625*IF(AND(Inputs!$B$39&lt;&gt;"pvp",Inputs!$B$44&gt;0),(((R625-1)*(Skills!Y15*(1+Inputs!$B$34/100))+MIN((Skills!Y15*(1+Inputs!$B$34/100)),MAX(0,Inputs!$B$44-((R625-1)*Skills!D15))))/Inputs!$B$44),IF(Inputs!$B$39="pvp",MIN((Skills!Y15*(1+Inputs!$B$34/100)),15)/15,(Skills!Y15*(1+Inputs!$B$34/100))/Skills!D15)))/100)</f>
        <v/>
      </c>
    </row>
    <row r="643">
      <c r="A643" t="inlineStr">
        <is>
          <t>Global Crit Rate Bonus %</t>
        </is>
      </c>
      <c r="B643">
        <f>((C630=TRUE)*F630*IF(AND(Inputs!$B$39&lt;&gt;"pvp",Inputs!$B$44&gt;0),(((R630-1)*(Skills!Y20*(1+Inputs!$B$34/100))+MIN((Skills!Y20*(1+Inputs!$B$34/100)),MAX(0,Inputs!$B$44-((R630-1)*Skills!D20))))/Inputs!$B$44),IF(Inputs!$B$39="pvp",MIN((Skills!Y20*(1+Inputs!$B$34/100)),15)/15,(Skills!Y20*(1+Inputs!$B$34/100))/Skills!D20)))</f>
        <v/>
      </c>
    </row>
    <row r="644">
      <c r="A644" t="inlineStr">
        <is>
          <t>Global Monster Damage-Taken Bonus %</t>
        </is>
      </c>
      <c r="B644">
        <f>IF(Inputs!$B$3&gt;=82,15,0)</f>
        <v/>
      </c>
    </row>
    <row r="645">
      <c r="A645" t="inlineStr">
        <is>
          <t>Shadow Partner Average Multiplier</t>
        </is>
      </c>
      <c r="B645">
        <f>1+((C617=TRUE)*F617*(1+3.3333333333333335*IF(C628=TRUE,F628,0)/100)*I617*Skills!J7/100)/100</f>
        <v/>
      </c>
    </row>
    <row r="646">
      <c r="A646" t="inlineStr">
        <is>
          <t>Attack Speed Buff Bonus %</t>
        </is>
      </c>
      <c r="B646">
        <f>((C629=TRUE)*F629*IF(AND(Inputs!$B$39&lt;&gt;"pvp",Inputs!$B$44&gt;0),(((R629-1)*(Skills!Y19*(1+Inputs!$B$34/100))+MIN((Skills!Y19*(1+Inputs!$B$34/100)),MAX(0,Inputs!$B$44-((R629-1)*Skills!D19))))/Inputs!$B$44),IF(Inputs!$B$39="pvp",MIN((Skills!Y19*(1+Inputs!$B$34/100)),15)/15,(Skills!Y19*(1+Inputs!$B$34/100))/Skills!D19)))+((C613=TRUE)*F613*3)</f>
        <v/>
      </c>
    </row>
    <row r="647">
      <c r="A647" t="inlineStr">
        <is>
          <t>Actions Per Second</t>
        </is>
      </c>
      <c r="B647">
        <f>1+MIN(150,150*(1-(1-(((1-(1-Inputs!$B$11/150)*(1-1/150))*150)+((C632=TRUE)*(F632-Calc!F22)))/150)*(1-B646/150)))/100</f>
        <v/>
      </c>
    </row>
    <row r="648">
      <c r="A648" t="inlineStr">
        <is>
          <t>Skill + Buff Cast Rate</t>
        </is>
      </c>
      <c r="B648">
        <f>IF(AND(Inputs!$B$39&lt;&gt;"pvp",Inputs!$B$44&gt;0),SUMPRODUCT((Skills!E2:E30=TRUE)*(C612:C640=TRUE)*R612:R640*Skills!F2:F30)/Inputs!$B$44,SUMPRODUCT((Skills!E2:E30=TRUE)*(C612:C640=TRUE)*Q612:Q640*Skills!F2:F30))</f>
        <v/>
      </c>
    </row>
    <row r="649">
      <c r="A649" t="inlineStr">
        <is>
          <t>Cruel Stab Casts Per Second</t>
        </is>
      </c>
      <c r="B649">
        <f>MAX(0,B647-B648)</f>
        <v/>
      </c>
    </row>
    <row r="650">
      <c r="A650" t="inlineStr">
        <is>
          <t>Global Critical Damage Bonus % (Smokescreen Mastery Lv.113)</t>
        </is>
      </c>
      <c r="B650">
        <f>IF(Inputs!$B$3&gt;=113,30,0)*IF(AND(Inputs!$B$39&lt;&gt;"pvp",Inputs!$B$44&gt;0),(((R625-1)*(Skills!Y15*(1+Inputs!$B$34/100))+MIN((Skills!Y15*(1+Inputs!$B$34/100)),MAX(0,Inputs!$B$44-((R625-1)*Skills!D15))))/Inputs!$B$44),IF(Inputs!$B$39="pvp",MIN((Skills!Y15*(1+Inputs!$B$34/100)),15)/15,(Skills!Y15*(1+Inputs!$B$34/100))/Skills!D15))</f>
        <v/>
      </c>
    </row>
    <row r="651">
      <c r="A651" t="inlineStr">
        <is>
          <t>Meso Explosion average stack count</t>
        </is>
      </c>
      <c r="B651">
        <f>MIN(10,0.5*B647*Skills!D4)</f>
        <v/>
      </c>
    </row>
    <row r="652">
      <c r="A652" t="inlineStr">
        <is>
          <t>Blood Money average stack count</t>
        </is>
      </c>
      <c r="B652">
        <f>MIN(5,0.25*B647*Skills!D4)</f>
        <v/>
      </c>
    </row>
    <row r="653">
      <c r="A653" t="inlineStr">
        <is>
          <t>Assassinate Murderous Intent Multiplier</t>
        </is>
      </c>
      <c r="B653">
        <f>1+IFERROR(MIN(1,Q624*2/Q621),0)</f>
        <v/>
      </c>
    </row>
    <row r="654">
      <c r="A654" t="inlineStr">
        <is>
          <t>Buff-Casting Startup Delay (s, fixed-duration only)</t>
        </is>
      </c>
      <c r="B654">
        <f>IF(AND(Inputs!$B$39&lt;&gt;"pvp",Inputs!$B$44&gt;0),SUMPRODUCT((Skills!Y2:Y30&gt;0)*(Skills!E2:E30=TRUE)*(C612:C640=TRUE))/B647,0)</f>
        <v/>
      </c>
    </row>
    <row r="655">
      <c r="A655" s="5" t="inlineStr">
        <is>
          <t>TOTAL DPS</t>
        </is>
      </c>
      <c r="B655" s="5">
        <f>SUM(O612:O640)</f>
        <v/>
      </c>
    </row>
    <row r="658">
      <c r="A658" s="5" t="inlineStr">
        <is>
          <t>Stat: DEF_PEN % (diminishing returns, factor 100)</t>
        </is>
      </c>
    </row>
    <row r="659">
      <c r="A659" s="9" t="inlineStr">
        <is>
          <t>Key</t>
        </is>
      </c>
      <c r="B659" s="9" t="inlineStr">
        <is>
          <t>Name</t>
        </is>
      </c>
      <c r="C659" s="9" t="inlineStr">
        <is>
          <t>Unlocked</t>
        </is>
      </c>
      <c r="D659" s="9" t="inlineStr">
        <is>
          <t>InputLevel</t>
        </is>
      </c>
      <c r="E659" s="9" t="inlineStr">
        <is>
          <t>Factor</t>
        </is>
      </c>
      <c r="F659" s="9" t="inlineStr">
        <is>
          <t>CoefficientPercent</t>
        </is>
      </c>
      <c r="G659" s="9" t="inlineStr">
        <is>
          <t>EffectiveHits</t>
        </is>
      </c>
      <c r="H659" s="9" t="inlineStr">
        <is>
          <t>ProcProbability</t>
        </is>
      </c>
      <c r="I659" s="9" t="inlineStr">
        <is>
          <t>MapleHeroMultiplier</t>
        </is>
      </c>
      <c r="J659" s="9" t="inlineStr">
        <is>
          <t>BaseDamage</t>
        </is>
      </c>
      <c r="K659" s="9" t="inlineStr">
        <is>
          <t>BaseHitDamage</t>
        </is>
      </c>
      <c r="L659" s="9" t="inlineStr">
        <is>
          <t>NonCritAvg</t>
        </is>
      </c>
      <c r="M659" s="9" t="inlineStr">
        <is>
          <t>CritAvg</t>
        </is>
      </c>
      <c r="N659" s="9" t="inlineStr">
        <is>
          <t>ExpectedDamage(perHit)</t>
        </is>
      </c>
      <c r="O659" s="9" t="inlineStr">
        <is>
          <t>DPS</t>
        </is>
      </c>
      <c r="P659" s="9" t="inlineStr">
        <is>
          <t>% of Total</t>
        </is>
      </c>
      <c r="Q659" s="9" t="inlineStr">
        <is>
          <t>InvCooldown</t>
        </is>
      </c>
      <c r="R659" s="9" t="inlineStr">
        <is>
          <t>CastsInFight</t>
        </is>
      </c>
      <c r="S659" s="9" t="inlineStr">
        <is>
          <t>HitRate(perSec)</t>
        </is>
      </c>
      <c r="U659" t="inlineStr">
        <is>
          <t>helpers</t>
        </is>
      </c>
    </row>
    <row r="660">
      <c r="A660">
        <f>Skills!A2</f>
        <v/>
      </c>
      <c r="B660">
        <f>Skills!B2</f>
        <v/>
      </c>
      <c r="C660">
        <f>Inputs!$B$3&gt;=100</f>
        <v/>
      </c>
      <c r="D660" t="inlineStr"/>
      <c r="E660" t="inlineStr"/>
      <c r="F660">
        <f>U662+Skills!O2</f>
        <v/>
      </c>
      <c r="G660">
        <f>Skills!G2*IF(Skills!H2&gt;0,Skills!I2/Skills!H2,1)</f>
        <v/>
      </c>
      <c r="H660">
        <f>1-(1-Skills!J2/100)^Skills!K2</f>
        <v/>
      </c>
      <c r="I660" t="inlineStr">
        <is>
          <t>1</t>
        </is>
      </c>
      <c r="J660">
        <f>((Inputs!$B$6*(1+Inputs!$B$7/100))+(((Inputs!$B$12*(1+Inputs!$B$13/100))-(Inputs!$B$12*(1+Inputs!$B$13/100)))+0.25*(Inputs!$B$14-Inputs!$B$14))*(1+Inputs!$B$7/100))*(F660/100)</f>
        <v/>
      </c>
      <c r="K660">
        <f>J660*(1+((Inputs!$B$12*(1+Inputs!$B$13/100))*0.01+Inputs!$B$14*0.0025)/100)*(1+Inputs!$B$15/100)*(1+IF(Inputs!$B$39="pvp",0,(1-Summary!$B$55)*(Inputs!$B$20+0+Skills!P2+B692)+Summary!$B$55*(Inputs!$B$21+Skills!Q2+B692))/100)*(1+Inputs!$B$16/100)*(5000/(6000+Inputs!$B$43*(1-((1-(1-Inputs!$B$19/100)*(1-1/100))*100)/100)))*(1+(Inputs!$B$24+((C688=TRUE)*(F688-Calc!F30)))/100)*(1+(IF(Skills!A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660)</f>
        <v/>
      </c>
      <c r="L660">
        <f>K660*(MIN(Inputs!$B$22+((C682=TRUE)*(F682-Calc!F24)),Inputs!$B$23+((C687=TRUE)*(F687-Calc!F29)))/100+(Inputs!$B$23+((C687=TRUE)*(F687-Calc!F29)))/100)/2</f>
        <v/>
      </c>
      <c r="M660">
        <f>L660*(1+(Inputs!$B$10+((C684=TRUE)*(F684-Calc!F26))+B698)/100)</f>
        <v/>
      </c>
      <c r="N660">
        <f>L660*(1-MIN((Inputs!$B$9+((C683=TRUE)*(F683-Calc!F25))+B691),100)/100)+M660*(MIN((Inputs!$B$9+((C683=TRUE)*(F683-Calc!F25))+B691),100)/100)</f>
        <v/>
      </c>
      <c r="O660">
        <f>IF(C660,Skills!G2*N660*B697*IF(Inputs!$B$39="pvp",1,(1-Summary!$B$55)*(1)+Summary!$B$55*(MIN((6+Inputs!$B$33),Inputs!$B$37))),0)</f>
        <v/>
      </c>
      <c r="P660">
        <f>IF(B703=0,0,O660/B703)</f>
        <v/>
      </c>
      <c r="Q660" t="n">
        <v>0</v>
      </c>
      <c r="R660" t="n">
        <v>0</v>
      </c>
      <c r="S660">
        <f>IFERROR(O660/N660,0)</f>
        <v/>
      </c>
      <c r="U660">
        <f>MAX(0,(Inputs!$B$3-100)*3)+Inputs!$B$28+Inputs!$B$29</f>
        <v/>
      </c>
    </row>
    <row r="661">
      <c r="A661">
        <f>Skills!A3</f>
        <v/>
      </c>
      <c r="B661">
        <f>Skills!B3</f>
        <v/>
      </c>
      <c r="C661">
        <f>Inputs!$B$3&gt;=35</f>
        <v/>
      </c>
      <c r="D661">
        <f>IF(Skills!C3=1,60+Inputs!$B$25+Inputs!$B$29,IF(Skills!C3=2,90+Inputs!$B$26+Inputs!$B$29,IF(Skills!C3=3,120+Inputs!$B$27+Inputs!$B$29,MAX(0,(Inputs!$B$3-100)*3)+Inputs!$B$28+Inputs!$B$29)))</f>
        <v/>
      </c>
      <c r="E661">
        <f>INDEX(FactorTable!$B$2:$Y$301, MATCH(ROUND(MIN(300,MAX(1,D661)),0), FactorTable!$A$2:$A$301,0), Skills!M3+1)</f>
        <v/>
      </c>
      <c r="F661">
        <f>IF(Skills!N3=TRUE,(Skills!L3/10)*(E661/1000),Skills!L3/10)+Skills!O3</f>
        <v/>
      </c>
      <c r="G661">
        <f>Skills!G3*IF(Skills!H3&gt;0,Skills!I3/Skills!H3,1)</f>
        <v/>
      </c>
      <c r="H661">
        <f>1-(1-Skills!J3/100)^Skills!K3</f>
        <v/>
      </c>
      <c r="I661" t="inlineStr">
        <is>
          <t>1</t>
        </is>
      </c>
      <c r="J661" t="inlineStr"/>
      <c r="K661" t="inlineStr"/>
      <c r="L661" t="inlineStr"/>
      <c r="M661" t="inlineStr"/>
      <c r="N661" t="inlineStr"/>
      <c r="O661" t="n">
        <v>0</v>
      </c>
      <c r="P661">
        <f>IF(B703=0,0,O661/B703)</f>
        <v/>
      </c>
      <c r="Q661" t="n">
        <v>0</v>
      </c>
      <c r="R661" t="n">
        <v>0</v>
      </c>
      <c r="S661">
        <f>IFERROR(O661/N661,0)</f>
        <v/>
      </c>
      <c r="U661">
        <f>INDEX(FactorTable!$B$2:$Y$301, MATCH(ROUND(MIN(300,MAX(1,U660)),0), FactorTable!$A$2:$A$301,0), 22)</f>
        <v/>
      </c>
    </row>
    <row r="662">
      <c r="A662">
        <f>Skills!A4</f>
        <v/>
      </c>
      <c r="B662">
        <f>Skills!B4</f>
        <v/>
      </c>
      <c r="C662">
        <f>Inputs!$B$3&gt;=66</f>
        <v/>
      </c>
      <c r="D662">
        <f>IF(Skills!C4=1,60+Inputs!$B$25+Inputs!$B$29,IF(Skills!C4=2,90+Inputs!$B$26+Inputs!$B$29,IF(Skills!C4=3,120+Inputs!$B$27+Inputs!$B$29,MAX(0,(Inputs!$B$3-100)*3)+Inputs!$B$28+Inputs!$B$29)))</f>
        <v/>
      </c>
      <c r="E662">
        <f>INDEX(FactorTable!$B$2:$Y$301, MATCH(ROUND(MIN(300,MAX(1,D662)),0), FactorTable!$A$2:$A$301,0), Skills!M4+1)</f>
        <v/>
      </c>
      <c r="F662">
        <f>IF(Skills!N4=TRUE,(Skills!L4/10)*(E662/1000),Skills!L4/10)+Skills!O4</f>
        <v/>
      </c>
      <c r="G662">
        <f>Skills!G4*IF(Skills!H4&gt;0,Skills!I4/Skills!H4,1)</f>
        <v/>
      </c>
      <c r="H662">
        <f>1-(1-Skills!J4/100)^Skills!K4</f>
        <v/>
      </c>
      <c r="I662" t="inlineStr">
        <is>
          <t>1</t>
        </is>
      </c>
      <c r="J662">
        <f>((Inputs!$B$6*(1+Inputs!$B$7/100))+(((Inputs!$B$12*(1+Inputs!$B$13/100))-(Inputs!$B$12*(1+Inputs!$B$13/100)))+0.25*(Inputs!$B$14-Inputs!$B$14))*(1+Inputs!$B$7/100))*(F662/100)</f>
        <v/>
      </c>
      <c r="K662">
        <f>J662*(1+((Inputs!$B$12*(1+Inputs!$B$13/100))*0.01+Inputs!$B$14*0.0025)/100)*(1+Inputs!$B$15/100)*(1+IF(Inputs!$B$39="pvp",0,(1-Summary!$B$55)*(Inputs!$B$20+0+Skills!P4+B692)+Summary!$B$55*(Inputs!$B$21+Skills!Q4+B692))/100)*(1+Inputs!$B$16/100)*(5000/(6000+Inputs!$B$43*(1-((1-(1-Inputs!$B$19/100)*(1-1/100))*100)/100)))*(1+(Inputs!$B$24+((C688=TRUE)*(F688-Calc!F30)))/100)*(1+(IF(Skills!A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662)</f>
        <v/>
      </c>
      <c r="L662">
        <f>K662*(MIN(Inputs!$B$22+((C682=TRUE)*(F682-Calc!F24)),Inputs!$B$23+((C687=TRUE)*(F687-Calc!F29)))/100+(Inputs!$B$23+((C687=TRUE)*(F687-Calc!F29)))/100)/2</f>
        <v/>
      </c>
      <c r="M662">
        <f>L662*(1+(Inputs!$B$10+((C684=TRUE)*(F684-Calc!F26))+B698)/100)</f>
        <v/>
      </c>
      <c r="N662">
        <f>L662*(1-MIN((Inputs!$B$9+((C683=TRUE)*(F683-Calc!F25))+B691),100)/100)+M662*(MIN((Inputs!$B$9+((C683=TRUE)*(F683-Calc!F25))+B691),100)/100)</f>
        <v/>
      </c>
      <c r="O662">
        <f>IF(C662,H662*N662*IF(AND(Inputs!$B$39&lt;&gt;"pvp",Inputs!$B$44&gt;0),((Skills!G4*((R662-1)*IF(Skills!H4&gt;0,Skills!I4/Skills!H4,1)+IF(Skills!H4&gt;0,MIN(Skills!I4,MAX(0,MAX(0,Inputs!$B$44-B702)-((R662-1)*IF(Inputs!$B$39="pvp",15,MAX(0.1,Skills!D4-IF(Skills!E4=TRUE,Inputs!$B$32,0))))))/Skills!H4,1)))/Inputs!$B$44),G662*Q662)*IF(Inputs!$B$39="pvp",1,(1-Summary!$B$55)*(1)+Summary!$B$55*(MIN(MIN(10,0.5*B695*Skills!D4),Inputs!$B$37))),0)</f>
        <v/>
      </c>
      <c r="P662">
        <f>IF(B703=0,0,O662/B703)</f>
        <v/>
      </c>
      <c r="Q662">
        <f>IFERROR(1/IF(Inputs!$B$39="pvp",15,MAX(0.1,Skills!D4-IF(Skills!E4=TRUE,Inputs!$B$32,0))),0)</f>
        <v/>
      </c>
      <c r="R662">
        <f>IF(AND(Inputs!$B$39&lt;&gt;"pvp",Inputs!$B$44&gt;0),IF(MAX(0,Inputs!$B$44-B702)&lt;=0,0,(INT(MAX(0,Inputs!$B$44-B702)/IF(Inputs!$B$39="pvp",15,MAX(0.1,Skills!D4-IF(Skills!E4=TRUE,Inputs!$B$32,0))))+1)),0)</f>
        <v/>
      </c>
      <c r="S662">
        <f>IFERROR(O662/N662,0)</f>
        <v/>
      </c>
      <c r="U662">
        <f>290*U661/1000</f>
        <v/>
      </c>
    </row>
    <row r="663">
      <c r="A663">
        <f>Skills!A5</f>
        <v/>
      </c>
      <c r="B663">
        <f>Skills!B5</f>
        <v/>
      </c>
      <c r="C663">
        <f>Inputs!$B$3&gt;=63</f>
        <v/>
      </c>
      <c r="D663">
        <f>IF(Skills!C5=1,60+Inputs!$B$25+Inputs!$B$29,IF(Skills!C5=2,90+Inputs!$B$26+Inputs!$B$29,IF(Skills!C5=3,120+Inputs!$B$27+Inputs!$B$29,MAX(0,(Inputs!$B$3-100)*3)+Inputs!$B$28+Inputs!$B$29)))</f>
        <v/>
      </c>
      <c r="E663">
        <f>INDEX(FactorTable!$B$2:$Y$301, MATCH(ROUND(MIN(300,MAX(1,D663)),0), FactorTable!$A$2:$A$301,0), Skills!M5+1)</f>
        <v/>
      </c>
      <c r="F663">
        <f>IF(Skills!N5=TRUE,(Skills!L5/10)*(E663/1000),Skills!L5/10)+Skills!O5</f>
        <v/>
      </c>
      <c r="G663">
        <f>Skills!G5*IF(Skills!H5&gt;0,Skills!I5/Skills!H5,1)</f>
        <v/>
      </c>
      <c r="H663">
        <f>1-(1-Skills!J5/100)^Skills!K5</f>
        <v/>
      </c>
      <c r="I663" t="inlineStr">
        <is>
          <t>1</t>
        </is>
      </c>
      <c r="J663">
        <f>((Inputs!$B$6*(1+Inputs!$B$7/100))+(((Inputs!$B$12*(1+Inputs!$B$13/100))-(Inputs!$B$12*(1+Inputs!$B$13/100)))+0.25*(Inputs!$B$14-Inputs!$B$14))*(1+Inputs!$B$7/100))*(F663/100)</f>
        <v/>
      </c>
      <c r="K663">
        <f>J663*(1+((Inputs!$B$12*(1+Inputs!$B$13/100))*0.01+Inputs!$B$14*0.0025)/100)*(1+Inputs!$B$15/100)*(1+IF(Inputs!$B$39="pvp",0,(1-Summary!$B$55)*(Inputs!$B$20+0+Skills!P5+B692)+Summary!$B$55*(Inputs!$B$21+Skills!Q5+B692))/100)*(1+Inputs!$B$16/100)*(5000/(6000+Inputs!$B$43*(1-((1-(1-Inputs!$B$19/100)*(1-1/100))*100)/100)))*(1+(Inputs!$B$24+((C688=TRUE)*(F688-Calc!F30)))/100)*(1+2.6666666666666665*IF(C676=TRUE,F676,0)/100)*(1+(IF(Skills!A5="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663)</f>
        <v/>
      </c>
      <c r="L663">
        <f>K663*(MIN(Inputs!$B$22+((C682=TRUE)*(F682-Calc!F24)),Inputs!$B$23+((C687=TRUE)*(F687-Calc!F29)))/100+(Inputs!$B$23+((C687=TRUE)*(F687-Calc!F29)))/100)/2</f>
        <v/>
      </c>
      <c r="M663">
        <f>L663*(1+(Inputs!$B$10+((C684=TRUE)*(F684-Calc!F26))+B698)/100)</f>
        <v/>
      </c>
      <c r="N663">
        <f>L663*(1-MIN((Inputs!$B$9+((C683=TRUE)*(F683-Calc!F25))+B691),100)/100)+M663*(MIN((Inputs!$B$9+((C683=TRUE)*(F683-Calc!F25))+B691),100)/100)</f>
        <v/>
      </c>
      <c r="O663">
        <f>IF(C663,H663*N663*IF(AND(Inputs!$B$39&lt;&gt;"pvp",Inputs!$B$44&gt;0),((Skills!G5*((R663-1)*IF(Skills!H5&gt;0,Skills!I5/Skills!H5,1)+IF(Skills!H5&gt;0,MIN(Skills!I5,MAX(0,MAX(0,Inputs!$B$44-B702)-((R663-1)*IF(Inputs!$B$39="pvp",15,MAX(0.1,Skills!D5-IF(Skills!E5=TRUE,Inputs!$B$32,0))))))/Skills!H5,1)))/Inputs!$B$44),G663*Q663)*IF(Inputs!$B$39="pvp",1,(1-Summary!$B$55)*(1)+Summary!$B$55*(MIN(Skills!W5,Inputs!$B$37))),0)</f>
        <v/>
      </c>
      <c r="P663">
        <f>IF(B703=0,0,O663/B703)</f>
        <v/>
      </c>
      <c r="Q663">
        <f>IFERROR(1/IF(Inputs!$B$39="pvp",15,MAX(0.1,Skills!D5-IF(Skills!E5=TRUE,Inputs!$B$32,0))),0)</f>
        <v/>
      </c>
      <c r="R663">
        <f>IF(AND(Inputs!$B$39&lt;&gt;"pvp",Inputs!$B$44&gt;0),IF(MAX(0,Inputs!$B$44-B702)&lt;=0,0,(INT(MAX(0,Inputs!$B$44-B702)/IF(Inputs!$B$39="pvp",15,MAX(0.1,Skills!D5-IF(Skills!E5=TRUE,Inputs!$B$32,0))))+1)),0)</f>
        <v/>
      </c>
      <c r="S663">
        <f>IFERROR(O663/N663,0)</f>
        <v/>
      </c>
    </row>
    <row r="664">
      <c r="A664">
        <f>Skills!A6</f>
        <v/>
      </c>
      <c r="B664">
        <f>Skills!B6</f>
        <v/>
      </c>
      <c r="C664">
        <f>Inputs!$B$3&gt;=69</f>
        <v/>
      </c>
      <c r="D664">
        <f>IF(Skills!C6=1,60+Inputs!$B$25+Inputs!$B$29,IF(Skills!C6=2,90+Inputs!$B$26+Inputs!$B$29,IF(Skills!C6=3,120+Inputs!$B$27+Inputs!$B$29,MAX(0,(Inputs!$B$3-100)*3)+Inputs!$B$28+Inputs!$B$29)))</f>
        <v/>
      </c>
      <c r="E664">
        <f>INDEX(FactorTable!$B$2:$Y$301, MATCH(ROUND(MIN(300,MAX(1,D664)),0), FactorTable!$A$2:$A$301,0), Skills!M6+1)</f>
        <v/>
      </c>
      <c r="F664">
        <f>IF(Skills!N6=TRUE,(Skills!L6/10)*(E664/1000),Skills!L6/10)+Skills!O6</f>
        <v/>
      </c>
      <c r="G664">
        <f>Skills!G6*IF(Skills!H6&gt;0,Skills!I6/Skills!H6,1)</f>
        <v/>
      </c>
      <c r="H664">
        <f>1-(1-Skills!J6/100)^Skills!K6</f>
        <v/>
      </c>
      <c r="I664" t="inlineStr">
        <is>
          <t>1</t>
        </is>
      </c>
      <c r="J664">
        <f>((Inputs!$B$6*(1+Inputs!$B$7/100))+(((Inputs!$B$12*(1+Inputs!$B$13/100))-(Inputs!$B$12*(1+Inputs!$B$13/100)))+0.25*(Inputs!$B$14-Inputs!$B$14))*(1+Inputs!$B$7/100))*(F664/100)</f>
        <v/>
      </c>
      <c r="K664">
        <f>J664*(1+((Inputs!$B$12*(1+Inputs!$B$13/100))*0.01+Inputs!$B$14*0.0025)/100)*(1+Inputs!$B$15/100)*(1+IF(Inputs!$B$39="pvp",0,(1-Summary!$B$55)*(Inputs!$B$20+0+Skills!P6+B692)+Summary!$B$55*(Inputs!$B$21+Skills!Q6+B692))/100)*(1+Inputs!$B$16/100)*(5000/(6000+Inputs!$B$43*(1-((1-(1-Inputs!$B$19/100)*(1-1/100))*100)/100)))*(1+(Inputs!$B$24+((C688=TRUE)*(F688-Calc!F30)))/100)*(1+1.0*IF(C676=TRUE,F676,0)/100)*(1+(IF(Skills!A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664)</f>
        <v/>
      </c>
      <c r="L664">
        <f>K664*(MIN(Inputs!$B$22+((C682=TRUE)*(F682-Calc!F24)),Inputs!$B$23+((C687=TRUE)*(F687-Calc!F29)))/100+(Inputs!$B$23+((C687=TRUE)*(F687-Calc!F29)))/100)/2</f>
        <v/>
      </c>
      <c r="M664">
        <f>L664*(1+(Inputs!$B$10+((C684=TRUE)*(F684-Calc!F26))+B698)/100)</f>
        <v/>
      </c>
      <c r="N664">
        <f>L664*(1-MIN((Inputs!$B$9+((C683=TRUE)*(F683-Calc!F25))+B691),100)/100)+M664*(MIN((Inputs!$B$9+((C683=TRUE)*(F683-Calc!F25))+B691),100)/100)</f>
        <v/>
      </c>
      <c r="O664">
        <f>IF(C664,H664*N664*IF(AND(Inputs!$B$39&lt;&gt;"pvp",Inputs!$B$44&gt;0),((Skills!G6*((R664-1)*IF(Skills!H6&gt;0,Skills!I6/Skills!H6,1)+IF(Skills!H6&gt;0,MIN(Skills!I6,MAX(0,MAX(0,Inputs!$B$44-B702)-((R664-1)*IF(Inputs!$B$39="pvp",15,MAX(0.1,Skills!D6-IF(Skills!E6=TRUE,Inputs!$B$32,0))))))/Skills!H6,1)))/Inputs!$B$44),G664*Q664)*IF(Inputs!$B$39="pvp",1,(1-Summary!$B$55)*(1)+Summary!$B$55*(MIN(Skills!W6,Inputs!$B$37))),0)</f>
        <v/>
      </c>
      <c r="P664">
        <f>IF(B703=0,0,O664/B703)</f>
        <v/>
      </c>
      <c r="Q664">
        <f>IFERROR(1/IF(Inputs!$B$39="pvp",15,MAX(0.1,Skills!D6-IF(Skills!E6=TRUE,Inputs!$B$32,0))),0)</f>
        <v/>
      </c>
      <c r="R664">
        <f>IF(AND(Inputs!$B$39&lt;&gt;"pvp",Inputs!$B$44&gt;0),IF(MAX(0,Inputs!$B$44-B702)&lt;=0,0,(INT(MAX(0,Inputs!$B$44-B702)/IF(Inputs!$B$39="pvp",15,MAX(0.1,Skills!D6-IF(Skills!E6=TRUE,Inputs!$B$32,0))))+1)),0)</f>
        <v/>
      </c>
      <c r="S664">
        <f>IFERROR(O664/N664,0)</f>
        <v/>
      </c>
    </row>
    <row r="665">
      <c r="A665">
        <f>Skills!A7</f>
        <v/>
      </c>
      <c r="B665">
        <f>Skills!B7</f>
        <v/>
      </c>
      <c r="C665">
        <f>Inputs!$B$3&gt;=60</f>
        <v/>
      </c>
      <c r="D665">
        <f>IF(Skills!C7=1,60+Inputs!$B$25+Inputs!$B$29,IF(Skills!C7=2,90+Inputs!$B$26+Inputs!$B$29,IF(Skills!C7=3,120+Inputs!$B$27+Inputs!$B$29,MAX(0,(Inputs!$B$3-100)*3)+Inputs!$B$28+Inputs!$B$29)))</f>
        <v/>
      </c>
      <c r="E665">
        <f>INDEX(FactorTable!$B$2:$Y$301, MATCH(ROUND(MIN(300,MAX(1,D665)),0), FactorTable!$A$2:$A$301,0), Skills!M7+1)</f>
        <v/>
      </c>
      <c r="F665">
        <f>IF(Skills!N7=TRUE,(Skills!L7/10)*(E665/1000),Skills!L7/10)+Skills!O7</f>
        <v/>
      </c>
      <c r="G665">
        <f>Skills!G7*IF(Skills!H7&gt;0,Skills!I7/Skills!H7,1)</f>
        <v/>
      </c>
      <c r="H665">
        <f>1-(1-Skills!J7/100)^Skills!K7</f>
        <v/>
      </c>
      <c r="I665" t="inlineStr">
        <is>
          <t>1</t>
        </is>
      </c>
      <c r="J665" t="inlineStr"/>
      <c r="K665" t="inlineStr"/>
      <c r="L665" t="inlineStr"/>
      <c r="M665" t="inlineStr"/>
      <c r="N665" t="inlineStr"/>
      <c r="O665" t="n">
        <v>0</v>
      </c>
      <c r="P665">
        <f>IF(B703=0,0,O665/B703)</f>
        <v/>
      </c>
      <c r="Q665" t="n">
        <v>0</v>
      </c>
      <c r="R665" t="n">
        <v>0</v>
      </c>
      <c r="S665">
        <f>IFERROR(O665/N665,0)</f>
        <v/>
      </c>
    </row>
    <row r="666">
      <c r="A666">
        <f>Skills!A8</f>
        <v/>
      </c>
      <c r="B666">
        <f>Skills!B8</f>
        <v/>
      </c>
      <c r="C666">
        <f>Inputs!$B$3&gt;=72</f>
        <v/>
      </c>
      <c r="D666">
        <f>IF(Skills!C8=1,60+Inputs!$B$25+Inputs!$B$29,IF(Skills!C8=2,90+Inputs!$B$26+Inputs!$B$29,IF(Skills!C8=3,120+Inputs!$B$27+Inputs!$B$29,MAX(0,(Inputs!$B$3-100)*3)+Inputs!$B$28+Inputs!$B$29)))</f>
        <v/>
      </c>
      <c r="E666">
        <f>INDEX(FactorTable!$B$2:$Y$301, MATCH(ROUND(MIN(300,MAX(1,D666)),0), FactorTable!$A$2:$A$301,0), Skills!M8+1)</f>
        <v/>
      </c>
      <c r="F666">
        <f>IF(Skills!N8=TRUE,(Skills!L8/10)*(E666/1000),Skills!L8/10)+Skills!O8</f>
        <v/>
      </c>
      <c r="G666">
        <f>Skills!G8*IF(Skills!H8&gt;0,Skills!I8/Skills!H8,1)</f>
        <v/>
      </c>
      <c r="H666">
        <f>1-(1-Skills!J8/100)^Skills!K8</f>
        <v/>
      </c>
      <c r="I666" t="inlineStr">
        <is>
          <t>1</t>
        </is>
      </c>
      <c r="J666">
        <f>((Inputs!$B$6*(1+Inputs!$B$7/100))+(((Inputs!$B$12*(1+Inputs!$B$13/100))-(Inputs!$B$12*(1+Inputs!$B$13/100)))+0.25*(Inputs!$B$14-Inputs!$B$14))*(1+Inputs!$B$7/100))*(F666/100)</f>
        <v/>
      </c>
      <c r="K666">
        <f>J666*(1+((Inputs!$B$12*(1+Inputs!$B$13/100))*0.01+Inputs!$B$14*0.0025)/100)*(1+Inputs!$B$15/100)*(1+IF(Inputs!$B$39="pvp",0,(1-Summary!$B$55)*(Inputs!$B$20+0+Skills!P8+B692)+Summary!$B$55*(Inputs!$B$21+Skills!Q8+B692))/100)*(1+Inputs!$B$16/100)*(5000/(6000+Inputs!$B$43*(1-((1-(1-Inputs!$B$19/100)*(1-1/100))*100)/100)))*(1+(Inputs!$B$24+((C688=TRUE)*(F688-Calc!F30)))/100)*(1+3.3333333333333335*IF(C676=TRUE,F676,0)/100)*(1+(IF(Skills!A8="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666)</f>
        <v/>
      </c>
      <c r="L666">
        <f>K666*(MIN(Inputs!$B$22+((C682=TRUE)*(F682-Calc!F24)),Inputs!$B$23+((C687=TRUE)*(F687-Calc!F29)))/100+(Inputs!$B$23+((C687=TRUE)*(F687-Calc!F29)))/100)/2</f>
        <v/>
      </c>
      <c r="M666">
        <f>L666*(1+(Inputs!$B$10+((C684=TRUE)*(F684-Calc!F26))+B698)/100)</f>
        <v/>
      </c>
      <c r="N666">
        <f>L666*(1-MIN((Inputs!$B$9+((C683=TRUE)*(F683-Calc!F25))+B691),100)/100)+M666*(MIN((Inputs!$B$9+((C683=TRUE)*(F683-Calc!F25))+B691),100)/100)</f>
        <v/>
      </c>
      <c r="O666">
        <f>IF(C666,H666*N666*IF(AND(Inputs!$B$39&lt;&gt;"pvp",Inputs!$B$44&gt;0),((Skills!G8*((R666-1)*IF(Skills!H8&gt;0,Skills!I8/Skills!H8,1)+IF(Skills!H8&gt;0,MIN(Skills!I8,MAX(0,MAX(0,Inputs!$B$44-B702)-((R666-1)*IF(Inputs!$B$39="pvp",15,MAX(0.1,Skills!D8-IF(Skills!E8=TRUE,Inputs!$B$32,0))))))/Skills!H8,1)))/Inputs!$B$44),G666*Q666)*IF(Inputs!$B$39="pvp",1,(1-Summary!$B$55)*(1)+Summary!$B$55*(MIN(Skills!W8,Inputs!$B$37))),0)</f>
        <v/>
      </c>
      <c r="P666">
        <f>IF(B703=0,0,O666/B703)</f>
        <v/>
      </c>
      <c r="Q666">
        <f>IFERROR(1/IF(Inputs!$B$39="pvp",15,MAX(0.1,Skills!D8-IF(Skills!E8=TRUE,Inputs!$B$32,0))),0)</f>
        <v/>
      </c>
      <c r="R666">
        <f>IF(AND(Inputs!$B$39&lt;&gt;"pvp",Inputs!$B$44&gt;0),IF(MAX(0,Inputs!$B$44-B702)&lt;=0,0,(INT(MAX(0,Inputs!$B$44-B702)/IF(Inputs!$B$39="pvp",15,MAX(0.1,Skills!D8-IF(Skills!E8=TRUE,Inputs!$B$32,0))))+1)),0)</f>
        <v/>
      </c>
      <c r="S666">
        <f>IFERROR(O666/N666,0)</f>
        <v/>
      </c>
    </row>
    <row r="667">
      <c r="A667">
        <f>Skills!A9</f>
        <v/>
      </c>
      <c r="B667">
        <f>Skills!B9</f>
        <v/>
      </c>
      <c r="C667">
        <f>Inputs!$B$3&gt;=117</f>
        <v/>
      </c>
      <c r="D667">
        <f>IF(Skills!C9=1,60+Inputs!$B$25+Inputs!$B$29,IF(Skills!C9=2,90+Inputs!$B$26+Inputs!$B$29,IF(Skills!C9=3,120+Inputs!$B$27+Inputs!$B$29,MAX(0,(Inputs!$B$3-100)*3)+Inputs!$B$28+Inputs!$B$29)))</f>
        <v/>
      </c>
      <c r="E667">
        <f>INDEX(FactorTable!$B$2:$Y$301, MATCH(ROUND(MIN(300,MAX(1,D667)),0), FactorTable!$A$2:$A$301,0), Skills!M9+1)</f>
        <v/>
      </c>
      <c r="F667">
        <f>IF(Skills!N9=TRUE,(Skills!L9/10)*(E667/1000),Skills!L9/10)+Skills!O9</f>
        <v/>
      </c>
      <c r="G667">
        <f>Skills!G9*IF(Skills!H9&gt;0,Skills!I9/Skills!H9,1)</f>
        <v/>
      </c>
      <c r="H667">
        <f>1-(1-Skills!J9/100)^Skills!K9</f>
        <v/>
      </c>
      <c r="I667" t="inlineStr">
        <is>
          <t>1</t>
        </is>
      </c>
      <c r="J667">
        <f>((Inputs!$B$6*(1+Inputs!$B$7/100))+(((Inputs!$B$12*(1+Inputs!$B$13/100))-(Inputs!$B$12*(1+Inputs!$B$13/100)))+0.25*(Inputs!$B$14-Inputs!$B$14))*(1+Inputs!$B$7/100))*(F667/100)</f>
        <v/>
      </c>
      <c r="K667">
        <f>J667*(1+((Inputs!$B$12*(1+Inputs!$B$13/100))*0.01+Inputs!$B$14*0.0025)/100)*(1+Inputs!$B$15/100)*(1+IF(Inputs!$B$39="pvp",0,(1-Summary!$B$55)*(Inputs!$B$20+0+Skills!P9+B692)+Summary!$B$55*(Inputs!$B$21+Skills!Q9+B692))/100)*(1+Inputs!$B$16/100)*(5000/(6000+Inputs!$B$43*(1-((1-(1-Inputs!$B$19/100)*(1-1/100))*100)/100)))*(1+(Inputs!$B$24+((C688=TRUE)*(F688-Calc!F30)))/100)*(1+(IF(Skills!A9="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667)</f>
        <v/>
      </c>
      <c r="L667">
        <f>K667*(MIN(Inputs!$B$22+((C682=TRUE)*(F682-Calc!F24)),Inputs!$B$23+((C687=TRUE)*(F687-Calc!F29)))/100+(Inputs!$B$23+((C687=TRUE)*(F687-Calc!F29)))/100)/2</f>
        <v/>
      </c>
      <c r="M667">
        <f>L667*(1+(Inputs!$B$10+((C684=TRUE)*(F684-Calc!F26))+B698)/100)</f>
        <v/>
      </c>
      <c r="N667">
        <f>L667*(1-MIN((Inputs!$B$9+((C683=TRUE)*(F683-Calc!F25))+B691),100)/100)+M667*(MIN((Inputs!$B$9+((C683=TRUE)*(F683-Calc!F25))+B691),100)/100)</f>
        <v/>
      </c>
      <c r="O667">
        <f>IF(C667,0.2*SUMPRODUCT((Skills!Z2:Z30=TRUE)*(C660:C688=TRUE)*S660:S688)*N667,0)</f>
        <v/>
      </c>
      <c r="P667">
        <f>IF(B703=0,0,O667/B703)</f>
        <v/>
      </c>
      <c r="Q667" t="n">
        <v>0</v>
      </c>
      <c r="R667" t="n">
        <v>0</v>
      </c>
      <c r="S667" t="n">
        <v>0</v>
      </c>
    </row>
    <row r="668">
      <c r="A668">
        <f>Skills!A10</f>
        <v/>
      </c>
      <c r="B668">
        <f>Skills!B10</f>
        <v/>
      </c>
      <c r="C668">
        <f>Inputs!$B$3&gt;=74</f>
        <v/>
      </c>
      <c r="D668">
        <f>IF(Skills!C10=1,60+Inputs!$B$25+Inputs!$B$29,IF(Skills!C10=2,90+Inputs!$B$26+Inputs!$B$29,IF(Skills!C10=3,120+Inputs!$B$27+Inputs!$B$29,MAX(0,(Inputs!$B$3-100)*3)+Inputs!$B$28+Inputs!$B$29)))</f>
        <v/>
      </c>
      <c r="E668">
        <f>INDEX(FactorTable!$B$2:$Y$301, MATCH(ROUND(MIN(300,MAX(1,D668)),0), FactorTable!$A$2:$A$301,0), Skills!M10+1)</f>
        <v/>
      </c>
      <c r="F668">
        <f>IF(Skills!N10=TRUE,(Skills!L10/10)*(E668/1000),Skills!L10/10)+Skills!O10</f>
        <v/>
      </c>
      <c r="G668">
        <f>Skills!G10*IF(Skills!H10&gt;0,Skills!I10/Skills!H10,1)</f>
        <v/>
      </c>
      <c r="H668">
        <f>1-(1-Skills!J10/100)^Skills!K10</f>
        <v/>
      </c>
      <c r="I668" t="inlineStr">
        <is>
          <t>1</t>
        </is>
      </c>
      <c r="J668" t="inlineStr"/>
      <c r="K668" t="inlineStr"/>
      <c r="L668" t="inlineStr"/>
      <c r="M668" t="inlineStr"/>
      <c r="N668" t="inlineStr"/>
      <c r="O668" t="n">
        <v>0</v>
      </c>
      <c r="P668">
        <f>IF(B703=0,0,O668/B703)</f>
        <v/>
      </c>
      <c r="Q668">
        <f>IFERROR(1/IF(Inputs!$B$39="pvp",15,MAX(0.1,Skills!D10-IF(Skills!E10=TRUE,Inputs!$B$32,0))),0)</f>
        <v/>
      </c>
      <c r="R668">
        <f>IF(AND(Inputs!$B$39&lt;&gt;"pvp",Inputs!$B$44&gt;0),IF(Inputs!$B$44&lt;=0,0,(INT(Inputs!$B$44/IF(Inputs!$B$39="pvp",15,MAX(0.1,Skills!D10-IF(Skills!E10=TRUE,Inputs!$B$32,0))))+1)),0)</f>
        <v/>
      </c>
      <c r="S668">
        <f>IFERROR(O668/N668,0)</f>
        <v/>
      </c>
    </row>
    <row r="669">
      <c r="A669">
        <f>Skills!A11</f>
        <v/>
      </c>
      <c r="B669">
        <f>Skills!B11</f>
        <v/>
      </c>
      <c r="C669">
        <f>Inputs!$B$3&gt;=103</f>
        <v/>
      </c>
      <c r="D669">
        <f>IF(Skills!C11=1,60+Inputs!$B$25+Inputs!$B$29,IF(Skills!C11=2,90+Inputs!$B$26+Inputs!$B$29,IF(Skills!C11=3,120+Inputs!$B$27+Inputs!$B$29,MAX(0,(Inputs!$B$3-100)*3)+Inputs!$B$28+Inputs!$B$29)))</f>
        <v/>
      </c>
      <c r="E669">
        <f>INDEX(FactorTable!$B$2:$Y$301, MATCH(ROUND(MIN(300,MAX(1,D669)),0), FactorTable!$A$2:$A$301,0), Skills!M11+1)</f>
        <v/>
      </c>
      <c r="F669">
        <f>(Skills!L11/10)*(E669/1000)+IF(Inputs!$B$3&gt;=134,50,0)+0.5*(30000/10)*(INDEX(FactorTable!$B$2:$Y$301, MATCH(ROUND(MIN(300,MAX(1,D669)),0), FactorTable!$A$2:$A$301,0), 13)/1000)*B701</f>
        <v/>
      </c>
      <c r="G669">
        <f>Skills!G11*IF(Skills!H11&gt;0,Skills!I11/Skills!H11,1)</f>
        <v/>
      </c>
      <c r="H669">
        <f>1-(1-Skills!J11/100)^Skills!K11</f>
        <v/>
      </c>
      <c r="I669" t="inlineStr">
        <is>
          <t>1</t>
        </is>
      </c>
      <c r="J669">
        <f>((Inputs!$B$6*(1+Inputs!$B$7/100))+(((Inputs!$B$12*(1+Inputs!$B$13/100))-(Inputs!$B$12*(1+Inputs!$B$13/100)))+0.25*(Inputs!$B$14-Inputs!$B$14))*(1+Inputs!$B$7/100))*(F669/100)</f>
        <v/>
      </c>
      <c r="K669">
        <f>J669*(1+((Inputs!$B$12*(1+Inputs!$B$13/100))*0.01+Inputs!$B$14*0.0025)/100)*(1+Inputs!$B$15/100)*(1+IF(Inputs!$B$39="pvp",0,(1-Summary!$B$55)*(Inputs!$B$20+0+Skills!P11+B692)+Summary!$B$55*(Inputs!$B$21+Skills!Q11+B692))/100)*(1+Inputs!$B$16/100)*(5000/(6000+Inputs!$B$43*(1-((1-(1-Inputs!$B$19/100)*(1-1/100))*100)/100)))*(1+(Inputs!$B$24+((C688=TRUE)*(F688-Calc!F30)))/100)*(1+(IF(Skills!A11="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669)</f>
        <v/>
      </c>
      <c r="L669">
        <f>K669*(MIN(Inputs!$B$22+((C682=TRUE)*(F682-Calc!F24)),Inputs!$B$23+((C687=TRUE)*(F687-Calc!F29)))/100+(Inputs!$B$23+((C687=TRUE)*(F687-Calc!F29)))/100)/2</f>
        <v/>
      </c>
      <c r="M669">
        <f>L669*(1+(Inputs!$B$10+((C684=TRUE)*(F684-Calc!F26))+B698)/100)</f>
        <v/>
      </c>
      <c r="N669">
        <f>L669*(1-MIN((Inputs!$B$9+((C683=TRUE)*(F683-Calc!F25))+B691),100)/100)+M669*(MIN((Inputs!$B$9+((C683=TRUE)*(F683-Calc!F25))+B691),100)/100)</f>
        <v/>
      </c>
      <c r="O669">
        <f>IF(C669,H669*N669*IF(AND(Inputs!$B$39&lt;&gt;"pvp",Inputs!$B$44&gt;0),((Skills!G11*((R669-1)*IF(Skills!H11&gt;0,Skills!I11/Skills!H11,1)+IF(Skills!H11&gt;0,MIN(Skills!I11,MAX(0,MAX(0,Inputs!$B$44-B702)-((R669-1)*IF(Inputs!$B$39="pvp",15,MAX(0.1,Skills!D11-IF(Skills!E11=TRUE,Inputs!$B$32,0))))))/Skills!H11,1)))/Inputs!$B$44),G669*Q669)*IF(Inputs!$B$39="pvp",1,(1-Summary!$B$55)*(1)+Summary!$B$55*(MIN(Skills!W11,Inputs!$B$37))),0)</f>
        <v/>
      </c>
      <c r="P669">
        <f>IF(B703=0,0,O669/B703)</f>
        <v/>
      </c>
      <c r="Q669">
        <f>IFERROR(1/IF(Inputs!$B$39="pvp",15,MAX(0.1,Skills!D11-IF(Skills!E11=TRUE,Inputs!$B$32,0))),0)</f>
        <v/>
      </c>
      <c r="R669">
        <f>IF(AND(Inputs!$B$39&lt;&gt;"pvp",Inputs!$B$44&gt;0),IF(MAX(0,Inputs!$B$44-B702)&lt;=0,0,(INT(MAX(0,Inputs!$B$44-B702)/IF(Inputs!$B$39="pvp",15,MAX(0.1,Skills!D11-IF(Skills!E11=TRUE,Inputs!$B$32,0))))+1)),0)</f>
        <v/>
      </c>
      <c r="S669">
        <f>IFERROR(O669/N669,0)</f>
        <v/>
      </c>
    </row>
    <row r="670">
      <c r="A670">
        <f>Skills!A12</f>
        <v/>
      </c>
      <c r="B670">
        <f>Skills!B12</f>
        <v/>
      </c>
      <c r="C670">
        <f>Inputs!$B$3&gt;=105</f>
        <v/>
      </c>
      <c r="D670">
        <f>IF(Skills!C12=1,60+Inputs!$B$25+Inputs!$B$29,IF(Skills!C12=2,90+Inputs!$B$26+Inputs!$B$29,IF(Skills!C12=3,120+Inputs!$B$27+Inputs!$B$29,MAX(0,(Inputs!$B$3-100)*3)+Inputs!$B$28+Inputs!$B$29)))</f>
        <v/>
      </c>
      <c r="E670">
        <f>INDEX(FactorTable!$B$2:$Y$301, MATCH(ROUND(MIN(300,MAX(1,D670)),0), FactorTable!$A$2:$A$301,0), Skills!M12+1)</f>
        <v/>
      </c>
      <c r="F670">
        <f>IF(Skills!N12=TRUE,(Skills!L12/10)*(E670/1000),Skills!L12/10)+Skills!O12</f>
        <v/>
      </c>
      <c r="G670">
        <f>Skills!G12*IF(Skills!H12&gt;0,Skills!I12/Skills!H12,1)</f>
        <v/>
      </c>
      <c r="H670">
        <f>1-(1-Skills!J12/100)^Skills!K12</f>
        <v/>
      </c>
      <c r="I670" t="inlineStr">
        <is>
          <t>1</t>
        </is>
      </c>
      <c r="J670">
        <f>((Inputs!$B$6*(1+Inputs!$B$7/100))+(((Inputs!$B$12*(1+Inputs!$B$13/100))-(Inputs!$B$12*(1+Inputs!$B$13/100)))+0.25*(Inputs!$B$14-Inputs!$B$14))*(1+Inputs!$B$7/100))*(F670/100)</f>
        <v/>
      </c>
      <c r="K670">
        <f>J670*(1+((Inputs!$B$12*(1+Inputs!$B$13/100))*0.01+Inputs!$B$14*0.0025)/100)*(1+Inputs!$B$15/100)*(1+IF(Inputs!$B$39="pvp",0,(1-Summary!$B$55)*(Inputs!$B$20+0+Skills!P12+B692)+Summary!$B$55*(Inputs!$B$21+Skills!Q12+B692))/100)*(1+Inputs!$B$16/100)*(5000/(6000+Inputs!$B$43*(1-((1-(1-Inputs!$B$19/100)*(1-1/100))*100)/100)))*(1+(Inputs!$B$24+((C688=TRUE)*(F688-Calc!F30)))/100)*(1+(IF(Skills!A12="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670)</f>
        <v/>
      </c>
      <c r="L670">
        <f>K670*(MIN(Inputs!$B$22+((C682=TRUE)*(F682-Calc!F24)),Inputs!$B$23+((C687=TRUE)*(F687-Calc!F29)))/100+(Inputs!$B$23+((C687=TRUE)*(F687-Calc!F29)))/100)/2</f>
        <v/>
      </c>
      <c r="M670">
        <f>L670*(1+(Inputs!$B$10+((C684=TRUE)*(F684-Calc!F26))+B698)/100)</f>
        <v/>
      </c>
      <c r="N670">
        <f>L670*(1-MIN((Inputs!$B$9+((C683=TRUE)*(F683-Calc!F25))+B691),100)/100)+M670*(MIN((Inputs!$B$9+((C683=TRUE)*(F683-Calc!F25))+B691),100)/100)</f>
        <v/>
      </c>
      <c r="O670">
        <f>IF(C670,H670*N670*IF(AND(Inputs!$B$39&lt;&gt;"pvp",Inputs!$B$44&gt;0),((Skills!G12*((R670-1)*IF(Skills!H12&gt;0,Skills!I12/Skills!H12,1)+IF(Skills!H12&gt;0,MIN(Skills!I12,MAX(0,MAX(0,Inputs!$B$44-B702)-((R670-1)*IF(Inputs!$B$39="pvp",15,MAX(0.1,Skills!D12-IF(Skills!E12=TRUE,Inputs!$B$32,0))))))/Skills!H12,1)))/Inputs!$B$44),G670*Q670)*IF(Inputs!$B$39="pvp",1,(1-Summary!$B$55)*(1)+Summary!$B$55*(MIN(Skills!W12,Inputs!$B$37))),0)</f>
        <v/>
      </c>
      <c r="P670">
        <f>IF(B703=0,0,O670/B703)</f>
        <v/>
      </c>
      <c r="Q670">
        <f>IFERROR(1/IF(Inputs!$B$39="pvp",15,MAX(0.1,Skills!D12-IF(Skills!E12=TRUE,Inputs!$B$32,0))),0)</f>
        <v/>
      </c>
      <c r="R670">
        <f>IF(AND(Inputs!$B$39&lt;&gt;"pvp",Inputs!$B$44&gt;0),IF(MAX(0,Inputs!$B$44-B702)&lt;=0,0,(INT(MAX(0,Inputs!$B$44-B702)/IF(Inputs!$B$39="pvp",15,MAX(0.1,Skills!D12-IF(Skills!E12=TRUE,Inputs!$B$32,0))))+1)),0)</f>
        <v/>
      </c>
      <c r="S670">
        <f>IFERROR(O670/N670,0)</f>
        <v/>
      </c>
    </row>
    <row r="671">
      <c r="A671">
        <f>Skills!A13</f>
        <v/>
      </c>
      <c r="B671">
        <f>Skills!B13</f>
        <v/>
      </c>
      <c r="C671">
        <f>Inputs!$B$3&gt;=105</f>
        <v/>
      </c>
      <c r="D671">
        <f>IF(Skills!C13=1,60+Inputs!$B$25+Inputs!$B$29,IF(Skills!C13=2,90+Inputs!$B$26+Inputs!$B$29,IF(Skills!C13=3,120+Inputs!$B$27+Inputs!$B$29,MAX(0,(Inputs!$B$3-100)*3)+Inputs!$B$28+Inputs!$B$29)))</f>
        <v/>
      </c>
      <c r="E671">
        <f>INDEX(FactorTable!$B$2:$Y$301, MATCH(ROUND(MIN(300,MAX(1,D671)),0), FactorTable!$A$2:$A$301,0), Skills!M13+1)</f>
        <v/>
      </c>
      <c r="F671">
        <f>IF(Skills!N13=TRUE,(Skills!L13/10)*(E671/1000),Skills!L13/10)+Skills!O13</f>
        <v/>
      </c>
      <c r="G671">
        <f>Skills!G13*IF(Skills!H13&gt;0,Skills!I13/Skills!H13,1)</f>
        <v/>
      </c>
      <c r="H671">
        <f>1-(1-Skills!J13/100)^Skills!K13</f>
        <v/>
      </c>
      <c r="I671" t="inlineStr">
        <is>
          <t>1</t>
        </is>
      </c>
      <c r="J671">
        <f>((Inputs!$B$6*(1+Inputs!$B$7/100))+(((Inputs!$B$12*(1+Inputs!$B$13/100))-(Inputs!$B$12*(1+Inputs!$B$13/100)))+0.25*(Inputs!$B$14-Inputs!$B$14))*(1+Inputs!$B$7/100))*(F671/100)</f>
        <v/>
      </c>
      <c r="K671">
        <f>J671*(1+((Inputs!$B$12*(1+Inputs!$B$13/100))*0.01+Inputs!$B$14*0.0025)/100)*(1+Inputs!$B$15/100)*(1+IF(Inputs!$B$39="pvp",0,(1-Summary!$B$55)*(Inputs!$B$20+0+Skills!P13+B692)+Summary!$B$55*(Inputs!$B$21+Skills!Q13+B692))/100)*(1+Inputs!$B$16/100)*(5000/(6000+Inputs!$B$43*(1-((1-(1-Inputs!$B$19/100)*(1-1/100))*100)/100)))*(1+(Inputs!$B$24+((C688=TRUE)*(F688-Calc!F30)))/100)*(1+(IF(Skills!A13="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671)</f>
        <v/>
      </c>
      <c r="L671">
        <f>K671*(MIN(Inputs!$B$22+((C682=TRUE)*(F682-Calc!F24)),Inputs!$B$23+((C687=TRUE)*(F687-Calc!F29)))/100+(Inputs!$B$23+((C687=TRUE)*(F687-Calc!F29)))/100)/2</f>
        <v/>
      </c>
      <c r="M671">
        <f>L671*(1+(Inputs!$B$10+((C684=TRUE)*(F684-Calc!F26))+B698)/100)</f>
        <v/>
      </c>
      <c r="N671">
        <f>L671*(1-MIN((Inputs!$B$9+((C683=TRUE)*(F683-Calc!F25))+B691),100)/100)+M671*(MIN((Inputs!$B$9+((C683=TRUE)*(F683-Calc!F25))+B691),100)/100)</f>
        <v/>
      </c>
      <c r="O671">
        <f>IF(C671,H671*N671*IF(AND(Inputs!$B$39&lt;&gt;"pvp",Inputs!$B$44&gt;0),((Skills!G13*((R671-1)*IF(Skills!H13&gt;0,Skills!I13/Skills!H13,1)+IF(Skills!H13&gt;0,MIN(Skills!I13,MAX(0,MAX(0,Inputs!$B$44-B702)-((R671-1)*IF(Inputs!$B$39="pvp",15,MAX(0.1,Skills!D13-IF(Skills!E13=TRUE,Inputs!$B$32,0))))))/Skills!H13,1)))/Inputs!$B$44),G671*Q671)*IF(Inputs!$B$39="pvp",1,(1-Summary!$B$55)*(1)+Summary!$B$55*(MIN(Skills!W13,Inputs!$B$37))),0)</f>
        <v/>
      </c>
      <c r="P671">
        <f>IF(B703=0,0,O671/B703)</f>
        <v/>
      </c>
      <c r="Q671">
        <f>IFERROR(1/IF(Inputs!$B$39="pvp",15,MAX(0.1,Skills!D13-IF(Skills!E13=TRUE,Inputs!$B$32,0))),0)</f>
        <v/>
      </c>
      <c r="R671">
        <f>IF(AND(Inputs!$B$39&lt;&gt;"pvp",Inputs!$B$44&gt;0),IF(MAX(0,Inputs!$B$44-B702)&lt;=0,0,(INT(MAX(0,Inputs!$B$44-B702)/IF(Inputs!$B$39="pvp",15,MAX(0.1,Skills!D13-IF(Skills!E13=TRUE,Inputs!$B$32,0))))+1)),0)</f>
        <v/>
      </c>
      <c r="S671">
        <f>IFERROR(O671/N671,0)</f>
        <v/>
      </c>
    </row>
    <row r="672">
      <c r="A672">
        <f>Skills!A14</f>
        <v/>
      </c>
      <c r="B672">
        <f>Skills!B14</f>
        <v/>
      </c>
      <c r="C672">
        <f>Inputs!$B$3&gt;=107</f>
        <v/>
      </c>
      <c r="D672">
        <f>IF(Skills!C14=1,60+Inputs!$B$25+Inputs!$B$29,IF(Skills!C14=2,90+Inputs!$B$26+Inputs!$B$29,IF(Skills!C14=3,120+Inputs!$B$27+Inputs!$B$29,MAX(0,(Inputs!$B$3-100)*3)+Inputs!$B$28+Inputs!$B$29)))</f>
        <v/>
      </c>
      <c r="E672">
        <f>INDEX(FactorTable!$B$2:$Y$301, MATCH(ROUND(MIN(300,MAX(1,D672)),0), FactorTable!$A$2:$A$301,0), Skills!M14+1)</f>
        <v/>
      </c>
      <c r="F672">
        <f>IF(Skills!N14=TRUE,(Skills!L14/10)*(E672/1000),Skills!L14/10)+Skills!O14</f>
        <v/>
      </c>
      <c r="G672">
        <f>Skills!G14*IF(Skills!H14&gt;0,Skills!I14/Skills!H14,1)</f>
        <v/>
      </c>
      <c r="H672">
        <f>1-(1-Skills!J14/100)^Skills!K14</f>
        <v/>
      </c>
      <c r="I672" t="inlineStr">
        <is>
          <t>1</t>
        </is>
      </c>
      <c r="J672">
        <f>((Inputs!$B$6*(1+Inputs!$B$7/100))+(((Inputs!$B$12*(1+Inputs!$B$13/100))-(Inputs!$B$12*(1+Inputs!$B$13/100)))+0.25*(Inputs!$B$14-Inputs!$B$14))*(1+Inputs!$B$7/100))*(F672/100)</f>
        <v/>
      </c>
      <c r="K672">
        <f>J672*(1+((Inputs!$B$12*(1+Inputs!$B$13/100))*0.01+Inputs!$B$14*0.0025)/100)*(1+Inputs!$B$15/100)*(1+IF(Inputs!$B$39="pvp",0,(1-Summary!$B$55)*(Inputs!$B$20+0+Skills!P14+B692)+Summary!$B$55*(Inputs!$B$21+Skills!Q14+B692))/100)*(1+Inputs!$B$16/100)*(5000/(6000+Inputs!$B$43*(1-((1-(1-Inputs!$B$19/100)*(1-1/100))*100)/100)))*(1+(Inputs!$B$24+((C688=TRUE)*(F688-Calc!F30)))/100)*(1+(IF(Skills!A14="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672)</f>
        <v/>
      </c>
      <c r="L672">
        <f>K672*(MIN(Inputs!$B$22+((C682=TRUE)*(F682-Calc!F24)),Inputs!$B$23+((C687=TRUE)*(F687-Calc!F29)))/100+(Inputs!$B$23+((C687=TRUE)*(F687-Calc!F29)))/100)/2</f>
        <v/>
      </c>
      <c r="M672">
        <f>L672*(1+(Inputs!$B$10+((C684=TRUE)*(F684-Calc!F26))+B698)/100)</f>
        <v/>
      </c>
      <c r="N672">
        <f>L672*(1-MIN((Inputs!$B$9+((C683=TRUE)*(F683-Calc!F25))+B691),100)/100)+M672*(MIN((Inputs!$B$9+((C683=TRUE)*(F683-Calc!F25))+B691),100)/100)</f>
        <v/>
      </c>
      <c r="O672">
        <f>IF(C672,H672*N672*IF(AND(Inputs!$B$39&lt;&gt;"pvp",Inputs!$B$44&gt;0),((Skills!G14*((R672-1)*IF(Skills!H14&gt;0,Skills!I14/Skills!H14,1)+IF(Skills!H14&gt;0,MIN(Skills!I14,MAX(0,MAX(0,Inputs!$B$44-B702)-((R672-1)*IF(Inputs!$B$39="pvp",15,MAX(0.1,Skills!D14-IF(Skills!E14=TRUE,Inputs!$B$32,0))))))/Skills!H14,1)))/Inputs!$B$44),G672*Q672)*IF(Inputs!$B$39="pvp",1,(1-Summary!$B$55)*(1)+Summary!$B$55*(MIN(MIN(5,0.25*B695*Skills!D4)*Skills!V14,Inputs!$B$37))),0)</f>
        <v/>
      </c>
      <c r="P672">
        <f>IF(B703=0,0,O672/B703)</f>
        <v/>
      </c>
      <c r="Q672">
        <f>IFERROR(1/IF(Inputs!$B$39="pvp",15,MAX(0.1,Skills!D14-IF(Skills!E14=TRUE,Inputs!$B$32,0))),0)</f>
        <v/>
      </c>
      <c r="R672">
        <f>IF(AND(Inputs!$B$39&lt;&gt;"pvp",Inputs!$B$44&gt;0),IF(MAX(0,Inputs!$B$44-B702)&lt;=0,0,(INT(MAX(0,Inputs!$B$44-B702)/IF(Inputs!$B$39="pvp",15,MAX(0.1,Skills!D14-IF(Skills!E14=TRUE,Inputs!$B$32,0))))+1)),0)</f>
        <v/>
      </c>
      <c r="S672">
        <f>IFERROR(O672/N672,0)</f>
        <v/>
      </c>
    </row>
    <row r="673">
      <c r="A673">
        <f>Skills!A15</f>
        <v/>
      </c>
      <c r="B673">
        <f>Skills!B15</f>
        <v/>
      </c>
      <c r="C673">
        <f>Inputs!$B$3&gt;=110</f>
        <v/>
      </c>
      <c r="D673">
        <f>IF(Skills!C15=1,60+Inputs!$B$25+Inputs!$B$29,IF(Skills!C15=2,90+Inputs!$B$26+Inputs!$B$29,IF(Skills!C15=3,120+Inputs!$B$27+Inputs!$B$29,MAX(0,(Inputs!$B$3-100)*3)+Inputs!$B$28+Inputs!$B$29)))</f>
        <v/>
      </c>
      <c r="E673">
        <f>INDEX(FactorTable!$B$2:$Y$301, MATCH(ROUND(MIN(300,MAX(1,D673)),0), FactorTable!$A$2:$A$301,0), Skills!M15+1)</f>
        <v/>
      </c>
      <c r="F673">
        <f>IF(Skills!N15=TRUE,(Skills!L15/10)*(E673/1000),Skills!L15/10)+Skills!O15</f>
        <v/>
      </c>
      <c r="G673">
        <f>Skills!G15*IF(Skills!H15&gt;0,Skills!I15/Skills!H15,1)</f>
        <v/>
      </c>
      <c r="H673">
        <f>1-(1-Skills!J15/100)^Skills!K15</f>
        <v/>
      </c>
      <c r="I673" t="inlineStr">
        <is>
          <t>1</t>
        </is>
      </c>
      <c r="J673" t="inlineStr"/>
      <c r="K673" t="inlineStr"/>
      <c r="L673" t="inlineStr"/>
      <c r="M673" t="inlineStr"/>
      <c r="N673" t="inlineStr"/>
      <c r="O673" t="n">
        <v>0</v>
      </c>
      <c r="P673">
        <f>IF(B703=0,0,O673/B703)</f>
        <v/>
      </c>
      <c r="Q673">
        <f>IFERROR(1/IF(Inputs!$B$39="pvp",15,MAX(0.1,Skills!D15-IF(Skills!E15=TRUE,Inputs!$B$32,0))),0)</f>
        <v/>
      </c>
      <c r="R673">
        <f>IF(AND(Inputs!$B$39&lt;&gt;"pvp",Inputs!$B$44&gt;0),IF(Inputs!$B$44&lt;=0,0,(INT(Inputs!$B$44/IF(Inputs!$B$39="pvp",15,MAX(0.1,Skills!D15-IF(Skills!E15=TRUE,Inputs!$B$32,0))))+1)),0)</f>
        <v/>
      </c>
      <c r="S673">
        <f>IFERROR(O673/N673,0)</f>
        <v/>
      </c>
    </row>
    <row r="674">
      <c r="A674">
        <f>Skills!A16</f>
        <v/>
      </c>
      <c r="B674">
        <f>Skills!B16</f>
        <v/>
      </c>
      <c r="C674">
        <f>Inputs!$B$3&gt;=115</f>
        <v/>
      </c>
      <c r="D674">
        <f>IF(Skills!C16=1,60+Inputs!$B$25+Inputs!$B$29,IF(Skills!C16=2,90+Inputs!$B$26+Inputs!$B$29,IF(Skills!C16=3,120+Inputs!$B$27+Inputs!$B$29,MAX(0,(Inputs!$B$3-100)*3)+Inputs!$B$28+Inputs!$B$29)))</f>
        <v/>
      </c>
      <c r="E674">
        <f>INDEX(FactorTable!$B$2:$Y$301, MATCH(ROUND(MIN(300,MAX(1,D674)),0), FactorTable!$A$2:$A$301,0), Skills!M16+1)</f>
        <v/>
      </c>
      <c r="F674">
        <f>IF(Skills!N16=TRUE,(Skills!L16/10)*(E674/1000),Skills!L16/10)+Skills!O16</f>
        <v/>
      </c>
      <c r="G674">
        <f>Skills!G16*IF(Skills!H16&gt;0,Skills!I16/Skills!H16,1)</f>
        <v/>
      </c>
      <c r="H674">
        <f>1-(1-Skills!J16/100)^Skills!K16</f>
        <v/>
      </c>
      <c r="I674" t="inlineStr">
        <is>
          <t>1</t>
        </is>
      </c>
      <c r="J674">
        <f>((Inputs!$B$6*(1+Inputs!$B$7/100))+(((Inputs!$B$12*(1+Inputs!$B$13/100))-(Inputs!$B$12*(1+Inputs!$B$13/100)))+0.25*(Inputs!$B$14-Inputs!$B$14))*(1+Inputs!$B$7/100))*(F674/100)</f>
        <v/>
      </c>
      <c r="K674">
        <f>J674*(1+((Inputs!$B$12*(1+Inputs!$B$13/100))*0.01+Inputs!$B$14*0.0025)/100)*(1+Inputs!$B$15/100)*(1+IF(Inputs!$B$39="pvp",0,(1-Summary!$B$55)*(Inputs!$B$20+0+Skills!P16+B692)+Summary!$B$55*(Inputs!$B$21+Skills!Q16+B692))/100)*(1+Inputs!$B$16/100)*(5000/(6000+Inputs!$B$43*(1-((1-(1-Inputs!$B$19/100)*(1-1/100))*100)/100)))*(1+(Inputs!$B$24+((C688=TRUE)*(F688-Calc!F30)))/100)*(1+(IF(Skills!A16="CRUEL_STAB",Inputs!$B$17+((C685=TRUE)*(F685-Calc!F27)),Inputs!$B$18+((C686=TRUE)*(F686-Calc!F28))))/100)*(((1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B693*I674)</f>
        <v/>
      </c>
      <c r="L674">
        <f>K674*(MIN(Inputs!$B$22+((C682=TRUE)*(F682-Calc!F24)),Inputs!$B$23+((C687=TRUE)*(F687-Calc!F29)))/100+(Inputs!$B$23+((C687=TRUE)*(F687-Calc!F29)))/100)/2</f>
        <v/>
      </c>
      <c r="M674">
        <f>L674*(1+(Inputs!$B$10+((C684=TRUE)*(F684-Calc!F26))+B698)/100)</f>
        <v/>
      </c>
      <c r="N674">
        <f>L674*(1-MIN((Inputs!$B$9+((C683=TRUE)*(F683-Calc!F25))+B691),100)/100)+M674*(MIN((Inputs!$B$9+((C683=TRUE)*(F683-Calc!F25))+B691),100)/100)</f>
        <v/>
      </c>
      <c r="O674">
        <f>IF(C674,Inputs!$B$38*0.2*N674,0)</f>
        <v/>
      </c>
      <c r="P674">
        <f>IF(B703=0,0,O674/B703)</f>
        <v/>
      </c>
      <c r="Q674" t="n">
        <v>0</v>
      </c>
      <c r="R674" t="n">
        <v>0</v>
      </c>
      <c r="S674">
        <f>IFERROR(O674/N674,0)</f>
        <v/>
      </c>
    </row>
    <row r="675">
      <c r="A675">
        <f>Skills!A17</f>
        <v/>
      </c>
      <c r="B675">
        <f>Skills!B17</f>
        <v/>
      </c>
      <c r="C675">
        <f>Inputs!$B$3&gt;=115</f>
        <v/>
      </c>
      <c r="D675">
        <f>IF(Skills!C17=1,60+Inputs!$B$25+Inputs!$B$29,IF(Skills!C17=2,90+Inputs!$B$26+Inputs!$B$29,IF(Skills!C17=3,120+Inputs!$B$27+Inputs!$B$29,MAX(0,(Inputs!$B$3-100)*3)+Inputs!$B$28+Inputs!$B$29)))</f>
        <v/>
      </c>
      <c r="E675">
        <f>INDEX(FactorTable!$B$2:$Y$301, MATCH(ROUND(MIN(300,MAX(1,D675)),0), FactorTable!$A$2:$A$301,0), Skills!M17+1)</f>
        <v/>
      </c>
      <c r="F675">
        <f>IF(Skills!N17=TRUE,(Skills!L17/10)*(E675/1000),Skills!L17/10)+Skills!O17</f>
        <v/>
      </c>
      <c r="G675">
        <f>Skills!G17*IF(Skills!H17&gt;0,Skills!I17/Skills!H17,1)</f>
        <v/>
      </c>
      <c r="H675">
        <f>1-(1-Skills!J17/100)^Skills!K17</f>
        <v/>
      </c>
      <c r="I675" t="inlineStr">
        <is>
          <t>1</t>
        </is>
      </c>
      <c r="J675" t="inlineStr"/>
      <c r="K675" t="inlineStr"/>
      <c r="L675" t="inlineStr"/>
      <c r="M675" t="inlineStr"/>
      <c r="N675" t="inlineStr"/>
      <c r="O675" t="n">
        <v>0</v>
      </c>
      <c r="P675">
        <f>IF(B703=0,0,O675/B703)</f>
        <v/>
      </c>
      <c r="Q675" t="n">
        <v>0</v>
      </c>
      <c r="R675" t="n">
        <v>0</v>
      </c>
      <c r="S675">
        <f>IFERROR(O675/N675,0)</f>
        <v/>
      </c>
    </row>
    <row r="676">
      <c r="A676">
        <f>Skills!A18</f>
        <v/>
      </c>
      <c r="B676">
        <f>Skills!B18</f>
        <v/>
      </c>
      <c r="C676">
        <f>Inputs!$B$3&gt;=100</f>
        <v/>
      </c>
      <c r="D676">
        <f>IF(Skills!C18=1,60+Inputs!$B$25+Inputs!$B$29,IF(Skills!C18=2,90+Inputs!$B$26+Inputs!$B$29,IF(Skills!C18=3,120+Inputs!$B$27+Inputs!$B$29,MAX(0,(Inputs!$B$3-100)*3)+Inputs!$B$28+Inputs!$B$29)))</f>
        <v/>
      </c>
      <c r="E676">
        <f>INDEX(FactorTable!$B$2:$Y$301, MATCH(ROUND(MIN(300,MAX(1,D676)),0), FactorTable!$A$2:$A$301,0), Skills!M18+1)</f>
        <v/>
      </c>
      <c r="F676">
        <f>IF(Skills!N18=TRUE,(Skills!L18/10)*(E676/1000),Skills!L18/10)+Skills!O18</f>
        <v/>
      </c>
      <c r="G676">
        <f>Skills!G18*IF(Skills!H18&gt;0,Skills!I18/Skills!H18,1)</f>
        <v/>
      </c>
      <c r="H676">
        <f>1-(1-Skills!J18/100)^Skills!K18</f>
        <v/>
      </c>
      <c r="I676" t="inlineStr">
        <is>
          <t>1</t>
        </is>
      </c>
      <c r="J676" t="inlineStr"/>
      <c r="K676" t="inlineStr"/>
      <c r="L676" t="inlineStr"/>
      <c r="M676" t="inlineStr"/>
      <c r="N676" t="inlineStr"/>
      <c r="O676" t="n">
        <v>0</v>
      </c>
      <c r="P676">
        <f>IF(B703=0,0,O676/B703)</f>
        <v/>
      </c>
      <c r="Q676" t="n">
        <v>0</v>
      </c>
      <c r="R676" t="n">
        <v>0</v>
      </c>
      <c r="S676">
        <f>IFERROR(O676/N676,0)</f>
        <v/>
      </c>
    </row>
    <row r="677">
      <c r="A677">
        <f>Skills!A19</f>
        <v/>
      </c>
      <c r="B677">
        <f>Skills!B19</f>
        <v/>
      </c>
      <c r="C677">
        <f>TRUE</f>
        <v/>
      </c>
      <c r="D677">
        <f>IF(Skills!C19=1,60+Inputs!$B$25+Inputs!$B$29,IF(Skills!C19=2,90+Inputs!$B$26+Inputs!$B$29,IF(Skills!C19=3,120+Inputs!$B$27+Inputs!$B$29,MAX(0,(Inputs!$B$3-100)*3)+Inputs!$B$28+Inputs!$B$29)))</f>
        <v/>
      </c>
      <c r="E677">
        <f>INDEX(FactorTable!$B$2:$Y$301, MATCH(ROUND(MIN(300,MAX(1,D677)),0), FactorTable!$A$2:$A$301,0), Skills!M19+1)</f>
        <v/>
      </c>
      <c r="F677">
        <f>IF(Skills!N19=TRUE,(Skills!L19/10)*(E677/1000),Skills!L19/10)+Skills!O19</f>
        <v/>
      </c>
      <c r="G677">
        <f>Skills!G19*IF(Skills!H19&gt;0,Skills!I19/Skills!H19,1)</f>
        <v/>
      </c>
      <c r="H677">
        <f>1-(1-Skills!J19/100)^Skills!K19</f>
        <v/>
      </c>
      <c r="I677" t="inlineStr">
        <is>
          <t>1</t>
        </is>
      </c>
      <c r="J677" t="inlineStr"/>
      <c r="K677" t="inlineStr"/>
      <c r="L677" t="inlineStr"/>
      <c r="M677" t="inlineStr"/>
      <c r="N677" t="inlineStr"/>
      <c r="O677" t="n">
        <v>0</v>
      </c>
      <c r="P677">
        <f>IF(B703=0,0,O677/B703)</f>
        <v/>
      </c>
      <c r="Q677">
        <f>IFERROR(1/IF(Inputs!$B$39="pvp",15,MAX(0.1,Skills!D19-IF(Skills!E19=TRUE,Inputs!$B$32,0))),0)</f>
        <v/>
      </c>
      <c r="R677">
        <f>IF(AND(Inputs!$B$39&lt;&gt;"pvp",Inputs!$B$44&gt;0),IF(Inputs!$B$44&lt;=0,0,(INT(Inputs!$B$44/IF(Inputs!$B$39="pvp",15,MAX(0.1,Skills!D19-IF(Skills!E19=TRUE,Inputs!$B$32,0))))+1)),0)</f>
        <v/>
      </c>
      <c r="S677">
        <f>IFERROR(O677/N677,0)</f>
        <v/>
      </c>
    </row>
    <row r="678">
      <c r="A678">
        <f>Skills!A20</f>
        <v/>
      </c>
      <c r="B678">
        <f>Skills!B20</f>
        <v/>
      </c>
      <c r="C678">
        <f>Inputs!$B$3&gt;=15</f>
        <v/>
      </c>
      <c r="D678">
        <f>IF(Skills!C20=1,60+Inputs!$B$25+Inputs!$B$29,IF(Skills!C20=2,90+Inputs!$B$26+Inputs!$B$29,IF(Skills!C20=3,120+Inputs!$B$27+Inputs!$B$29,MAX(0,(Inputs!$B$3-100)*3)+Inputs!$B$28+Inputs!$B$29)))</f>
        <v/>
      </c>
      <c r="E678">
        <f>INDEX(FactorTable!$B$2:$Y$301, MATCH(ROUND(MIN(300,MAX(1,D678)),0), FactorTable!$A$2:$A$301,0), Skills!M20+1)</f>
        <v/>
      </c>
      <c r="F678">
        <f>IF(Skills!N20=TRUE,(Skills!L20/10)*(E678/1000),Skills!L20/10)+Skills!O20</f>
        <v/>
      </c>
      <c r="G678">
        <f>Skills!G20*IF(Skills!H20&gt;0,Skills!I20/Skills!H20,1)</f>
        <v/>
      </c>
      <c r="H678">
        <f>1-(1-Skills!J20/100)^Skills!K20</f>
        <v/>
      </c>
      <c r="I678" t="inlineStr">
        <is>
          <t>1</t>
        </is>
      </c>
      <c r="J678" t="inlineStr"/>
      <c r="K678" t="inlineStr"/>
      <c r="L678" t="inlineStr"/>
      <c r="M678" t="inlineStr"/>
      <c r="N678" t="inlineStr"/>
      <c r="O678" t="n">
        <v>0</v>
      </c>
      <c r="P678">
        <f>IF(B703=0,0,O678/B703)</f>
        <v/>
      </c>
      <c r="Q678">
        <f>IFERROR(1/IF(Inputs!$B$39="pvp",15,MAX(0.1,Skills!D20-IF(Skills!E20=TRUE,Inputs!$B$32,0))),0)</f>
        <v/>
      </c>
      <c r="R678">
        <f>IF(AND(Inputs!$B$39&lt;&gt;"pvp",Inputs!$B$44&gt;0),IF(Inputs!$B$44&lt;=0,0,(INT(Inputs!$B$44/IF(Inputs!$B$39="pvp",15,MAX(0.1,Skills!D20-IF(Skills!E20=TRUE,Inputs!$B$32,0))))+1)),0)</f>
        <v/>
      </c>
      <c r="S678">
        <f>IFERROR(O678/N678,0)</f>
        <v/>
      </c>
    </row>
    <row r="679">
      <c r="A679">
        <f>Skills!A21</f>
        <v/>
      </c>
      <c r="B679">
        <f>Skills!B21</f>
        <v/>
      </c>
      <c r="C679">
        <f>Inputs!$B$3&gt;=15</f>
        <v/>
      </c>
      <c r="D679">
        <f>IF(Skills!C21=1,60+Inputs!$B$25+Inputs!$B$29,IF(Skills!C21=2,90+Inputs!$B$26+Inputs!$B$29,IF(Skills!C21=3,120+Inputs!$B$27+Inputs!$B$29,MAX(0,(Inputs!$B$3-100)*3)+Inputs!$B$28+Inputs!$B$29)))</f>
        <v/>
      </c>
      <c r="E679">
        <f>INDEX(FactorTable!$B$2:$Y$301, MATCH(ROUND(MIN(300,MAX(1,D679)),0), FactorTable!$A$2:$A$301,0), Skills!M21+1)</f>
        <v/>
      </c>
      <c r="F679">
        <f>IF(Skills!N21=TRUE,(Skills!L21/10)*(E679/1000),Skills!L21/10)+Skills!O21</f>
        <v/>
      </c>
      <c r="G679">
        <f>Skills!G21*IF(Skills!H21&gt;0,Skills!I21/Skills!H21,1)</f>
        <v/>
      </c>
      <c r="H679">
        <f>1-(1-Skills!J21/100)^Skills!K21</f>
        <v/>
      </c>
      <c r="I679" t="inlineStr">
        <is>
          <t>1</t>
        </is>
      </c>
      <c r="J679" t="inlineStr"/>
      <c r="K679" t="inlineStr"/>
      <c r="L679" t="inlineStr"/>
      <c r="M679" t="inlineStr"/>
      <c r="N679" t="inlineStr"/>
      <c r="O679" t="n">
        <v>0</v>
      </c>
      <c r="P679">
        <f>IF(B703=0,0,O679/B703)</f>
        <v/>
      </c>
      <c r="Q679">
        <f>IFERROR(1/IF(Inputs!$B$39="pvp",15,MAX(0.1,Skills!D21-IF(Skills!E21=TRUE,Inputs!$B$32,0))),0)</f>
        <v/>
      </c>
      <c r="R679">
        <f>IF(AND(Inputs!$B$39&lt;&gt;"pvp",Inputs!$B$44&gt;0),IF(Inputs!$B$44&lt;=0,0,(INT(Inputs!$B$44/IF(Inputs!$B$39="pvp",15,MAX(0.1,Skills!D21-IF(Skills!E21=TRUE,Inputs!$B$32,0))))+1)),0)</f>
        <v/>
      </c>
      <c r="S679">
        <f>IFERROR(O679/N679,0)</f>
        <v/>
      </c>
    </row>
    <row r="680">
      <c r="A680">
        <f>Skills!A22</f>
        <v/>
      </c>
      <c r="B680">
        <f>Skills!B22</f>
        <v/>
      </c>
      <c r="C680">
        <f>Inputs!$B$3&gt;=33</f>
        <v/>
      </c>
      <c r="D680">
        <f>IF(Skills!C22=1,60+Inputs!$B$25+Inputs!$B$29,IF(Skills!C22=2,90+Inputs!$B$26+Inputs!$B$29,IF(Skills!C22=3,120+Inputs!$B$27+Inputs!$B$29,MAX(0,(Inputs!$B$3-100)*3)+Inputs!$B$28+Inputs!$B$29)))</f>
        <v/>
      </c>
      <c r="E680">
        <f>INDEX(FactorTable!$B$2:$Y$301, MATCH(ROUND(MIN(300,MAX(1,D680)),0), FactorTable!$A$2:$A$301,0), Skills!M22+1)</f>
        <v/>
      </c>
      <c r="F680">
        <f>IF(Skills!N22=TRUE,(Skills!L22/10)*(E680/1000),Skills!L22/10)+Skills!O22</f>
        <v/>
      </c>
      <c r="G680">
        <f>Skills!G22*IF(Skills!H22&gt;0,Skills!I22/Skills!H22,1)</f>
        <v/>
      </c>
      <c r="H680">
        <f>1-(1-Skills!J22/100)^Skills!K22</f>
        <v/>
      </c>
      <c r="I680" t="inlineStr">
        <is>
          <t>1</t>
        </is>
      </c>
      <c r="J680" t="inlineStr"/>
      <c r="K680" t="inlineStr"/>
      <c r="L680" t="inlineStr"/>
      <c r="M680" t="inlineStr"/>
      <c r="N680" t="inlineStr"/>
      <c r="O680" t="n">
        <v>0</v>
      </c>
      <c r="P680">
        <f>IF(B703=0,0,O680/B703)</f>
        <v/>
      </c>
      <c r="Q680" t="n">
        <v>0</v>
      </c>
      <c r="R680" t="n">
        <v>0</v>
      </c>
      <c r="S680">
        <f>IFERROR(O680/N680,0)</f>
        <v/>
      </c>
    </row>
    <row r="681">
      <c r="A681">
        <f>Skills!A23</f>
        <v/>
      </c>
      <c r="B681">
        <f>Skills!B23</f>
        <v/>
      </c>
      <c r="C681">
        <f>Inputs!$B$3&gt;=40</f>
        <v/>
      </c>
      <c r="D681">
        <f>IF(Skills!C23=1,60+Inputs!$B$25+Inputs!$B$29,IF(Skills!C23=2,90+Inputs!$B$26+Inputs!$B$29,IF(Skills!C23=3,120+Inputs!$B$27+Inputs!$B$29,MAX(0,(Inputs!$B$3-100)*3)+Inputs!$B$28+Inputs!$B$29)))</f>
        <v/>
      </c>
      <c r="E681">
        <f>INDEX(FactorTable!$B$2:$Y$301, MATCH(ROUND(MIN(300,MAX(1,D681)),0), FactorTable!$A$2:$A$301,0), Skills!M23+1)</f>
        <v/>
      </c>
      <c r="F681">
        <f>IF(Skills!N23=TRUE,(Skills!L23/10)*(E681/1000),Skills!L23/10)+Skills!O23</f>
        <v/>
      </c>
      <c r="G681">
        <f>Skills!G23*IF(Skills!H23&gt;0,Skills!I23/Skills!H23,1)</f>
        <v/>
      </c>
      <c r="H681">
        <f>1-(1-Skills!J23/100)^Skills!K23</f>
        <v/>
      </c>
      <c r="I681" t="inlineStr">
        <is>
          <t>1</t>
        </is>
      </c>
      <c r="J681" t="inlineStr"/>
      <c r="K681" t="inlineStr"/>
      <c r="L681" t="inlineStr"/>
      <c r="M681" t="inlineStr"/>
      <c r="N681" t="inlineStr"/>
      <c r="O681" t="n">
        <v>0</v>
      </c>
      <c r="P681">
        <f>IF(B703=0,0,O681/B703)</f>
        <v/>
      </c>
      <c r="Q681" t="n">
        <v>0</v>
      </c>
      <c r="R681" t="n">
        <v>0</v>
      </c>
      <c r="S681">
        <f>IFERROR(O681/N681,0)</f>
        <v/>
      </c>
    </row>
    <row r="682">
      <c r="A682">
        <f>Skills!A24</f>
        <v/>
      </c>
      <c r="B682">
        <f>Skills!B24</f>
        <v/>
      </c>
      <c r="C682">
        <f>Inputs!$B$3&gt;=43</f>
        <v/>
      </c>
      <c r="D682">
        <f>IF(Skills!C24=1,60+Inputs!$B$25+Inputs!$B$29,IF(Skills!C24=2,90+Inputs!$B$26+Inputs!$B$29,IF(Skills!C24=3,120+Inputs!$B$27+Inputs!$B$29,MAX(0,(Inputs!$B$3-100)*3)+Inputs!$B$28+Inputs!$B$29)))</f>
        <v/>
      </c>
      <c r="E682">
        <f>INDEX(FactorTable!$B$2:$Y$301, MATCH(ROUND(MIN(300,MAX(1,D682)),0), FactorTable!$A$2:$A$301,0), Skills!M24+1)</f>
        <v/>
      </c>
      <c r="F682">
        <f>IF(Skills!N24=TRUE,(Skills!L24/10)*(E682/1000),Skills!L24/10)+Skills!O24</f>
        <v/>
      </c>
      <c r="G682">
        <f>Skills!G24*IF(Skills!H24&gt;0,Skills!I24/Skills!H24,1)</f>
        <v/>
      </c>
      <c r="H682">
        <f>1-(1-Skills!J24/100)^Skills!K24</f>
        <v/>
      </c>
      <c r="I682" t="inlineStr">
        <is>
          <t>1</t>
        </is>
      </c>
      <c r="J682" t="inlineStr"/>
      <c r="K682" t="inlineStr"/>
      <c r="L682" t="inlineStr"/>
      <c r="M682" t="inlineStr"/>
      <c r="N682" t="inlineStr"/>
      <c r="O682" t="n">
        <v>0</v>
      </c>
      <c r="P682">
        <f>IF(B703=0,0,O682/B703)</f>
        <v/>
      </c>
      <c r="Q682" t="n">
        <v>0</v>
      </c>
      <c r="R682" t="n">
        <v>0</v>
      </c>
      <c r="S682">
        <f>IFERROR(O682/N682,0)</f>
        <v/>
      </c>
    </row>
    <row r="683">
      <c r="A683">
        <f>Skills!A25</f>
        <v/>
      </c>
      <c r="B683">
        <f>Skills!B25</f>
        <v/>
      </c>
      <c r="C683">
        <f>Inputs!$B$3&gt;=50</f>
        <v/>
      </c>
      <c r="D683">
        <f>IF(Skills!C25=1,60+Inputs!$B$25+Inputs!$B$29,IF(Skills!C25=2,90+Inputs!$B$26+Inputs!$B$29,IF(Skills!C25=3,120+Inputs!$B$27+Inputs!$B$29,MAX(0,(Inputs!$B$3-100)*3)+Inputs!$B$28+Inputs!$B$29)))</f>
        <v/>
      </c>
      <c r="E683">
        <f>INDEX(FactorTable!$B$2:$Y$301, MATCH(ROUND(MIN(300,MAX(1,D683)),0), FactorTable!$A$2:$A$301,0), Skills!M25+1)</f>
        <v/>
      </c>
      <c r="F683">
        <f>IF(Skills!N25=TRUE,(Skills!L25/10)*(E683/1000),Skills!L25/10)+Skills!O25</f>
        <v/>
      </c>
      <c r="G683">
        <f>Skills!G25*IF(Skills!H25&gt;0,Skills!I25/Skills!H25,1)</f>
        <v/>
      </c>
      <c r="H683">
        <f>1-(1-Skills!J25/100)^Skills!K25</f>
        <v/>
      </c>
      <c r="I683" t="inlineStr">
        <is>
          <t>1</t>
        </is>
      </c>
      <c r="J683" t="inlineStr"/>
      <c r="K683" t="inlineStr"/>
      <c r="L683" t="inlineStr"/>
      <c r="M683" t="inlineStr"/>
      <c r="N683" t="inlineStr"/>
      <c r="O683" t="n">
        <v>0</v>
      </c>
      <c r="P683">
        <f>IF(B703=0,0,O683/B703)</f>
        <v/>
      </c>
      <c r="Q683" t="n">
        <v>0</v>
      </c>
      <c r="R683" t="n">
        <v>0</v>
      </c>
      <c r="S683">
        <f>IFERROR(O683/N683,0)</f>
        <v/>
      </c>
    </row>
    <row r="684">
      <c r="A684">
        <f>Skills!A26</f>
        <v/>
      </c>
      <c r="B684">
        <f>Skills!B26</f>
        <v/>
      </c>
      <c r="C684">
        <f>Inputs!$B$3&gt;=50</f>
        <v/>
      </c>
      <c r="D684">
        <f>IF(Skills!C26=1,60+Inputs!$B$25+Inputs!$B$29,IF(Skills!C26=2,90+Inputs!$B$26+Inputs!$B$29,IF(Skills!C26=3,120+Inputs!$B$27+Inputs!$B$29,MAX(0,(Inputs!$B$3-100)*3)+Inputs!$B$28+Inputs!$B$29)))</f>
        <v/>
      </c>
      <c r="E684">
        <f>INDEX(FactorTable!$B$2:$Y$301, MATCH(ROUND(MIN(300,MAX(1,D684)),0), FactorTable!$A$2:$A$301,0), Skills!M26+1)</f>
        <v/>
      </c>
      <c r="F684">
        <f>IF(Skills!N26=TRUE,(Skills!L26/10)*(E684/1000),Skills!L26/10)+Skills!O26</f>
        <v/>
      </c>
      <c r="G684">
        <f>Skills!G26*IF(Skills!H26&gt;0,Skills!I26/Skills!H26,1)</f>
        <v/>
      </c>
      <c r="H684">
        <f>1-(1-Skills!J26/100)^Skills!K26</f>
        <v/>
      </c>
      <c r="I684" t="inlineStr">
        <is>
          <t>1</t>
        </is>
      </c>
      <c r="J684" t="inlineStr"/>
      <c r="K684" t="inlineStr"/>
      <c r="L684" t="inlineStr"/>
      <c r="M684" t="inlineStr"/>
      <c r="N684" t="inlineStr"/>
      <c r="O684" t="n">
        <v>0</v>
      </c>
      <c r="P684">
        <f>IF(B703=0,0,O684/B703)</f>
        <v/>
      </c>
      <c r="Q684" t="n">
        <v>0</v>
      </c>
      <c r="R684" t="n">
        <v>0</v>
      </c>
      <c r="S684">
        <f>IFERROR(O684/N684,0)</f>
        <v/>
      </c>
    </row>
    <row r="685">
      <c r="A685">
        <f>Skills!A27</f>
        <v/>
      </c>
      <c r="B685">
        <f>Skills!B27</f>
        <v/>
      </c>
      <c r="C685">
        <f>Inputs!$B$3&gt;=38</f>
        <v/>
      </c>
      <c r="D685">
        <f>IF(Skills!C27=1,60+Inputs!$B$25+Inputs!$B$29,IF(Skills!C27=2,90+Inputs!$B$26+Inputs!$B$29,IF(Skills!C27=3,120+Inputs!$B$27+Inputs!$B$29,MAX(0,(Inputs!$B$3-100)*3)+Inputs!$B$28+Inputs!$B$29)))</f>
        <v/>
      </c>
      <c r="E685">
        <f>INDEX(FactorTable!$B$2:$Y$301, MATCH(ROUND(MIN(300,MAX(1,D685)),0), FactorTable!$A$2:$A$301,0), Skills!M27+1)</f>
        <v/>
      </c>
      <c r="F685">
        <f>IF(Skills!N27=TRUE,(Skills!L27/10)*(E685/1000),Skills!L27/10)+Skills!O27</f>
        <v/>
      </c>
      <c r="G685">
        <f>Skills!G27*IF(Skills!H27&gt;0,Skills!I27/Skills!H27,1)</f>
        <v/>
      </c>
      <c r="H685">
        <f>1-(1-Skills!J27/100)^Skills!K27</f>
        <v/>
      </c>
      <c r="I685" t="inlineStr">
        <is>
          <t>1</t>
        </is>
      </c>
      <c r="J685" t="inlineStr"/>
      <c r="K685" t="inlineStr"/>
      <c r="L685" t="inlineStr"/>
      <c r="M685" t="inlineStr"/>
      <c r="N685" t="inlineStr"/>
      <c r="O685" t="n">
        <v>0</v>
      </c>
      <c r="P685">
        <f>IF(B703=0,0,O685/B703)</f>
        <v/>
      </c>
      <c r="Q685" t="n">
        <v>0</v>
      </c>
      <c r="R685" t="n">
        <v>0</v>
      </c>
      <c r="S685">
        <f>IFERROR(O685/N685,0)</f>
        <v/>
      </c>
    </row>
    <row r="686">
      <c r="A686">
        <f>Skills!A28</f>
        <v/>
      </c>
      <c r="B686">
        <f>Skills!B28</f>
        <v/>
      </c>
      <c r="C686">
        <f>Inputs!$B$3&gt;=120</f>
        <v/>
      </c>
      <c r="D686">
        <f>IF(Skills!C28=1,60+Inputs!$B$25+Inputs!$B$29,IF(Skills!C28=2,90+Inputs!$B$26+Inputs!$B$29,IF(Skills!C28=3,120+Inputs!$B$27+Inputs!$B$29,MAX(0,(Inputs!$B$3-100)*3)+Inputs!$B$28+Inputs!$B$29)))</f>
        <v/>
      </c>
      <c r="E686">
        <f>INDEX(FactorTable!$B$2:$Y$301, MATCH(ROUND(MIN(300,MAX(1,D686)),0), FactorTable!$A$2:$A$301,0), Skills!M28+1)</f>
        <v/>
      </c>
      <c r="F686">
        <f>IF(Skills!N28=TRUE,(Skills!L28/10)*(E686/1000),Skills!L28/10)+Skills!O28</f>
        <v/>
      </c>
      <c r="G686">
        <f>Skills!G28*IF(Skills!H28&gt;0,Skills!I28/Skills!H28,1)</f>
        <v/>
      </c>
      <c r="H686">
        <f>1-(1-Skills!J28/100)^Skills!K28</f>
        <v/>
      </c>
      <c r="I686" t="inlineStr">
        <is>
          <t>1</t>
        </is>
      </c>
      <c r="J686" t="inlineStr"/>
      <c r="K686" t="inlineStr"/>
      <c r="L686" t="inlineStr"/>
      <c r="M686" t="inlineStr"/>
      <c r="N686" t="inlineStr"/>
      <c r="O686" t="n">
        <v>0</v>
      </c>
      <c r="P686">
        <f>IF(B703=0,0,O686/B703)</f>
        <v/>
      </c>
      <c r="Q686" t="n">
        <v>0</v>
      </c>
      <c r="R686" t="n">
        <v>0</v>
      </c>
      <c r="S686">
        <f>IFERROR(O686/N686,0)</f>
        <v/>
      </c>
    </row>
    <row r="687">
      <c r="A687">
        <f>Skills!A29</f>
        <v/>
      </c>
      <c r="B687">
        <f>Skills!B29</f>
        <v/>
      </c>
      <c r="C687">
        <f>Inputs!$B$3&gt;=120</f>
        <v/>
      </c>
      <c r="D687">
        <f>IF(Skills!C29=1,60+Inputs!$B$25+Inputs!$B$29,IF(Skills!C29=2,90+Inputs!$B$26+Inputs!$B$29,IF(Skills!C29=3,120+Inputs!$B$27+Inputs!$B$29,MAX(0,(Inputs!$B$3-100)*3)+Inputs!$B$28+Inputs!$B$29)))</f>
        <v/>
      </c>
      <c r="E687">
        <f>INDEX(FactorTable!$B$2:$Y$301, MATCH(ROUND(MIN(300,MAX(1,D687)),0), FactorTable!$A$2:$A$301,0), Skills!M29+1)</f>
        <v/>
      </c>
      <c r="F687">
        <f>IF(Skills!N29=TRUE,(Skills!L29/10)*(E687/1000),Skills!L29/10)+Skills!O29</f>
        <v/>
      </c>
      <c r="G687">
        <f>Skills!G29*IF(Skills!H29&gt;0,Skills!I29/Skills!H29,1)</f>
        <v/>
      </c>
      <c r="H687">
        <f>1-(1-Skills!J29/100)^Skills!K29</f>
        <v/>
      </c>
      <c r="I687" t="inlineStr">
        <is>
          <t>1</t>
        </is>
      </c>
      <c r="J687" t="inlineStr"/>
      <c r="K687" t="inlineStr"/>
      <c r="L687" t="inlineStr"/>
      <c r="M687" t="inlineStr"/>
      <c r="N687" t="inlineStr"/>
      <c r="O687" t="n">
        <v>0</v>
      </c>
      <c r="P687">
        <f>IF(B703=0,0,O687/B703)</f>
        <v/>
      </c>
      <c r="Q687" t="n">
        <v>0</v>
      </c>
      <c r="R687" t="n">
        <v>0</v>
      </c>
      <c r="S687">
        <f>IFERROR(O687/N687,0)</f>
        <v/>
      </c>
    </row>
    <row r="688">
      <c r="A688">
        <f>Skills!A30</f>
        <v/>
      </c>
      <c r="B688">
        <f>Skills!B30</f>
        <v/>
      </c>
      <c r="C688">
        <f>Inputs!$B$3&gt;=125</f>
        <v/>
      </c>
      <c r="D688">
        <f>IF(Skills!C30=1,60+Inputs!$B$25+Inputs!$B$29,IF(Skills!C30=2,90+Inputs!$B$26+Inputs!$B$29,IF(Skills!C30=3,120+Inputs!$B$27+Inputs!$B$29,MAX(0,(Inputs!$B$3-100)*3)+Inputs!$B$28+Inputs!$B$29)))</f>
        <v/>
      </c>
      <c r="E688">
        <f>INDEX(FactorTable!$B$2:$Y$301, MATCH(ROUND(MIN(300,MAX(1,D688)),0), FactorTable!$A$2:$A$301,0), Skills!M30+1)</f>
        <v/>
      </c>
      <c r="F688">
        <f>IF(Skills!N30=TRUE,(Skills!L30/10)*(E688/1000),Skills!L30/10)+Skills!O30</f>
        <v/>
      </c>
      <c r="G688">
        <f>Skills!G30*IF(Skills!H30&gt;0,Skills!I30/Skills!H30,1)</f>
        <v/>
      </c>
      <c r="H688">
        <f>1-(1-Skills!J30/100)^Skills!K30</f>
        <v/>
      </c>
      <c r="I688" t="inlineStr">
        <is>
          <t>1</t>
        </is>
      </c>
      <c r="J688" t="inlineStr"/>
      <c r="K688" t="inlineStr"/>
      <c r="L688" t="inlineStr"/>
      <c r="M688" t="inlineStr"/>
      <c r="N688" t="inlineStr"/>
      <c r="O688" t="n">
        <v>0</v>
      </c>
      <c r="P688">
        <f>IF(B703=0,0,O688/B703)</f>
        <v/>
      </c>
      <c r="Q688" t="n">
        <v>0</v>
      </c>
      <c r="R688" t="n">
        <v>0</v>
      </c>
      <c r="S688">
        <f>IFERROR(O688/N688,0)</f>
        <v/>
      </c>
    </row>
    <row r="690">
      <c r="A690" t="inlineStr">
        <is>
          <t>Average Buff Multiplier</t>
        </is>
      </c>
      <c r="B690">
        <f>(1+(((C679=TRUE)*F679*IF(AND(Inputs!$B$39&lt;&gt;"pvp",Inputs!$B$44&gt;0),(((R679-1)*(Skills!Y21*(1+Inputs!$B$34/100))+MIN((Skills!Y21*(1+Inputs!$B$34/100)),MAX(0,Inputs!$B$44-((R679-1)*Skills!D21))))/Inputs!$B$44),IF(Inputs!$B$39="pvp",MIN((Skills!Y21*(1+Inputs!$B$34/100)),15)/15,(Skills!Y21*(1+Inputs!$B$34/100))/Skills!D21)))+((C681=TRUE)*(F681-Calc!F23))+((C675=TRUE)*(F675-Calc!F17)))/100)*(1+((C668=TRUE)*F668*IF(AND(Inputs!$B$39&lt;&gt;"pvp",Inputs!$B$44&gt;0),(((R668-1)*(Skills!Y10*(1+Inputs!$B$34/100))+MIN((Skills!Y10*(1+Inputs!$B$34/100)),MAX(0,Inputs!$B$44-((R668-1)*Skills!D10))))/Inputs!$B$44),IF(Inputs!$B$39="pvp",MIN((Skills!Y10*(1+Inputs!$B$34/100)),15)/15,(Skills!Y10*(1+Inputs!$B$34/100))/Skills!D10)))/100)*(1+((C673=TRUE)*F673*IF(AND(Inputs!$B$39&lt;&gt;"pvp",Inputs!$B$44&gt;0),(((R673-1)*(Skills!Y15*(1+Inputs!$B$34/100))+MIN((Skills!Y15*(1+Inputs!$B$34/100)),MAX(0,Inputs!$B$44-((R673-1)*Skills!D15))))/Inputs!$B$44),IF(Inputs!$B$39="pvp",MIN((Skills!Y15*(1+Inputs!$B$34/100)),15)/15,(Skills!Y15*(1+Inputs!$B$34/100))/Skills!D15)))/100)</f>
        <v/>
      </c>
    </row>
    <row r="691">
      <c r="A691" t="inlineStr">
        <is>
          <t>Global Crit Rate Bonus %</t>
        </is>
      </c>
      <c r="B691">
        <f>((C678=TRUE)*F678*IF(AND(Inputs!$B$39&lt;&gt;"pvp",Inputs!$B$44&gt;0),(((R678-1)*(Skills!Y20*(1+Inputs!$B$34/100))+MIN((Skills!Y20*(1+Inputs!$B$34/100)),MAX(0,Inputs!$B$44-((R678-1)*Skills!D20))))/Inputs!$B$44),IF(Inputs!$B$39="pvp",MIN((Skills!Y20*(1+Inputs!$B$34/100)),15)/15,(Skills!Y20*(1+Inputs!$B$34/100))/Skills!D20)))</f>
        <v/>
      </c>
    </row>
    <row r="692">
      <c r="A692" t="inlineStr">
        <is>
          <t>Global Monster Damage-Taken Bonus %</t>
        </is>
      </c>
      <c r="B692">
        <f>IF(Inputs!$B$3&gt;=82,15,0)</f>
        <v/>
      </c>
    </row>
    <row r="693">
      <c r="A693" t="inlineStr">
        <is>
          <t>Shadow Partner Average Multiplier</t>
        </is>
      </c>
      <c r="B693">
        <f>1+((C665=TRUE)*F665*(1+3.3333333333333335*IF(C676=TRUE,F676,0)/100)*I665*Skills!J7/100)/100</f>
        <v/>
      </c>
    </row>
    <row r="694">
      <c r="A694" t="inlineStr">
        <is>
          <t>Attack Speed Buff Bonus %</t>
        </is>
      </c>
      <c r="B694">
        <f>((C677=TRUE)*F677*IF(AND(Inputs!$B$39&lt;&gt;"pvp",Inputs!$B$44&gt;0),(((R677-1)*(Skills!Y19*(1+Inputs!$B$34/100))+MIN((Skills!Y19*(1+Inputs!$B$34/100)),MAX(0,Inputs!$B$44-((R677-1)*Skills!D19))))/Inputs!$B$44),IF(Inputs!$B$39="pvp",MIN((Skills!Y19*(1+Inputs!$B$34/100)),15)/15,(Skills!Y19*(1+Inputs!$B$34/100))/Skills!D19)))+((C661=TRUE)*F661*3)</f>
        <v/>
      </c>
    </row>
    <row r="695">
      <c r="A695" t="inlineStr">
        <is>
          <t>Actions Per Second</t>
        </is>
      </c>
      <c r="B695">
        <f>1+MIN(150,150*(1-(1-(Inputs!$B$11+((C680=TRUE)*(F680-Calc!F22)))/150)*(1-B694/150)))/100</f>
        <v/>
      </c>
    </row>
    <row r="696">
      <c r="A696" t="inlineStr">
        <is>
          <t>Skill + Buff Cast Rate</t>
        </is>
      </c>
      <c r="B696">
        <f>IF(AND(Inputs!$B$39&lt;&gt;"pvp",Inputs!$B$44&gt;0),SUMPRODUCT((Skills!E2:E30=TRUE)*(C660:C688=TRUE)*R660:R688*Skills!F2:F30)/Inputs!$B$44,SUMPRODUCT((Skills!E2:E30=TRUE)*(C660:C688=TRUE)*Q660:Q688*Skills!F2:F30))</f>
        <v/>
      </c>
    </row>
    <row r="697">
      <c r="A697" t="inlineStr">
        <is>
          <t>Cruel Stab Casts Per Second</t>
        </is>
      </c>
      <c r="B697">
        <f>MAX(0,B695-B696)</f>
        <v/>
      </c>
    </row>
    <row r="698">
      <c r="A698" t="inlineStr">
        <is>
          <t>Global Critical Damage Bonus % (Smokescreen Mastery Lv.113)</t>
        </is>
      </c>
      <c r="B698">
        <f>IF(Inputs!$B$3&gt;=113,30,0)*IF(AND(Inputs!$B$39&lt;&gt;"pvp",Inputs!$B$44&gt;0),(((R673-1)*(Skills!Y15*(1+Inputs!$B$34/100))+MIN((Skills!Y15*(1+Inputs!$B$34/100)),MAX(0,Inputs!$B$44-((R673-1)*Skills!D15))))/Inputs!$B$44),IF(Inputs!$B$39="pvp",MIN((Skills!Y15*(1+Inputs!$B$34/100)),15)/15,(Skills!Y15*(1+Inputs!$B$34/100))/Skills!D15))</f>
        <v/>
      </c>
    </row>
    <row r="699">
      <c r="A699" t="inlineStr">
        <is>
          <t>Meso Explosion average stack count</t>
        </is>
      </c>
      <c r="B699">
        <f>MIN(10,0.5*B695*Skills!D4)</f>
        <v/>
      </c>
    </row>
    <row r="700">
      <c r="A700" t="inlineStr">
        <is>
          <t>Blood Money average stack count</t>
        </is>
      </c>
      <c r="B700">
        <f>MIN(5,0.25*B695*Skills!D4)</f>
        <v/>
      </c>
    </row>
    <row r="701">
      <c r="A701" t="inlineStr">
        <is>
          <t>Assassinate Murderous Intent Multiplier</t>
        </is>
      </c>
      <c r="B701">
        <f>1+IFERROR(MIN(1,Q672*2/Q669),0)</f>
        <v/>
      </c>
    </row>
    <row r="702">
      <c r="A702" t="inlineStr">
        <is>
          <t>Buff-Casting Startup Delay (s, fixed-duration only)</t>
        </is>
      </c>
      <c r="B702">
        <f>IF(AND(Inputs!$B$39&lt;&gt;"pvp",Inputs!$B$44&gt;0),SUMPRODUCT((Skills!Y2:Y30&gt;0)*(Skills!E2:E30=TRUE)*(C660:C688=TRUE))/B695,0)</f>
        <v/>
      </c>
    </row>
    <row r="703">
      <c r="A703" s="5" t="inlineStr">
        <is>
          <t>TOTAL DPS</t>
        </is>
      </c>
      <c r="B703" s="5">
        <f>SUM(O660:O688)</f>
        <v/>
      </c>
    </row>
    <row r="706">
      <c r="A706" s="5" t="inlineStr">
        <is>
          <t>Stat: BASIC_ATTACK_DAMAGE %</t>
        </is>
      </c>
    </row>
    <row r="707">
      <c r="A707" s="9" t="inlineStr">
        <is>
          <t>Key</t>
        </is>
      </c>
      <c r="B707" s="9" t="inlineStr">
        <is>
          <t>Name</t>
        </is>
      </c>
      <c r="C707" s="9" t="inlineStr">
        <is>
          <t>Unlocked</t>
        </is>
      </c>
      <c r="D707" s="9" t="inlineStr">
        <is>
          <t>InputLevel</t>
        </is>
      </c>
      <c r="E707" s="9" t="inlineStr">
        <is>
          <t>Factor</t>
        </is>
      </c>
      <c r="F707" s="9" t="inlineStr">
        <is>
          <t>CoefficientPercent</t>
        </is>
      </c>
      <c r="G707" s="9" t="inlineStr">
        <is>
          <t>EffectiveHits</t>
        </is>
      </c>
      <c r="H707" s="9" t="inlineStr">
        <is>
          <t>ProcProbability</t>
        </is>
      </c>
      <c r="I707" s="9" t="inlineStr">
        <is>
          <t>MapleHeroMultiplier</t>
        </is>
      </c>
      <c r="J707" s="9" t="inlineStr">
        <is>
          <t>BaseDamage</t>
        </is>
      </c>
      <c r="K707" s="9" t="inlineStr">
        <is>
          <t>BaseHitDamage</t>
        </is>
      </c>
      <c r="L707" s="9" t="inlineStr">
        <is>
          <t>NonCritAvg</t>
        </is>
      </c>
      <c r="M707" s="9" t="inlineStr">
        <is>
          <t>CritAvg</t>
        </is>
      </c>
      <c r="N707" s="9" t="inlineStr">
        <is>
          <t>ExpectedDamage(perHit)</t>
        </is>
      </c>
      <c r="O707" s="9" t="inlineStr">
        <is>
          <t>DPS</t>
        </is>
      </c>
      <c r="P707" s="9" t="inlineStr">
        <is>
          <t>% of Total</t>
        </is>
      </c>
      <c r="Q707" s="9" t="inlineStr">
        <is>
          <t>InvCooldown</t>
        </is>
      </c>
      <c r="R707" s="9" t="inlineStr">
        <is>
          <t>CastsInFight</t>
        </is>
      </c>
      <c r="S707" s="9" t="inlineStr">
        <is>
          <t>HitRate(perSec)</t>
        </is>
      </c>
      <c r="U707" t="inlineStr">
        <is>
          <t>helpers</t>
        </is>
      </c>
    </row>
    <row r="708">
      <c r="A708">
        <f>Skills!A2</f>
        <v/>
      </c>
      <c r="B708">
        <f>Skills!B2</f>
        <v/>
      </c>
      <c r="C708">
        <f>Inputs!$B$3&gt;=100</f>
        <v/>
      </c>
      <c r="D708" t="inlineStr"/>
      <c r="E708" t="inlineStr"/>
      <c r="F708">
        <f>U710+Skills!O2</f>
        <v/>
      </c>
      <c r="G708">
        <f>Skills!G2*IF(Skills!H2&gt;0,Skills!I2/Skills!H2,1)</f>
        <v/>
      </c>
      <c r="H708">
        <f>1-(1-Skills!J2/100)^Skills!K2</f>
        <v/>
      </c>
      <c r="I708" t="inlineStr">
        <is>
          <t>1</t>
        </is>
      </c>
      <c r="J708">
        <f>((Inputs!$B$6*(1+Inputs!$B$7/100))+(((Inputs!$B$12*(1+Inputs!$B$13/100))-(Inputs!$B$12*(1+Inputs!$B$13/100)))+0.25*(Inputs!$B$14-Inputs!$B$14))*(1+Inputs!$B$7/100))*(F708/100)</f>
        <v/>
      </c>
      <c r="K708">
        <f>J708*(1+((Inputs!$B$12*(1+Inputs!$B$13/100))*0.01+Inputs!$B$14*0.0025)/100)*(1+Inputs!$B$15/100)*(1+IF(Inputs!$B$39="pvp",0,(1-Summary!$B$55)*(Inputs!$B$20+0+Skills!P2+B740)+Summary!$B$55*(Inputs!$B$21+Skills!Q2+B740))/100)*(1+Inputs!$B$16/100)*(5000/(6000+Inputs!$B$43*(1-Inputs!$B$19/100)))*(1+(Inputs!$B$24+((C736=TRUE)*(F736-Calc!F30)))/100)*(1+(IF(Skills!A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708)</f>
        <v/>
      </c>
      <c r="L708">
        <f>K708*(MIN(Inputs!$B$22+((C730=TRUE)*(F730-Calc!F24)),Inputs!$B$23+((C735=TRUE)*(F735-Calc!F29)))/100+(Inputs!$B$23+((C735=TRUE)*(F735-Calc!F29)))/100)/2</f>
        <v/>
      </c>
      <c r="M708">
        <f>L708*(1+(Inputs!$B$10+((C732=TRUE)*(F732-Calc!F26))+B746)/100)</f>
        <v/>
      </c>
      <c r="N708">
        <f>L708*(1-MIN((Inputs!$B$9+((C731=TRUE)*(F731-Calc!F25))+B739),100)/100)+M708*(MIN((Inputs!$B$9+((C731=TRUE)*(F731-Calc!F25))+B739),100)/100)</f>
        <v/>
      </c>
      <c r="O708">
        <f>IF(C708,Skills!G2*N708*B745*IF(Inputs!$B$39="pvp",1,(1-Summary!$B$55)*(1)+Summary!$B$55*(MIN((6+Inputs!$B$33),Inputs!$B$37))),0)</f>
        <v/>
      </c>
      <c r="P708">
        <f>IF(B751=0,0,O708/B751)</f>
        <v/>
      </c>
      <c r="Q708" t="n">
        <v>0</v>
      </c>
      <c r="R708" t="n">
        <v>0</v>
      </c>
      <c r="S708">
        <f>IFERROR(O708/N708,0)</f>
        <v/>
      </c>
      <c r="U708">
        <f>MAX(0,(Inputs!$B$3-100)*3)+Inputs!$B$28+Inputs!$B$29</f>
        <v/>
      </c>
    </row>
    <row r="709">
      <c r="A709">
        <f>Skills!A3</f>
        <v/>
      </c>
      <c r="B709">
        <f>Skills!B3</f>
        <v/>
      </c>
      <c r="C709">
        <f>Inputs!$B$3&gt;=35</f>
        <v/>
      </c>
      <c r="D709">
        <f>IF(Skills!C3=1,60+Inputs!$B$25+Inputs!$B$29,IF(Skills!C3=2,90+Inputs!$B$26+Inputs!$B$29,IF(Skills!C3=3,120+Inputs!$B$27+Inputs!$B$29,MAX(0,(Inputs!$B$3-100)*3)+Inputs!$B$28+Inputs!$B$29)))</f>
        <v/>
      </c>
      <c r="E709">
        <f>INDEX(FactorTable!$B$2:$Y$301, MATCH(ROUND(MIN(300,MAX(1,D709)),0), FactorTable!$A$2:$A$301,0), Skills!M3+1)</f>
        <v/>
      </c>
      <c r="F709">
        <f>IF(Skills!N3=TRUE,(Skills!L3/10)*(E709/1000),Skills!L3/10)+Skills!O3</f>
        <v/>
      </c>
      <c r="G709">
        <f>Skills!G3*IF(Skills!H3&gt;0,Skills!I3/Skills!H3,1)</f>
        <v/>
      </c>
      <c r="H709">
        <f>1-(1-Skills!J3/100)^Skills!K3</f>
        <v/>
      </c>
      <c r="I709" t="inlineStr">
        <is>
          <t>1</t>
        </is>
      </c>
      <c r="J709" t="inlineStr"/>
      <c r="K709" t="inlineStr"/>
      <c r="L709" t="inlineStr"/>
      <c r="M709" t="inlineStr"/>
      <c r="N709" t="inlineStr"/>
      <c r="O709" t="n">
        <v>0</v>
      </c>
      <c r="P709">
        <f>IF(B751=0,0,O709/B751)</f>
        <v/>
      </c>
      <c r="Q709" t="n">
        <v>0</v>
      </c>
      <c r="R709" t="n">
        <v>0</v>
      </c>
      <c r="S709">
        <f>IFERROR(O709/N709,0)</f>
        <v/>
      </c>
      <c r="U709">
        <f>INDEX(FactorTable!$B$2:$Y$301, MATCH(ROUND(MIN(300,MAX(1,U708)),0), FactorTable!$A$2:$A$301,0), 22)</f>
        <v/>
      </c>
    </row>
    <row r="710">
      <c r="A710">
        <f>Skills!A4</f>
        <v/>
      </c>
      <c r="B710">
        <f>Skills!B4</f>
        <v/>
      </c>
      <c r="C710">
        <f>Inputs!$B$3&gt;=66</f>
        <v/>
      </c>
      <c r="D710">
        <f>IF(Skills!C4=1,60+Inputs!$B$25+Inputs!$B$29,IF(Skills!C4=2,90+Inputs!$B$26+Inputs!$B$29,IF(Skills!C4=3,120+Inputs!$B$27+Inputs!$B$29,MAX(0,(Inputs!$B$3-100)*3)+Inputs!$B$28+Inputs!$B$29)))</f>
        <v/>
      </c>
      <c r="E710">
        <f>INDEX(FactorTable!$B$2:$Y$301, MATCH(ROUND(MIN(300,MAX(1,D710)),0), FactorTable!$A$2:$A$301,0), Skills!M4+1)</f>
        <v/>
      </c>
      <c r="F710">
        <f>IF(Skills!N4=TRUE,(Skills!L4/10)*(E710/1000),Skills!L4/10)+Skills!O4</f>
        <v/>
      </c>
      <c r="G710">
        <f>Skills!G4*IF(Skills!H4&gt;0,Skills!I4/Skills!H4,1)</f>
        <v/>
      </c>
      <c r="H710">
        <f>1-(1-Skills!J4/100)^Skills!K4</f>
        <v/>
      </c>
      <c r="I710" t="inlineStr">
        <is>
          <t>1</t>
        </is>
      </c>
      <c r="J710">
        <f>((Inputs!$B$6*(1+Inputs!$B$7/100))+(((Inputs!$B$12*(1+Inputs!$B$13/100))-(Inputs!$B$12*(1+Inputs!$B$13/100)))+0.25*(Inputs!$B$14-Inputs!$B$14))*(1+Inputs!$B$7/100))*(F710/100)</f>
        <v/>
      </c>
      <c r="K710">
        <f>J710*(1+((Inputs!$B$12*(1+Inputs!$B$13/100))*0.01+Inputs!$B$14*0.0025)/100)*(1+Inputs!$B$15/100)*(1+IF(Inputs!$B$39="pvp",0,(1-Summary!$B$55)*(Inputs!$B$20+0+Skills!P4+B740)+Summary!$B$55*(Inputs!$B$21+Skills!Q4+B740))/100)*(1+Inputs!$B$16/100)*(5000/(6000+Inputs!$B$43*(1-Inputs!$B$19/100)))*(1+(Inputs!$B$24+((C736=TRUE)*(F736-Calc!F30)))/100)*(1+(IF(Skills!A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710)</f>
        <v/>
      </c>
      <c r="L710">
        <f>K710*(MIN(Inputs!$B$22+((C730=TRUE)*(F730-Calc!F24)),Inputs!$B$23+((C735=TRUE)*(F735-Calc!F29)))/100+(Inputs!$B$23+((C735=TRUE)*(F735-Calc!F29)))/100)/2</f>
        <v/>
      </c>
      <c r="M710">
        <f>L710*(1+(Inputs!$B$10+((C732=TRUE)*(F732-Calc!F26))+B746)/100)</f>
        <v/>
      </c>
      <c r="N710">
        <f>L710*(1-MIN((Inputs!$B$9+((C731=TRUE)*(F731-Calc!F25))+B739),100)/100)+M710*(MIN((Inputs!$B$9+((C731=TRUE)*(F731-Calc!F25))+B739),100)/100)</f>
        <v/>
      </c>
      <c r="O710">
        <f>IF(C710,H710*N710*IF(AND(Inputs!$B$39&lt;&gt;"pvp",Inputs!$B$44&gt;0),((Skills!G4*((R710-1)*IF(Skills!H4&gt;0,Skills!I4/Skills!H4,1)+IF(Skills!H4&gt;0,MIN(Skills!I4,MAX(0,MAX(0,Inputs!$B$44-B750)-((R710-1)*IF(Inputs!$B$39="pvp",15,MAX(0.1,Skills!D4-IF(Skills!E4=TRUE,Inputs!$B$32,0))))))/Skills!H4,1)))/Inputs!$B$44),G710*Q710)*IF(Inputs!$B$39="pvp",1,(1-Summary!$B$55)*(1)+Summary!$B$55*(MIN(MIN(10,0.5*B743*Skills!D4),Inputs!$B$37))),0)</f>
        <v/>
      </c>
      <c r="P710">
        <f>IF(B751=0,0,O710/B751)</f>
        <v/>
      </c>
      <c r="Q710">
        <f>IFERROR(1/IF(Inputs!$B$39="pvp",15,MAX(0.1,Skills!D4-IF(Skills!E4=TRUE,Inputs!$B$32,0))),0)</f>
        <v/>
      </c>
      <c r="R710">
        <f>IF(AND(Inputs!$B$39&lt;&gt;"pvp",Inputs!$B$44&gt;0),IF(MAX(0,Inputs!$B$44-B750)&lt;=0,0,(INT(MAX(0,Inputs!$B$44-B750)/IF(Inputs!$B$39="pvp",15,MAX(0.1,Skills!D4-IF(Skills!E4=TRUE,Inputs!$B$32,0))))+1)),0)</f>
        <v/>
      </c>
      <c r="S710">
        <f>IFERROR(O710/N710,0)</f>
        <v/>
      </c>
      <c r="U710">
        <f>290*U709/1000</f>
        <v/>
      </c>
    </row>
    <row r="711">
      <c r="A711">
        <f>Skills!A5</f>
        <v/>
      </c>
      <c r="B711">
        <f>Skills!B5</f>
        <v/>
      </c>
      <c r="C711">
        <f>Inputs!$B$3&gt;=63</f>
        <v/>
      </c>
      <c r="D711">
        <f>IF(Skills!C5=1,60+Inputs!$B$25+Inputs!$B$29,IF(Skills!C5=2,90+Inputs!$B$26+Inputs!$B$29,IF(Skills!C5=3,120+Inputs!$B$27+Inputs!$B$29,MAX(0,(Inputs!$B$3-100)*3)+Inputs!$B$28+Inputs!$B$29)))</f>
        <v/>
      </c>
      <c r="E711">
        <f>INDEX(FactorTable!$B$2:$Y$301, MATCH(ROUND(MIN(300,MAX(1,D711)),0), FactorTable!$A$2:$A$301,0), Skills!M5+1)</f>
        <v/>
      </c>
      <c r="F711">
        <f>IF(Skills!N5=TRUE,(Skills!L5/10)*(E711/1000),Skills!L5/10)+Skills!O5</f>
        <v/>
      </c>
      <c r="G711">
        <f>Skills!G5*IF(Skills!H5&gt;0,Skills!I5/Skills!H5,1)</f>
        <v/>
      </c>
      <c r="H711">
        <f>1-(1-Skills!J5/100)^Skills!K5</f>
        <v/>
      </c>
      <c r="I711" t="inlineStr">
        <is>
          <t>1</t>
        </is>
      </c>
      <c r="J711">
        <f>((Inputs!$B$6*(1+Inputs!$B$7/100))+(((Inputs!$B$12*(1+Inputs!$B$13/100))-(Inputs!$B$12*(1+Inputs!$B$13/100)))+0.25*(Inputs!$B$14-Inputs!$B$14))*(1+Inputs!$B$7/100))*(F711/100)</f>
        <v/>
      </c>
      <c r="K711">
        <f>J711*(1+((Inputs!$B$12*(1+Inputs!$B$13/100))*0.01+Inputs!$B$14*0.0025)/100)*(1+Inputs!$B$15/100)*(1+IF(Inputs!$B$39="pvp",0,(1-Summary!$B$55)*(Inputs!$B$20+0+Skills!P5+B740)+Summary!$B$55*(Inputs!$B$21+Skills!Q5+B740))/100)*(1+Inputs!$B$16/100)*(5000/(6000+Inputs!$B$43*(1-Inputs!$B$19/100)))*(1+(Inputs!$B$24+((C736=TRUE)*(F736-Calc!F30)))/100)*(1+2.6666666666666665*IF(C724=TRUE,F724,0)/100)*(1+(IF(Skills!A5="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711)</f>
        <v/>
      </c>
      <c r="L711">
        <f>K711*(MIN(Inputs!$B$22+((C730=TRUE)*(F730-Calc!F24)),Inputs!$B$23+((C735=TRUE)*(F735-Calc!F29)))/100+(Inputs!$B$23+((C735=TRUE)*(F735-Calc!F29)))/100)/2</f>
        <v/>
      </c>
      <c r="M711">
        <f>L711*(1+(Inputs!$B$10+((C732=TRUE)*(F732-Calc!F26))+B746)/100)</f>
        <v/>
      </c>
      <c r="N711">
        <f>L711*(1-MIN((Inputs!$B$9+((C731=TRUE)*(F731-Calc!F25))+B739),100)/100)+M711*(MIN((Inputs!$B$9+((C731=TRUE)*(F731-Calc!F25))+B739),100)/100)</f>
        <v/>
      </c>
      <c r="O711">
        <f>IF(C711,H711*N711*IF(AND(Inputs!$B$39&lt;&gt;"pvp",Inputs!$B$44&gt;0),((Skills!G5*((R711-1)*IF(Skills!H5&gt;0,Skills!I5/Skills!H5,1)+IF(Skills!H5&gt;0,MIN(Skills!I5,MAX(0,MAX(0,Inputs!$B$44-B750)-((R711-1)*IF(Inputs!$B$39="pvp",15,MAX(0.1,Skills!D5-IF(Skills!E5=TRUE,Inputs!$B$32,0))))))/Skills!H5,1)))/Inputs!$B$44),G711*Q711)*IF(Inputs!$B$39="pvp",1,(1-Summary!$B$55)*(1)+Summary!$B$55*(MIN(Skills!W5,Inputs!$B$37))),0)</f>
        <v/>
      </c>
      <c r="P711">
        <f>IF(B751=0,0,O711/B751)</f>
        <v/>
      </c>
      <c r="Q711">
        <f>IFERROR(1/IF(Inputs!$B$39="pvp",15,MAX(0.1,Skills!D5-IF(Skills!E5=TRUE,Inputs!$B$32,0))),0)</f>
        <v/>
      </c>
      <c r="R711">
        <f>IF(AND(Inputs!$B$39&lt;&gt;"pvp",Inputs!$B$44&gt;0),IF(MAX(0,Inputs!$B$44-B750)&lt;=0,0,(INT(MAX(0,Inputs!$B$44-B750)/IF(Inputs!$B$39="pvp",15,MAX(0.1,Skills!D5-IF(Skills!E5=TRUE,Inputs!$B$32,0))))+1)),0)</f>
        <v/>
      </c>
      <c r="S711">
        <f>IFERROR(O711/N711,0)</f>
        <v/>
      </c>
    </row>
    <row r="712">
      <c r="A712">
        <f>Skills!A6</f>
        <v/>
      </c>
      <c r="B712">
        <f>Skills!B6</f>
        <v/>
      </c>
      <c r="C712">
        <f>Inputs!$B$3&gt;=69</f>
        <v/>
      </c>
      <c r="D712">
        <f>IF(Skills!C6=1,60+Inputs!$B$25+Inputs!$B$29,IF(Skills!C6=2,90+Inputs!$B$26+Inputs!$B$29,IF(Skills!C6=3,120+Inputs!$B$27+Inputs!$B$29,MAX(0,(Inputs!$B$3-100)*3)+Inputs!$B$28+Inputs!$B$29)))</f>
        <v/>
      </c>
      <c r="E712">
        <f>INDEX(FactorTable!$B$2:$Y$301, MATCH(ROUND(MIN(300,MAX(1,D712)),0), FactorTable!$A$2:$A$301,0), Skills!M6+1)</f>
        <v/>
      </c>
      <c r="F712">
        <f>IF(Skills!N6=TRUE,(Skills!L6/10)*(E712/1000),Skills!L6/10)+Skills!O6</f>
        <v/>
      </c>
      <c r="G712">
        <f>Skills!G6*IF(Skills!H6&gt;0,Skills!I6/Skills!H6,1)</f>
        <v/>
      </c>
      <c r="H712">
        <f>1-(1-Skills!J6/100)^Skills!K6</f>
        <v/>
      </c>
      <c r="I712" t="inlineStr">
        <is>
          <t>1</t>
        </is>
      </c>
      <c r="J712">
        <f>((Inputs!$B$6*(1+Inputs!$B$7/100))+(((Inputs!$B$12*(1+Inputs!$B$13/100))-(Inputs!$B$12*(1+Inputs!$B$13/100)))+0.25*(Inputs!$B$14-Inputs!$B$14))*(1+Inputs!$B$7/100))*(F712/100)</f>
        <v/>
      </c>
      <c r="K712">
        <f>J712*(1+((Inputs!$B$12*(1+Inputs!$B$13/100))*0.01+Inputs!$B$14*0.0025)/100)*(1+Inputs!$B$15/100)*(1+IF(Inputs!$B$39="pvp",0,(1-Summary!$B$55)*(Inputs!$B$20+0+Skills!P6+B740)+Summary!$B$55*(Inputs!$B$21+Skills!Q6+B740))/100)*(1+Inputs!$B$16/100)*(5000/(6000+Inputs!$B$43*(1-Inputs!$B$19/100)))*(1+(Inputs!$B$24+((C736=TRUE)*(F736-Calc!F30)))/100)*(1+1.0*IF(C724=TRUE,F724,0)/100)*(1+(IF(Skills!A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712)</f>
        <v/>
      </c>
      <c r="L712">
        <f>K712*(MIN(Inputs!$B$22+((C730=TRUE)*(F730-Calc!F24)),Inputs!$B$23+((C735=TRUE)*(F735-Calc!F29)))/100+(Inputs!$B$23+((C735=TRUE)*(F735-Calc!F29)))/100)/2</f>
        <v/>
      </c>
      <c r="M712">
        <f>L712*(1+(Inputs!$B$10+((C732=TRUE)*(F732-Calc!F26))+B746)/100)</f>
        <v/>
      </c>
      <c r="N712">
        <f>L712*(1-MIN((Inputs!$B$9+((C731=TRUE)*(F731-Calc!F25))+B739),100)/100)+M712*(MIN((Inputs!$B$9+((C731=TRUE)*(F731-Calc!F25))+B739),100)/100)</f>
        <v/>
      </c>
      <c r="O712">
        <f>IF(C712,H712*N712*IF(AND(Inputs!$B$39&lt;&gt;"pvp",Inputs!$B$44&gt;0),((Skills!G6*((R712-1)*IF(Skills!H6&gt;0,Skills!I6/Skills!H6,1)+IF(Skills!H6&gt;0,MIN(Skills!I6,MAX(0,MAX(0,Inputs!$B$44-B750)-((R712-1)*IF(Inputs!$B$39="pvp",15,MAX(0.1,Skills!D6-IF(Skills!E6=TRUE,Inputs!$B$32,0))))))/Skills!H6,1)))/Inputs!$B$44),G712*Q712)*IF(Inputs!$B$39="pvp",1,(1-Summary!$B$55)*(1)+Summary!$B$55*(MIN(Skills!W6,Inputs!$B$37))),0)</f>
        <v/>
      </c>
      <c r="P712">
        <f>IF(B751=0,0,O712/B751)</f>
        <v/>
      </c>
      <c r="Q712">
        <f>IFERROR(1/IF(Inputs!$B$39="pvp",15,MAX(0.1,Skills!D6-IF(Skills!E6=TRUE,Inputs!$B$32,0))),0)</f>
        <v/>
      </c>
      <c r="R712">
        <f>IF(AND(Inputs!$B$39&lt;&gt;"pvp",Inputs!$B$44&gt;0),IF(MAX(0,Inputs!$B$44-B750)&lt;=0,0,(INT(MAX(0,Inputs!$B$44-B750)/IF(Inputs!$B$39="pvp",15,MAX(0.1,Skills!D6-IF(Skills!E6=TRUE,Inputs!$B$32,0))))+1)),0)</f>
        <v/>
      </c>
      <c r="S712">
        <f>IFERROR(O712/N712,0)</f>
        <v/>
      </c>
    </row>
    <row r="713">
      <c r="A713">
        <f>Skills!A7</f>
        <v/>
      </c>
      <c r="B713">
        <f>Skills!B7</f>
        <v/>
      </c>
      <c r="C713">
        <f>Inputs!$B$3&gt;=60</f>
        <v/>
      </c>
      <c r="D713">
        <f>IF(Skills!C7=1,60+Inputs!$B$25+Inputs!$B$29,IF(Skills!C7=2,90+Inputs!$B$26+Inputs!$B$29,IF(Skills!C7=3,120+Inputs!$B$27+Inputs!$B$29,MAX(0,(Inputs!$B$3-100)*3)+Inputs!$B$28+Inputs!$B$29)))</f>
        <v/>
      </c>
      <c r="E713">
        <f>INDEX(FactorTable!$B$2:$Y$301, MATCH(ROUND(MIN(300,MAX(1,D713)),0), FactorTable!$A$2:$A$301,0), Skills!M7+1)</f>
        <v/>
      </c>
      <c r="F713">
        <f>IF(Skills!N7=TRUE,(Skills!L7/10)*(E713/1000),Skills!L7/10)+Skills!O7</f>
        <v/>
      </c>
      <c r="G713">
        <f>Skills!G7*IF(Skills!H7&gt;0,Skills!I7/Skills!H7,1)</f>
        <v/>
      </c>
      <c r="H713">
        <f>1-(1-Skills!J7/100)^Skills!K7</f>
        <v/>
      </c>
      <c r="I713" t="inlineStr">
        <is>
          <t>1</t>
        </is>
      </c>
      <c r="J713" t="inlineStr"/>
      <c r="K713" t="inlineStr"/>
      <c r="L713" t="inlineStr"/>
      <c r="M713" t="inlineStr"/>
      <c r="N713" t="inlineStr"/>
      <c r="O713" t="n">
        <v>0</v>
      </c>
      <c r="P713">
        <f>IF(B751=0,0,O713/B751)</f>
        <v/>
      </c>
      <c r="Q713" t="n">
        <v>0</v>
      </c>
      <c r="R713" t="n">
        <v>0</v>
      </c>
      <c r="S713">
        <f>IFERROR(O713/N713,0)</f>
        <v/>
      </c>
    </row>
    <row r="714">
      <c r="A714">
        <f>Skills!A8</f>
        <v/>
      </c>
      <c r="B714">
        <f>Skills!B8</f>
        <v/>
      </c>
      <c r="C714">
        <f>Inputs!$B$3&gt;=72</f>
        <v/>
      </c>
      <c r="D714">
        <f>IF(Skills!C8=1,60+Inputs!$B$25+Inputs!$B$29,IF(Skills!C8=2,90+Inputs!$B$26+Inputs!$B$29,IF(Skills!C8=3,120+Inputs!$B$27+Inputs!$B$29,MAX(0,(Inputs!$B$3-100)*3)+Inputs!$B$28+Inputs!$B$29)))</f>
        <v/>
      </c>
      <c r="E714">
        <f>INDEX(FactorTable!$B$2:$Y$301, MATCH(ROUND(MIN(300,MAX(1,D714)),0), FactorTable!$A$2:$A$301,0), Skills!M8+1)</f>
        <v/>
      </c>
      <c r="F714">
        <f>IF(Skills!N8=TRUE,(Skills!L8/10)*(E714/1000),Skills!L8/10)+Skills!O8</f>
        <v/>
      </c>
      <c r="G714">
        <f>Skills!G8*IF(Skills!H8&gt;0,Skills!I8/Skills!H8,1)</f>
        <v/>
      </c>
      <c r="H714">
        <f>1-(1-Skills!J8/100)^Skills!K8</f>
        <v/>
      </c>
      <c r="I714" t="inlineStr">
        <is>
          <t>1</t>
        </is>
      </c>
      <c r="J714">
        <f>((Inputs!$B$6*(1+Inputs!$B$7/100))+(((Inputs!$B$12*(1+Inputs!$B$13/100))-(Inputs!$B$12*(1+Inputs!$B$13/100)))+0.25*(Inputs!$B$14-Inputs!$B$14))*(1+Inputs!$B$7/100))*(F714/100)</f>
        <v/>
      </c>
      <c r="K714">
        <f>J714*(1+((Inputs!$B$12*(1+Inputs!$B$13/100))*0.01+Inputs!$B$14*0.0025)/100)*(1+Inputs!$B$15/100)*(1+IF(Inputs!$B$39="pvp",0,(1-Summary!$B$55)*(Inputs!$B$20+0+Skills!P8+B740)+Summary!$B$55*(Inputs!$B$21+Skills!Q8+B740))/100)*(1+Inputs!$B$16/100)*(5000/(6000+Inputs!$B$43*(1-Inputs!$B$19/100)))*(1+(Inputs!$B$24+((C736=TRUE)*(F736-Calc!F30)))/100)*(1+3.3333333333333335*IF(C724=TRUE,F724,0)/100)*(1+(IF(Skills!A8="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714)</f>
        <v/>
      </c>
      <c r="L714">
        <f>K714*(MIN(Inputs!$B$22+((C730=TRUE)*(F730-Calc!F24)),Inputs!$B$23+((C735=TRUE)*(F735-Calc!F29)))/100+(Inputs!$B$23+((C735=TRUE)*(F735-Calc!F29)))/100)/2</f>
        <v/>
      </c>
      <c r="M714">
        <f>L714*(1+(Inputs!$B$10+((C732=TRUE)*(F732-Calc!F26))+B746)/100)</f>
        <v/>
      </c>
      <c r="N714">
        <f>L714*(1-MIN((Inputs!$B$9+((C731=TRUE)*(F731-Calc!F25))+B739),100)/100)+M714*(MIN((Inputs!$B$9+((C731=TRUE)*(F731-Calc!F25))+B739),100)/100)</f>
        <v/>
      </c>
      <c r="O714">
        <f>IF(C714,H714*N714*IF(AND(Inputs!$B$39&lt;&gt;"pvp",Inputs!$B$44&gt;0),((Skills!G8*((R714-1)*IF(Skills!H8&gt;0,Skills!I8/Skills!H8,1)+IF(Skills!H8&gt;0,MIN(Skills!I8,MAX(0,MAX(0,Inputs!$B$44-B750)-((R714-1)*IF(Inputs!$B$39="pvp",15,MAX(0.1,Skills!D8-IF(Skills!E8=TRUE,Inputs!$B$32,0))))))/Skills!H8,1)))/Inputs!$B$44),G714*Q714)*IF(Inputs!$B$39="pvp",1,(1-Summary!$B$55)*(1)+Summary!$B$55*(MIN(Skills!W8,Inputs!$B$37))),0)</f>
        <v/>
      </c>
      <c r="P714">
        <f>IF(B751=0,0,O714/B751)</f>
        <v/>
      </c>
      <c r="Q714">
        <f>IFERROR(1/IF(Inputs!$B$39="pvp",15,MAX(0.1,Skills!D8-IF(Skills!E8=TRUE,Inputs!$B$32,0))),0)</f>
        <v/>
      </c>
      <c r="R714">
        <f>IF(AND(Inputs!$B$39&lt;&gt;"pvp",Inputs!$B$44&gt;0),IF(MAX(0,Inputs!$B$44-B750)&lt;=0,0,(INT(MAX(0,Inputs!$B$44-B750)/IF(Inputs!$B$39="pvp",15,MAX(0.1,Skills!D8-IF(Skills!E8=TRUE,Inputs!$B$32,0))))+1)),0)</f>
        <v/>
      </c>
      <c r="S714">
        <f>IFERROR(O714/N714,0)</f>
        <v/>
      </c>
    </row>
    <row r="715">
      <c r="A715">
        <f>Skills!A9</f>
        <v/>
      </c>
      <c r="B715">
        <f>Skills!B9</f>
        <v/>
      </c>
      <c r="C715">
        <f>Inputs!$B$3&gt;=117</f>
        <v/>
      </c>
      <c r="D715">
        <f>IF(Skills!C9=1,60+Inputs!$B$25+Inputs!$B$29,IF(Skills!C9=2,90+Inputs!$B$26+Inputs!$B$29,IF(Skills!C9=3,120+Inputs!$B$27+Inputs!$B$29,MAX(0,(Inputs!$B$3-100)*3)+Inputs!$B$28+Inputs!$B$29)))</f>
        <v/>
      </c>
      <c r="E715">
        <f>INDEX(FactorTable!$B$2:$Y$301, MATCH(ROUND(MIN(300,MAX(1,D715)),0), FactorTable!$A$2:$A$301,0), Skills!M9+1)</f>
        <v/>
      </c>
      <c r="F715">
        <f>IF(Skills!N9=TRUE,(Skills!L9/10)*(E715/1000),Skills!L9/10)+Skills!O9</f>
        <v/>
      </c>
      <c r="G715">
        <f>Skills!G9*IF(Skills!H9&gt;0,Skills!I9/Skills!H9,1)</f>
        <v/>
      </c>
      <c r="H715">
        <f>1-(1-Skills!J9/100)^Skills!K9</f>
        <v/>
      </c>
      <c r="I715" t="inlineStr">
        <is>
          <t>1</t>
        </is>
      </c>
      <c r="J715">
        <f>((Inputs!$B$6*(1+Inputs!$B$7/100))+(((Inputs!$B$12*(1+Inputs!$B$13/100))-(Inputs!$B$12*(1+Inputs!$B$13/100)))+0.25*(Inputs!$B$14-Inputs!$B$14))*(1+Inputs!$B$7/100))*(F715/100)</f>
        <v/>
      </c>
      <c r="K715">
        <f>J715*(1+((Inputs!$B$12*(1+Inputs!$B$13/100))*0.01+Inputs!$B$14*0.0025)/100)*(1+Inputs!$B$15/100)*(1+IF(Inputs!$B$39="pvp",0,(1-Summary!$B$55)*(Inputs!$B$20+0+Skills!P9+B740)+Summary!$B$55*(Inputs!$B$21+Skills!Q9+B740))/100)*(1+Inputs!$B$16/100)*(5000/(6000+Inputs!$B$43*(1-Inputs!$B$19/100)))*(1+(Inputs!$B$24+((C736=TRUE)*(F736-Calc!F30)))/100)*(1+(IF(Skills!A9="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715)</f>
        <v/>
      </c>
      <c r="L715">
        <f>K715*(MIN(Inputs!$B$22+((C730=TRUE)*(F730-Calc!F24)),Inputs!$B$23+((C735=TRUE)*(F735-Calc!F29)))/100+(Inputs!$B$23+((C735=TRUE)*(F735-Calc!F29)))/100)/2</f>
        <v/>
      </c>
      <c r="M715">
        <f>L715*(1+(Inputs!$B$10+((C732=TRUE)*(F732-Calc!F26))+B746)/100)</f>
        <v/>
      </c>
      <c r="N715">
        <f>L715*(1-MIN((Inputs!$B$9+((C731=TRUE)*(F731-Calc!F25))+B739),100)/100)+M715*(MIN((Inputs!$B$9+((C731=TRUE)*(F731-Calc!F25))+B739),100)/100)</f>
        <v/>
      </c>
      <c r="O715">
        <f>IF(C715,0.2*SUMPRODUCT((Skills!Z2:Z30=TRUE)*(C708:C736=TRUE)*S708:S736)*N715,0)</f>
        <v/>
      </c>
      <c r="P715">
        <f>IF(B751=0,0,O715/B751)</f>
        <v/>
      </c>
      <c r="Q715" t="n">
        <v>0</v>
      </c>
      <c r="R715" t="n">
        <v>0</v>
      </c>
      <c r="S715" t="n">
        <v>0</v>
      </c>
    </row>
    <row r="716">
      <c r="A716">
        <f>Skills!A10</f>
        <v/>
      </c>
      <c r="B716">
        <f>Skills!B10</f>
        <v/>
      </c>
      <c r="C716">
        <f>Inputs!$B$3&gt;=74</f>
        <v/>
      </c>
      <c r="D716">
        <f>IF(Skills!C10=1,60+Inputs!$B$25+Inputs!$B$29,IF(Skills!C10=2,90+Inputs!$B$26+Inputs!$B$29,IF(Skills!C10=3,120+Inputs!$B$27+Inputs!$B$29,MAX(0,(Inputs!$B$3-100)*3)+Inputs!$B$28+Inputs!$B$29)))</f>
        <v/>
      </c>
      <c r="E716">
        <f>INDEX(FactorTable!$B$2:$Y$301, MATCH(ROUND(MIN(300,MAX(1,D716)),0), FactorTable!$A$2:$A$301,0), Skills!M10+1)</f>
        <v/>
      </c>
      <c r="F716">
        <f>IF(Skills!N10=TRUE,(Skills!L10/10)*(E716/1000),Skills!L10/10)+Skills!O10</f>
        <v/>
      </c>
      <c r="G716">
        <f>Skills!G10*IF(Skills!H10&gt;0,Skills!I10/Skills!H10,1)</f>
        <v/>
      </c>
      <c r="H716">
        <f>1-(1-Skills!J10/100)^Skills!K10</f>
        <v/>
      </c>
      <c r="I716" t="inlineStr">
        <is>
          <t>1</t>
        </is>
      </c>
      <c r="J716" t="inlineStr"/>
      <c r="K716" t="inlineStr"/>
      <c r="L716" t="inlineStr"/>
      <c r="M716" t="inlineStr"/>
      <c r="N716" t="inlineStr"/>
      <c r="O716" t="n">
        <v>0</v>
      </c>
      <c r="P716">
        <f>IF(B751=0,0,O716/B751)</f>
        <v/>
      </c>
      <c r="Q716">
        <f>IFERROR(1/IF(Inputs!$B$39="pvp",15,MAX(0.1,Skills!D10-IF(Skills!E10=TRUE,Inputs!$B$32,0))),0)</f>
        <v/>
      </c>
      <c r="R716">
        <f>IF(AND(Inputs!$B$39&lt;&gt;"pvp",Inputs!$B$44&gt;0),IF(Inputs!$B$44&lt;=0,0,(INT(Inputs!$B$44/IF(Inputs!$B$39="pvp",15,MAX(0.1,Skills!D10-IF(Skills!E10=TRUE,Inputs!$B$32,0))))+1)),0)</f>
        <v/>
      </c>
      <c r="S716">
        <f>IFERROR(O716/N716,0)</f>
        <v/>
      </c>
    </row>
    <row r="717">
      <c r="A717">
        <f>Skills!A11</f>
        <v/>
      </c>
      <c r="B717">
        <f>Skills!B11</f>
        <v/>
      </c>
      <c r="C717">
        <f>Inputs!$B$3&gt;=103</f>
        <v/>
      </c>
      <c r="D717">
        <f>IF(Skills!C11=1,60+Inputs!$B$25+Inputs!$B$29,IF(Skills!C11=2,90+Inputs!$B$26+Inputs!$B$29,IF(Skills!C11=3,120+Inputs!$B$27+Inputs!$B$29,MAX(0,(Inputs!$B$3-100)*3)+Inputs!$B$28+Inputs!$B$29)))</f>
        <v/>
      </c>
      <c r="E717">
        <f>INDEX(FactorTable!$B$2:$Y$301, MATCH(ROUND(MIN(300,MAX(1,D717)),0), FactorTable!$A$2:$A$301,0), Skills!M11+1)</f>
        <v/>
      </c>
      <c r="F717">
        <f>(Skills!L11/10)*(E717/1000)+IF(Inputs!$B$3&gt;=134,50,0)+0.5*(30000/10)*(INDEX(FactorTable!$B$2:$Y$301, MATCH(ROUND(MIN(300,MAX(1,D717)),0), FactorTable!$A$2:$A$301,0), 13)/1000)*B749</f>
        <v/>
      </c>
      <c r="G717">
        <f>Skills!G11*IF(Skills!H11&gt;0,Skills!I11/Skills!H11,1)</f>
        <v/>
      </c>
      <c r="H717">
        <f>1-(1-Skills!J11/100)^Skills!K11</f>
        <v/>
      </c>
      <c r="I717" t="inlineStr">
        <is>
          <t>1</t>
        </is>
      </c>
      <c r="J717">
        <f>((Inputs!$B$6*(1+Inputs!$B$7/100))+(((Inputs!$B$12*(1+Inputs!$B$13/100))-(Inputs!$B$12*(1+Inputs!$B$13/100)))+0.25*(Inputs!$B$14-Inputs!$B$14))*(1+Inputs!$B$7/100))*(F717/100)</f>
        <v/>
      </c>
      <c r="K717">
        <f>J717*(1+((Inputs!$B$12*(1+Inputs!$B$13/100))*0.01+Inputs!$B$14*0.0025)/100)*(1+Inputs!$B$15/100)*(1+IF(Inputs!$B$39="pvp",0,(1-Summary!$B$55)*(Inputs!$B$20+0+Skills!P11+B740)+Summary!$B$55*(Inputs!$B$21+Skills!Q11+B740))/100)*(1+Inputs!$B$16/100)*(5000/(6000+Inputs!$B$43*(1-Inputs!$B$19/100)))*(1+(Inputs!$B$24+((C736=TRUE)*(F736-Calc!F30)))/100)*(1+(IF(Skills!A11="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717)</f>
        <v/>
      </c>
      <c r="L717">
        <f>K717*(MIN(Inputs!$B$22+((C730=TRUE)*(F730-Calc!F24)),Inputs!$B$23+((C735=TRUE)*(F735-Calc!F29)))/100+(Inputs!$B$23+((C735=TRUE)*(F735-Calc!F29)))/100)/2</f>
        <v/>
      </c>
      <c r="M717">
        <f>L717*(1+(Inputs!$B$10+((C732=TRUE)*(F732-Calc!F26))+B746)/100)</f>
        <v/>
      </c>
      <c r="N717">
        <f>L717*(1-MIN((Inputs!$B$9+((C731=TRUE)*(F731-Calc!F25))+B739),100)/100)+M717*(MIN((Inputs!$B$9+((C731=TRUE)*(F731-Calc!F25))+B739),100)/100)</f>
        <v/>
      </c>
      <c r="O717">
        <f>IF(C717,H717*N717*IF(AND(Inputs!$B$39&lt;&gt;"pvp",Inputs!$B$44&gt;0),((Skills!G11*((R717-1)*IF(Skills!H11&gt;0,Skills!I11/Skills!H11,1)+IF(Skills!H11&gt;0,MIN(Skills!I11,MAX(0,MAX(0,Inputs!$B$44-B750)-((R717-1)*IF(Inputs!$B$39="pvp",15,MAX(0.1,Skills!D11-IF(Skills!E11=TRUE,Inputs!$B$32,0))))))/Skills!H11,1)))/Inputs!$B$44),G717*Q717)*IF(Inputs!$B$39="pvp",1,(1-Summary!$B$55)*(1)+Summary!$B$55*(MIN(Skills!W11,Inputs!$B$37))),0)</f>
        <v/>
      </c>
      <c r="P717">
        <f>IF(B751=0,0,O717/B751)</f>
        <v/>
      </c>
      <c r="Q717">
        <f>IFERROR(1/IF(Inputs!$B$39="pvp",15,MAX(0.1,Skills!D11-IF(Skills!E11=TRUE,Inputs!$B$32,0))),0)</f>
        <v/>
      </c>
      <c r="R717">
        <f>IF(AND(Inputs!$B$39&lt;&gt;"pvp",Inputs!$B$44&gt;0),IF(MAX(0,Inputs!$B$44-B750)&lt;=0,0,(INT(MAX(0,Inputs!$B$44-B750)/IF(Inputs!$B$39="pvp",15,MAX(0.1,Skills!D11-IF(Skills!E11=TRUE,Inputs!$B$32,0))))+1)),0)</f>
        <v/>
      </c>
      <c r="S717">
        <f>IFERROR(O717/N717,0)</f>
        <v/>
      </c>
    </row>
    <row r="718">
      <c r="A718">
        <f>Skills!A12</f>
        <v/>
      </c>
      <c r="B718">
        <f>Skills!B12</f>
        <v/>
      </c>
      <c r="C718">
        <f>Inputs!$B$3&gt;=105</f>
        <v/>
      </c>
      <c r="D718">
        <f>IF(Skills!C12=1,60+Inputs!$B$25+Inputs!$B$29,IF(Skills!C12=2,90+Inputs!$B$26+Inputs!$B$29,IF(Skills!C12=3,120+Inputs!$B$27+Inputs!$B$29,MAX(0,(Inputs!$B$3-100)*3)+Inputs!$B$28+Inputs!$B$29)))</f>
        <v/>
      </c>
      <c r="E718">
        <f>INDEX(FactorTable!$B$2:$Y$301, MATCH(ROUND(MIN(300,MAX(1,D718)),0), FactorTable!$A$2:$A$301,0), Skills!M12+1)</f>
        <v/>
      </c>
      <c r="F718">
        <f>IF(Skills!N12=TRUE,(Skills!L12/10)*(E718/1000),Skills!L12/10)+Skills!O12</f>
        <v/>
      </c>
      <c r="G718">
        <f>Skills!G12*IF(Skills!H12&gt;0,Skills!I12/Skills!H12,1)</f>
        <v/>
      </c>
      <c r="H718">
        <f>1-(1-Skills!J12/100)^Skills!K12</f>
        <v/>
      </c>
      <c r="I718" t="inlineStr">
        <is>
          <t>1</t>
        </is>
      </c>
      <c r="J718">
        <f>((Inputs!$B$6*(1+Inputs!$B$7/100))+(((Inputs!$B$12*(1+Inputs!$B$13/100))-(Inputs!$B$12*(1+Inputs!$B$13/100)))+0.25*(Inputs!$B$14-Inputs!$B$14))*(1+Inputs!$B$7/100))*(F718/100)</f>
        <v/>
      </c>
      <c r="K718">
        <f>J718*(1+((Inputs!$B$12*(1+Inputs!$B$13/100))*0.01+Inputs!$B$14*0.0025)/100)*(1+Inputs!$B$15/100)*(1+IF(Inputs!$B$39="pvp",0,(1-Summary!$B$55)*(Inputs!$B$20+0+Skills!P12+B740)+Summary!$B$55*(Inputs!$B$21+Skills!Q12+B740))/100)*(1+Inputs!$B$16/100)*(5000/(6000+Inputs!$B$43*(1-Inputs!$B$19/100)))*(1+(Inputs!$B$24+((C736=TRUE)*(F736-Calc!F30)))/100)*(1+(IF(Skills!A12="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718)</f>
        <v/>
      </c>
      <c r="L718">
        <f>K718*(MIN(Inputs!$B$22+((C730=TRUE)*(F730-Calc!F24)),Inputs!$B$23+((C735=TRUE)*(F735-Calc!F29)))/100+(Inputs!$B$23+((C735=TRUE)*(F735-Calc!F29)))/100)/2</f>
        <v/>
      </c>
      <c r="M718">
        <f>L718*(1+(Inputs!$B$10+((C732=TRUE)*(F732-Calc!F26))+B746)/100)</f>
        <v/>
      </c>
      <c r="N718">
        <f>L718*(1-MIN((Inputs!$B$9+((C731=TRUE)*(F731-Calc!F25))+B739),100)/100)+M718*(MIN((Inputs!$B$9+((C731=TRUE)*(F731-Calc!F25))+B739),100)/100)</f>
        <v/>
      </c>
      <c r="O718">
        <f>IF(C718,H718*N718*IF(AND(Inputs!$B$39&lt;&gt;"pvp",Inputs!$B$44&gt;0),((Skills!G12*((R718-1)*IF(Skills!H12&gt;0,Skills!I12/Skills!H12,1)+IF(Skills!H12&gt;0,MIN(Skills!I12,MAX(0,MAX(0,Inputs!$B$44-B750)-((R718-1)*IF(Inputs!$B$39="pvp",15,MAX(0.1,Skills!D12-IF(Skills!E12=TRUE,Inputs!$B$32,0))))))/Skills!H12,1)))/Inputs!$B$44),G718*Q718)*IF(Inputs!$B$39="pvp",1,(1-Summary!$B$55)*(1)+Summary!$B$55*(MIN(Skills!W12,Inputs!$B$37))),0)</f>
        <v/>
      </c>
      <c r="P718">
        <f>IF(B751=0,0,O718/B751)</f>
        <v/>
      </c>
      <c r="Q718">
        <f>IFERROR(1/IF(Inputs!$B$39="pvp",15,MAX(0.1,Skills!D12-IF(Skills!E12=TRUE,Inputs!$B$32,0))),0)</f>
        <v/>
      </c>
      <c r="R718">
        <f>IF(AND(Inputs!$B$39&lt;&gt;"pvp",Inputs!$B$44&gt;0),IF(MAX(0,Inputs!$B$44-B750)&lt;=0,0,(INT(MAX(0,Inputs!$B$44-B750)/IF(Inputs!$B$39="pvp",15,MAX(0.1,Skills!D12-IF(Skills!E12=TRUE,Inputs!$B$32,0))))+1)),0)</f>
        <v/>
      </c>
      <c r="S718">
        <f>IFERROR(O718/N718,0)</f>
        <v/>
      </c>
    </row>
    <row r="719">
      <c r="A719">
        <f>Skills!A13</f>
        <v/>
      </c>
      <c r="B719">
        <f>Skills!B13</f>
        <v/>
      </c>
      <c r="C719">
        <f>Inputs!$B$3&gt;=105</f>
        <v/>
      </c>
      <c r="D719">
        <f>IF(Skills!C13=1,60+Inputs!$B$25+Inputs!$B$29,IF(Skills!C13=2,90+Inputs!$B$26+Inputs!$B$29,IF(Skills!C13=3,120+Inputs!$B$27+Inputs!$B$29,MAX(0,(Inputs!$B$3-100)*3)+Inputs!$B$28+Inputs!$B$29)))</f>
        <v/>
      </c>
      <c r="E719">
        <f>INDEX(FactorTable!$B$2:$Y$301, MATCH(ROUND(MIN(300,MAX(1,D719)),0), FactorTable!$A$2:$A$301,0), Skills!M13+1)</f>
        <v/>
      </c>
      <c r="F719">
        <f>IF(Skills!N13=TRUE,(Skills!L13/10)*(E719/1000),Skills!L13/10)+Skills!O13</f>
        <v/>
      </c>
      <c r="G719">
        <f>Skills!G13*IF(Skills!H13&gt;0,Skills!I13/Skills!H13,1)</f>
        <v/>
      </c>
      <c r="H719">
        <f>1-(1-Skills!J13/100)^Skills!K13</f>
        <v/>
      </c>
      <c r="I719" t="inlineStr">
        <is>
          <t>1</t>
        </is>
      </c>
      <c r="J719">
        <f>((Inputs!$B$6*(1+Inputs!$B$7/100))+(((Inputs!$B$12*(1+Inputs!$B$13/100))-(Inputs!$B$12*(1+Inputs!$B$13/100)))+0.25*(Inputs!$B$14-Inputs!$B$14))*(1+Inputs!$B$7/100))*(F719/100)</f>
        <v/>
      </c>
      <c r="K719">
        <f>J719*(1+((Inputs!$B$12*(1+Inputs!$B$13/100))*0.01+Inputs!$B$14*0.0025)/100)*(1+Inputs!$B$15/100)*(1+IF(Inputs!$B$39="pvp",0,(1-Summary!$B$55)*(Inputs!$B$20+0+Skills!P13+B740)+Summary!$B$55*(Inputs!$B$21+Skills!Q13+B740))/100)*(1+Inputs!$B$16/100)*(5000/(6000+Inputs!$B$43*(1-Inputs!$B$19/100)))*(1+(Inputs!$B$24+((C736=TRUE)*(F736-Calc!F30)))/100)*(1+(IF(Skills!A13="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719)</f>
        <v/>
      </c>
      <c r="L719">
        <f>K719*(MIN(Inputs!$B$22+((C730=TRUE)*(F730-Calc!F24)),Inputs!$B$23+((C735=TRUE)*(F735-Calc!F29)))/100+(Inputs!$B$23+((C735=TRUE)*(F735-Calc!F29)))/100)/2</f>
        <v/>
      </c>
      <c r="M719">
        <f>L719*(1+(Inputs!$B$10+((C732=TRUE)*(F732-Calc!F26))+B746)/100)</f>
        <v/>
      </c>
      <c r="N719">
        <f>L719*(1-MIN((Inputs!$B$9+((C731=TRUE)*(F731-Calc!F25))+B739),100)/100)+M719*(MIN((Inputs!$B$9+((C731=TRUE)*(F731-Calc!F25))+B739),100)/100)</f>
        <v/>
      </c>
      <c r="O719">
        <f>IF(C719,H719*N719*IF(AND(Inputs!$B$39&lt;&gt;"pvp",Inputs!$B$44&gt;0),((Skills!G13*((R719-1)*IF(Skills!H13&gt;0,Skills!I13/Skills!H13,1)+IF(Skills!H13&gt;0,MIN(Skills!I13,MAX(0,MAX(0,Inputs!$B$44-B750)-((R719-1)*IF(Inputs!$B$39="pvp",15,MAX(0.1,Skills!D13-IF(Skills!E13=TRUE,Inputs!$B$32,0))))))/Skills!H13,1)))/Inputs!$B$44),G719*Q719)*IF(Inputs!$B$39="pvp",1,(1-Summary!$B$55)*(1)+Summary!$B$55*(MIN(Skills!W13,Inputs!$B$37))),0)</f>
        <v/>
      </c>
      <c r="P719">
        <f>IF(B751=0,0,O719/B751)</f>
        <v/>
      </c>
      <c r="Q719">
        <f>IFERROR(1/IF(Inputs!$B$39="pvp",15,MAX(0.1,Skills!D13-IF(Skills!E13=TRUE,Inputs!$B$32,0))),0)</f>
        <v/>
      </c>
      <c r="R719">
        <f>IF(AND(Inputs!$B$39&lt;&gt;"pvp",Inputs!$B$44&gt;0),IF(MAX(0,Inputs!$B$44-B750)&lt;=0,0,(INT(MAX(0,Inputs!$B$44-B750)/IF(Inputs!$B$39="pvp",15,MAX(0.1,Skills!D13-IF(Skills!E13=TRUE,Inputs!$B$32,0))))+1)),0)</f>
        <v/>
      </c>
      <c r="S719">
        <f>IFERROR(O719/N719,0)</f>
        <v/>
      </c>
    </row>
    <row r="720">
      <c r="A720">
        <f>Skills!A14</f>
        <v/>
      </c>
      <c r="B720">
        <f>Skills!B14</f>
        <v/>
      </c>
      <c r="C720">
        <f>Inputs!$B$3&gt;=107</f>
        <v/>
      </c>
      <c r="D720">
        <f>IF(Skills!C14=1,60+Inputs!$B$25+Inputs!$B$29,IF(Skills!C14=2,90+Inputs!$B$26+Inputs!$B$29,IF(Skills!C14=3,120+Inputs!$B$27+Inputs!$B$29,MAX(0,(Inputs!$B$3-100)*3)+Inputs!$B$28+Inputs!$B$29)))</f>
        <v/>
      </c>
      <c r="E720">
        <f>INDEX(FactorTable!$B$2:$Y$301, MATCH(ROUND(MIN(300,MAX(1,D720)),0), FactorTable!$A$2:$A$301,0), Skills!M14+1)</f>
        <v/>
      </c>
      <c r="F720">
        <f>IF(Skills!N14=TRUE,(Skills!L14/10)*(E720/1000),Skills!L14/10)+Skills!O14</f>
        <v/>
      </c>
      <c r="G720">
        <f>Skills!G14*IF(Skills!H14&gt;0,Skills!I14/Skills!H14,1)</f>
        <v/>
      </c>
      <c r="H720">
        <f>1-(1-Skills!J14/100)^Skills!K14</f>
        <v/>
      </c>
      <c r="I720" t="inlineStr">
        <is>
          <t>1</t>
        </is>
      </c>
      <c r="J720">
        <f>((Inputs!$B$6*(1+Inputs!$B$7/100))+(((Inputs!$B$12*(1+Inputs!$B$13/100))-(Inputs!$B$12*(1+Inputs!$B$13/100)))+0.25*(Inputs!$B$14-Inputs!$B$14))*(1+Inputs!$B$7/100))*(F720/100)</f>
        <v/>
      </c>
      <c r="K720">
        <f>J720*(1+((Inputs!$B$12*(1+Inputs!$B$13/100))*0.01+Inputs!$B$14*0.0025)/100)*(1+Inputs!$B$15/100)*(1+IF(Inputs!$B$39="pvp",0,(1-Summary!$B$55)*(Inputs!$B$20+0+Skills!P14+B740)+Summary!$B$55*(Inputs!$B$21+Skills!Q14+B740))/100)*(1+Inputs!$B$16/100)*(5000/(6000+Inputs!$B$43*(1-Inputs!$B$19/100)))*(1+(Inputs!$B$24+((C736=TRUE)*(F736-Calc!F30)))/100)*(1+(IF(Skills!A14="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720)</f>
        <v/>
      </c>
      <c r="L720">
        <f>K720*(MIN(Inputs!$B$22+((C730=TRUE)*(F730-Calc!F24)),Inputs!$B$23+((C735=TRUE)*(F735-Calc!F29)))/100+(Inputs!$B$23+((C735=TRUE)*(F735-Calc!F29)))/100)/2</f>
        <v/>
      </c>
      <c r="M720">
        <f>L720*(1+(Inputs!$B$10+((C732=TRUE)*(F732-Calc!F26))+B746)/100)</f>
        <v/>
      </c>
      <c r="N720">
        <f>L720*(1-MIN((Inputs!$B$9+((C731=TRUE)*(F731-Calc!F25))+B739),100)/100)+M720*(MIN((Inputs!$B$9+((C731=TRUE)*(F731-Calc!F25))+B739),100)/100)</f>
        <v/>
      </c>
      <c r="O720">
        <f>IF(C720,H720*N720*IF(AND(Inputs!$B$39&lt;&gt;"pvp",Inputs!$B$44&gt;0),((Skills!G14*((R720-1)*IF(Skills!H14&gt;0,Skills!I14/Skills!H14,1)+IF(Skills!H14&gt;0,MIN(Skills!I14,MAX(0,MAX(0,Inputs!$B$44-B750)-((R720-1)*IF(Inputs!$B$39="pvp",15,MAX(0.1,Skills!D14-IF(Skills!E14=TRUE,Inputs!$B$32,0))))))/Skills!H14,1)))/Inputs!$B$44),G720*Q720)*IF(Inputs!$B$39="pvp",1,(1-Summary!$B$55)*(1)+Summary!$B$55*(MIN(MIN(5,0.25*B743*Skills!D4)*Skills!V14,Inputs!$B$37))),0)</f>
        <v/>
      </c>
      <c r="P720">
        <f>IF(B751=0,0,O720/B751)</f>
        <v/>
      </c>
      <c r="Q720">
        <f>IFERROR(1/IF(Inputs!$B$39="pvp",15,MAX(0.1,Skills!D14-IF(Skills!E14=TRUE,Inputs!$B$32,0))),0)</f>
        <v/>
      </c>
      <c r="R720">
        <f>IF(AND(Inputs!$B$39&lt;&gt;"pvp",Inputs!$B$44&gt;0),IF(MAX(0,Inputs!$B$44-B750)&lt;=0,0,(INT(MAX(0,Inputs!$B$44-B750)/IF(Inputs!$B$39="pvp",15,MAX(0.1,Skills!D14-IF(Skills!E14=TRUE,Inputs!$B$32,0))))+1)),0)</f>
        <v/>
      </c>
      <c r="S720">
        <f>IFERROR(O720/N720,0)</f>
        <v/>
      </c>
    </row>
    <row r="721">
      <c r="A721">
        <f>Skills!A15</f>
        <v/>
      </c>
      <c r="B721">
        <f>Skills!B15</f>
        <v/>
      </c>
      <c r="C721">
        <f>Inputs!$B$3&gt;=110</f>
        <v/>
      </c>
      <c r="D721">
        <f>IF(Skills!C15=1,60+Inputs!$B$25+Inputs!$B$29,IF(Skills!C15=2,90+Inputs!$B$26+Inputs!$B$29,IF(Skills!C15=3,120+Inputs!$B$27+Inputs!$B$29,MAX(0,(Inputs!$B$3-100)*3)+Inputs!$B$28+Inputs!$B$29)))</f>
        <v/>
      </c>
      <c r="E721">
        <f>INDEX(FactorTable!$B$2:$Y$301, MATCH(ROUND(MIN(300,MAX(1,D721)),0), FactorTable!$A$2:$A$301,0), Skills!M15+1)</f>
        <v/>
      </c>
      <c r="F721">
        <f>IF(Skills!N15=TRUE,(Skills!L15/10)*(E721/1000),Skills!L15/10)+Skills!O15</f>
        <v/>
      </c>
      <c r="G721">
        <f>Skills!G15*IF(Skills!H15&gt;0,Skills!I15/Skills!H15,1)</f>
        <v/>
      </c>
      <c r="H721">
        <f>1-(1-Skills!J15/100)^Skills!K15</f>
        <v/>
      </c>
      <c r="I721" t="inlineStr">
        <is>
          <t>1</t>
        </is>
      </c>
      <c r="J721" t="inlineStr"/>
      <c r="K721" t="inlineStr"/>
      <c r="L721" t="inlineStr"/>
      <c r="M721" t="inlineStr"/>
      <c r="N721" t="inlineStr"/>
      <c r="O721" t="n">
        <v>0</v>
      </c>
      <c r="P721">
        <f>IF(B751=0,0,O721/B751)</f>
        <v/>
      </c>
      <c r="Q721">
        <f>IFERROR(1/IF(Inputs!$B$39="pvp",15,MAX(0.1,Skills!D15-IF(Skills!E15=TRUE,Inputs!$B$32,0))),0)</f>
        <v/>
      </c>
      <c r="R721">
        <f>IF(AND(Inputs!$B$39&lt;&gt;"pvp",Inputs!$B$44&gt;0),IF(Inputs!$B$44&lt;=0,0,(INT(Inputs!$B$44/IF(Inputs!$B$39="pvp",15,MAX(0.1,Skills!D15-IF(Skills!E15=TRUE,Inputs!$B$32,0))))+1)),0)</f>
        <v/>
      </c>
      <c r="S721">
        <f>IFERROR(O721/N721,0)</f>
        <v/>
      </c>
    </row>
    <row r="722">
      <c r="A722">
        <f>Skills!A16</f>
        <v/>
      </c>
      <c r="B722">
        <f>Skills!B16</f>
        <v/>
      </c>
      <c r="C722">
        <f>Inputs!$B$3&gt;=115</f>
        <v/>
      </c>
      <c r="D722">
        <f>IF(Skills!C16=1,60+Inputs!$B$25+Inputs!$B$29,IF(Skills!C16=2,90+Inputs!$B$26+Inputs!$B$29,IF(Skills!C16=3,120+Inputs!$B$27+Inputs!$B$29,MAX(0,(Inputs!$B$3-100)*3)+Inputs!$B$28+Inputs!$B$29)))</f>
        <v/>
      </c>
      <c r="E722">
        <f>INDEX(FactorTable!$B$2:$Y$301, MATCH(ROUND(MIN(300,MAX(1,D722)),0), FactorTable!$A$2:$A$301,0), Skills!M16+1)</f>
        <v/>
      </c>
      <c r="F722">
        <f>IF(Skills!N16=TRUE,(Skills!L16/10)*(E722/1000),Skills!L16/10)+Skills!O16</f>
        <v/>
      </c>
      <c r="G722">
        <f>Skills!G16*IF(Skills!H16&gt;0,Skills!I16/Skills!H16,1)</f>
        <v/>
      </c>
      <c r="H722">
        <f>1-(1-Skills!J16/100)^Skills!K16</f>
        <v/>
      </c>
      <c r="I722" t="inlineStr">
        <is>
          <t>1</t>
        </is>
      </c>
      <c r="J722">
        <f>((Inputs!$B$6*(1+Inputs!$B$7/100))+(((Inputs!$B$12*(1+Inputs!$B$13/100))-(Inputs!$B$12*(1+Inputs!$B$13/100)))+0.25*(Inputs!$B$14-Inputs!$B$14))*(1+Inputs!$B$7/100))*(F722/100)</f>
        <v/>
      </c>
      <c r="K722">
        <f>J722*(1+((Inputs!$B$12*(1+Inputs!$B$13/100))*0.01+Inputs!$B$14*0.0025)/100)*(1+Inputs!$B$15/100)*(1+IF(Inputs!$B$39="pvp",0,(1-Summary!$B$55)*(Inputs!$B$20+0+Skills!P16+B740)+Summary!$B$55*(Inputs!$B$21+Skills!Q16+B740))/100)*(1+Inputs!$B$16/100)*(5000/(6000+Inputs!$B$43*(1-Inputs!$B$19/100)))*(1+(Inputs!$B$24+((C736=TRUE)*(F736-Calc!F30)))/100)*(1+(IF(Skills!A16="CRUEL_STAB",(Inputs!$B$17+1)+((C733=TRUE)*(F733-Calc!F27)),Inputs!$B$18+((C734=TRUE)*(F734-Calc!F28))))/100)*(((1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B741*I722)</f>
        <v/>
      </c>
      <c r="L722">
        <f>K722*(MIN(Inputs!$B$22+((C730=TRUE)*(F730-Calc!F24)),Inputs!$B$23+((C735=TRUE)*(F735-Calc!F29)))/100+(Inputs!$B$23+((C735=TRUE)*(F735-Calc!F29)))/100)/2</f>
        <v/>
      </c>
      <c r="M722">
        <f>L722*(1+(Inputs!$B$10+((C732=TRUE)*(F732-Calc!F26))+B746)/100)</f>
        <v/>
      </c>
      <c r="N722">
        <f>L722*(1-MIN((Inputs!$B$9+((C731=TRUE)*(F731-Calc!F25))+B739),100)/100)+M722*(MIN((Inputs!$B$9+((C731=TRUE)*(F731-Calc!F25))+B739),100)/100)</f>
        <v/>
      </c>
      <c r="O722">
        <f>IF(C722,Inputs!$B$38*0.2*N722,0)</f>
        <v/>
      </c>
      <c r="P722">
        <f>IF(B751=0,0,O722/B751)</f>
        <v/>
      </c>
      <c r="Q722" t="n">
        <v>0</v>
      </c>
      <c r="R722" t="n">
        <v>0</v>
      </c>
      <c r="S722">
        <f>IFERROR(O722/N722,0)</f>
        <v/>
      </c>
    </row>
    <row r="723">
      <c r="A723">
        <f>Skills!A17</f>
        <v/>
      </c>
      <c r="B723">
        <f>Skills!B17</f>
        <v/>
      </c>
      <c r="C723">
        <f>Inputs!$B$3&gt;=115</f>
        <v/>
      </c>
      <c r="D723">
        <f>IF(Skills!C17=1,60+Inputs!$B$25+Inputs!$B$29,IF(Skills!C17=2,90+Inputs!$B$26+Inputs!$B$29,IF(Skills!C17=3,120+Inputs!$B$27+Inputs!$B$29,MAX(0,(Inputs!$B$3-100)*3)+Inputs!$B$28+Inputs!$B$29)))</f>
        <v/>
      </c>
      <c r="E723">
        <f>INDEX(FactorTable!$B$2:$Y$301, MATCH(ROUND(MIN(300,MAX(1,D723)),0), FactorTable!$A$2:$A$301,0), Skills!M17+1)</f>
        <v/>
      </c>
      <c r="F723">
        <f>IF(Skills!N17=TRUE,(Skills!L17/10)*(E723/1000),Skills!L17/10)+Skills!O17</f>
        <v/>
      </c>
      <c r="G723">
        <f>Skills!G17*IF(Skills!H17&gt;0,Skills!I17/Skills!H17,1)</f>
        <v/>
      </c>
      <c r="H723">
        <f>1-(1-Skills!J17/100)^Skills!K17</f>
        <v/>
      </c>
      <c r="I723" t="inlineStr">
        <is>
          <t>1</t>
        </is>
      </c>
      <c r="J723" t="inlineStr"/>
      <c r="K723" t="inlineStr"/>
      <c r="L723" t="inlineStr"/>
      <c r="M723" t="inlineStr"/>
      <c r="N723" t="inlineStr"/>
      <c r="O723" t="n">
        <v>0</v>
      </c>
      <c r="P723">
        <f>IF(B751=0,0,O723/B751)</f>
        <v/>
      </c>
      <c r="Q723" t="n">
        <v>0</v>
      </c>
      <c r="R723" t="n">
        <v>0</v>
      </c>
      <c r="S723">
        <f>IFERROR(O723/N723,0)</f>
        <v/>
      </c>
    </row>
    <row r="724">
      <c r="A724">
        <f>Skills!A18</f>
        <v/>
      </c>
      <c r="B724">
        <f>Skills!B18</f>
        <v/>
      </c>
      <c r="C724">
        <f>Inputs!$B$3&gt;=100</f>
        <v/>
      </c>
      <c r="D724">
        <f>IF(Skills!C18=1,60+Inputs!$B$25+Inputs!$B$29,IF(Skills!C18=2,90+Inputs!$B$26+Inputs!$B$29,IF(Skills!C18=3,120+Inputs!$B$27+Inputs!$B$29,MAX(0,(Inputs!$B$3-100)*3)+Inputs!$B$28+Inputs!$B$29)))</f>
        <v/>
      </c>
      <c r="E724">
        <f>INDEX(FactorTable!$B$2:$Y$301, MATCH(ROUND(MIN(300,MAX(1,D724)),0), FactorTable!$A$2:$A$301,0), Skills!M18+1)</f>
        <v/>
      </c>
      <c r="F724">
        <f>IF(Skills!N18=TRUE,(Skills!L18/10)*(E724/1000),Skills!L18/10)+Skills!O18</f>
        <v/>
      </c>
      <c r="G724">
        <f>Skills!G18*IF(Skills!H18&gt;0,Skills!I18/Skills!H18,1)</f>
        <v/>
      </c>
      <c r="H724">
        <f>1-(1-Skills!J18/100)^Skills!K18</f>
        <v/>
      </c>
      <c r="I724" t="inlineStr">
        <is>
          <t>1</t>
        </is>
      </c>
      <c r="J724" t="inlineStr"/>
      <c r="K724" t="inlineStr"/>
      <c r="L724" t="inlineStr"/>
      <c r="M724" t="inlineStr"/>
      <c r="N724" t="inlineStr"/>
      <c r="O724" t="n">
        <v>0</v>
      </c>
      <c r="P724">
        <f>IF(B751=0,0,O724/B751)</f>
        <v/>
      </c>
      <c r="Q724" t="n">
        <v>0</v>
      </c>
      <c r="R724" t="n">
        <v>0</v>
      </c>
      <c r="S724">
        <f>IFERROR(O724/N724,0)</f>
        <v/>
      </c>
    </row>
    <row r="725">
      <c r="A725">
        <f>Skills!A19</f>
        <v/>
      </c>
      <c r="B725">
        <f>Skills!B19</f>
        <v/>
      </c>
      <c r="C725">
        <f>TRUE</f>
        <v/>
      </c>
      <c r="D725">
        <f>IF(Skills!C19=1,60+Inputs!$B$25+Inputs!$B$29,IF(Skills!C19=2,90+Inputs!$B$26+Inputs!$B$29,IF(Skills!C19=3,120+Inputs!$B$27+Inputs!$B$29,MAX(0,(Inputs!$B$3-100)*3)+Inputs!$B$28+Inputs!$B$29)))</f>
        <v/>
      </c>
      <c r="E725">
        <f>INDEX(FactorTable!$B$2:$Y$301, MATCH(ROUND(MIN(300,MAX(1,D725)),0), FactorTable!$A$2:$A$301,0), Skills!M19+1)</f>
        <v/>
      </c>
      <c r="F725">
        <f>IF(Skills!N19=TRUE,(Skills!L19/10)*(E725/1000),Skills!L19/10)+Skills!O19</f>
        <v/>
      </c>
      <c r="G725">
        <f>Skills!G19*IF(Skills!H19&gt;0,Skills!I19/Skills!H19,1)</f>
        <v/>
      </c>
      <c r="H725">
        <f>1-(1-Skills!J19/100)^Skills!K19</f>
        <v/>
      </c>
      <c r="I725" t="inlineStr">
        <is>
          <t>1</t>
        </is>
      </c>
      <c r="J725" t="inlineStr"/>
      <c r="K725" t="inlineStr"/>
      <c r="L725" t="inlineStr"/>
      <c r="M725" t="inlineStr"/>
      <c r="N725" t="inlineStr"/>
      <c r="O725" t="n">
        <v>0</v>
      </c>
      <c r="P725">
        <f>IF(B751=0,0,O725/B751)</f>
        <v/>
      </c>
      <c r="Q725">
        <f>IFERROR(1/IF(Inputs!$B$39="pvp",15,MAX(0.1,Skills!D19-IF(Skills!E19=TRUE,Inputs!$B$32,0))),0)</f>
        <v/>
      </c>
      <c r="R725">
        <f>IF(AND(Inputs!$B$39&lt;&gt;"pvp",Inputs!$B$44&gt;0),IF(Inputs!$B$44&lt;=0,0,(INT(Inputs!$B$44/IF(Inputs!$B$39="pvp",15,MAX(0.1,Skills!D19-IF(Skills!E19=TRUE,Inputs!$B$32,0))))+1)),0)</f>
        <v/>
      </c>
      <c r="S725">
        <f>IFERROR(O725/N725,0)</f>
        <v/>
      </c>
    </row>
    <row r="726">
      <c r="A726">
        <f>Skills!A20</f>
        <v/>
      </c>
      <c r="B726">
        <f>Skills!B20</f>
        <v/>
      </c>
      <c r="C726">
        <f>Inputs!$B$3&gt;=15</f>
        <v/>
      </c>
      <c r="D726">
        <f>IF(Skills!C20=1,60+Inputs!$B$25+Inputs!$B$29,IF(Skills!C20=2,90+Inputs!$B$26+Inputs!$B$29,IF(Skills!C20=3,120+Inputs!$B$27+Inputs!$B$29,MAX(0,(Inputs!$B$3-100)*3)+Inputs!$B$28+Inputs!$B$29)))</f>
        <v/>
      </c>
      <c r="E726">
        <f>INDEX(FactorTable!$B$2:$Y$301, MATCH(ROUND(MIN(300,MAX(1,D726)),0), FactorTable!$A$2:$A$301,0), Skills!M20+1)</f>
        <v/>
      </c>
      <c r="F726">
        <f>IF(Skills!N20=TRUE,(Skills!L20/10)*(E726/1000),Skills!L20/10)+Skills!O20</f>
        <v/>
      </c>
      <c r="G726">
        <f>Skills!G20*IF(Skills!H20&gt;0,Skills!I20/Skills!H20,1)</f>
        <v/>
      </c>
      <c r="H726">
        <f>1-(1-Skills!J20/100)^Skills!K20</f>
        <v/>
      </c>
      <c r="I726" t="inlineStr">
        <is>
          <t>1</t>
        </is>
      </c>
      <c r="J726" t="inlineStr"/>
      <c r="K726" t="inlineStr"/>
      <c r="L726" t="inlineStr"/>
      <c r="M726" t="inlineStr"/>
      <c r="N726" t="inlineStr"/>
      <c r="O726" t="n">
        <v>0</v>
      </c>
      <c r="P726">
        <f>IF(B751=0,0,O726/B751)</f>
        <v/>
      </c>
      <c r="Q726">
        <f>IFERROR(1/IF(Inputs!$B$39="pvp",15,MAX(0.1,Skills!D20-IF(Skills!E20=TRUE,Inputs!$B$32,0))),0)</f>
        <v/>
      </c>
      <c r="R726">
        <f>IF(AND(Inputs!$B$39&lt;&gt;"pvp",Inputs!$B$44&gt;0),IF(Inputs!$B$44&lt;=0,0,(INT(Inputs!$B$44/IF(Inputs!$B$39="pvp",15,MAX(0.1,Skills!D20-IF(Skills!E20=TRUE,Inputs!$B$32,0))))+1)),0)</f>
        <v/>
      </c>
      <c r="S726">
        <f>IFERROR(O726/N726,0)</f>
        <v/>
      </c>
    </row>
    <row r="727">
      <c r="A727">
        <f>Skills!A21</f>
        <v/>
      </c>
      <c r="B727">
        <f>Skills!B21</f>
        <v/>
      </c>
      <c r="C727">
        <f>Inputs!$B$3&gt;=15</f>
        <v/>
      </c>
      <c r="D727">
        <f>IF(Skills!C21=1,60+Inputs!$B$25+Inputs!$B$29,IF(Skills!C21=2,90+Inputs!$B$26+Inputs!$B$29,IF(Skills!C21=3,120+Inputs!$B$27+Inputs!$B$29,MAX(0,(Inputs!$B$3-100)*3)+Inputs!$B$28+Inputs!$B$29)))</f>
        <v/>
      </c>
      <c r="E727">
        <f>INDEX(FactorTable!$B$2:$Y$301, MATCH(ROUND(MIN(300,MAX(1,D727)),0), FactorTable!$A$2:$A$301,0), Skills!M21+1)</f>
        <v/>
      </c>
      <c r="F727">
        <f>IF(Skills!N21=TRUE,(Skills!L21/10)*(E727/1000),Skills!L21/10)+Skills!O21</f>
        <v/>
      </c>
      <c r="G727">
        <f>Skills!G21*IF(Skills!H21&gt;0,Skills!I21/Skills!H21,1)</f>
        <v/>
      </c>
      <c r="H727">
        <f>1-(1-Skills!J21/100)^Skills!K21</f>
        <v/>
      </c>
      <c r="I727" t="inlineStr">
        <is>
          <t>1</t>
        </is>
      </c>
      <c r="J727" t="inlineStr"/>
      <c r="K727" t="inlineStr"/>
      <c r="L727" t="inlineStr"/>
      <c r="M727" t="inlineStr"/>
      <c r="N727" t="inlineStr"/>
      <c r="O727" t="n">
        <v>0</v>
      </c>
      <c r="P727">
        <f>IF(B751=0,0,O727/B751)</f>
        <v/>
      </c>
      <c r="Q727">
        <f>IFERROR(1/IF(Inputs!$B$39="pvp",15,MAX(0.1,Skills!D21-IF(Skills!E21=TRUE,Inputs!$B$32,0))),0)</f>
        <v/>
      </c>
      <c r="R727">
        <f>IF(AND(Inputs!$B$39&lt;&gt;"pvp",Inputs!$B$44&gt;0),IF(Inputs!$B$44&lt;=0,0,(INT(Inputs!$B$44/IF(Inputs!$B$39="pvp",15,MAX(0.1,Skills!D21-IF(Skills!E21=TRUE,Inputs!$B$32,0))))+1)),0)</f>
        <v/>
      </c>
      <c r="S727">
        <f>IFERROR(O727/N727,0)</f>
        <v/>
      </c>
    </row>
    <row r="728">
      <c r="A728">
        <f>Skills!A22</f>
        <v/>
      </c>
      <c r="B728">
        <f>Skills!B22</f>
        <v/>
      </c>
      <c r="C728">
        <f>Inputs!$B$3&gt;=33</f>
        <v/>
      </c>
      <c r="D728">
        <f>IF(Skills!C22=1,60+Inputs!$B$25+Inputs!$B$29,IF(Skills!C22=2,90+Inputs!$B$26+Inputs!$B$29,IF(Skills!C22=3,120+Inputs!$B$27+Inputs!$B$29,MAX(0,(Inputs!$B$3-100)*3)+Inputs!$B$28+Inputs!$B$29)))</f>
        <v/>
      </c>
      <c r="E728">
        <f>INDEX(FactorTable!$B$2:$Y$301, MATCH(ROUND(MIN(300,MAX(1,D728)),0), FactorTable!$A$2:$A$301,0), Skills!M22+1)</f>
        <v/>
      </c>
      <c r="F728">
        <f>IF(Skills!N22=TRUE,(Skills!L22/10)*(E728/1000),Skills!L22/10)+Skills!O22</f>
        <v/>
      </c>
      <c r="G728">
        <f>Skills!G22*IF(Skills!H22&gt;0,Skills!I22/Skills!H22,1)</f>
        <v/>
      </c>
      <c r="H728">
        <f>1-(1-Skills!J22/100)^Skills!K22</f>
        <v/>
      </c>
      <c r="I728" t="inlineStr">
        <is>
          <t>1</t>
        </is>
      </c>
      <c r="J728" t="inlineStr"/>
      <c r="K728" t="inlineStr"/>
      <c r="L728" t="inlineStr"/>
      <c r="M728" t="inlineStr"/>
      <c r="N728" t="inlineStr"/>
      <c r="O728" t="n">
        <v>0</v>
      </c>
      <c r="P728">
        <f>IF(B751=0,0,O728/B751)</f>
        <v/>
      </c>
      <c r="Q728" t="n">
        <v>0</v>
      </c>
      <c r="R728" t="n">
        <v>0</v>
      </c>
      <c r="S728">
        <f>IFERROR(O728/N728,0)</f>
        <v/>
      </c>
    </row>
    <row r="729">
      <c r="A729">
        <f>Skills!A23</f>
        <v/>
      </c>
      <c r="B729">
        <f>Skills!B23</f>
        <v/>
      </c>
      <c r="C729">
        <f>Inputs!$B$3&gt;=40</f>
        <v/>
      </c>
      <c r="D729">
        <f>IF(Skills!C23=1,60+Inputs!$B$25+Inputs!$B$29,IF(Skills!C23=2,90+Inputs!$B$26+Inputs!$B$29,IF(Skills!C23=3,120+Inputs!$B$27+Inputs!$B$29,MAX(0,(Inputs!$B$3-100)*3)+Inputs!$B$28+Inputs!$B$29)))</f>
        <v/>
      </c>
      <c r="E729">
        <f>INDEX(FactorTable!$B$2:$Y$301, MATCH(ROUND(MIN(300,MAX(1,D729)),0), FactorTable!$A$2:$A$301,0), Skills!M23+1)</f>
        <v/>
      </c>
      <c r="F729">
        <f>IF(Skills!N23=TRUE,(Skills!L23/10)*(E729/1000),Skills!L23/10)+Skills!O23</f>
        <v/>
      </c>
      <c r="G729">
        <f>Skills!G23*IF(Skills!H23&gt;0,Skills!I23/Skills!H23,1)</f>
        <v/>
      </c>
      <c r="H729">
        <f>1-(1-Skills!J23/100)^Skills!K23</f>
        <v/>
      </c>
      <c r="I729" t="inlineStr">
        <is>
          <t>1</t>
        </is>
      </c>
      <c r="J729" t="inlineStr"/>
      <c r="K729" t="inlineStr"/>
      <c r="L729" t="inlineStr"/>
      <c r="M729" t="inlineStr"/>
      <c r="N729" t="inlineStr"/>
      <c r="O729" t="n">
        <v>0</v>
      </c>
      <c r="P729">
        <f>IF(B751=0,0,O729/B751)</f>
        <v/>
      </c>
      <c r="Q729" t="n">
        <v>0</v>
      </c>
      <c r="R729" t="n">
        <v>0</v>
      </c>
      <c r="S729">
        <f>IFERROR(O729/N729,0)</f>
        <v/>
      </c>
    </row>
    <row r="730">
      <c r="A730">
        <f>Skills!A24</f>
        <v/>
      </c>
      <c r="B730">
        <f>Skills!B24</f>
        <v/>
      </c>
      <c r="C730">
        <f>Inputs!$B$3&gt;=43</f>
        <v/>
      </c>
      <c r="D730">
        <f>IF(Skills!C24=1,60+Inputs!$B$25+Inputs!$B$29,IF(Skills!C24=2,90+Inputs!$B$26+Inputs!$B$29,IF(Skills!C24=3,120+Inputs!$B$27+Inputs!$B$29,MAX(0,(Inputs!$B$3-100)*3)+Inputs!$B$28+Inputs!$B$29)))</f>
        <v/>
      </c>
      <c r="E730">
        <f>INDEX(FactorTable!$B$2:$Y$301, MATCH(ROUND(MIN(300,MAX(1,D730)),0), FactorTable!$A$2:$A$301,0), Skills!M24+1)</f>
        <v/>
      </c>
      <c r="F730">
        <f>IF(Skills!N24=TRUE,(Skills!L24/10)*(E730/1000),Skills!L24/10)+Skills!O24</f>
        <v/>
      </c>
      <c r="G730">
        <f>Skills!G24*IF(Skills!H24&gt;0,Skills!I24/Skills!H24,1)</f>
        <v/>
      </c>
      <c r="H730">
        <f>1-(1-Skills!J24/100)^Skills!K24</f>
        <v/>
      </c>
      <c r="I730" t="inlineStr">
        <is>
          <t>1</t>
        </is>
      </c>
      <c r="J730" t="inlineStr"/>
      <c r="K730" t="inlineStr"/>
      <c r="L730" t="inlineStr"/>
      <c r="M730" t="inlineStr"/>
      <c r="N730" t="inlineStr"/>
      <c r="O730" t="n">
        <v>0</v>
      </c>
      <c r="P730">
        <f>IF(B751=0,0,O730/B751)</f>
        <v/>
      </c>
      <c r="Q730" t="n">
        <v>0</v>
      </c>
      <c r="R730" t="n">
        <v>0</v>
      </c>
      <c r="S730">
        <f>IFERROR(O730/N730,0)</f>
        <v/>
      </c>
    </row>
    <row r="731">
      <c r="A731">
        <f>Skills!A25</f>
        <v/>
      </c>
      <c r="B731">
        <f>Skills!B25</f>
        <v/>
      </c>
      <c r="C731">
        <f>Inputs!$B$3&gt;=50</f>
        <v/>
      </c>
      <c r="D731">
        <f>IF(Skills!C25=1,60+Inputs!$B$25+Inputs!$B$29,IF(Skills!C25=2,90+Inputs!$B$26+Inputs!$B$29,IF(Skills!C25=3,120+Inputs!$B$27+Inputs!$B$29,MAX(0,(Inputs!$B$3-100)*3)+Inputs!$B$28+Inputs!$B$29)))</f>
        <v/>
      </c>
      <c r="E731">
        <f>INDEX(FactorTable!$B$2:$Y$301, MATCH(ROUND(MIN(300,MAX(1,D731)),0), FactorTable!$A$2:$A$301,0), Skills!M25+1)</f>
        <v/>
      </c>
      <c r="F731">
        <f>IF(Skills!N25=TRUE,(Skills!L25/10)*(E731/1000),Skills!L25/10)+Skills!O25</f>
        <v/>
      </c>
      <c r="G731">
        <f>Skills!G25*IF(Skills!H25&gt;0,Skills!I25/Skills!H25,1)</f>
        <v/>
      </c>
      <c r="H731">
        <f>1-(1-Skills!J25/100)^Skills!K25</f>
        <v/>
      </c>
      <c r="I731" t="inlineStr">
        <is>
          <t>1</t>
        </is>
      </c>
      <c r="J731" t="inlineStr"/>
      <c r="K731" t="inlineStr"/>
      <c r="L731" t="inlineStr"/>
      <c r="M731" t="inlineStr"/>
      <c r="N731" t="inlineStr"/>
      <c r="O731" t="n">
        <v>0</v>
      </c>
      <c r="P731">
        <f>IF(B751=0,0,O731/B751)</f>
        <v/>
      </c>
      <c r="Q731" t="n">
        <v>0</v>
      </c>
      <c r="R731" t="n">
        <v>0</v>
      </c>
      <c r="S731">
        <f>IFERROR(O731/N731,0)</f>
        <v/>
      </c>
    </row>
    <row r="732">
      <c r="A732">
        <f>Skills!A26</f>
        <v/>
      </c>
      <c r="B732">
        <f>Skills!B26</f>
        <v/>
      </c>
      <c r="C732">
        <f>Inputs!$B$3&gt;=50</f>
        <v/>
      </c>
      <c r="D732">
        <f>IF(Skills!C26=1,60+Inputs!$B$25+Inputs!$B$29,IF(Skills!C26=2,90+Inputs!$B$26+Inputs!$B$29,IF(Skills!C26=3,120+Inputs!$B$27+Inputs!$B$29,MAX(0,(Inputs!$B$3-100)*3)+Inputs!$B$28+Inputs!$B$29)))</f>
        <v/>
      </c>
      <c r="E732">
        <f>INDEX(FactorTable!$B$2:$Y$301, MATCH(ROUND(MIN(300,MAX(1,D732)),0), FactorTable!$A$2:$A$301,0), Skills!M26+1)</f>
        <v/>
      </c>
      <c r="F732">
        <f>IF(Skills!N26=TRUE,(Skills!L26/10)*(E732/1000),Skills!L26/10)+Skills!O26</f>
        <v/>
      </c>
      <c r="G732">
        <f>Skills!G26*IF(Skills!H26&gt;0,Skills!I26/Skills!H26,1)</f>
        <v/>
      </c>
      <c r="H732">
        <f>1-(1-Skills!J26/100)^Skills!K26</f>
        <v/>
      </c>
      <c r="I732" t="inlineStr">
        <is>
          <t>1</t>
        </is>
      </c>
      <c r="J732" t="inlineStr"/>
      <c r="K732" t="inlineStr"/>
      <c r="L732" t="inlineStr"/>
      <c r="M732" t="inlineStr"/>
      <c r="N732" t="inlineStr"/>
      <c r="O732" t="n">
        <v>0</v>
      </c>
      <c r="P732">
        <f>IF(B751=0,0,O732/B751)</f>
        <v/>
      </c>
      <c r="Q732" t="n">
        <v>0</v>
      </c>
      <c r="R732" t="n">
        <v>0</v>
      </c>
      <c r="S732">
        <f>IFERROR(O732/N732,0)</f>
        <v/>
      </c>
    </row>
    <row r="733">
      <c r="A733">
        <f>Skills!A27</f>
        <v/>
      </c>
      <c r="B733">
        <f>Skills!B27</f>
        <v/>
      </c>
      <c r="C733">
        <f>Inputs!$B$3&gt;=38</f>
        <v/>
      </c>
      <c r="D733">
        <f>IF(Skills!C27=1,60+Inputs!$B$25+Inputs!$B$29,IF(Skills!C27=2,90+Inputs!$B$26+Inputs!$B$29,IF(Skills!C27=3,120+Inputs!$B$27+Inputs!$B$29,MAX(0,(Inputs!$B$3-100)*3)+Inputs!$B$28+Inputs!$B$29)))</f>
        <v/>
      </c>
      <c r="E733">
        <f>INDEX(FactorTable!$B$2:$Y$301, MATCH(ROUND(MIN(300,MAX(1,D733)),0), FactorTable!$A$2:$A$301,0), Skills!M27+1)</f>
        <v/>
      </c>
      <c r="F733">
        <f>IF(Skills!N27=TRUE,(Skills!L27/10)*(E733/1000),Skills!L27/10)+Skills!O27</f>
        <v/>
      </c>
      <c r="G733">
        <f>Skills!G27*IF(Skills!H27&gt;0,Skills!I27/Skills!H27,1)</f>
        <v/>
      </c>
      <c r="H733">
        <f>1-(1-Skills!J27/100)^Skills!K27</f>
        <v/>
      </c>
      <c r="I733" t="inlineStr">
        <is>
          <t>1</t>
        </is>
      </c>
      <c r="J733" t="inlineStr"/>
      <c r="K733" t="inlineStr"/>
      <c r="L733" t="inlineStr"/>
      <c r="M733" t="inlineStr"/>
      <c r="N733" t="inlineStr"/>
      <c r="O733" t="n">
        <v>0</v>
      </c>
      <c r="P733">
        <f>IF(B751=0,0,O733/B751)</f>
        <v/>
      </c>
      <c r="Q733" t="n">
        <v>0</v>
      </c>
      <c r="R733" t="n">
        <v>0</v>
      </c>
      <c r="S733">
        <f>IFERROR(O733/N733,0)</f>
        <v/>
      </c>
    </row>
    <row r="734">
      <c r="A734">
        <f>Skills!A28</f>
        <v/>
      </c>
      <c r="B734">
        <f>Skills!B28</f>
        <v/>
      </c>
      <c r="C734">
        <f>Inputs!$B$3&gt;=120</f>
        <v/>
      </c>
      <c r="D734">
        <f>IF(Skills!C28=1,60+Inputs!$B$25+Inputs!$B$29,IF(Skills!C28=2,90+Inputs!$B$26+Inputs!$B$29,IF(Skills!C28=3,120+Inputs!$B$27+Inputs!$B$29,MAX(0,(Inputs!$B$3-100)*3)+Inputs!$B$28+Inputs!$B$29)))</f>
        <v/>
      </c>
      <c r="E734">
        <f>INDEX(FactorTable!$B$2:$Y$301, MATCH(ROUND(MIN(300,MAX(1,D734)),0), FactorTable!$A$2:$A$301,0), Skills!M28+1)</f>
        <v/>
      </c>
      <c r="F734">
        <f>IF(Skills!N28=TRUE,(Skills!L28/10)*(E734/1000),Skills!L28/10)+Skills!O28</f>
        <v/>
      </c>
      <c r="G734">
        <f>Skills!G28*IF(Skills!H28&gt;0,Skills!I28/Skills!H28,1)</f>
        <v/>
      </c>
      <c r="H734">
        <f>1-(1-Skills!J28/100)^Skills!K28</f>
        <v/>
      </c>
      <c r="I734" t="inlineStr">
        <is>
          <t>1</t>
        </is>
      </c>
      <c r="J734" t="inlineStr"/>
      <c r="K734" t="inlineStr"/>
      <c r="L734" t="inlineStr"/>
      <c r="M734" t="inlineStr"/>
      <c r="N734" t="inlineStr"/>
      <c r="O734" t="n">
        <v>0</v>
      </c>
      <c r="P734">
        <f>IF(B751=0,0,O734/B751)</f>
        <v/>
      </c>
      <c r="Q734" t="n">
        <v>0</v>
      </c>
      <c r="R734" t="n">
        <v>0</v>
      </c>
      <c r="S734">
        <f>IFERROR(O734/N734,0)</f>
        <v/>
      </c>
    </row>
    <row r="735">
      <c r="A735">
        <f>Skills!A29</f>
        <v/>
      </c>
      <c r="B735">
        <f>Skills!B29</f>
        <v/>
      </c>
      <c r="C735">
        <f>Inputs!$B$3&gt;=120</f>
        <v/>
      </c>
      <c r="D735">
        <f>IF(Skills!C29=1,60+Inputs!$B$25+Inputs!$B$29,IF(Skills!C29=2,90+Inputs!$B$26+Inputs!$B$29,IF(Skills!C29=3,120+Inputs!$B$27+Inputs!$B$29,MAX(0,(Inputs!$B$3-100)*3)+Inputs!$B$28+Inputs!$B$29)))</f>
        <v/>
      </c>
      <c r="E735">
        <f>INDEX(FactorTable!$B$2:$Y$301, MATCH(ROUND(MIN(300,MAX(1,D735)),0), FactorTable!$A$2:$A$301,0), Skills!M29+1)</f>
        <v/>
      </c>
      <c r="F735">
        <f>IF(Skills!N29=TRUE,(Skills!L29/10)*(E735/1000),Skills!L29/10)+Skills!O29</f>
        <v/>
      </c>
      <c r="G735">
        <f>Skills!G29*IF(Skills!H29&gt;0,Skills!I29/Skills!H29,1)</f>
        <v/>
      </c>
      <c r="H735">
        <f>1-(1-Skills!J29/100)^Skills!K29</f>
        <v/>
      </c>
      <c r="I735" t="inlineStr">
        <is>
          <t>1</t>
        </is>
      </c>
      <c r="J735" t="inlineStr"/>
      <c r="K735" t="inlineStr"/>
      <c r="L735" t="inlineStr"/>
      <c r="M735" t="inlineStr"/>
      <c r="N735" t="inlineStr"/>
      <c r="O735" t="n">
        <v>0</v>
      </c>
      <c r="P735">
        <f>IF(B751=0,0,O735/B751)</f>
        <v/>
      </c>
      <c r="Q735" t="n">
        <v>0</v>
      </c>
      <c r="R735" t="n">
        <v>0</v>
      </c>
      <c r="S735">
        <f>IFERROR(O735/N735,0)</f>
        <v/>
      </c>
    </row>
    <row r="736">
      <c r="A736">
        <f>Skills!A30</f>
        <v/>
      </c>
      <c r="B736">
        <f>Skills!B30</f>
        <v/>
      </c>
      <c r="C736">
        <f>Inputs!$B$3&gt;=125</f>
        <v/>
      </c>
      <c r="D736">
        <f>IF(Skills!C30=1,60+Inputs!$B$25+Inputs!$B$29,IF(Skills!C30=2,90+Inputs!$B$26+Inputs!$B$29,IF(Skills!C30=3,120+Inputs!$B$27+Inputs!$B$29,MAX(0,(Inputs!$B$3-100)*3)+Inputs!$B$28+Inputs!$B$29)))</f>
        <v/>
      </c>
      <c r="E736">
        <f>INDEX(FactorTable!$B$2:$Y$301, MATCH(ROUND(MIN(300,MAX(1,D736)),0), FactorTable!$A$2:$A$301,0), Skills!M30+1)</f>
        <v/>
      </c>
      <c r="F736">
        <f>IF(Skills!N30=TRUE,(Skills!L30/10)*(E736/1000),Skills!L30/10)+Skills!O30</f>
        <v/>
      </c>
      <c r="G736">
        <f>Skills!G30*IF(Skills!H30&gt;0,Skills!I30/Skills!H30,1)</f>
        <v/>
      </c>
      <c r="H736">
        <f>1-(1-Skills!J30/100)^Skills!K30</f>
        <v/>
      </c>
      <c r="I736" t="inlineStr">
        <is>
          <t>1</t>
        </is>
      </c>
      <c r="J736" t="inlineStr"/>
      <c r="K736" t="inlineStr"/>
      <c r="L736" t="inlineStr"/>
      <c r="M736" t="inlineStr"/>
      <c r="N736" t="inlineStr"/>
      <c r="O736" t="n">
        <v>0</v>
      </c>
      <c r="P736">
        <f>IF(B751=0,0,O736/B751)</f>
        <v/>
      </c>
      <c r="Q736" t="n">
        <v>0</v>
      </c>
      <c r="R736" t="n">
        <v>0</v>
      </c>
      <c r="S736">
        <f>IFERROR(O736/N736,0)</f>
        <v/>
      </c>
    </row>
    <row r="738">
      <c r="A738" t="inlineStr">
        <is>
          <t>Average Buff Multiplier</t>
        </is>
      </c>
      <c r="B738">
        <f>(1+(((C727=TRUE)*F727*IF(AND(Inputs!$B$39&lt;&gt;"pvp",Inputs!$B$44&gt;0),(((R727-1)*(Skills!Y21*(1+Inputs!$B$34/100))+MIN((Skills!Y21*(1+Inputs!$B$34/100)),MAX(0,Inputs!$B$44-((R727-1)*Skills!D21))))/Inputs!$B$44),IF(Inputs!$B$39="pvp",MIN((Skills!Y21*(1+Inputs!$B$34/100)),15)/15,(Skills!Y21*(1+Inputs!$B$34/100))/Skills!D21)))+((C729=TRUE)*(F729-Calc!F23))+((C723=TRUE)*(F723-Calc!F17)))/100)*(1+((C716=TRUE)*F716*IF(AND(Inputs!$B$39&lt;&gt;"pvp",Inputs!$B$44&gt;0),(((R716-1)*(Skills!Y10*(1+Inputs!$B$34/100))+MIN((Skills!Y10*(1+Inputs!$B$34/100)),MAX(0,Inputs!$B$44-((R716-1)*Skills!D10))))/Inputs!$B$44),IF(Inputs!$B$39="pvp",MIN((Skills!Y10*(1+Inputs!$B$34/100)),15)/15,(Skills!Y10*(1+Inputs!$B$34/100))/Skills!D10)))/100)*(1+((C721=TRUE)*F721*IF(AND(Inputs!$B$39&lt;&gt;"pvp",Inputs!$B$44&gt;0),(((R721-1)*(Skills!Y15*(1+Inputs!$B$34/100))+MIN((Skills!Y15*(1+Inputs!$B$34/100)),MAX(0,Inputs!$B$44-((R721-1)*Skills!D15))))/Inputs!$B$44),IF(Inputs!$B$39="pvp",MIN((Skills!Y15*(1+Inputs!$B$34/100)),15)/15,(Skills!Y15*(1+Inputs!$B$34/100))/Skills!D15)))/100)</f>
        <v/>
      </c>
    </row>
    <row r="739">
      <c r="A739" t="inlineStr">
        <is>
          <t>Global Crit Rate Bonus %</t>
        </is>
      </c>
      <c r="B739">
        <f>((C726=TRUE)*F726*IF(AND(Inputs!$B$39&lt;&gt;"pvp",Inputs!$B$44&gt;0),(((R726-1)*(Skills!Y20*(1+Inputs!$B$34/100))+MIN((Skills!Y20*(1+Inputs!$B$34/100)),MAX(0,Inputs!$B$44-((R726-1)*Skills!D20))))/Inputs!$B$44),IF(Inputs!$B$39="pvp",MIN((Skills!Y20*(1+Inputs!$B$34/100)),15)/15,(Skills!Y20*(1+Inputs!$B$34/100))/Skills!D20)))</f>
        <v/>
      </c>
    </row>
    <row r="740">
      <c r="A740" t="inlineStr">
        <is>
          <t>Global Monster Damage-Taken Bonus %</t>
        </is>
      </c>
      <c r="B740">
        <f>IF(Inputs!$B$3&gt;=82,15,0)</f>
        <v/>
      </c>
    </row>
    <row r="741">
      <c r="A741" t="inlineStr">
        <is>
          <t>Shadow Partner Average Multiplier</t>
        </is>
      </c>
      <c r="B741">
        <f>1+((C713=TRUE)*F713*(1+3.3333333333333335*IF(C724=TRUE,F724,0)/100)*I713*Skills!J7/100)/100</f>
        <v/>
      </c>
    </row>
    <row r="742">
      <c r="A742" t="inlineStr">
        <is>
          <t>Attack Speed Buff Bonus %</t>
        </is>
      </c>
      <c r="B742">
        <f>((C725=TRUE)*F725*IF(AND(Inputs!$B$39&lt;&gt;"pvp",Inputs!$B$44&gt;0),(((R725-1)*(Skills!Y19*(1+Inputs!$B$34/100))+MIN((Skills!Y19*(1+Inputs!$B$34/100)),MAX(0,Inputs!$B$44-((R725-1)*Skills!D19))))/Inputs!$B$44),IF(Inputs!$B$39="pvp",MIN((Skills!Y19*(1+Inputs!$B$34/100)),15)/15,(Skills!Y19*(1+Inputs!$B$34/100))/Skills!D19)))+((C709=TRUE)*F709*3)</f>
        <v/>
      </c>
    </row>
    <row r="743">
      <c r="A743" t="inlineStr">
        <is>
          <t>Actions Per Second</t>
        </is>
      </c>
      <c r="B743">
        <f>1+MIN(150,150*(1-(1-(Inputs!$B$11+((C728=TRUE)*(F728-Calc!F22)))/150)*(1-B742/150)))/100</f>
        <v/>
      </c>
    </row>
    <row r="744">
      <c r="A744" t="inlineStr">
        <is>
          <t>Skill + Buff Cast Rate</t>
        </is>
      </c>
      <c r="B744">
        <f>IF(AND(Inputs!$B$39&lt;&gt;"pvp",Inputs!$B$44&gt;0),SUMPRODUCT((Skills!E2:E30=TRUE)*(C708:C736=TRUE)*R708:R736*Skills!F2:F30)/Inputs!$B$44,SUMPRODUCT((Skills!E2:E30=TRUE)*(C708:C736=TRUE)*Q708:Q736*Skills!F2:F30))</f>
        <v/>
      </c>
    </row>
    <row r="745">
      <c r="A745" t="inlineStr">
        <is>
          <t>Cruel Stab Casts Per Second</t>
        </is>
      </c>
      <c r="B745">
        <f>MAX(0,B743-B744)</f>
        <v/>
      </c>
    </row>
    <row r="746">
      <c r="A746" t="inlineStr">
        <is>
          <t>Global Critical Damage Bonus % (Smokescreen Mastery Lv.113)</t>
        </is>
      </c>
      <c r="B746">
        <f>IF(Inputs!$B$3&gt;=113,30,0)*IF(AND(Inputs!$B$39&lt;&gt;"pvp",Inputs!$B$44&gt;0),(((R721-1)*(Skills!Y15*(1+Inputs!$B$34/100))+MIN((Skills!Y15*(1+Inputs!$B$34/100)),MAX(0,Inputs!$B$44-((R721-1)*Skills!D15))))/Inputs!$B$44),IF(Inputs!$B$39="pvp",MIN((Skills!Y15*(1+Inputs!$B$34/100)),15)/15,(Skills!Y15*(1+Inputs!$B$34/100))/Skills!D15))</f>
        <v/>
      </c>
    </row>
    <row r="747">
      <c r="A747" t="inlineStr">
        <is>
          <t>Meso Explosion average stack count</t>
        </is>
      </c>
      <c r="B747">
        <f>MIN(10,0.5*B743*Skills!D4)</f>
        <v/>
      </c>
    </row>
    <row r="748">
      <c r="A748" t="inlineStr">
        <is>
          <t>Blood Money average stack count</t>
        </is>
      </c>
      <c r="B748">
        <f>MIN(5,0.25*B743*Skills!D4)</f>
        <v/>
      </c>
    </row>
    <row r="749">
      <c r="A749" t="inlineStr">
        <is>
          <t>Assassinate Murderous Intent Multiplier</t>
        </is>
      </c>
      <c r="B749">
        <f>1+IFERROR(MIN(1,Q720*2/Q717),0)</f>
        <v/>
      </c>
    </row>
    <row r="750">
      <c r="A750" t="inlineStr">
        <is>
          <t>Buff-Casting Startup Delay (s, fixed-duration only)</t>
        </is>
      </c>
      <c r="B750">
        <f>IF(AND(Inputs!$B$39&lt;&gt;"pvp",Inputs!$B$44&gt;0),SUMPRODUCT((Skills!Y2:Y30&gt;0)*(Skills!E2:E30=TRUE)*(C708:C736=TRUE))/B743,0)</f>
        <v/>
      </c>
    </row>
    <row r="751">
      <c r="A751" s="5" t="inlineStr">
        <is>
          <t>TOTAL DPS</t>
        </is>
      </c>
      <c r="B751" s="5">
        <f>SUM(O708:O736)</f>
        <v/>
      </c>
    </row>
    <row r="754">
      <c r="A754" s="5" t="inlineStr">
        <is>
          <t>Stat: SKILL_DAMAGE %</t>
        </is>
      </c>
    </row>
    <row r="755">
      <c r="A755" s="9" t="inlineStr">
        <is>
          <t>Key</t>
        </is>
      </c>
      <c r="B755" s="9" t="inlineStr">
        <is>
          <t>Name</t>
        </is>
      </c>
      <c r="C755" s="9" t="inlineStr">
        <is>
          <t>Unlocked</t>
        </is>
      </c>
      <c r="D755" s="9" t="inlineStr">
        <is>
          <t>InputLevel</t>
        </is>
      </c>
      <c r="E755" s="9" t="inlineStr">
        <is>
          <t>Factor</t>
        </is>
      </c>
      <c r="F755" s="9" t="inlineStr">
        <is>
          <t>CoefficientPercent</t>
        </is>
      </c>
      <c r="G755" s="9" t="inlineStr">
        <is>
          <t>EffectiveHits</t>
        </is>
      </c>
      <c r="H755" s="9" t="inlineStr">
        <is>
          <t>ProcProbability</t>
        </is>
      </c>
      <c r="I755" s="9" t="inlineStr">
        <is>
          <t>MapleHeroMultiplier</t>
        </is>
      </c>
      <c r="J755" s="9" t="inlineStr">
        <is>
          <t>BaseDamage</t>
        </is>
      </c>
      <c r="K755" s="9" t="inlineStr">
        <is>
          <t>BaseHitDamage</t>
        </is>
      </c>
      <c r="L755" s="9" t="inlineStr">
        <is>
          <t>NonCritAvg</t>
        </is>
      </c>
      <c r="M755" s="9" t="inlineStr">
        <is>
          <t>CritAvg</t>
        </is>
      </c>
      <c r="N755" s="9" t="inlineStr">
        <is>
          <t>ExpectedDamage(perHit)</t>
        </is>
      </c>
      <c r="O755" s="9" t="inlineStr">
        <is>
          <t>DPS</t>
        </is>
      </c>
      <c r="P755" s="9" t="inlineStr">
        <is>
          <t>% of Total</t>
        </is>
      </c>
      <c r="Q755" s="9" t="inlineStr">
        <is>
          <t>InvCooldown</t>
        </is>
      </c>
      <c r="R755" s="9" t="inlineStr">
        <is>
          <t>CastsInFight</t>
        </is>
      </c>
      <c r="S755" s="9" t="inlineStr">
        <is>
          <t>HitRate(perSec)</t>
        </is>
      </c>
      <c r="U755" t="inlineStr">
        <is>
          <t>helpers</t>
        </is>
      </c>
    </row>
    <row r="756">
      <c r="A756">
        <f>Skills!A2</f>
        <v/>
      </c>
      <c r="B756">
        <f>Skills!B2</f>
        <v/>
      </c>
      <c r="C756">
        <f>Inputs!$B$3&gt;=100</f>
        <v/>
      </c>
      <c r="D756" t="inlineStr"/>
      <c r="E756" t="inlineStr"/>
      <c r="F756">
        <f>U758+Skills!O2</f>
        <v/>
      </c>
      <c r="G756">
        <f>Skills!G2*IF(Skills!H2&gt;0,Skills!I2/Skills!H2,1)</f>
        <v/>
      </c>
      <c r="H756">
        <f>1-(1-Skills!J2/100)^Skills!K2</f>
        <v/>
      </c>
      <c r="I756" t="inlineStr">
        <is>
          <t>1</t>
        </is>
      </c>
      <c r="J756">
        <f>((Inputs!$B$6*(1+Inputs!$B$7/100))+(((Inputs!$B$12*(1+Inputs!$B$13/100))-(Inputs!$B$12*(1+Inputs!$B$13/100)))+0.25*(Inputs!$B$14-Inputs!$B$14))*(1+Inputs!$B$7/100))*(F756/100)</f>
        <v/>
      </c>
      <c r="K756">
        <f>J756*(1+((Inputs!$B$12*(1+Inputs!$B$13/100))*0.01+Inputs!$B$14*0.0025)/100)*(1+Inputs!$B$15/100)*(1+IF(Inputs!$B$39="pvp",0,(1-Summary!$B$55)*(Inputs!$B$20+0+Skills!P2+B788)+Summary!$B$55*(Inputs!$B$21+Skills!Q2+B788))/100)*(1+Inputs!$B$16/100)*(5000/(6000+Inputs!$B$43*(1-Inputs!$B$19/100)))*(1+(Inputs!$B$24+((C784=TRUE)*(F784-Calc!F30)))/100)*(1+(IF(Skills!A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756)</f>
        <v/>
      </c>
      <c r="L756">
        <f>K756*(MIN(Inputs!$B$22+((C778=TRUE)*(F778-Calc!F24)),Inputs!$B$23+((C783=TRUE)*(F783-Calc!F29)))/100+(Inputs!$B$23+((C783=TRUE)*(F783-Calc!F29)))/100)/2</f>
        <v/>
      </c>
      <c r="M756">
        <f>L756*(1+(Inputs!$B$10+((C780=TRUE)*(F780-Calc!F26))+B794)/100)</f>
        <v/>
      </c>
      <c r="N756">
        <f>L756*(1-MIN((Inputs!$B$9+((C779=TRUE)*(F779-Calc!F25))+B787),100)/100)+M756*(MIN((Inputs!$B$9+((C779=TRUE)*(F779-Calc!F25))+B787),100)/100)</f>
        <v/>
      </c>
      <c r="O756">
        <f>IF(C756,Skills!G2*N756*B793*IF(Inputs!$B$39="pvp",1,(1-Summary!$B$55)*(1)+Summary!$B$55*(MIN((6+Inputs!$B$33),Inputs!$B$37))),0)</f>
        <v/>
      </c>
      <c r="P756">
        <f>IF(B799=0,0,O756/B799)</f>
        <v/>
      </c>
      <c r="Q756" t="n">
        <v>0</v>
      </c>
      <c r="R756" t="n">
        <v>0</v>
      </c>
      <c r="S756">
        <f>IFERROR(O756/N756,0)</f>
        <v/>
      </c>
      <c r="U756">
        <f>MAX(0,(Inputs!$B$3-100)*3)+Inputs!$B$28+Inputs!$B$29</f>
        <v/>
      </c>
    </row>
    <row r="757">
      <c r="A757">
        <f>Skills!A3</f>
        <v/>
      </c>
      <c r="B757">
        <f>Skills!B3</f>
        <v/>
      </c>
      <c r="C757">
        <f>Inputs!$B$3&gt;=35</f>
        <v/>
      </c>
      <c r="D757">
        <f>IF(Skills!C3=1,60+Inputs!$B$25+Inputs!$B$29,IF(Skills!C3=2,90+Inputs!$B$26+Inputs!$B$29,IF(Skills!C3=3,120+Inputs!$B$27+Inputs!$B$29,MAX(0,(Inputs!$B$3-100)*3)+Inputs!$B$28+Inputs!$B$29)))</f>
        <v/>
      </c>
      <c r="E757">
        <f>INDEX(FactorTable!$B$2:$Y$301, MATCH(ROUND(MIN(300,MAX(1,D757)),0), FactorTable!$A$2:$A$301,0), Skills!M3+1)</f>
        <v/>
      </c>
      <c r="F757">
        <f>IF(Skills!N3=TRUE,(Skills!L3/10)*(E757/1000),Skills!L3/10)+Skills!O3</f>
        <v/>
      </c>
      <c r="G757">
        <f>Skills!G3*IF(Skills!H3&gt;0,Skills!I3/Skills!H3,1)</f>
        <v/>
      </c>
      <c r="H757">
        <f>1-(1-Skills!J3/100)^Skills!K3</f>
        <v/>
      </c>
      <c r="I757" t="inlineStr">
        <is>
          <t>1</t>
        </is>
      </c>
      <c r="J757" t="inlineStr"/>
      <c r="K757" t="inlineStr"/>
      <c r="L757" t="inlineStr"/>
      <c r="M757" t="inlineStr"/>
      <c r="N757" t="inlineStr"/>
      <c r="O757" t="n">
        <v>0</v>
      </c>
      <c r="P757">
        <f>IF(B799=0,0,O757/B799)</f>
        <v/>
      </c>
      <c r="Q757" t="n">
        <v>0</v>
      </c>
      <c r="R757" t="n">
        <v>0</v>
      </c>
      <c r="S757">
        <f>IFERROR(O757/N757,0)</f>
        <v/>
      </c>
      <c r="U757">
        <f>INDEX(FactorTable!$B$2:$Y$301, MATCH(ROUND(MIN(300,MAX(1,U756)),0), FactorTable!$A$2:$A$301,0), 22)</f>
        <v/>
      </c>
    </row>
    <row r="758">
      <c r="A758">
        <f>Skills!A4</f>
        <v/>
      </c>
      <c r="B758">
        <f>Skills!B4</f>
        <v/>
      </c>
      <c r="C758">
        <f>Inputs!$B$3&gt;=66</f>
        <v/>
      </c>
      <c r="D758">
        <f>IF(Skills!C4=1,60+Inputs!$B$25+Inputs!$B$29,IF(Skills!C4=2,90+Inputs!$B$26+Inputs!$B$29,IF(Skills!C4=3,120+Inputs!$B$27+Inputs!$B$29,MAX(0,(Inputs!$B$3-100)*3)+Inputs!$B$28+Inputs!$B$29)))</f>
        <v/>
      </c>
      <c r="E758">
        <f>INDEX(FactorTable!$B$2:$Y$301, MATCH(ROUND(MIN(300,MAX(1,D758)),0), FactorTable!$A$2:$A$301,0), Skills!M4+1)</f>
        <v/>
      </c>
      <c r="F758">
        <f>IF(Skills!N4=TRUE,(Skills!L4/10)*(E758/1000),Skills!L4/10)+Skills!O4</f>
        <v/>
      </c>
      <c r="G758">
        <f>Skills!G4*IF(Skills!H4&gt;0,Skills!I4/Skills!H4,1)</f>
        <v/>
      </c>
      <c r="H758">
        <f>1-(1-Skills!J4/100)^Skills!K4</f>
        <v/>
      </c>
      <c r="I758" t="inlineStr">
        <is>
          <t>1</t>
        </is>
      </c>
      <c r="J758">
        <f>((Inputs!$B$6*(1+Inputs!$B$7/100))+(((Inputs!$B$12*(1+Inputs!$B$13/100))-(Inputs!$B$12*(1+Inputs!$B$13/100)))+0.25*(Inputs!$B$14-Inputs!$B$14))*(1+Inputs!$B$7/100))*(F758/100)</f>
        <v/>
      </c>
      <c r="K758">
        <f>J758*(1+((Inputs!$B$12*(1+Inputs!$B$13/100))*0.01+Inputs!$B$14*0.0025)/100)*(1+Inputs!$B$15/100)*(1+IF(Inputs!$B$39="pvp",0,(1-Summary!$B$55)*(Inputs!$B$20+0+Skills!P4+B788)+Summary!$B$55*(Inputs!$B$21+Skills!Q4+B788))/100)*(1+Inputs!$B$16/100)*(5000/(6000+Inputs!$B$43*(1-Inputs!$B$19/100)))*(1+(Inputs!$B$24+((C784=TRUE)*(F784-Calc!F30)))/100)*(1+(IF(Skills!A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758)</f>
        <v/>
      </c>
      <c r="L758">
        <f>K758*(MIN(Inputs!$B$22+((C778=TRUE)*(F778-Calc!F24)),Inputs!$B$23+((C783=TRUE)*(F783-Calc!F29)))/100+(Inputs!$B$23+((C783=TRUE)*(F783-Calc!F29)))/100)/2</f>
        <v/>
      </c>
      <c r="M758">
        <f>L758*(1+(Inputs!$B$10+((C780=TRUE)*(F780-Calc!F26))+B794)/100)</f>
        <v/>
      </c>
      <c r="N758">
        <f>L758*(1-MIN((Inputs!$B$9+((C779=TRUE)*(F779-Calc!F25))+B787),100)/100)+M758*(MIN((Inputs!$B$9+((C779=TRUE)*(F779-Calc!F25))+B787),100)/100)</f>
        <v/>
      </c>
      <c r="O758">
        <f>IF(C758,H758*N758*IF(AND(Inputs!$B$39&lt;&gt;"pvp",Inputs!$B$44&gt;0),((Skills!G4*((R758-1)*IF(Skills!H4&gt;0,Skills!I4/Skills!H4,1)+IF(Skills!H4&gt;0,MIN(Skills!I4,MAX(0,MAX(0,Inputs!$B$44-B798)-((R758-1)*IF(Inputs!$B$39="pvp",15,MAX(0.1,Skills!D4-IF(Skills!E4=TRUE,Inputs!$B$32,0))))))/Skills!H4,1)))/Inputs!$B$44),G758*Q758)*IF(Inputs!$B$39="pvp",1,(1-Summary!$B$55)*(1)+Summary!$B$55*(MIN(MIN(10,0.5*B791*Skills!D4),Inputs!$B$37))),0)</f>
        <v/>
      </c>
      <c r="P758">
        <f>IF(B799=0,0,O758/B799)</f>
        <v/>
      </c>
      <c r="Q758">
        <f>IFERROR(1/IF(Inputs!$B$39="pvp",15,MAX(0.1,Skills!D4-IF(Skills!E4=TRUE,Inputs!$B$32,0))),0)</f>
        <v/>
      </c>
      <c r="R758">
        <f>IF(AND(Inputs!$B$39&lt;&gt;"pvp",Inputs!$B$44&gt;0),IF(MAX(0,Inputs!$B$44-B798)&lt;=0,0,(INT(MAX(0,Inputs!$B$44-B798)/IF(Inputs!$B$39="pvp",15,MAX(0.1,Skills!D4-IF(Skills!E4=TRUE,Inputs!$B$32,0))))+1)),0)</f>
        <v/>
      </c>
      <c r="S758">
        <f>IFERROR(O758/N758,0)</f>
        <v/>
      </c>
      <c r="U758">
        <f>290*U757/1000</f>
        <v/>
      </c>
    </row>
    <row r="759">
      <c r="A759">
        <f>Skills!A5</f>
        <v/>
      </c>
      <c r="B759">
        <f>Skills!B5</f>
        <v/>
      </c>
      <c r="C759">
        <f>Inputs!$B$3&gt;=63</f>
        <v/>
      </c>
      <c r="D759">
        <f>IF(Skills!C5=1,60+Inputs!$B$25+Inputs!$B$29,IF(Skills!C5=2,90+Inputs!$B$26+Inputs!$B$29,IF(Skills!C5=3,120+Inputs!$B$27+Inputs!$B$29,MAX(0,(Inputs!$B$3-100)*3)+Inputs!$B$28+Inputs!$B$29)))</f>
        <v/>
      </c>
      <c r="E759">
        <f>INDEX(FactorTable!$B$2:$Y$301, MATCH(ROUND(MIN(300,MAX(1,D759)),0), FactorTable!$A$2:$A$301,0), Skills!M5+1)</f>
        <v/>
      </c>
      <c r="F759">
        <f>IF(Skills!N5=TRUE,(Skills!L5/10)*(E759/1000),Skills!L5/10)+Skills!O5</f>
        <v/>
      </c>
      <c r="G759">
        <f>Skills!G5*IF(Skills!H5&gt;0,Skills!I5/Skills!H5,1)</f>
        <v/>
      </c>
      <c r="H759">
        <f>1-(1-Skills!J5/100)^Skills!K5</f>
        <v/>
      </c>
      <c r="I759" t="inlineStr">
        <is>
          <t>1</t>
        </is>
      </c>
      <c r="J759">
        <f>((Inputs!$B$6*(1+Inputs!$B$7/100))+(((Inputs!$B$12*(1+Inputs!$B$13/100))-(Inputs!$B$12*(1+Inputs!$B$13/100)))+0.25*(Inputs!$B$14-Inputs!$B$14))*(1+Inputs!$B$7/100))*(F759/100)</f>
        <v/>
      </c>
      <c r="K759">
        <f>J759*(1+((Inputs!$B$12*(1+Inputs!$B$13/100))*0.01+Inputs!$B$14*0.0025)/100)*(1+Inputs!$B$15/100)*(1+IF(Inputs!$B$39="pvp",0,(1-Summary!$B$55)*(Inputs!$B$20+0+Skills!P5+B788)+Summary!$B$55*(Inputs!$B$21+Skills!Q5+B788))/100)*(1+Inputs!$B$16/100)*(5000/(6000+Inputs!$B$43*(1-Inputs!$B$19/100)))*(1+(Inputs!$B$24+((C784=TRUE)*(F784-Calc!F30)))/100)*(1+2.6666666666666665*IF(C772=TRUE,F772,0)/100)*(1+(IF(Skills!A5="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759)</f>
        <v/>
      </c>
      <c r="L759">
        <f>K759*(MIN(Inputs!$B$22+((C778=TRUE)*(F778-Calc!F24)),Inputs!$B$23+((C783=TRUE)*(F783-Calc!F29)))/100+(Inputs!$B$23+((C783=TRUE)*(F783-Calc!F29)))/100)/2</f>
        <v/>
      </c>
      <c r="M759">
        <f>L759*(1+(Inputs!$B$10+((C780=TRUE)*(F780-Calc!F26))+B794)/100)</f>
        <v/>
      </c>
      <c r="N759">
        <f>L759*(1-MIN((Inputs!$B$9+((C779=TRUE)*(F779-Calc!F25))+B787),100)/100)+M759*(MIN((Inputs!$B$9+((C779=TRUE)*(F779-Calc!F25))+B787),100)/100)</f>
        <v/>
      </c>
      <c r="O759">
        <f>IF(C759,H759*N759*IF(AND(Inputs!$B$39&lt;&gt;"pvp",Inputs!$B$44&gt;0),((Skills!G5*((R759-1)*IF(Skills!H5&gt;0,Skills!I5/Skills!H5,1)+IF(Skills!H5&gt;0,MIN(Skills!I5,MAX(0,MAX(0,Inputs!$B$44-B798)-((R759-1)*IF(Inputs!$B$39="pvp",15,MAX(0.1,Skills!D5-IF(Skills!E5=TRUE,Inputs!$B$32,0))))))/Skills!H5,1)))/Inputs!$B$44),G759*Q759)*IF(Inputs!$B$39="pvp",1,(1-Summary!$B$55)*(1)+Summary!$B$55*(MIN(Skills!W5,Inputs!$B$37))),0)</f>
        <v/>
      </c>
      <c r="P759">
        <f>IF(B799=0,0,O759/B799)</f>
        <v/>
      </c>
      <c r="Q759">
        <f>IFERROR(1/IF(Inputs!$B$39="pvp",15,MAX(0.1,Skills!D5-IF(Skills!E5=TRUE,Inputs!$B$32,0))),0)</f>
        <v/>
      </c>
      <c r="R759">
        <f>IF(AND(Inputs!$B$39&lt;&gt;"pvp",Inputs!$B$44&gt;0),IF(MAX(0,Inputs!$B$44-B798)&lt;=0,0,(INT(MAX(0,Inputs!$B$44-B798)/IF(Inputs!$B$39="pvp",15,MAX(0.1,Skills!D5-IF(Skills!E5=TRUE,Inputs!$B$32,0))))+1)),0)</f>
        <v/>
      </c>
      <c r="S759">
        <f>IFERROR(O759/N759,0)</f>
        <v/>
      </c>
    </row>
    <row r="760">
      <c r="A760">
        <f>Skills!A6</f>
        <v/>
      </c>
      <c r="B760">
        <f>Skills!B6</f>
        <v/>
      </c>
      <c r="C760">
        <f>Inputs!$B$3&gt;=69</f>
        <v/>
      </c>
      <c r="D760">
        <f>IF(Skills!C6=1,60+Inputs!$B$25+Inputs!$B$29,IF(Skills!C6=2,90+Inputs!$B$26+Inputs!$B$29,IF(Skills!C6=3,120+Inputs!$B$27+Inputs!$B$29,MAX(0,(Inputs!$B$3-100)*3)+Inputs!$B$28+Inputs!$B$29)))</f>
        <v/>
      </c>
      <c r="E760">
        <f>INDEX(FactorTable!$B$2:$Y$301, MATCH(ROUND(MIN(300,MAX(1,D760)),0), FactorTable!$A$2:$A$301,0), Skills!M6+1)</f>
        <v/>
      </c>
      <c r="F760">
        <f>IF(Skills!N6=TRUE,(Skills!L6/10)*(E760/1000),Skills!L6/10)+Skills!O6</f>
        <v/>
      </c>
      <c r="G760">
        <f>Skills!G6*IF(Skills!H6&gt;0,Skills!I6/Skills!H6,1)</f>
        <v/>
      </c>
      <c r="H760">
        <f>1-(1-Skills!J6/100)^Skills!K6</f>
        <v/>
      </c>
      <c r="I760" t="inlineStr">
        <is>
          <t>1</t>
        </is>
      </c>
      <c r="J760">
        <f>((Inputs!$B$6*(1+Inputs!$B$7/100))+(((Inputs!$B$12*(1+Inputs!$B$13/100))-(Inputs!$B$12*(1+Inputs!$B$13/100)))+0.25*(Inputs!$B$14-Inputs!$B$14))*(1+Inputs!$B$7/100))*(F760/100)</f>
        <v/>
      </c>
      <c r="K760">
        <f>J760*(1+((Inputs!$B$12*(1+Inputs!$B$13/100))*0.01+Inputs!$B$14*0.0025)/100)*(1+Inputs!$B$15/100)*(1+IF(Inputs!$B$39="pvp",0,(1-Summary!$B$55)*(Inputs!$B$20+0+Skills!P6+B788)+Summary!$B$55*(Inputs!$B$21+Skills!Q6+B788))/100)*(1+Inputs!$B$16/100)*(5000/(6000+Inputs!$B$43*(1-Inputs!$B$19/100)))*(1+(Inputs!$B$24+((C784=TRUE)*(F784-Calc!F30)))/100)*(1+1.0*IF(C772=TRUE,F772,0)/100)*(1+(IF(Skills!A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760)</f>
        <v/>
      </c>
      <c r="L760">
        <f>K760*(MIN(Inputs!$B$22+((C778=TRUE)*(F778-Calc!F24)),Inputs!$B$23+((C783=TRUE)*(F783-Calc!F29)))/100+(Inputs!$B$23+((C783=TRUE)*(F783-Calc!F29)))/100)/2</f>
        <v/>
      </c>
      <c r="M760">
        <f>L760*(1+(Inputs!$B$10+((C780=TRUE)*(F780-Calc!F26))+B794)/100)</f>
        <v/>
      </c>
      <c r="N760">
        <f>L760*(1-MIN((Inputs!$B$9+((C779=TRUE)*(F779-Calc!F25))+B787),100)/100)+M760*(MIN((Inputs!$B$9+((C779=TRUE)*(F779-Calc!F25))+B787),100)/100)</f>
        <v/>
      </c>
      <c r="O760">
        <f>IF(C760,H760*N760*IF(AND(Inputs!$B$39&lt;&gt;"pvp",Inputs!$B$44&gt;0),((Skills!G6*((R760-1)*IF(Skills!H6&gt;0,Skills!I6/Skills!H6,1)+IF(Skills!H6&gt;0,MIN(Skills!I6,MAX(0,MAX(0,Inputs!$B$44-B798)-((R760-1)*IF(Inputs!$B$39="pvp",15,MAX(0.1,Skills!D6-IF(Skills!E6=TRUE,Inputs!$B$32,0))))))/Skills!H6,1)))/Inputs!$B$44),G760*Q760)*IF(Inputs!$B$39="pvp",1,(1-Summary!$B$55)*(1)+Summary!$B$55*(MIN(Skills!W6,Inputs!$B$37))),0)</f>
        <v/>
      </c>
      <c r="P760">
        <f>IF(B799=0,0,O760/B799)</f>
        <v/>
      </c>
      <c r="Q760">
        <f>IFERROR(1/IF(Inputs!$B$39="pvp",15,MAX(0.1,Skills!D6-IF(Skills!E6=TRUE,Inputs!$B$32,0))),0)</f>
        <v/>
      </c>
      <c r="R760">
        <f>IF(AND(Inputs!$B$39&lt;&gt;"pvp",Inputs!$B$44&gt;0),IF(MAX(0,Inputs!$B$44-B798)&lt;=0,0,(INT(MAX(0,Inputs!$B$44-B798)/IF(Inputs!$B$39="pvp",15,MAX(0.1,Skills!D6-IF(Skills!E6=TRUE,Inputs!$B$32,0))))+1)),0)</f>
        <v/>
      </c>
      <c r="S760">
        <f>IFERROR(O760/N760,0)</f>
        <v/>
      </c>
    </row>
    <row r="761">
      <c r="A761">
        <f>Skills!A7</f>
        <v/>
      </c>
      <c r="B761">
        <f>Skills!B7</f>
        <v/>
      </c>
      <c r="C761">
        <f>Inputs!$B$3&gt;=60</f>
        <v/>
      </c>
      <c r="D761">
        <f>IF(Skills!C7=1,60+Inputs!$B$25+Inputs!$B$29,IF(Skills!C7=2,90+Inputs!$B$26+Inputs!$B$29,IF(Skills!C7=3,120+Inputs!$B$27+Inputs!$B$29,MAX(0,(Inputs!$B$3-100)*3)+Inputs!$B$28+Inputs!$B$29)))</f>
        <v/>
      </c>
      <c r="E761">
        <f>INDEX(FactorTable!$B$2:$Y$301, MATCH(ROUND(MIN(300,MAX(1,D761)),0), FactorTable!$A$2:$A$301,0), Skills!M7+1)</f>
        <v/>
      </c>
      <c r="F761">
        <f>IF(Skills!N7=TRUE,(Skills!L7/10)*(E761/1000),Skills!L7/10)+Skills!O7</f>
        <v/>
      </c>
      <c r="G761">
        <f>Skills!G7*IF(Skills!H7&gt;0,Skills!I7/Skills!H7,1)</f>
        <v/>
      </c>
      <c r="H761">
        <f>1-(1-Skills!J7/100)^Skills!K7</f>
        <v/>
      </c>
      <c r="I761" t="inlineStr">
        <is>
          <t>1</t>
        </is>
      </c>
      <c r="J761" t="inlineStr"/>
      <c r="K761" t="inlineStr"/>
      <c r="L761" t="inlineStr"/>
      <c r="M761" t="inlineStr"/>
      <c r="N761" t="inlineStr"/>
      <c r="O761" t="n">
        <v>0</v>
      </c>
      <c r="P761">
        <f>IF(B799=0,0,O761/B799)</f>
        <v/>
      </c>
      <c r="Q761" t="n">
        <v>0</v>
      </c>
      <c r="R761" t="n">
        <v>0</v>
      </c>
      <c r="S761">
        <f>IFERROR(O761/N761,0)</f>
        <v/>
      </c>
    </row>
    <row r="762">
      <c r="A762">
        <f>Skills!A8</f>
        <v/>
      </c>
      <c r="B762">
        <f>Skills!B8</f>
        <v/>
      </c>
      <c r="C762">
        <f>Inputs!$B$3&gt;=72</f>
        <v/>
      </c>
      <c r="D762">
        <f>IF(Skills!C8=1,60+Inputs!$B$25+Inputs!$B$29,IF(Skills!C8=2,90+Inputs!$B$26+Inputs!$B$29,IF(Skills!C8=3,120+Inputs!$B$27+Inputs!$B$29,MAX(0,(Inputs!$B$3-100)*3)+Inputs!$B$28+Inputs!$B$29)))</f>
        <v/>
      </c>
      <c r="E762">
        <f>INDEX(FactorTable!$B$2:$Y$301, MATCH(ROUND(MIN(300,MAX(1,D762)),0), FactorTable!$A$2:$A$301,0), Skills!M8+1)</f>
        <v/>
      </c>
      <c r="F762">
        <f>IF(Skills!N8=TRUE,(Skills!L8/10)*(E762/1000),Skills!L8/10)+Skills!O8</f>
        <v/>
      </c>
      <c r="G762">
        <f>Skills!G8*IF(Skills!H8&gt;0,Skills!I8/Skills!H8,1)</f>
        <v/>
      </c>
      <c r="H762">
        <f>1-(1-Skills!J8/100)^Skills!K8</f>
        <v/>
      </c>
      <c r="I762" t="inlineStr">
        <is>
          <t>1</t>
        </is>
      </c>
      <c r="J762">
        <f>((Inputs!$B$6*(1+Inputs!$B$7/100))+(((Inputs!$B$12*(1+Inputs!$B$13/100))-(Inputs!$B$12*(1+Inputs!$B$13/100)))+0.25*(Inputs!$B$14-Inputs!$B$14))*(1+Inputs!$B$7/100))*(F762/100)</f>
        <v/>
      </c>
      <c r="K762">
        <f>J762*(1+((Inputs!$B$12*(1+Inputs!$B$13/100))*0.01+Inputs!$B$14*0.0025)/100)*(1+Inputs!$B$15/100)*(1+IF(Inputs!$B$39="pvp",0,(1-Summary!$B$55)*(Inputs!$B$20+0+Skills!P8+B788)+Summary!$B$55*(Inputs!$B$21+Skills!Q8+B788))/100)*(1+Inputs!$B$16/100)*(5000/(6000+Inputs!$B$43*(1-Inputs!$B$19/100)))*(1+(Inputs!$B$24+((C784=TRUE)*(F784-Calc!F30)))/100)*(1+3.3333333333333335*IF(C772=TRUE,F772,0)/100)*(1+(IF(Skills!A8="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762)</f>
        <v/>
      </c>
      <c r="L762">
        <f>K762*(MIN(Inputs!$B$22+((C778=TRUE)*(F778-Calc!F24)),Inputs!$B$23+((C783=TRUE)*(F783-Calc!F29)))/100+(Inputs!$B$23+((C783=TRUE)*(F783-Calc!F29)))/100)/2</f>
        <v/>
      </c>
      <c r="M762">
        <f>L762*(1+(Inputs!$B$10+((C780=TRUE)*(F780-Calc!F26))+B794)/100)</f>
        <v/>
      </c>
      <c r="N762">
        <f>L762*(1-MIN((Inputs!$B$9+((C779=TRUE)*(F779-Calc!F25))+B787),100)/100)+M762*(MIN((Inputs!$B$9+((C779=TRUE)*(F779-Calc!F25))+B787),100)/100)</f>
        <v/>
      </c>
      <c r="O762">
        <f>IF(C762,H762*N762*IF(AND(Inputs!$B$39&lt;&gt;"pvp",Inputs!$B$44&gt;0),((Skills!G8*((R762-1)*IF(Skills!H8&gt;0,Skills!I8/Skills!H8,1)+IF(Skills!H8&gt;0,MIN(Skills!I8,MAX(0,MAX(0,Inputs!$B$44-B798)-((R762-1)*IF(Inputs!$B$39="pvp",15,MAX(0.1,Skills!D8-IF(Skills!E8=TRUE,Inputs!$B$32,0))))))/Skills!H8,1)))/Inputs!$B$44),G762*Q762)*IF(Inputs!$B$39="pvp",1,(1-Summary!$B$55)*(1)+Summary!$B$55*(MIN(Skills!W8,Inputs!$B$37))),0)</f>
        <v/>
      </c>
      <c r="P762">
        <f>IF(B799=0,0,O762/B799)</f>
        <v/>
      </c>
      <c r="Q762">
        <f>IFERROR(1/IF(Inputs!$B$39="pvp",15,MAX(0.1,Skills!D8-IF(Skills!E8=TRUE,Inputs!$B$32,0))),0)</f>
        <v/>
      </c>
      <c r="R762">
        <f>IF(AND(Inputs!$B$39&lt;&gt;"pvp",Inputs!$B$44&gt;0),IF(MAX(0,Inputs!$B$44-B798)&lt;=0,0,(INT(MAX(0,Inputs!$B$44-B798)/IF(Inputs!$B$39="pvp",15,MAX(0.1,Skills!D8-IF(Skills!E8=TRUE,Inputs!$B$32,0))))+1)),0)</f>
        <v/>
      </c>
      <c r="S762">
        <f>IFERROR(O762/N762,0)</f>
        <v/>
      </c>
    </row>
    <row r="763">
      <c r="A763">
        <f>Skills!A9</f>
        <v/>
      </c>
      <c r="B763">
        <f>Skills!B9</f>
        <v/>
      </c>
      <c r="C763">
        <f>Inputs!$B$3&gt;=117</f>
        <v/>
      </c>
      <c r="D763">
        <f>IF(Skills!C9=1,60+Inputs!$B$25+Inputs!$B$29,IF(Skills!C9=2,90+Inputs!$B$26+Inputs!$B$29,IF(Skills!C9=3,120+Inputs!$B$27+Inputs!$B$29,MAX(0,(Inputs!$B$3-100)*3)+Inputs!$B$28+Inputs!$B$29)))</f>
        <v/>
      </c>
      <c r="E763">
        <f>INDEX(FactorTable!$B$2:$Y$301, MATCH(ROUND(MIN(300,MAX(1,D763)),0), FactorTable!$A$2:$A$301,0), Skills!M9+1)</f>
        <v/>
      </c>
      <c r="F763">
        <f>IF(Skills!N9=TRUE,(Skills!L9/10)*(E763/1000),Skills!L9/10)+Skills!O9</f>
        <v/>
      </c>
      <c r="G763">
        <f>Skills!G9*IF(Skills!H9&gt;0,Skills!I9/Skills!H9,1)</f>
        <v/>
      </c>
      <c r="H763">
        <f>1-(1-Skills!J9/100)^Skills!K9</f>
        <v/>
      </c>
      <c r="I763" t="inlineStr">
        <is>
          <t>1</t>
        </is>
      </c>
      <c r="J763">
        <f>((Inputs!$B$6*(1+Inputs!$B$7/100))+(((Inputs!$B$12*(1+Inputs!$B$13/100))-(Inputs!$B$12*(1+Inputs!$B$13/100)))+0.25*(Inputs!$B$14-Inputs!$B$14))*(1+Inputs!$B$7/100))*(F763/100)</f>
        <v/>
      </c>
      <c r="K763">
        <f>J763*(1+((Inputs!$B$12*(1+Inputs!$B$13/100))*0.01+Inputs!$B$14*0.0025)/100)*(1+Inputs!$B$15/100)*(1+IF(Inputs!$B$39="pvp",0,(1-Summary!$B$55)*(Inputs!$B$20+0+Skills!P9+B788)+Summary!$B$55*(Inputs!$B$21+Skills!Q9+B788))/100)*(1+Inputs!$B$16/100)*(5000/(6000+Inputs!$B$43*(1-Inputs!$B$19/100)))*(1+(Inputs!$B$24+((C784=TRUE)*(F784-Calc!F30)))/100)*(1+(IF(Skills!A9="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763)</f>
        <v/>
      </c>
      <c r="L763">
        <f>K763*(MIN(Inputs!$B$22+((C778=TRUE)*(F778-Calc!F24)),Inputs!$B$23+((C783=TRUE)*(F783-Calc!F29)))/100+(Inputs!$B$23+((C783=TRUE)*(F783-Calc!F29)))/100)/2</f>
        <v/>
      </c>
      <c r="M763">
        <f>L763*(1+(Inputs!$B$10+((C780=TRUE)*(F780-Calc!F26))+B794)/100)</f>
        <v/>
      </c>
      <c r="N763">
        <f>L763*(1-MIN((Inputs!$B$9+((C779=TRUE)*(F779-Calc!F25))+B787),100)/100)+M763*(MIN((Inputs!$B$9+((C779=TRUE)*(F779-Calc!F25))+B787),100)/100)</f>
        <v/>
      </c>
      <c r="O763">
        <f>IF(C763,0.2*SUMPRODUCT((Skills!Z2:Z30=TRUE)*(C756:C784=TRUE)*S756:S784)*N763,0)</f>
        <v/>
      </c>
      <c r="P763">
        <f>IF(B799=0,0,O763/B799)</f>
        <v/>
      </c>
      <c r="Q763" t="n">
        <v>0</v>
      </c>
      <c r="R763" t="n">
        <v>0</v>
      </c>
      <c r="S763" t="n">
        <v>0</v>
      </c>
    </row>
    <row r="764">
      <c r="A764">
        <f>Skills!A10</f>
        <v/>
      </c>
      <c r="B764">
        <f>Skills!B10</f>
        <v/>
      </c>
      <c r="C764">
        <f>Inputs!$B$3&gt;=74</f>
        <v/>
      </c>
      <c r="D764">
        <f>IF(Skills!C10=1,60+Inputs!$B$25+Inputs!$B$29,IF(Skills!C10=2,90+Inputs!$B$26+Inputs!$B$29,IF(Skills!C10=3,120+Inputs!$B$27+Inputs!$B$29,MAX(0,(Inputs!$B$3-100)*3)+Inputs!$B$28+Inputs!$B$29)))</f>
        <v/>
      </c>
      <c r="E764">
        <f>INDEX(FactorTable!$B$2:$Y$301, MATCH(ROUND(MIN(300,MAX(1,D764)),0), FactorTable!$A$2:$A$301,0), Skills!M10+1)</f>
        <v/>
      </c>
      <c r="F764">
        <f>IF(Skills!N10=TRUE,(Skills!L10/10)*(E764/1000),Skills!L10/10)+Skills!O10</f>
        <v/>
      </c>
      <c r="G764">
        <f>Skills!G10*IF(Skills!H10&gt;0,Skills!I10/Skills!H10,1)</f>
        <v/>
      </c>
      <c r="H764">
        <f>1-(1-Skills!J10/100)^Skills!K10</f>
        <v/>
      </c>
      <c r="I764" t="inlineStr">
        <is>
          <t>1</t>
        </is>
      </c>
      <c r="J764" t="inlineStr"/>
      <c r="K764" t="inlineStr"/>
      <c r="L764" t="inlineStr"/>
      <c r="M764" t="inlineStr"/>
      <c r="N764" t="inlineStr"/>
      <c r="O764" t="n">
        <v>0</v>
      </c>
      <c r="P764">
        <f>IF(B799=0,0,O764/B799)</f>
        <v/>
      </c>
      <c r="Q764">
        <f>IFERROR(1/IF(Inputs!$B$39="pvp",15,MAX(0.1,Skills!D10-IF(Skills!E10=TRUE,Inputs!$B$32,0))),0)</f>
        <v/>
      </c>
      <c r="R764">
        <f>IF(AND(Inputs!$B$39&lt;&gt;"pvp",Inputs!$B$44&gt;0),IF(Inputs!$B$44&lt;=0,0,(INT(Inputs!$B$44/IF(Inputs!$B$39="pvp",15,MAX(0.1,Skills!D10-IF(Skills!E10=TRUE,Inputs!$B$32,0))))+1)),0)</f>
        <v/>
      </c>
      <c r="S764">
        <f>IFERROR(O764/N764,0)</f>
        <v/>
      </c>
    </row>
    <row r="765">
      <c r="A765">
        <f>Skills!A11</f>
        <v/>
      </c>
      <c r="B765">
        <f>Skills!B11</f>
        <v/>
      </c>
      <c r="C765">
        <f>Inputs!$B$3&gt;=103</f>
        <v/>
      </c>
      <c r="D765">
        <f>IF(Skills!C11=1,60+Inputs!$B$25+Inputs!$B$29,IF(Skills!C11=2,90+Inputs!$B$26+Inputs!$B$29,IF(Skills!C11=3,120+Inputs!$B$27+Inputs!$B$29,MAX(0,(Inputs!$B$3-100)*3)+Inputs!$B$28+Inputs!$B$29)))</f>
        <v/>
      </c>
      <c r="E765">
        <f>INDEX(FactorTable!$B$2:$Y$301, MATCH(ROUND(MIN(300,MAX(1,D765)),0), FactorTable!$A$2:$A$301,0), Skills!M11+1)</f>
        <v/>
      </c>
      <c r="F765">
        <f>(Skills!L11/10)*(E765/1000)+IF(Inputs!$B$3&gt;=134,50,0)+0.5*(30000/10)*(INDEX(FactorTable!$B$2:$Y$301, MATCH(ROUND(MIN(300,MAX(1,D765)),0), FactorTable!$A$2:$A$301,0), 13)/1000)*B797</f>
        <v/>
      </c>
      <c r="G765">
        <f>Skills!G11*IF(Skills!H11&gt;0,Skills!I11/Skills!H11,1)</f>
        <v/>
      </c>
      <c r="H765">
        <f>1-(1-Skills!J11/100)^Skills!K11</f>
        <v/>
      </c>
      <c r="I765" t="inlineStr">
        <is>
          <t>1</t>
        </is>
      </c>
      <c r="J765">
        <f>((Inputs!$B$6*(1+Inputs!$B$7/100))+(((Inputs!$B$12*(1+Inputs!$B$13/100))-(Inputs!$B$12*(1+Inputs!$B$13/100)))+0.25*(Inputs!$B$14-Inputs!$B$14))*(1+Inputs!$B$7/100))*(F765/100)</f>
        <v/>
      </c>
      <c r="K765">
        <f>J765*(1+((Inputs!$B$12*(1+Inputs!$B$13/100))*0.01+Inputs!$B$14*0.0025)/100)*(1+Inputs!$B$15/100)*(1+IF(Inputs!$B$39="pvp",0,(1-Summary!$B$55)*(Inputs!$B$20+0+Skills!P11+B788)+Summary!$B$55*(Inputs!$B$21+Skills!Q11+B788))/100)*(1+Inputs!$B$16/100)*(5000/(6000+Inputs!$B$43*(1-Inputs!$B$19/100)))*(1+(Inputs!$B$24+((C784=TRUE)*(F784-Calc!F30)))/100)*(1+(IF(Skills!A11="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765)</f>
        <v/>
      </c>
      <c r="L765">
        <f>K765*(MIN(Inputs!$B$22+((C778=TRUE)*(F778-Calc!F24)),Inputs!$B$23+((C783=TRUE)*(F783-Calc!F29)))/100+(Inputs!$B$23+((C783=TRUE)*(F783-Calc!F29)))/100)/2</f>
        <v/>
      </c>
      <c r="M765">
        <f>L765*(1+(Inputs!$B$10+((C780=TRUE)*(F780-Calc!F26))+B794)/100)</f>
        <v/>
      </c>
      <c r="N765">
        <f>L765*(1-MIN((Inputs!$B$9+((C779=TRUE)*(F779-Calc!F25))+B787),100)/100)+M765*(MIN((Inputs!$B$9+((C779=TRUE)*(F779-Calc!F25))+B787),100)/100)</f>
        <v/>
      </c>
      <c r="O765">
        <f>IF(C765,H765*N765*IF(AND(Inputs!$B$39&lt;&gt;"pvp",Inputs!$B$44&gt;0),((Skills!G11*((R765-1)*IF(Skills!H11&gt;0,Skills!I11/Skills!H11,1)+IF(Skills!H11&gt;0,MIN(Skills!I11,MAX(0,MAX(0,Inputs!$B$44-B798)-((R765-1)*IF(Inputs!$B$39="pvp",15,MAX(0.1,Skills!D11-IF(Skills!E11=TRUE,Inputs!$B$32,0))))))/Skills!H11,1)))/Inputs!$B$44),G765*Q765)*IF(Inputs!$B$39="pvp",1,(1-Summary!$B$55)*(1)+Summary!$B$55*(MIN(Skills!W11,Inputs!$B$37))),0)</f>
        <v/>
      </c>
      <c r="P765">
        <f>IF(B799=0,0,O765/B799)</f>
        <v/>
      </c>
      <c r="Q765">
        <f>IFERROR(1/IF(Inputs!$B$39="pvp",15,MAX(0.1,Skills!D11-IF(Skills!E11=TRUE,Inputs!$B$32,0))),0)</f>
        <v/>
      </c>
      <c r="R765">
        <f>IF(AND(Inputs!$B$39&lt;&gt;"pvp",Inputs!$B$44&gt;0),IF(MAX(0,Inputs!$B$44-B798)&lt;=0,0,(INT(MAX(0,Inputs!$B$44-B798)/IF(Inputs!$B$39="pvp",15,MAX(0.1,Skills!D11-IF(Skills!E11=TRUE,Inputs!$B$32,0))))+1)),0)</f>
        <v/>
      </c>
      <c r="S765">
        <f>IFERROR(O765/N765,0)</f>
        <v/>
      </c>
    </row>
    <row r="766">
      <c r="A766">
        <f>Skills!A12</f>
        <v/>
      </c>
      <c r="B766">
        <f>Skills!B12</f>
        <v/>
      </c>
      <c r="C766">
        <f>Inputs!$B$3&gt;=105</f>
        <v/>
      </c>
      <c r="D766">
        <f>IF(Skills!C12=1,60+Inputs!$B$25+Inputs!$B$29,IF(Skills!C12=2,90+Inputs!$B$26+Inputs!$B$29,IF(Skills!C12=3,120+Inputs!$B$27+Inputs!$B$29,MAX(0,(Inputs!$B$3-100)*3)+Inputs!$B$28+Inputs!$B$29)))</f>
        <v/>
      </c>
      <c r="E766">
        <f>INDEX(FactorTable!$B$2:$Y$301, MATCH(ROUND(MIN(300,MAX(1,D766)),0), FactorTable!$A$2:$A$301,0), Skills!M12+1)</f>
        <v/>
      </c>
      <c r="F766">
        <f>IF(Skills!N12=TRUE,(Skills!L12/10)*(E766/1000),Skills!L12/10)+Skills!O12</f>
        <v/>
      </c>
      <c r="G766">
        <f>Skills!G12*IF(Skills!H12&gt;0,Skills!I12/Skills!H12,1)</f>
        <v/>
      </c>
      <c r="H766">
        <f>1-(1-Skills!J12/100)^Skills!K12</f>
        <v/>
      </c>
      <c r="I766" t="inlineStr">
        <is>
          <t>1</t>
        </is>
      </c>
      <c r="J766">
        <f>((Inputs!$B$6*(1+Inputs!$B$7/100))+(((Inputs!$B$12*(1+Inputs!$B$13/100))-(Inputs!$B$12*(1+Inputs!$B$13/100)))+0.25*(Inputs!$B$14-Inputs!$B$14))*(1+Inputs!$B$7/100))*(F766/100)</f>
        <v/>
      </c>
      <c r="K766">
        <f>J766*(1+((Inputs!$B$12*(1+Inputs!$B$13/100))*0.01+Inputs!$B$14*0.0025)/100)*(1+Inputs!$B$15/100)*(1+IF(Inputs!$B$39="pvp",0,(1-Summary!$B$55)*(Inputs!$B$20+0+Skills!P12+B788)+Summary!$B$55*(Inputs!$B$21+Skills!Q12+B788))/100)*(1+Inputs!$B$16/100)*(5000/(6000+Inputs!$B$43*(1-Inputs!$B$19/100)))*(1+(Inputs!$B$24+((C784=TRUE)*(F784-Calc!F30)))/100)*(1+(IF(Skills!A12="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766)</f>
        <v/>
      </c>
      <c r="L766">
        <f>K766*(MIN(Inputs!$B$22+((C778=TRUE)*(F778-Calc!F24)),Inputs!$B$23+((C783=TRUE)*(F783-Calc!F29)))/100+(Inputs!$B$23+((C783=TRUE)*(F783-Calc!F29)))/100)/2</f>
        <v/>
      </c>
      <c r="M766">
        <f>L766*(1+(Inputs!$B$10+((C780=TRUE)*(F780-Calc!F26))+B794)/100)</f>
        <v/>
      </c>
      <c r="N766">
        <f>L766*(1-MIN((Inputs!$B$9+((C779=TRUE)*(F779-Calc!F25))+B787),100)/100)+M766*(MIN((Inputs!$B$9+((C779=TRUE)*(F779-Calc!F25))+B787),100)/100)</f>
        <v/>
      </c>
      <c r="O766">
        <f>IF(C766,H766*N766*IF(AND(Inputs!$B$39&lt;&gt;"pvp",Inputs!$B$44&gt;0),((Skills!G12*((R766-1)*IF(Skills!H12&gt;0,Skills!I12/Skills!H12,1)+IF(Skills!H12&gt;0,MIN(Skills!I12,MAX(0,MAX(0,Inputs!$B$44-B798)-((R766-1)*IF(Inputs!$B$39="pvp",15,MAX(0.1,Skills!D12-IF(Skills!E12=TRUE,Inputs!$B$32,0))))))/Skills!H12,1)))/Inputs!$B$44),G766*Q766)*IF(Inputs!$B$39="pvp",1,(1-Summary!$B$55)*(1)+Summary!$B$55*(MIN(Skills!W12,Inputs!$B$37))),0)</f>
        <v/>
      </c>
      <c r="P766">
        <f>IF(B799=0,0,O766/B799)</f>
        <v/>
      </c>
      <c r="Q766">
        <f>IFERROR(1/IF(Inputs!$B$39="pvp",15,MAX(0.1,Skills!D12-IF(Skills!E12=TRUE,Inputs!$B$32,0))),0)</f>
        <v/>
      </c>
      <c r="R766">
        <f>IF(AND(Inputs!$B$39&lt;&gt;"pvp",Inputs!$B$44&gt;0),IF(MAX(0,Inputs!$B$44-B798)&lt;=0,0,(INT(MAX(0,Inputs!$B$44-B798)/IF(Inputs!$B$39="pvp",15,MAX(0.1,Skills!D12-IF(Skills!E12=TRUE,Inputs!$B$32,0))))+1)),0)</f>
        <v/>
      </c>
      <c r="S766">
        <f>IFERROR(O766/N766,0)</f>
        <v/>
      </c>
    </row>
    <row r="767">
      <c r="A767">
        <f>Skills!A13</f>
        <v/>
      </c>
      <c r="B767">
        <f>Skills!B13</f>
        <v/>
      </c>
      <c r="C767">
        <f>Inputs!$B$3&gt;=105</f>
        <v/>
      </c>
      <c r="D767">
        <f>IF(Skills!C13=1,60+Inputs!$B$25+Inputs!$B$29,IF(Skills!C13=2,90+Inputs!$B$26+Inputs!$B$29,IF(Skills!C13=3,120+Inputs!$B$27+Inputs!$B$29,MAX(0,(Inputs!$B$3-100)*3)+Inputs!$B$28+Inputs!$B$29)))</f>
        <v/>
      </c>
      <c r="E767">
        <f>INDEX(FactorTable!$B$2:$Y$301, MATCH(ROUND(MIN(300,MAX(1,D767)),0), FactorTable!$A$2:$A$301,0), Skills!M13+1)</f>
        <v/>
      </c>
      <c r="F767">
        <f>IF(Skills!N13=TRUE,(Skills!L13/10)*(E767/1000),Skills!L13/10)+Skills!O13</f>
        <v/>
      </c>
      <c r="G767">
        <f>Skills!G13*IF(Skills!H13&gt;0,Skills!I13/Skills!H13,1)</f>
        <v/>
      </c>
      <c r="H767">
        <f>1-(1-Skills!J13/100)^Skills!K13</f>
        <v/>
      </c>
      <c r="I767" t="inlineStr">
        <is>
          <t>1</t>
        </is>
      </c>
      <c r="J767">
        <f>((Inputs!$B$6*(1+Inputs!$B$7/100))+(((Inputs!$B$12*(1+Inputs!$B$13/100))-(Inputs!$B$12*(1+Inputs!$B$13/100)))+0.25*(Inputs!$B$14-Inputs!$B$14))*(1+Inputs!$B$7/100))*(F767/100)</f>
        <v/>
      </c>
      <c r="K767">
        <f>J767*(1+((Inputs!$B$12*(1+Inputs!$B$13/100))*0.01+Inputs!$B$14*0.0025)/100)*(1+Inputs!$B$15/100)*(1+IF(Inputs!$B$39="pvp",0,(1-Summary!$B$55)*(Inputs!$B$20+0+Skills!P13+B788)+Summary!$B$55*(Inputs!$B$21+Skills!Q13+B788))/100)*(1+Inputs!$B$16/100)*(5000/(6000+Inputs!$B$43*(1-Inputs!$B$19/100)))*(1+(Inputs!$B$24+((C784=TRUE)*(F784-Calc!F30)))/100)*(1+(IF(Skills!A13="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767)</f>
        <v/>
      </c>
      <c r="L767">
        <f>K767*(MIN(Inputs!$B$22+((C778=TRUE)*(F778-Calc!F24)),Inputs!$B$23+((C783=TRUE)*(F783-Calc!F29)))/100+(Inputs!$B$23+((C783=TRUE)*(F783-Calc!F29)))/100)/2</f>
        <v/>
      </c>
      <c r="M767">
        <f>L767*(1+(Inputs!$B$10+((C780=TRUE)*(F780-Calc!F26))+B794)/100)</f>
        <v/>
      </c>
      <c r="N767">
        <f>L767*(1-MIN((Inputs!$B$9+((C779=TRUE)*(F779-Calc!F25))+B787),100)/100)+M767*(MIN((Inputs!$B$9+((C779=TRUE)*(F779-Calc!F25))+B787),100)/100)</f>
        <v/>
      </c>
      <c r="O767">
        <f>IF(C767,H767*N767*IF(AND(Inputs!$B$39&lt;&gt;"pvp",Inputs!$B$44&gt;0),((Skills!G13*((R767-1)*IF(Skills!H13&gt;0,Skills!I13/Skills!H13,1)+IF(Skills!H13&gt;0,MIN(Skills!I13,MAX(0,MAX(0,Inputs!$B$44-B798)-((R767-1)*IF(Inputs!$B$39="pvp",15,MAX(0.1,Skills!D13-IF(Skills!E13=TRUE,Inputs!$B$32,0))))))/Skills!H13,1)))/Inputs!$B$44),G767*Q767)*IF(Inputs!$B$39="pvp",1,(1-Summary!$B$55)*(1)+Summary!$B$55*(MIN(Skills!W13,Inputs!$B$37))),0)</f>
        <v/>
      </c>
      <c r="P767">
        <f>IF(B799=0,0,O767/B799)</f>
        <v/>
      </c>
      <c r="Q767">
        <f>IFERROR(1/IF(Inputs!$B$39="pvp",15,MAX(0.1,Skills!D13-IF(Skills!E13=TRUE,Inputs!$B$32,0))),0)</f>
        <v/>
      </c>
      <c r="R767">
        <f>IF(AND(Inputs!$B$39&lt;&gt;"pvp",Inputs!$B$44&gt;0),IF(MAX(0,Inputs!$B$44-B798)&lt;=0,0,(INT(MAX(0,Inputs!$B$44-B798)/IF(Inputs!$B$39="pvp",15,MAX(0.1,Skills!D13-IF(Skills!E13=TRUE,Inputs!$B$32,0))))+1)),0)</f>
        <v/>
      </c>
      <c r="S767">
        <f>IFERROR(O767/N767,0)</f>
        <v/>
      </c>
    </row>
    <row r="768">
      <c r="A768">
        <f>Skills!A14</f>
        <v/>
      </c>
      <c r="B768">
        <f>Skills!B14</f>
        <v/>
      </c>
      <c r="C768">
        <f>Inputs!$B$3&gt;=107</f>
        <v/>
      </c>
      <c r="D768">
        <f>IF(Skills!C14=1,60+Inputs!$B$25+Inputs!$B$29,IF(Skills!C14=2,90+Inputs!$B$26+Inputs!$B$29,IF(Skills!C14=3,120+Inputs!$B$27+Inputs!$B$29,MAX(0,(Inputs!$B$3-100)*3)+Inputs!$B$28+Inputs!$B$29)))</f>
        <v/>
      </c>
      <c r="E768">
        <f>INDEX(FactorTable!$B$2:$Y$301, MATCH(ROUND(MIN(300,MAX(1,D768)),0), FactorTable!$A$2:$A$301,0), Skills!M14+1)</f>
        <v/>
      </c>
      <c r="F768">
        <f>IF(Skills!N14=TRUE,(Skills!L14/10)*(E768/1000),Skills!L14/10)+Skills!O14</f>
        <v/>
      </c>
      <c r="G768">
        <f>Skills!G14*IF(Skills!H14&gt;0,Skills!I14/Skills!H14,1)</f>
        <v/>
      </c>
      <c r="H768">
        <f>1-(1-Skills!J14/100)^Skills!K14</f>
        <v/>
      </c>
      <c r="I768" t="inlineStr">
        <is>
          <t>1</t>
        </is>
      </c>
      <c r="J768">
        <f>((Inputs!$B$6*(1+Inputs!$B$7/100))+(((Inputs!$B$12*(1+Inputs!$B$13/100))-(Inputs!$B$12*(1+Inputs!$B$13/100)))+0.25*(Inputs!$B$14-Inputs!$B$14))*(1+Inputs!$B$7/100))*(F768/100)</f>
        <v/>
      </c>
      <c r="K768">
        <f>J768*(1+((Inputs!$B$12*(1+Inputs!$B$13/100))*0.01+Inputs!$B$14*0.0025)/100)*(1+Inputs!$B$15/100)*(1+IF(Inputs!$B$39="pvp",0,(1-Summary!$B$55)*(Inputs!$B$20+0+Skills!P14+B788)+Summary!$B$55*(Inputs!$B$21+Skills!Q14+B788))/100)*(1+Inputs!$B$16/100)*(5000/(6000+Inputs!$B$43*(1-Inputs!$B$19/100)))*(1+(Inputs!$B$24+((C784=TRUE)*(F784-Calc!F30)))/100)*(1+(IF(Skills!A14="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768)</f>
        <v/>
      </c>
      <c r="L768">
        <f>K768*(MIN(Inputs!$B$22+((C778=TRUE)*(F778-Calc!F24)),Inputs!$B$23+((C783=TRUE)*(F783-Calc!F29)))/100+(Inputs!$B$23+((C783=TRUE)*(F783-Calc!F29)))/100)/2</f>
        <v/>
      </c>
      <c r="M768">
        <f>L768*(1+(Inputs!$B$10+((C780=TRUE)*(F780-Calc!F26))+B794)/100)</f>
        <v/>
      </c>
      <c r="N768">
        <f>L768*(1-MIN((Inputs!$B$9+((C779=TRUE)*(F779-Calc!F25))+B787),100)/100)+M768*(MIN((Inputs!$B$9+((C779=TRUE)*(F779-Calc!F25))+B787),100)/100)</f>
        <v/>
      </c>
      <c r="O768">
        <f>IF(C768,H768*N768*IF(AND(Inputs!$B$39&lt;&gt;"pvp",Inputs!$B$44&gt;0),((Skills!G14*((R768-1)*IF(Skills!H14&gt;0,Skills!I14/Skills!H14,1)+IF(Skills!H14&gt;0,MIN(Skills!I14,MAX(0,MAX(0,Inputs!$B$44-B798)-((R768-1)*IF(Inputs!$B$39="pvp",15,MAX(0.1,Skills!D14-IF(Skills!E14=TRUE,Inputs!$B$32,0))))))/Skills!H14,1)))/Inputs!$B$44),G768*Q768)*IF(Inputs!$B$39="pvp",1,(1-Summary!$B$55)*(1)+Summary!$B$55*(MIN(MIN(5,0.25*B791*Skills!D4)*Skills!V14,Inputs!$B$37))),0)</f>
        <v/>
      </c>
      <c r="P768">
        <f>IF(B799=0,0,O768/B799)</f>
        <v/>
      </c>
      <c r="Q768">
        <f>IFERROR(1/IF(Inputs!$B$39="pvp",15,MAX(0.1,Skills!D14-IF(Skills!E14=TRUE,Inputs!$B$32,0))),0)</f>
        <v/>
      </c>
      <c r="R768">
        <f>IF(AND(Inputs!$B$39&lt;&gt;"pvp",Inputs!$B$44&gt;0),IF(MAX(0,Inputs!$B$44-B798)&lt;=0,0,(INT(MAX(0,Inputs!$B$44-B798)/IF(Inputs!$B$39="pvp",15,MAX(0.1,Skills!D14-IF(Skills!E14=TRUE,Inputs!$B$32,0))))+1)),0)</f>
        <v/>
      </c>
      <c r="S768">
        <f>IFERROR(O768/N768,0)</f>
        <v/>
      </c>
    </row>
    <row r="769">
      <c r="A769">
        <f>Skills!A15</f>
        <v/>
      </c>
      <c r="B769">
        <f>Skills!B15</f>
        <v/>
      </c>
      <c r="C769">
        <f>Inputs!$B$3&gt;=110</f>
        <v/>
      </c>
      <c r="D769">
        <f>IF(Skills!C15=1,60+Inputs!$B$25+Inputs!$B$29,IF(Skills!C15=2,90+Inputs!$B$26+Inputs!$B$29,IF(Skills!C15=3,120+Inputs!$B$27+Inputs!$B$29,MAX(0,(Inputs!$B$3-100)*3)+Inputs!$B$28+Inputs!$B$29)))</f>
        <v/>
      </c>
      <c r="E769">
        <f>INDEX(FactorTable!$B$2:$Y$301, MATCH(ROUND(MIN(300,MAX(1,D769)),0), FactorTable!$A$2:$A$301,0), Skills!M15+1)</f>
        <v/>
      </c>
      <c r="F769">
        <f>IF(Skills!N15=TRUE,(Skills!L15/10)*(E769/1000),Skills!L15/10)+Skills!O15</f>
        <v/>
      </c>
      <c r="G769">
        <f>Skills!G15*IF(Skills!H15&gt;0,Skills!I15/Skills!H15,1)</f>
        <v/>
      </c>
      <c r="H769">
        <f>1-(1-Skills!J15/100)^Skills!K15</f>
        <v/>
      </c>
      <c r="I769" t="inlineStr">
        <is>
          <t>1</t>
        </is>
      </c>
      <c r="J769" t="inlineStr"/>
      <c r="K769" t="inlineStr"/>
      <c r="L769" t="inlineStr"/>
      <c r="M769" t="inlineStr"/>
      <c r="N769" t="inlineStr"/>
      <c r="O769" t="n">
        <v>0</v>
      </c>
      <c r="P769">
        <f>IF(B799=0,0,O769/B799)</f>
        <v/>
      </c>
      <c r="Q769">
        <f>IFERROR(1/IF(Inputs!$B$39="pvp",15,MAX(0.1,Skills!D15-IF(Skills!E15=TRUE,Inputs!$B$32,0))),0)</f>
        <v/>
      </c>
      <c r="R769">
        <f>IF(AND(Inputs!$B$39&lt;&gt;"pvp",Inputs!$B$44&gt;0),IF(Inputs!$B$44&lt;=0,0,(INT(Inputs!$B$44/IF(Inputs!$B$39="pvp",15,MAX(0.1,Skills!D15-IF(Skills!E15=TRUE,Inputs!$B$32,0))))+1)),0)</f>
        <v/>
      </c>
      <c r="S769">
        <f>IFERROR(O769/N769,0)</f>
        <v/>
      </c>
    </row>
    <row r="770">
      <c r="A770">
        <f>Skills!A16</f>
        <v/>
      </c>
      <c r="B770">
        <f>Skills!B16</f>
        <v/>
      </c>
      <c r="C770">
        <f>Inputs!$B$3&gt;=115</f>
        <v/>
      </c>
      <c r="D770">
        <f>IF(Skills!C16=1,60+Inputs!$B$25+Inputs!$B$29,IF(Skills!C16=2,90+Inputs!$B$26+Inputs!$B$29,IF(Skills!C16=3,120+Inputs!$B$27+Inputs!$B$29,MAX(0,(Inputs!$B$3-100)*3)+Inputs!$B$28+Inputs!$B$29)))</f>
        <v/>
      </c>
      <c r="E770">
        <f>INDEX(FactorTable!$B$2:$Y$301, MATCH(ROUND(MIN(300,MAX(1,D770)),0), FactorTable!$A$2:$A$301,0), Skills!M16+1)</f>
        <v/>
      </c>
      <c r="F770">
        <f>IF(Skills!N16=TRUE,(Skills!L16/10)*(E770/1000),Skills!L16/10)+Skills!O16</f>
        <v/>
      </c>
      <c r="G770">
        <f>Skills!G16*IF(Skills!H16&gt;0,Skills!I16/Skills!H16,1)</f>
        <v/>
      </c>
      <c r="H770">
        <f>1-(1-Skills!J16/100)^Skills!K16</f>
        <v/>
      </c>
      <c r="I770" t="inlineStr">
        <is>
          <t>1</t>
        </is>
      </c>
      <c r="J770">
        <f>((Inputs!$B$6*(1+Inputs!$B$7/100))+(((Inputs!$B$12*(1+Inputs!$B$13/100))-(Inputs!$B$12*(1+Inputs!$B$13/100)))+0.25*(Inputs!$B$14-Inputs!$B$14))*(1+Inputs!$B$7/100))*(F770/100)</f>
        <v/>
      </c>
      <c r="K770">
        <f>J770*(1+((Inputs!$B$12*(1+Inputs!$B$13/100))*0.01+Inputs!$B$14*0.0025)/100)*(1+Inputs!$B$15/100)*(1+IF(Inputs!$B$39="pvp",0,(1-Summary!$B$55)*(Inputs!$B$20+0+Skills!P16+B788)+Summary!$B$55*(Inputs!$B$21+Skills!Q16+B788))/100)*(1+Inputs!$B$16/100)*(5000/(6000+Inputs!$B$43*(1-Inputs!$B$19/100)))*(1+(Inputs!$B$24+((C784=TRUE)*(F784-Calc!F30)))/100)*(1+(IF(Skills!A16="CRUEL_STAB",Inputs!$B$17+((C781=TRUE)*(F781-Calc!F27)),(Inputs!$B$18+1)+((C782=TRUE)*(F782-Calc!F28))))/100)*(((1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B789*I770)</f>
        <v/>
      </c>
      <c r="L770">
        <f>K770*(MIN(Inputs!$B$22+((C778=TRUE)*(F778-Calc!F24)),Inputs!$B$23+((C783=TRUE)*(F783-Calc!F29)))/100+(Inputs!$B$23+((C783=TRUE)*(F783-Calc!F29)))/100)/2</f>
        <v/>
      </c>
      <c r="M770">
        <f>L770*(1+(Inputs!$B$10+((C780=TRUE)*(F780-Calc!F26))+B794)/100)</f>
        <v/>
      </c>
      <c r="N770">
        <f>L770*(1-MIN((Inputs!$B$9+((C779=TRUE)*(F779-Calc!F25))+B787),100)/100)+M770*(MIN((Inputs!$B$9+((C779=TRUE)*(F779-Calc!F25))+B787),100)/100)</f>
        <v/>
      </c>
      <c r="O770">
        <f>IF(C770,Inputs!$B$38*0.2*N770,0)</f>
        <v/>
      </c>
      <c r="P770">
        <f>IF(B799=0,0,O770/B799)</f>
        <v/>
      </c>
      <c r="Q770" t="n">
        <v>0</v>
      </c>
      <c r="R770" t="n">
        <v>0</v>
      </c>
      <c r="S770">
        <f>IFERROR(O770/N770,0)</f>
        <v/>
      </c>
    </row>
    <row r="771">
      <c r="A771">
        <f>Skills!A17</f>
        <v/>
      </c>
      <c r="B771">
        <f>Skills!B17</f>
        <v/>
      </c>
      <c r="C771">
        <f>Inputs!$B$3&gt;=115</f>
        <v/>
      </c>
      <c r="D771">
        <f>IF(Skills!C17=1,60+Inputs!$B$25+Inputs!$B$29,IF(Skills!C17=2,90+Inputs!$B$26+Inputs!$B$29,IF(Skills!C17=3,120+Inputs!$B$27+Inputs!$B$29,MAX(0,(Inputs!$B$3-100)*3)+Inputs!$B$28+Inputs!$B$29)))</f>
        <v/>
      </c>
      <c r="E771">
        <f>INDEX(FactorTable!$B$2:$Y$301, MATCH(ROUND(MIN(300,MAX(1,D771)),0), FactorTable!$A$2:$A$301,0), Skills!M17+1)</f>
        <v/>
      </c>
      <c r="F771">
        <f>IF(Skills!N17=TRUE,(Skills!L17/10)*(E771/1000),Skills!L17/10)+Skills!O17</f>
        <v/>
      </c>
      <c r="G771">
        <f>Skills!G17*IF(Skills!H17&gt;0,Skills!I17/Skills!H17,1)</f>
        <v/>
      </c>
      <c r="H771">
        <f>1-(1-Skills!J17/100)^Skills!K17</f>
        <v/>
      </c>
      <c r="I771" t="inlineStr">
        <is>
          <t>1</t>
        </is>
      </c>
      <c r="J771" t="inlineStr"/>
      <c r="K771" t="inlineStr"/>
      <c r="L771" t="inlineStr"/>
      <c r="M771" t="inlineStr"/>
      <c r="N771" t="inlineStr"/>
      <c r="O771" t="n">
        <v>0</v>
      </c>
      <c r="P771">
        <f>IF(B799=0,0,O771/B799)</f>
        <v/>
      </c>
      <c r="Q771" t="n">
        <v>0</v>
      </c>
      <c r="R771" t="n">
        <v>0</v>
      </c>
      <c r="S771">
        <f>IFERROR(O771/N771,0)</f>
        <v/>
      </c>
    </row>
    <row r="772">
      <c r="A772">
        <f>Skills!A18</f>
        <v/>
      </c>
      <c r="B772">
        <f>Skills!B18</f>
        <v/>
      </c>
      <c r="C772">
        <f>Inputs!$B$3&gt;=100</f>
        <v/>
      </c>
      <c r="D772">
        <f>IF(Skills!C18=1,60+Inputs!$B$25+Inputs!$B$29,IF(Skills!C18=2,90+Inputs!$B$26+Inputs!$B$29,IF(Skills!C18=3,120+Inputs!$B$27+Inputs!$B$29,MAX(0,(Inputs!$B$3-100)*3)+Inputs!$B$28+Inputs!$B$29)))</f>
        <v/>
      </c>
      <c r="E772">
        <f>INDEX(FactorTable!$B$2:$Y$301, MATCH(ROUND(MIN(300,MAX(1,D772)),0), FactorTable!$A$2:$A$301,0), Skills!M18+1)</f>
        <v/>
      </c>
      <c r="F772">
        <f>IF(Skills!N18=TRUE,(Skills!L18/10)*(E772/1000),Skills!L18/10)+Skills!O18</f>
        <v/>
      </c>
      <c r="G772">
        <f>Skills!G18*IF(Skills!H18&gt;0,Skills!I18/Skills!H18,1)</f>
        <v/>
      </c>
      <c r="H772">
        <f>1-(1-Skills!J18/100)^Skills!K18</f>
        <v/>
      </c>
      <c r="I772" t="inlineStr">
        <is>
          <t>1</t>
        </is>
      </c>
      <c r="J772" t="inlineStr"/>
      <c r="K772" t="inlineStr"/>
      <c r="L772" t="inlineStr"/>
      <c r="M772" t="inlineStr"/>
      <c r="N772" t="inlineStr"/>
      <c r="O772" t="n">
        <v>0</v>
      </c>
      <c r="P772">
        <f>IF(B799=0,0,O772/B799)</f>
        <v/>
      </c>
      <c r="Q772" t="n">
        <v>0</v>
      </c>
      <c r="R772" t="n">
        <v>0</v>
      </c>
      <c r="S772">
        <f>IFERROR(O772/N772,0)</f>
        <v/>
      </c>
    </row>
    <row r="773">
      <c r="A773">
        <f>Skills!A19</f>
        <v/>
      </c>
      <c r="B773">
        <f>Skills!B19</f>
        <v/>
      </c>
      <c r="C773">
        <f>TRUE</f>
        <v/>
      </c>
      <c r="D773">
        <f>IF(Skills!C19=1,60+Inputs!$B$25+Inputs!$B$29,IF(Skills!C19=2,90+Inputs!$B$26+Inputs!$B$29,IF(Skills!C19=3,120+Inputs!$B$27+Inputs!$B$29,MAX(0,(Inputs!$B$3-100)*3)+Inputs!$B$28+Inputs!$B$29)))</f>
        <v/>
      </c>
      <c r="E773">
        <f>INDEX(FactorTable!$B$2:$Y$301, MATCH(ROUND(MIN(300,MAX(1,D773)),0), FactorTable!$A$2:$A$301,0), Skills!M19+1)</f>
        <v/>
      </c>
      <c r="F773">
        <f>IF(Skills!N19=TRUE,(Skills!L19/10)*(E773/1000),Skills!L19/10)+Skills!O19</f>
        <v/>
      </c>
      <c r="G773">
        <f>Skills!G19*IF(Skills!H19&gt;0,Skills!I19/Skills!H19,1)</f>
        <v/>
      </c>
      <c r="H773">
        <f>1-(1-Skills!J19/100)^Skills!K19</f>
        <v/>
      </c>
      <c r="I773" t="inlineStr">
        <is>
          <t>1</t>
        </is>
      </c>
      <c r="J773" t="inlineStr"/>
      <c r="K773" t="inlineStr"/>
      <c r="L773" t="inlineStr"/>
      <c r="M773" t="inlineStr"/>
      <c r="N773" t="inlineStr"/>
      <c r="O773" t="n">
        <v>0</v>
      </c>
      <c r="P773">
        <f>IF(B799=0,0,O773/B799)</f>
        <v/>
      </c>
      <c r="Q773">
        <f>IFERROR(1/IF(Inputs!$B$39="pvp",15,MAX(0.1,Skills!D19-IF(Skills!E19=TRUE,Inputs!$B$32,0))),0)</f>
        <v/>
      </c>
      <c r="R773">
        <f>IF(AND(Inputs!$B$39&lt;&gt;"pvp",Inputs!$B$44&gt;0),IF(Inputs!$B$44&lt;=0,0,(INT(Inputs!$B$44/IF(Inputs!$B$39="pvp",15,MAX(0.1,Skills!D19-IF(Skills!E19=TRUE,Inputs!$B$32,0))))+1)),0)</f>
        <v/>
      </c>
      <c r="S773">
        <f>IFERROR(O773/N773,0)</f>
        <v/>
      </c>
    </row>
    <row r="774">
      <c r="A774">
        <f>Skills!A20</f>
        <v/>
      </c>
      <c r="B774">
        <f>Skills!B20</f>
        <v/>
      </c>
      <c r="C774">
        <f>Inputs!$B$3&gt;=15</f>
        <v/>
      </c>
      <c r="D774">
        <f>IF(Skills!C20=1,60+Inputs!$B$25+Inputs!$B$29,IF(Skills!C20=2,90+Inputs!$B$26+Inputs!$B$29,IF(Skills!C20=3,120+Inputs!$B$27+Inputs!$B$29,MAX(0,(Inputs!$B$3-100)*3)+Inputs!$B$28+Inputs!$B$29)))</f>
        <v/>
      </c>
      <c r="E774">
        <f>INDEX(FactorTable!$B$2:$Y$301, MATCH(ROUND(MIN(300,MAX(1,D774)),0), FactorTable!$A$2:$A$301,0), Skills!M20+1)</f>
        <v/>
      </c>
      <c r="F774">
        <f>IF(Skills!N20=TRUE,(Skills!L20/10)*(E774/1000),Skills!L20/10)+Skills!O20</f>
        <v/>
      </c>
      <c r="G774">
        <f>Skills!G20*IF(Skills!H20&gt;0,Skills!I20/Skills!H20,1)</f>
        <v/>
      </c>
      <c r="H774">
        <f>1-(1-Skills!J20/100)^Skills!K20</f>
        <v/>
      </c>
      <c r="I774" t="inlineStr">
        <is>
          <t>1</t>
        </is>
      </c>
      <c r="J774" t="inlineStr"/>
      <c r="K774" t="inlineStr"/>
      <c r="L774" t="inlineStr"/>
      <c r="M774" t="inlineStr"/>
      <c r="N774" t="inlineStr"/>
      <c r="O774" t="n">
        <v>0</v>
      </c>
      <c r="P774">
        <f>IF(B799=0,0,O774/B799)</f>
        <v/>
      </c>
      <c r="Q774">
        <f>IFERROR(1/IF(Inputs!$B$39="pvp",15,MAX(0.1,Skills!D20-IF(Skills!E20=TRUE,Inputs!$B$32,0))),0)</f>
        <v/>
      </c>
      <c r="R774">
        <f>IF(AND(Inputs!$B$39&lt;&gt;"pvp",Inputs!$B$44&gt;0),IF(Inputs!$B$44&lt;=0,0,(INT(Inputs!$B$44/IF(Inputs!$B$39="pvp",15,MAX(0.1,Skills!D20-IF(Skills!E20=TRUE,Inputs!$B$32,0))))+1)),0)</f>
        <v/>
      </c>
      <c r="S774">
        <f>IFERROR(O774/N774,0)</f>
        <v/>
      </c>
    </row>
    <row r="775">
      <c r="A775">
        <f>Skills!A21</f>
        <v/>
      </c>
      <c r="B775">
        <f>Skills!B21</f>
        <v/>
      </c>
      <c r="C775">
        <f>Inputs!$B$3&gt;=15</f>
        <v/>
      </c>
      <c r="D775">
        <f>IF(Skills!C21=1,60+Inputs!$B$25+Inputs!$B$29,IF(Skills!C21=2,90+Inputs!$B$26+Inputs!$B$29,IF(Skills!C21=3,120+Inputs!$B$27+Inputs!$B$29,MAX(0,(Inputs!$B$3-100)*3)+Inputs!$B$28+Inputs!$B$29)))</f>
        <v/>
      </c>
      <c r="E775">
        <f>INDEX(FactorTable!$B$2:$Y$301, MATCH(ROUND(MIN(300,MAX(1,D775)),0), FactorTable!$A$2:$A$301,0), Skills!M21+1)</f>
        <v/>
      </c>
      <c r="F775">
        <f>IF(Skills!N21=TRUE,(Skills!L21/10)*(E775/1000),Skills!L21/10)+Skills!O21</f>
        <v/>
      </c>
      <c r="G775">
        <f>Skills!G21*IF(Skills!H21&gt;0,Skills!I21/Skills!H21,1)</f>
        <v/>
      </c>
      <c r="H775">
        <f>1-(1-Skills!J21/100)^Skills!K21</f>
        <v/>
      </c>
      <c r="I775" t="inlineStr">
        <is>
          <t>1</t>
        </is>
      </c>
      <c r="J775" t="inlineStr"/>
      <c r="K775" t="inlineStr"/>
      <c r="L775" t="inlineStr"/>
      <c r="M775" t="inlineStr"/>
      <c r="N775" t="inlineStr"/>
      <c r="O775" t="n">
        <v>0</v>
      </c>
      <c r="P775">
        <f>IF(B799=0,0,O775/B799)</f>
        <v/>
      </c>
      <c r="Q775">
        <f>IFERROR(1/IF(Inputs!$B$39="pvp",15,MAX(0.1,Skills!D21-IF(Skills!E21=TRUE,Inputs!$B$32,0))),0)</f>
        <v/>
      </c>
      <c r="R775">
        <f>IF(AND(Inputs!$B$39&lt;&gt;"pvp",Inputs!$B$44&gt;0),IF(Inputs!$B$44&lt;=0,0,(INT(Inputs!$B$44/IF(Inputs!$B$39="pvp",15,MAX(0.1,Skills!D21-IF(Skills!E21=TRUE,Inputs!$B$32,0))))+1)),0)</f>
        <v/>
      </c>
      <c r="S775">
        <f>IFERROR(O775/N775,0)</f>
        <v/>
      </c>
    </row>
    <row r="776">
      <c r="A776">
        <f>Skills!A22</f>
        <v/>
      </c>
      <c r="B776">
        <f>Skills!B22</f>
        <v/>
      </c>
      <c r="C776">
        <f>Inputs!$B$3&gt;=33</f>
        <v/>
      </c>
      <c r="D776">
        <f>IF(Skills!C22=1,60+Inputs!$B$25+Inputs!$B$29,IF(Skills!C22=2,90+Inputs!$B$26+Inputs!$B$29,IF(Skills!C22=3,120+Inputs!$B$27+Inputs!$B$29,MAX(0,(Inputs!$B$3-100)*3)+Inputs!$B$28+Inputs!$B$29)))</f>
        <v/>
      </c>
      <c r="E776">
        <f>INDEX(FactorTable!$B$2:$Y$301, MATCH(ROUND(MIN(300,MAX(1,D776)),0), FactorTable!$A$2:$A$301,0), Skills!M22+1)</f>
        <v/>
      </c>
      <c r="F776">
        <f>IF(Skills!N22=TRUE,(Skills!L22/10)*(E776/1000),Skills!L22/10)+Skills!O22</f>
        <v/>
      </c>
      <c r="G776">
        <f>Skills!G22*IF(Skills!H22&gt;0,Skills!I22/Skills!H22,1)</f>
        <v/>
      </c>
      <c r="H776">
        <f>1-(1-Skills!J22/100)^Skills!K22</f>
        <v/>
      </c>
      <c r="I776" t="inlineStr">
        <is>
          <t>1</t>
        </is>
      </c>
      <c r="J776" t="inlineStr"/>
      <c r="K776" t="inlineStr"/>
      <c r="L776" t="inlineStr"/>
      <c r="M776" t="inlineStr"/>
      <c r="N776" t="inlineStr"/>
      <c r="O776" t="n">
        <v>0</v>
      </c>
      <c r="P776">
        <f>IF(B799=0,0,O776/B799)</f>
        <v/>
      </c>
      <c r="Q776" t="n">
        <v>0</v>
      </c>
      <c r="R776" t="n">
        <v>0</v>
      </c>
      <c r="S776">
        <f>IFERROR(O776/N776,0)</f>
        <v/>
      </c>
    </row>
    <row r="777">
      <c r="A777">
        <f>Skills!A23</f>
        <v/>
      </c>
      <c r="B777">
        <f>Skills!B23</f>
        <v/>
      </c>
      <c r="C777">
        <f>Inputs!$B$3&gt;=40</f>
        <v/>
      </c>
      <c r="D777">
        <f>IF(Skills!C23=1,60+Inputs!$B$25+Inputs!$B$29,IF(Skills!C23=2,90+Inputs!$B$26+Inputs!$B$29,IF(Skills!C23=3,120+Inputs!$B$27+Inputs!$B$29,MAX(0,(Inputs!$B$3-100)*3)+Inputs!$B$28+Inputs!$B$29)))</f>
        <v/>
      </c>
      <c r="E777">
        <f>INDEX(FactorTable!$B$2:$Y$301, MATCH(ROUND(MIN(300,MAX(1,D777)),0), FactorTable!$A$2:$A$301,0), Skills!M23+1)</f>
        <v/>
      </c>
      <c r="F777">
        <f>IF(Skills!N23=TRUE,(Skills!L23/10)*(E777/1000),Skills!L23/10)+Skills!O23</f>
        <v/>
      </c>
      <c r="G777">
        <f>Skills!G23*IF(Skills!H23&gt;0,Skills!I23/Skills!H23,1)</f>
        <v/>
      </c>
      <c r="H777">
        <f>1-(1-Skills!J23/100)^Skills!K23</f>
        <v/>
      </c>
      <c r="I777" t="inlineStr">
        <is>
          <t>1</t>
        </is>
      </c>
      <c r="J777" t="inlineStr"/>
      <c r="K777" t="inlineStr"/>
      <c r="L777" t="inlineStr"/>
      <c r="M777" t="inlineStr"/>
      <c r="N777" t="inlineStr"/>
      <c r="O777" t="n">
        <v>0</v>
      </c>
      <c r="P777">
        <f>IF(B799=0,0,O777/B799)</f>
        <v/>
      </c>
      <c r="Q777" t="n">
        <v>0</v>
      </c>
      <c r="R777" t="n">
        <v>0</v>
      </c>
      <c r="S777">
        <f>IFERROR(O777/N777,0)</f>
        <v/>
      </c>
    </row>
    <row r="778">
      <c r="A778">
        <f>Skills!A24</f>
        <v/>
      </c>
      <c r="B778">
        <f>Skills!B24</f>
        <v/>
      </c>
      <c r="C778">
        <f>Inputs!$B$3&gt;=43</f>
        <v/>
      </c>
      <c r="D778">
        <f>IF(Skills!C24=1,60+Inputs!$B$25+Inputs!$B$29,IF(Skills!C24=2,90+Inputs!$B$26+Inputs!$B$29,IF(Skills!C24=3,120+Inputs!$B$27+Inputs!$B$29,MAX(0,(Inputs!$B$3-100)*3)+Inputs!$B$28+Inputs!$B$29)))</f>
        <v/>
      </c>
      <c r="E778">
        <f>INDEX(FactorTable!$B$2:$Y$301, MATCH(ROUND(MIN(300,MAX(1,D778)),0), FactorTable!$A$2:$A$301,0), Skills!M24+1)</f>
        <v/>
      </c>
      <c r="F778">
        <f>IF(Skills!N24=TRUE,(Skills!L24/10)*(E778/1000),Skills!L24/10)+Skills!O24</f>
        <v/>
      </c>
      <c r="G778">
        <f>Skills!G24*IF(Skills!H24&gt;0,Skills!I24/Skills!H24,1)</f>
        <v/>
      </c>
      <c r="H778">
        <f>1-(1-Skills!J24/100)^Skills!K24</f>
        <v/>
      </c>
      <c r="I778" t="inlineStr">
        <is>
          <t>1</t>
        </is>
      </c>
      <c r="J778" t="inlineStr"/>
      <c r="K778" t="inlineStr"/>
      <c r="L778" t="inlineStr"/>
      <c r="M778" t="inlineStr"/>
      <c r="N778" t="inlineStr"/>
      <c r="O778" t="n">
        <v>0</v>
      </c>
      <c r="P778">
        <f>IF(B799=0,0,O778/B799)</f>
        <v/>
      </c>
      <c r="Q778" t="n">
        <v>0</v>
      </c>
      <c r="R778" t="n">
        <v>0</v>
      </c>
      <c r="S778">
        <f>IFERROR(O778/N778,0)</f>
        <v/>
      </c>
    </row>
    <row r="779">
      <c r="A779">
        <f>Skills!A25</f>
        <v/>
      </c>
      <c r="B779">
        <f>Skills!B25</f>
        <v/>
      </c>
      <c r="C779">
        <f>Inputs!$B$3&gt;=50</f>
        <v/>
      </c>
      <c r="D779">
        <f>IF(Skills!C25=1,60+Inputs!$B$25+Inputs!$B$29,IF(Skills!C25=2,90+Inputs!$B$26+Inputs!$B$29,IF(Skills!C25=3,120+Inputs!$B$27+Inputs!$B$29,MAX(0,(Inputs!$B$3-100)*3)+Inputs!$B$28+Inputs!$B$29)))</f>
        <v/>
      </c>
      <c r="E779">
        <f>INDEX(FactorTable!$B$2:$Y$301, MATCH(ROUND(MIN(300,MAX(1,D779)),0), FactorTable!$A$2:$A$301,0), Skills!M25+1)</f>
        <v/>
      </c>
      <c r="F779">
        <f>IF(Skills!N25=TRUE,(Skills!L25/10)*(E779/1000),Skills!L25/10)+Skills!O25</f>
        <v/>
      </c>
      <c r="G779">
        <f>Skills!G25*IF(Skills!H25&gt;0,Skills!I25/Skills!H25,1)</f>
        <v/>
      </c>
      <c r="H779">
        <f>1-(1-Skills!J25/100)^Skills!K25</f>
        <v/>
      </c>
      <c r="I779" t="inlineStr">
        <is>
          <t>1</t>
        </is>
      </c>
      <c r="J779" t="inlineStr"/>
      <c r="K779" t="inlineStr"/>
      <c r="L779" t="inlineStr"/>
      <c r="M779" t="inlineStr"/>
      <c r="N779" t="inlineStr"/>
      <c r="O779" t="n">
        <v>0</v>
      </c>
      <c r="P779">
        <f>IF(B799=0,0,O779/B799)</f>
        <v/>
      </c>
      <c r="Q779" t="n">
        <v>0</v>
      </c>
      <c r="R779" t="n">
        <v>0</v>
      </c>
      <c r="S779">
        <f>IFERROR(O779/N779,0)</f>
        <v/>
      </c>
    </row>
    <row r="780">
      <c r="A780">
        <f>Skills!A26</f>
        <v/>
      </c>
      <c r="B780">
        <f>Skills!B26</f>
        <v/>
      </c>
      <c r="C780">
        <f>Inputs!$B$3&gt;=50</f>
        <v/>
      </c>
      <c r="D780">
        <f>IF(Skills!C26=1,60+Inputs!$B$25+Inputs!$B$29,IF(Skills!C26=2,90+Inputs!$B$26+Inputs!$B$29,IF(Skills!C26=3,120+Inputs!$B$27+Inputs!$B$29,MAX(0,(Inputs!$B$3-100)*3)+Inputs!$B$28+Inputs!$B$29)))</f>
        <v/>
      </c>
      <c r="E780">
        <f>INDEX(FactorTable!$B$2:$Y$301, MATCH(ROUND(MIN(300,MAX(1,D780)),0), FactorTable!$A$2:$A$301,0), Skills!M26+1)</f>
        <v/>
      </c>
      <c r="F780">
        <f>IF(Skills!N26=TRUE,(Skills!L26/10)*(E780/1000),Skills!L26/10)+Skills!O26</f>
        <v/>
      </c>
      <c r="G780">
        <f>Skills!G26*IF(Skills!H26&gt;0,Skills!I26/Skills!H26,1)</f>
        <v/>
      </c>
      <c r="H780">
        <f>1-(1-Skills!J26/100)^Skills!K26</f>
        <v/>
      </c>
      <c r="I780" t="inlineStr">
        <is>
          <t>1</t>
        </is>
      </c>
      <c r="J780" t="inlineStr"/>
      <c r="K780" t="inlineStr"/>
      <c r="L780" t="inlineStr"/>
      <c r="M780" t="inlineStr"/>
      <c r="N780" t="inlineStr"/>
      <c r="O780" t="n">
        <v>0</v>
      </c>
      <c r="P780">
        <f>IF(B799=0,0,O780/B799)</f>
        <v/>
      </c>
      <c r="Q780" t="n">
        <v>0</v>
      </c>
      <c r="R780" t="n">
        <v>0</v>
      </c>
      <c r="S780">
        <f>IFERROR(O780/N780,0)</f>
        <v/>
      </c>
    </row>
    <row r="781">
      <c r="A781">
        <f>Skills!A27</f>
        <v/>
      </c>
      <c r="B781">
        <f>Skills!B27</f>
        <v/>
      </c>
      <c r="C781">
        <f>Inputs!$B$3&gt;=38</f>
        <v/>
      </c>
      <c r="D781">
        <f>IF(Skills!C27=1,60+Inputs!$B$25+Inputs!$B$29,IF(Skills!C27=2,90+Inputs!$B$26+Inputs!$B$29,IF(Skills!C27=3,120+Inputs!$B$27+Inputs!$B$29,MAX(0,(Inputs!$B$3-100)*3)+Inputs!$B$28+Inputs!$B$29)))</f>
        <v/>
      </c>
      <c r="E781">
        <f>INDEX(FactorTable!$B$2:$Y$301, MATCH(ROUND(MIN(300,MAX(1,D781)),0), FactorTable!$A$2:$A$301,0), Skills!M27+1)</f>
        <v/>
      </c>
      <c r="F781">
        <f>IF(Skills!N27=TRUE,(Skills!L27/10)*(E781/1000),Skills!L27/10)+Skills!O27</f>
        <v/>
      </c>
      <c r="G781">
        <f>Skills!G27*IF(Skills!H27&gt;0,Skills!I27/Skills!H27,1)</f>
        <v/>
      </c>
      <c r="H781">
        <f>1-(1-Skills!J27/100)^Skills!K27</f>
        <v/>
      </c>
      <c r="I781" t="inlineStr">
        <is>
          <t>1</t>
        </is>
      </c>
      <c r="J781" t="inlineStr"/>
      <c r="K781" t="inlineStr"/>
      <c r="L781" t="inlineStr"/>
      <c r="M781" t="inlineStr"/>
      <c r="N781" t="inlineStr"/>
      <c r="O781" t="n">
        <v>0</v>
      </c>
      <c r="P781">
        <f>IF(B799=0,0,O781/B799)</f>
        <v/>
      </c>
      <c r="Q781" t="n">
        <v>0</v>
      </c>
      <c r="R781" t="n">
        <v>0</v>
      </c>
      <c r="S781">
        <f>IFERROR(O781/N781,0)</f>
        <v/>
      </c>
    </row>
    <row r="782">
      <c r="A782">
        <f>Skills!A28</f>
        <v/>
      </c>
      <c r="B782">
        <f>Skills!B28</f>
        <v/>
      </c>
      <c r="C782">
        <f>Inputs!$B$3&gt;=120</f>
        <v/>
      </c>
      <c r="D782">
        <f>IF(Skills!C28=1,60+Inputs!$B$25+Inputs!$B$29,IF(Skills!C28=2,90+Inputs!$B$26+Inputs!$B$29,IF(Skills!C28=3,120+Inputs!$B$27+Inputs!$B$29,MAX(0,(Inputs!$B$3-100)*3)+Inputs!$B$28+Inputs!$B$29)))</f>
        <v/>
      </c>
      <c r="E782">
        <f>INDEX(FactorTable!$B$2:$Y$301, MATCH(ROUND(MIN(300,MAX(1,D782)),0), FactorTable!$A$2:$A$301,0), Skills!M28+1)</f>
        <v/>
      </c>
      <c r="F782">
        <f>IF(Skills!N28=TRUE,(Skills!L28/10)*(E782/1000),Skills!L28/10)+Skills!O28</f>
        <v/>
      </c>
      <c r="G782">
        <f>Skills!G28*IF(Skills!H28&gt;0,Skills!I28/Skills!H28,1)</f>
        <v/>
      </c>
      <c r="H782">
        <f>1-(1-Skills!J28/100)^Skills!K28</f>
        <v/>
      </c>
      <c r="I782" t="inlineStr">
        <is>
          <t>1</t>
        </is>
      </c>
      <c r="J782" t="inlineStr"/>
      <c r="K782" t="inlineStr"/>
      <c r="L782" t="inlineStr"/>
      <c r="M782" t="inlineStr"/>
      <c r="N782" t="inlineStr"/>
      <c r="O782" t="n">
        <v>0</v>
      </c>
      <c r="P782">
        <f>IF(B799=0,0,O782/B799)</f>
        <v/>
      </c>
      <c r="Q782" t="n">
        <v>0</v>
      </c>
      <c r="R782" t="n">
        <v>0</v>
      </c>
      <c r="S782">
        <f>IFERROR(O782/N782,0)</f>
        <v/>
      </c>
    </row>
    <row r="783">
      <c r="A783">
        <f>Skills!A29</f>
        <v/>
      </c>
      <c r="B783">
        <f>Skills!B29</f>
        <v/>
      </c>
      <c r="C783">
        <f>Inputs!$B$3&gt;=120</f>
        <v/>
      </c>
      <c r="D783">
        <f>IF(Skills!C29=1,60+Inputs!$B$25+Inputs!$B$29,IF(Skills!C29=2,90+Inputs!$B$26+Inputs!$B$29,IF(Skills!C29=3,120+Inputs!$B$27+Inputs!$B$29,MAX(0,(Inputs!$B$3-100)*3)+Inputs!$B$28+Inputs!$B$29)))</f>
        <v/>
      </c>
      <c r="E783">
        <f>INDEX(FactorTable!$B$2:$Y$301, MATCH(ROUND(MIN(300,MAX(1,D783)),0), FactorTable!$A$2:$A$301,0), Skills!M29+1)</f>
        <v/>
      </c>
      <c r="F783">
        <f>IF(Skills!N29=TRUE,(Skills!L29/10)*(E783/1000),Skills!L29/10)+Skills!O29</f>
        <v/>
      </c>
      <c r="G783">
        <f>Skills!G29*IF(Skills!H29&gt;0,Skills!I29/Skills!H29,1)</f>
        <v/>
      </c>
      <c r="H783">
        <f>1-(1-Skills!J29/100)^Skills!K29</f>
        <v/>
      </c>
      <c r="I783" t="inlineStr">
        <is>
          <t>1</t>
        </is>
      </c>
      <c r="J783" t="inlineStr"/>
      <c r="K783" t="inlineStr"/>
      <c r="L783" t="inlineStr"/>
      <c r="M783" t="inlineStr"/>
      <c r="N783" t="inlineStr"/>
      <c r="O783" t="n">
        <v>0</v>
      </c>
      <c r="P783">
        <f>IF(B799=0,0,O783/B799)</f>
        <v/>
      </c>
      <c r="Q783" t="n">
        <v>0</v>
      </c>
      <c r="R783" t="n">
        <v>0</v>
      </c>
      <c r="S783">
        <f>IFERROR(O783/N783,0)</f>
        <v/>
      </c>
    </row>
    <row r="784">
      <c r="A784">
        <f>Skills!A30</f>
        <v/>
      </c>
      <c r="B784">
        <f>Skills!B30</f>
        <v/>
      </c>
      <c r="C784">
        <f>Inputs!$B$3&gt;=125</f>
        <v/>
      </c>
      <c r="D784">
        <f>IF(Skills!C30=1,60+Inputs!$B$25+Inputs!$B$29,IF(Skills!C30=2,90+Inputs!$B$26+Inputs!$B$29,IF(Skills!C30=3,120+Inputs!$B$27+Inputs!$B$29,MAX(0,(Inputs!$B$3-100)*3)+Inputs!$B$28+Inputs!$B$29)))</f>
        <v/>
      </c>
      <c r="E784">
        <f>INDEX(FactorTable!$B$2:$Y$301, MATCH(ROUND(MIN(300,MAX(1,D784)),0), FactorTable!$A$2:$A$301,0), Skills!M30+1)</f>
        <v/>
      </c>
      <c r="F784">
        <f>IF(Skills!N30=TRUE,(Skills!L30/10)*(E784/1000),Skills!L30/10)+Skills!O30</f>
        <v/>
      </c>
      <c r="G784">
        <f>Skills!G30*IF(Skills!H30&gt;0,Skills!I30/Skills!H30,1)</f>
        <v/>
      </c>
      <c r="H784">
        <f>1-(1-Skills!J30/100)^Skills!K30</f>
        <v/>
      </c>
      <c r="I784" t="inlineStr">
        <is>
          <t>1</t>
        </is>
      </c>
      <c r="J784" t="inlineStr"/>
      <c r="K784" t="inlineStr"/>
      <c r="L784" t="inlineStr"/>
      <c r="M784" t="inlineStr"/>
      <c r="N784" t="inlineStr"/>
      <c r="O784" t="n">
        <v>0</v>
      </c>
      <c r="P784">
        <f>IF(B799=0,0,O784/B799)</f>
        <v/>
      </c>
      <c r="Q784" t="n">
        <v>0</v>
      </c>
      <c r="R784" t="n">
        <v>0</v>
      </c>
      <c r="S784">
        <f>IFERROR(O784/N784,0)</f>
        <v/>
      </c>
    </row>
    <row r="786">
      <c r="A786" t="inlineStr">
        <is>
          <t>Average Buff Multiplier</t>
        </is>
      </c>
      <c r="B786">
        <f>(1+(((C775=TRUE)*F775*IF(AND(Inputs!$B$39&lt;&gt;"pvp",Inputs!$B$44&gt;0),(((R775-1)*(Skills!Y21*(1+Inputs!$B$34/100))+MIN((Skills!Y21*(1+Inputs!$B$34/100)),MAX(0,Inputs!$B$44-((R775-1)*Skills!D21))))/Inputs!$B$44),IF(Inputs!$B$39="pvp",MIN((Skills!Y21*(1+Inputs!$B$34/100)),15)/15,(Skills!Y21*(1+Inputs!$B$34/100))/Skills!D21)))+((C777=TRUE)*(F777-Calc!F23))+((C771=TRUE)*(F771-Calc!F17)))/100)*(1+((C764=TRUE)*F764*IF(AND(Inputs!$B$39&lt;&gt;"pvp",Inputs!$B$44&gt;0),(((R764-1)*(Skills!Y10*(1+Inputs!$B$34/100))+MIN((Skills!Y10*(1+Inputs!$B$34/100)),MAX(0,Inputs!$B$44-((R764-1)*Skills!D10))))/Inputs!$B$44),IF(Inputs!$B$39="pvp",MIN((Skills!Y10*(1+Inputs!$B$34/100)),15)/15,(Skills!Y10*(1+Inputs!$B$34/100))/Skills!D10)))/100)*(1+((C769=TRUE)*F769*IF(AND(Inputs!$B$39&lt;&gt;"pvp",Inputs!$B$44&gt;0),(((R769-1)*(Skills!Y15*(1+Inputs!$B$34/100))+MIN((Skills!Y15*(1+Inputs!$B$34/100)),MAX(0,Inputs!$B$44-((R769-1)*Skills!D15))))/Inputs!$B$44),IF(Inputs!$B$39="pvp",MIN((Skills!Y15*(1+Inputs!$B$34/100)),15)/15,(Skills!Y15*(1+Inputs!$B$34/100))/Skills!D15)))/100)</f>
        <v/>
      </c>
    </row>
    <row r="787">
      <c r="A787" t="inlineStr">
        <is>
          <t>Global Crit Rate Bonus %</t>
        </is>
      </c>
      <c r="B787">
        <f>((C774=TRUE)*F774*IF(AND(Inputs!$B$39&lt;&gt;"pvp",Inputs!$B$44&gt;0),(((R774-1)*(Skills!Y20*(1+Inputs!$B$34/100))+MIN((Skills!Y20*(1+Inputs!$B$34/100)),MAX(0,Inputs!$B$44-((R774-1)*Skills!D20))))/Inputs!$B$44),IF(Inputs!$B$39="pvp",MIN((Skills!Y20*(1+Inputs!$B$34/100)),15)/15,(Skills!Y20*(1+Inputs!$B$34/100))/Skills!D20)))</f>
        <v/>
      </c>
    </row>
    <row r="788">
      <c r="A788" t="inlineStr">
        <is>
          <t>Global Monster Damage-Taken Bonus %</t>
        </is>
      </c>
      <c r="B788">
        <f>IF(Inputs!$B$3&gt;=82,15,0)</f>
        <v/>
      </c>
    </row>
    <row r="789">
      <c r="A789" t="inlineStr">
        <is>
          <t>Shadow Partner Average Multiplier</t>
        </is>
      </c>
      <c r="B789">
        <f>1+((C761=TRUE)*F761*(1+3.3333333333333335*IF(C772=TRUE,F772,0)/100)*I761*Skills!J7/100)/100</f>
        <v/>
      </c>
    </row>
    <row r="790">
      <c r="A790" t="inlineStr">
        <is>
          <t>Attack Speed Buff Bonus %</t>
        </is>
      </c>
      <c r="B790">
        <f>((C773=TRUE)*F773*IF(AND(Inputs!$B$39&lt;&gt;"pvp",Inputs!$B$44&gt;0),(((R773-1)*(Skills!Y19*(1+Inputs!$B$34/100))+MIN((Skills!Y19*(1+Inputs!$B$34/100)),MAX(0,Inputs!$B$44-((R773-1)*Skills!D19))))/Inputs!$B$44),IF(Inputs!$B$39="pvp",MIN((Skills!Y19*(1+Inputs!$B$34/100)),15)/15,(Skills!Y19*(1+Inputs!$B$34/100))/Skills!D19)))+((C757=TRUE)*F757*3)</f>
        <v/>
      </c>
    </row>
    <row r="791">
      <c r="A791" t="inlineStr">
        <is>
          <t>Actions Per Second</t>
        </is>
      </c>
      <c r="B791">
        <f>1+MIN(150,150*(1-(1-(Inputs!$B$11+((C776=TRUE)*(F776-Calc!F22)))/150)*(1-B790/150)))/100</f>
        <v/>
      </c>
    </row>
    <row r="792">
      <c r="A792" t="inlineStr">
        <is>
          <t>Skill + Buff Cast Rate</t>
        </is>
      </c>
      <c r="B792">
        <f>IF(AND(Inputs!$B$39&lt;&gt;"pvp",Inputs!$B$44&gt;0),SUMPRODUCT((Skills!E2:E30=TRUE)*(C756:C784=TRUE)*R756:R784*Skills!F2:F30)/Inputs!$B$44,SUMPRODUCT((Skills!E2:E30=TRUE)*(C756:C784=TRUE)*Q756:Q784*Skills!F2:F30))</f>
        <v/>
      </c>
    </row>
    <row r="793">
      <c r="A793" t="inlineStr">
        <is>
          <t>Cruel Stab Casts Per Second</t>
        </is>
      </c>
      <c r="B793">
        <f>MAX(0,B791-B792)</f>
        <v/>
      </c>
    </row>
    <row r="794">
      <c r="A794" t="inlineStr">
        <is>
          <t>Global Critical Damage Bonus % (Smokescreen Mastery Lv.113)</t>
        </is>
      </c>
      <c r="B794">
        <f>IF(Inputs!$B$3&gt;=113,30,0)*IF(AND(Inputs!$B$39&lt;&gt;"pvp",Inputs!$B$44&gt;0),(((R769-1)*(Skills!Y15*(1+Inputs!$B$34/100))+MIN((Skills!Y15*(1+Inputs!$B$34/100)),MAX(0,Inputs!$B$44-((R769-1)*Skills!D15))))/Inputs!$B$44),IF(Inputs!$B$39="pvp",MIN((Skills!Y15*(1+Inputs!$B$34/100)),15)/15,(Skills!Y15*(1+Inputs!$B$34/100))/Skills!D15))</f>
        <v/>
      </c>
    </row>
    <row r="795">
      <c r="A795" t="inlineStr">
        <is>
          <t>Meso Explosion average stack count</t>
        </is>
      </c>
      <c r="B795">
        <f>MIN(10,0.5*B791*Skills!D4)</f>
        <v/>
      </c>
    </row>
    <row r="796">
      <c r="A796" t="inlineStr">
        <is>
          <t>Blood Money average stack count</t>
        </is>
      </c>
      <c r="B796">
        <f>MIN(5,0.25*B791*Skills!D4)</f>
        <v/>
      </c>
    </row>
    <row r="797">
      <c r="A797" t="inlineStr">
        <is>
          <t>Assassinate Murderous Intent Multiplier</t>
        </is>
      </c>
      <c r="B797">
        <f>1+IFERROR(MIN(1,Q768*2/Q765),0)</f>
        <v/>
      </c>
    </row>
    <row r="798">
      <c r="A798" t="inlineStr">
        <is>
          <t>Buff-Casting Startup Delay (s, fixed-duration only)</t>
        </is>
      </c>
      <c r="B798">
        <f>IF(AND(Inputs!$B$39&lt;&gt;"pvp",Inputs!$B$44&gt;0),SUMPRODUCT((Skills!Y2:Y30&gt;0)*(Skills!E2:E30=TRUE)*(C756:C784=TRUE))/B791,0)</f>
        <v/>
      </c>
    </row>
    <row r="799">
      <c r="A799" s="5" t="inlineStr">
        <is>
          <t>TOTAL DPS</t>
        </is>
      </c>
      <c r="B799" s="5">
        <f>SUM(O756:O784)</f>
        <v/>
      </c>
    </row>
    <row r="802">
      <c r="A802" s="5" t="inlineStr">
        <is>
          <t>Stat: Skill Level Bonus — 1st Job</t>
        </is>
      </c>
    </row>
    <row r="803">
      <c r="A803" s="9" t="inlineStr">
        <is>
          <t>Key</t>
        </is>
      </c>
      <c r="B803" s="9" t="inlineStr">
        <is>
          <t>Name</t>
        </is>
      </c>
      <c r="C803" s="9" t="inlineStr">
        <is>
          <t>Unlocked</t>
        </is>
      </c>
      <c r="D803" s="9" t="inlineStr">
        <is>
          <t>InputLevel</t>
        </is>
      </c>
      <c r="E803" s="9" t="inlineStr">
        <is>
          <t>Factor</t>
        </is>
      </c>
      <c r="F803" s="9" t="inlineStr">
        <is>
          <t>CoefficientPercent</t>
        </is>
      </c>
      <c r="G803" s="9" t="inlineStr">
        <is>
          <t>EffectiveHits</t>
        </is>
      </c>
      <c r="H803" s="9" t="inlineStr">
        <is>
          <t>ProcProbability</t>
        </is>
      </c>
      <c r="I803" s="9" t="inlineStr">
        <is>
          <t>MapleHeroMultiplier</t>
        </is>
      </c>
      <c r="J803" s="9" t="inlineStr">
        <is>
          <t>BaseDamage</t>
        </is>
      </c>
      <c r="K803" s="9" t="inlineStr">
        <is>
          <t>BaseHitDamage</t>
        </is>
      </c>
      <c r="L803" s="9" t="inlineStr">
        <is>
          <t>NonCritAvg</t>
        </is>
      </c>
      <c r="M803" s="9" t="inlineStr">
        <is>
          <t>CritAvg</t>
        </is>
      </c>
      <c r="N803" s="9" t="inlineStr">
        <is>
          <t>ExpectedDamage(perHit)</t>
        </is>
      </c>
      <c r="O803" s="9" t="inlineStr">
        <is>
          <t>DPS</t>
        </is>
      </c>
      <c r="P803" s="9" t="inlineStr">
        <is>
          <t>% of Total</t>
        </is>
      </c>
      <c r="Q803" s="9" t="inlineStr">
        <is>
          <t>InvCooldown</t>
        </is>
      </c>
      <c r="R803" s="9" t="inlineStr">
        <is>
          <t>CastsInFight</t>
        </is>
      </c>
      <c r="S803" s="9" t="inlineStr">
        <is>
          <t>HitRate(perSec)</t>
        </is>
      </c>
      <c r="U803" t="inlineStr">
        <is>
          <t>helpers</t>
        </is>
      </c>
    </row>
    <row r="804">
      <c r="A804">
        <f>Skills!A2</f>
        <v/>
      </c>
      <c r="B804">
        <f>Skills!B2</f>
        <v/>
      </c>
      <c r="C804">
        <f>Inputs!$B$3&gt;=100</f>
        <v/>
      </c>
      <c r="D804" t="inlineStr"/>
      <c r="E804" t="inlineStr"/>
      <c r="F804">
        <f>U806+Skills!O2</f>
        <v/>
      </c>
      <c r="G804">
        <f>Skills!G2*IF(Skills!H2&gt;0,Skills!I2/Skills!H2,1)</f>
        <v/>
      </c>
      <c r="H804">
        <f>1-(1-Skills!J2/100)^Skills!K2</f>
        <v/>
      </c>
      <c r="I804" t="inlineStr">
        <is>
          <t>1</t>
        </is>
      </c>
      <c r="J804">
        <f>((Inputs!$B$6*(1+Inputs!$B$7/100))+(((Inputs!$B$12*(1+Inputs!$B$13/100))-(Inputs!$B$12*(1+Inputs!$B$13/100)))+0.25*(Inputs!$B$14-Inputs!$B$14))*(1+Inputs!$B$7/100))*(F804/100)</f>
        <v/>
      </c>
      <c r="K804">
        <f>J804*(1+((Inputs!$B$12*(1+Inputs!$B$13/100))*0.01+Inputs!$B$14*0.0025)/100)*(1+Inputs!$B$15/100)*(1+IF(Inputs!$B$39="pvp",0,(1-Summary!$B$55)*(Inputs!$B$20+0+Skills!P2+B836)+Summary!$B$55*(Inputs!$B$21+Skills!Q2+B836))/100)*(1+Inputs!$B$16/100)*(5000/(6000+Inputs!$B$43*(1-Inputs!$B$19/100)))*(1+(Inputs!$B$24+((C832=TRUE)*(F832-Calc!F30)))/100)*(1+(IF(Skills!A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804)</f>
        <v/>
      </c>
      <c r="L804">
        <f>K804*(MIN(Inputs!$B$22+((C826=TRUE)*(F826-Calc!F24)),Inputs!$B$23+((C831=TRUE)*(F831-Calc!F29)))/100+(Inputs!$B$23+((C831=TRUE)*(F831-Calc!F29)))/100)/2</f>
        <v/>
      </c>
      <c r="M804">
        <f>L804*(1+(Inputs!$B$10+((C828=TRUE)*(F828-Calc!F26))+B842)/100)</f>
        <v/>
      </c>
      <c r="N804">
        <f>L804*(1-MIN((Inputs!$B$9+((C827=TRUE)*(F827-Calc!F25))+B835),100)/100)+M804*(MIN((Inputs!$B$9+((C827=TRUE)*(F827-Calc!F25))+B835),100)/100)</f>
        <v/>
      </c>
      <c r="O804">
        <f>IF(C804,Skills!G2*N804*B841*IF(Inputs!$B$39="pvp",1,(1-Summary!$B$55)*(1)+Summary!$B$55*(MIN((6+Inputs!$B$33),Inputs!$B$37))),0)</f>
        <v/>
      </c>
      <c r="P804">
        <f>IF(B847=0,0,O804/B847)</f>
        <v/>
      </c>
      <c r="Q804" t="n">
        <v>0</v>
      </c>
      <c r="R804" t="n">
        <v>0</v>
      </c>
      <c r="S804">
        <f>IFERROR(O804/N804,0)</f>
        <v/>
      </c>
      <c r="U804">
        <f>MAX(0,(Inputs!$B$3-100)*3)+Inputs!$B$28+Inputs!$B$29</f>
        <v/>
      </c>
    </row>
    <row r="805">
      <c r="A805">
        <f>Skills!A3</f>
        <v/>
      </c>
      <c r="B805">
        <f>Skills!B3</f>
        <v/>
      </c>
      <c r="C805">
        <f>Inputs!$B$3&gt;=35</f>
        <v/>
      </c>
      <c r="D805">
        <f>IF(Skills!C3=1,60+(Inputs!$B$25+1)+Inputs!$B$29,IF(Skills!C3=2,90+Inputs!$B$26+Inputs!$B$29,IF(Skills!C3=3,120+Inputs!$B$27+Inputs!$B$29,MAX(0,(Inputs!$B$3-100)*3)+Inputs!$B$28+Inputs!$B$29)))</f>
        <v/>
      </c>
      <c r="E805">
        <f>INDEX(FactorTable!$B$2:$Y$301, MATCH(ROUND(MIN(300,MAX(1,D805)),0), FactorTable!$A$2:$A$301,0), Skills!M3+1)</f>
        <v/>
      </c>
      <c r="F805">
        <f>IF(Skills!N3=TRUE,(Skills!L3/10)*(E805/1000),Skills!L3/10)+Skills!O3</f>
        <v/>
      </c>
      <c r="G805">
        <f>Skills!G3*IF(Skills!H3&gt;0,Skills!I3/Skills!H3,1)</f>
        <v/>
      </c>
      <c r="H805">
        <f>1-(1-Skills!J3/100)^Skills!K3</f>
        <v/>
      </c>
      <c r="I805" t="inlineStr">
        <is>
          <t>1</t>
        </is>
      </c>
      <c r="J805" t="inlineStr"/>
      <c r="K805" t="inlineStr"/>
      <c r="L805" t="inlineStr"/>
      <c r="M805" t="inlineStr"/>
      <c r="N805" t="inlineStr"/>
      <c r="O805" t="n">
        <v>0</v>
      </c>
      <c r="P805">
        <f>IF(B847=0,0,O805/B847)</f>
        <v/>
      </c>
      <c r="Q805" t="n">
        <v>0</v>
      </c>
      <c r="R805" t="n">
        <v>0</v>
      </c>
      <c r="S805">
        <f>IFERROR(O805/N805,0)</f>
        <v/>
      </c>
      <c r="U805">
        <f>INDEX(FactorTable!$B$2:$Y$301, MATCH(ROUND(MIN(300,MAX(1,U804)),0), FactorTable!$A$2:$A$301,0), 22)</f>
        <v/>
      </c>
    </row>
    <row r="806">
      <c r="A806">
        <f>Skills!A4</f>
        <v/>
      </c>
      <c r="B806">
        <f>Skills!B4</f>
        <v/>
      </c>
      <c r="C806">
        <f>Inputs!$B$3&gt;=66</f>
        <v/>
      </c>
      <c r="D806">
        <f>IF(Skills!C4=1,60+(Inputs!$B$25+1)+Inputs!$B$29,IF(Skills!C4=2,90+Inputs!$B$26+Inputs!$B$29,IF(Skills!C4=3,120+Inputs!$B$27+Inputs!$B$29,MAX(0,(Inputs!$B$3-100)*3)+Inputs!$B$28+Inputs!$B$29)))</f>
        <v/>
      </c>
      <c r="E806">
        <f>INDEX(FactorTable!$B$2:$Y$301, MATCH(ROUND(MIN(300,MAX(1,D806)),0), FactorTable!$A$2:$A$301,0), Skills!M4+1)</f>
        <v/>
      </c>
      <c r="F806">
        <f>IF(Skills!N4=TRUE,(Skills!L4/10)*(E806/1000),Skills!L4/10)+Skills!O4</f>
        <v/>
      </c>
      <c r="G806">
        <f>Skills!G4*IF(Skills!H4&gt;0,Skills!I4/Skills!H4,1)</f>
        <v/>
      </c>
      <c r="H806">
        <f>1-(1-Skills!J4/100)^Skills!K4</f>
        <v/>
      </c>
      <c r="I806" t="inlineStr">
        <is>
          <t>1</t>
        </is>
      </c>
      <c r="J806">
        <f>((Inputs!$B$6*(1+Inputs!$B$7/100))+(((Inputs!$B$12*(1+Inputs!$B$13/100))-(Inputs!$B$12*(1+Inputs!$B$13/100)))+0.25*(Inputs!$B$14-Inputs!$B$14))*(1+Inputs!$B$7/100))*(F806/100)</f>
        <v/>
      </c>
      <c r="K806">
        <f>J806*(1+((Inputs!$B$12*(1+Inputs!$B$13/100))*0.01+Inputs!$B$14*0.0025)/100)*(1+Inputs!$B$15/100)*(1+IF(Inputs!$B$39="pvp",0,(1-Summary!$B$55)*(Inputs!$B$20+0+Skills!P4+B836)+Summary!$B$55*(Inputs!$B$21+Skills!Q4+B836))/100)*(1+Inputs!$B$16/100)*(5000/(6000+Inputs!$B$43*(1-Inputs!$B$19/100)))*(1+(Inputs!$B$24+((C832=TRUE)*(F832-Calc!F30)))/100)*(1+(IF(Skills!A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806)</f>
        <v/>
      </c>
      <c r="L806">
        <f>K806*(MIN(Inputs!$B$22+((C826=TRUE)*(F826-Calc!F24)),Inputs!$B$23+((C831=TRUE)*(F831-Calc!F29)))/100+(Inputs!$B$23+((C831=TRUE)*(F831-Calc!F29)))/100)/2</f>
        <v/>
      </c>
      <c r="M806">
        <f>L806*(1+(Inputs!$B$10+((C828=TRUE)*(F828-Calc!F26))+B842)/100)</f>
        <v/>
      </c>
      <c r="N806">
        <f>L806*(1-MIN((Inputs!$B$9+((C827=TRUE)*(F827-Calc!F25))+B835),100)/100)+M806*(MIN((Inputs!$B$9+((C827=TRUE)*(F827-Calc!F25))+B835),100)/100)</f>
        <v/>
      </c>
      <c r="O806">
        <f>IF(C806,H806*N806*IF(AND(Inputs!$B$39&lt;&gt;"pvp",Inputs!$B$44&gt;0),((Skills!G4*((R806-1)*IF(Skills!H4&gt;0,Skills!I4/Skills!H4,1)+IF(Skills!H4&gt;0,MIN(Skills!I4,MAX(0,MAX(0,Inputs!$B$44-B846)-((R806-1)*IF(Inputs!$B$39="pvp",15,MAX(0.1,Skills!D4-IF(Skills!E4=TRUE,Inputs!$B$32,0))))))/Skills!H4,1)))/Inputs!$B$44),G806*Q806)*IF(Inputs!$B$39="pvp",1,(1-Summary!$B$55)*(1)+Summary!$B$55*(MIN(MIN(10,0.5*B839*Skills!D4),Inputs!$B$37))),0)</f>
        <v/>
      </c>
      <c r="P806">
        <f>IF(B847=0,0,O806/B847)</f>
        <v/>
      </c>
      <c r="Q806">
        <f>IFERROR(1/IF(Inputs!$B$39="pvp",15,MAX(0.1,Skills!D4-IF(Skills!E4=TRUE,Inputs!$B$32,0))),0)</f>
        <v/>
      </c>
      <c r="R806">
        <f>IF(AND(Inputs!$B$39&lt;&gt;"pvp",Inputs!$B$44&gt;0),IF(MAX(0,Inputs!$B$44-B846)&lt;=0,0,(INT(MAX(0,Inputs!$B$44-B846)/IF(Inputs!$B$39="pvp",15,MAX(0.1,Skills!D4-IF(Skills!E4=TRUE,Inputs!$B$32,0))))+1)),0)</f>
        <v/>
      </c>
      <c r="S806">
        <f>IFERROR(O806/N806,0)</f>
        <v/>
      </c>
      <c r="U806">
        <f>290*U805/1000</f>
        <v/>
      </c>
    </row>
    <row r="807">
      <c r="A807">
        <f>Skills!A5</f>
        <v/>
      </c>
      <c r="B807">
        <f>Skills!B5</f>
        <v/>
      </c>
      <c r="C807">
        <f>Inputs!$B$3&gt;=63</f>
        <v/>
      </c>
      <c r="D807">
        <f>IF(Skills!C5=1,60+(Inputs!$B$25+1)+Inputs!$B$29,IF(Skills!C5=2,90+Inputs!$B$26+Inputs!$B$29,IF(Skills!C5=3,120+Inputs!$B$27+Inputs!$B$29,MAX(0,(Inputs!$B$3-100)*3)+Inputs!$B$28+Inputs!$B$29)))</f>
        <v/>
      </c>
      <c r="E807">
        <f>INDEX(FactorTable!$B$2:$Y$301, MATCH(ROUND(MIN(300,MAX(1,D807)),0), FactorTable!$A$2:$A$301,0), Skills!M5+1)</f>
        <v/>
      </c>
      <c r="F807">
        <f>IF(Skills!N5=TRUE,(Skills!L5/10)*(E807/1000),Skills!L5/10)+Skills!O5</f>
        <v/>
      </c>
      <c r="G807">
        <f>Skills!G5*IF(Skills!H5&gt;0,Skills!I5/Skills!H5,1)</f>
        <v/>
      </c>
      <c r="H807">
        <f>1-(1-Skills!J5/100)^Skills!K5</f>
        <v/>
      </c>
      <c r="I807" t="inlineStr">
        <is>
          <t>1</t>
        </is>
      </c>
      <c r="J807">
        <f>((Inputs!$B$6*(1+Inputs!$B$7/100))+(((Inputs!$B$12*(1+Inputs!$B$13/100))-(Inputs!$B$12*(1+Inputs!$B$13/100)))+0.25*(Inputs!$B$14-Inputs!$B$14))*(1+Inputs!$B$7/100))*(F807/100)</f>
        <v/>
      </c>
      <c r="K807">
        <f>J807*(1+((Inputs!$B$12*(1+Inputs!$B$13/100))*0.01+Inputs!$B$14*0.0025)/100)*(1+Inputs!$B$15/100)*(1+IF(Inputs!$B$39="pvp",0,(1-Summary!$B$55)*(Inputs!$B$20+0+Skills!P5+B836)+Summary!$B$55*(Inputs!$B$21+Skills!Q5+B836))/100)*(1+Inputs!$B$16/100)*(5000/(6000+Inputs!$B$43*(1-Inputs!$B$19/100)))*(1+(Inputs!$B$24+((C832=TRUE)*(F832-Calc!F30)))/100)*(1+2.6666666666666665*IF(C820=TRUE,F820,0)/100)*(1+(IF(Skills!A5="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807)</f>
        <v/>
      </c>
      <c r="L807">
        <f>K807*(MIN(Inputs!$B$22+((C826=TRUE)*(F826-Calc!F24)),Inputs!$B$23+((C831=TRUE)*(F831-Calc!F29)))/100+(Inputs!$B$23+((C831=TRUE)*(F831-Calc!F29)))/100)/2</f>
        <v/>
      </c>
      <c r="M807">
        <f>L807*(1+(Inputs!$B$10+((C828=TRUE)*(F828-Calc!F26))+B842)/100)</f>
        <v/>
      </c>
      <c r="N807">
        <f>L807*(1-MIN((Inputs!$B$9+((C827=TRUE)*(F827-Calc!F25))+B835),100)/100)+M807*(MIN((Inputs!$B$9+((C827=TRUE)*(F827-Calc!F25))+B835),100)/100)</f>
        <v/>
      </c>
      <c r="O807">
        <f>IF(C807,H807*N807*IF(AND(Inputs!$B$39&lt;&gt;"pvp",Inputs!$B$44&gt;0),((Skills!G5*((R807-1)*IF(Skills!H5&gt;0,Skills!I5/Skills!H5,1)+IF(Skills!H5&gt;0,MIN(Skills!I5,MAX(0,MAX(0,Inputs!$B$44-B846)-((R807-1)*IF(Inputs!$B$39="pvp",15,MAX(0.1,Skills!D5-IF(Skills!E5=TRUE,Inputs!$B$32,0))))))/Skills!H5,1)))/Inputs!$B$44),G807*Q807)*IF(Inputs!$B$39="pvp",1,(1-Summary!$B$55)*(1)+Summary!$B$55*(MIN(Skills!W5,Inputs!$B$37))),0)</f>
        <v/>
      </c>
      <c r="P807">
        <f>IF(B847=0,0,O807/B847)</f>
        <v/>
      </c>
      <c r="Q807">
        <f>IFERROR(1/IF(Inputs!$B$39="pvp",15,MAX(0.1,Skills!D5-IF(Skills!E5=TRUE,Inputs!$B$32,0))),0)</f>
        <v/>
      </c>
      <c r="R807">
        <f>IF(AND(Inputs!$B$39&lt;&gt;"pvp",Inputs!$B$44&gt;0),IF(MAX(0,Inputs!$B$44-B846)&lt;=0,0,(INT(MAX(0,Inputs!$B$44-B846)/IF(Inputs!$B$39="pvp",15,MAX(0.1,Skills!D5-IF(Skills!E5=TRUE,Inputs!$B$32,0))))+1)),0)</f>
        <v/>
      </c>
      <c r="S807">
        <f>IFERROR(O807/N807,0)</f>
        <v/>
      </c>
    </row>
    <row r="808">
      <c r="A808">
        <f>Skills!A6</f>
        <v/>
      </c>
      <c r="B808">
        <f>Skills!B6</f>
        <v/>
      </c>
      <c r="C808">
        <f>Inputs!$B$3&gt;=69</f>
        <v/>
      </c>
      <c r="D808">
        <f>IF(Skills!C6=1,60+(Inputs!$B$25+1)+Inputs!$B$29,IF(Skills!C6=2,90+Inputs!$B$26+Inputs!$B$29,IF(Skills!C6=3,120+Inputs!$B$27+Inputs!$B$29,MAX(0,(Inputs!$B$3-100)*3)+Inputs!$B$28+Inputs!$B$29)))</f>
        <v/>
      </c>
      <c r="E808">
        <f>INDEX(FactorTable!$B$2:$Y$301, MATCH(ROUND(MIN(300,MAX(1,D808)),0), FactorTable!$A$2:$A$301,0), Skills!M6+1)</f>
        <v/>
      </c>
      <c r="F808">
        <f>IF(Skills!N6=TRUE,(Skills!L6/10)*(E808/1000),Skills!L6/10)+Skills!O6</f>
        <v/>
      </c>
      <c r="G808">
        <f>Skills!G6*IF(Skills!H6&gt;0,Skills!I6/Skills!H6,1)</f>
        <v/>
      </c>
      <c r="H808">
        <f>1-(1-Skills!J6/100)^Skills!K6</f>
        <v/>
      </c>
      <c r="I808" t="inlineStr">
        <is>
          <t>1</t>
        </is>
      </c>
      <c r="J808">
        <f>((Inputs!$B$6*(1+Inputs!$B$7/100))+(((Inputs!$B$12*(1+Inputs!$B$13/100))-(Inputs!$B$12*(1+Inputs!$B$13/100)))+0.25*(Inputs!$B$14-Inputs!$B$14))*(1+Inputs!$B$7/100))*(F808/100)</f>
        <v/>
      </c>
      <c r="K808">
        <f>J808*(1+((Inputs!$B$12*(1+Inputs!$B$13/100))*0.01+Inputs!$B$14*0.0025)/100)*(1+Inputs!$B$15/100)*(1+IF(Inputs!$B$39="pvp",0,(1-Summary!$B$55)*(Inputs!$B$20+0+Skills!P6+B836)+Summary!$B$55*(Inputs!$B$21+Skills!Q6+B836))/100)*(1+Inputs!$B$16/100)*(5000/(6000+Inputs!$B$43*(1-Inputs!$B$19/100)))*(1+(Inputs!$B$24+((C832=TRUE)*(F832-Calc!F30)))/100)*(1+1.0*IF(C820=TRUE,F820,0)/100)*(1+(IF(Skills!A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808)</f>
        <v/>
      </c>
      <c r="L808">
        <f>K808*(MIN(Inputs!$B$22+((C826=TRUE)*(F826-Calc!F24)),Inputs!$B$23+((C831=TRUE)*(F831-Calc!F29)))/100+(Inputs!$B$23+((C831=TRUE)*(F831-Calc!F29)))/100)/2</f>
        <v/>
      </c>
      <c r="M808">
        <f>L808*(1+(Inputs!$B$10+((C828=TRUE)*(F828-Calc!F26))+B842)/100)</f>
        <v/>
      </c>
      <c r="N808">
        <f>L808*(1-MIN((Inputs!$B$9+((C827=TRUE)*(F827-Calc!F25))+B835),100)/100)+M808*(MIN((Inputs!$B$9+((C827=TRUE)*(F827-Calc!F25))+B835),100)/100)</f>
        <v/>
      </c>
      <c r="O808">
        <f>IF(C808,H808*N808*IF(AND(Inputs!$B$39&lt;&gt;"pvp",Inputs!$B$44&gt;0),((Skills!G6*((R808-1)*IF(Skills!H6&gt;0,Skills!I6/Skills!H6,1)+IF(Skills!H6&gt;0,MIN(Skills!I6,MAX(0,MAX(0,Inputs!$B$44-B846)-((R808-1)*IF(Inputs!$B$39="pvp",15,MAX(0.1,Skills!D6-IF(Skills!E6=TRUE,Inputs!$B$32,0))))))/Skills!H6,1)))/Inputs!$B$44),G808*Q808)*IF(Inputs!$B$39="pvp",1,(1-Summary!$B$55)*(1)+Summary!$B$55*(MIN(Skills!W6,Inputs!$B$37))),0)</f>
        <v/>
      </c>
      <c r="P808">
        <f>IF(B847=0,0,O808/B847)</f>
        <v/>
      </c>
      <c r="Q808">
        <f>IFERROR(1/IF(Inputs!$B$39="pvp",15,MAX(0.1,Skills!D6-IF(Skills!E6=TRUE,Inputs!$B$32,0))),0)</f>
        <v/>
      </c>
      <c r="R808">
        <f>IF(AND(Inputs!$B$39&lt;&gt;"pvp",Inputs!$B$44&gt;0),IF(MAX(0,Inputs!$B$44-B846)&lt;=0,0,(INT(MAX(0,Inputs!$B$44-B846)/IF(Inputs!$B$39="pvp",15,MAX(0.1,Skills!D6-IF(Skills!E6=TRUE,Inputs!$B$32,0))))+1)),0)</f>
        <v/>
      </c>
      <c r="S808">
        <f>IFERROR(O808/N808,0)</f>
        <v/>
      </c>
    </row>
    <row r="809">
      <c r="A809">
        <f>Skills!A7</f>
        <v/>
      </c>
      <c r="B809">
        <f>Skills!B7</f>
        <v/>
      </c>
      <c r="C809">
        <f>Inputs!$B$3&gt;=60</f>
        <v/>
      </c>
      <c r="D809">
        <f>IF(Skills!C7=1,60+(Inputs!$B$25+1)+Inputs!$B$29,IF(Skills!C7=2,90+Inputs!$B$26+Inputs!$B$29,IF(Skills!C7=3,120+Inputs!$B$27+Inputs!$B$29,MAX(0,(Inputs!$B$3-100)*3)+Inputs!$B$28+Inputs!$B$29)))</f>
        <v/>
      </c>
      <c r="E809">
        <f>INDEX(FactorTable!$B$2:$Y$301, MATCH(ROUND(MIN(300,MAX(1,D809)),0), FactorTable!$A$2:$A$301,0), Skills!M7+1)</f>
        <v/>
      </c>
      <c r="F809">
        <f>IF(Skills!N7=TRUE,(Skills!L7/10)*(E809/1000),Skills!L7/10)+Skills!O7</f>
        <v/>
      </c>
      <c r="G809">
        <f>Skills!G7*IF(Skills!H7&gt;0,Skills!I7/Skills!H7,1)</f>
        <v/>
      </c>
      <c r="H809">
        <f>1-(1-Skills!J7/100)^Skills!K7</f>
        <v/>
      </c>
      <c r="I809" t="inlineStr">
        <is>
          <t>1</t>
        </is>
      </c>
      <c r="J809" t="inlineStr"/>
      <c r="K809" t="inlineStr"/>
      <c r="L809" t="inlineStr"/>
      <c r="M809" t="inlineStr"/>
      <c r="N809" t="inlineStr"/>
      <c r="O809" t="n">
        <v>0</v>
      </c>
      <c r="P809">
        <f>IF(B847=0,0,O809/B847)</f>
        <v/>
      </c>
      <c r="Q809" t="n">
        <v>0</v>
      </c>
      <c r="R809" t="n">
        <v>0</v>
      </c>
      <c r="S809">
        <f>IFERROR(O809/N809,0)</f>
        <v/>
      </c>
    </row>
    <row r="810">
      <c r="A810">
        <f>Skills!A8</f>
        <v/>
      </c>
      <c r="B810">
        <f>Skills!B8</f>
        <v/>
      </c>
      <c r="C810">
        <f>Inputs!$B$3&gt;=72</f>
        <v/>
      </c>
      <c r="D810">
        <f>IF(Skills!C8=1,60+(Inputs!$B$25+1)+Inputs!$B$29,IF(Skills!C8=2,90+Inputs!$B$26+Inputs!$B$29,IF(Skills!C8=3,120+Inputs!$B$27+Inputs!$B$29,MAX(0,(Inputs!$B$3-100)*3)+Inputs!$B$28+Inputs!$B$29)))</f>
        <v/>
      </c>
      <c r="E810">
        <f>INDEX(FactorTable!$B$2:$Y$301, MATCH(ROUND(MIN(300,MAX(1,D810)),0), FactorTable!$A$2:$A$301,0), Skills!M8+1)</f>
        <v/>
      </c>
      <c r="F810">
        <f>IF(Skills!N8=TRUE,(Skills!L8/10)*(E810/1000),Skills!L8/10)+Skills!O8</f>
        <v/>
      </c>
      <c r="G810">
        <f>Skills!G8*IF(Skills!H8&gt;0,Skills!I8/Skills!H8,1)</f>
        <v/>
      </c>
      <c r="H810">
        <f>1-(1-Skills!J8/100)^Skills!K8</f>
        <v/>
      </c>
      <c r="I810" t="inlineStr">
        <is>
          <t>1</t>
        </is>
      </c>
      <c r="J810">
        <f>((Inputs!$B$6*(1+Inputs!$B$7/100))+(((Inputs!$B$12*(1+Inputs!$B$13/100))-(Inputs!$B$12*(1+Inputs!$B$13/100)))+0.25*(Inputs!$B$14-Inputs!$B$14))*(1+Inputs!$B$7/100))*(F810/100)</f>
        <v/>
      </c>
      <c r="K810">
        <f>J810*(1+((Inputs!$B$12*(1+Inputs!$B$13/100))*0.01+Inputs!$B$14*0.0025)/100)*(1+Inputs!$B$15/100)*(1+IF(Inputs!$B$39="pvp",0,(1-Summary!$B$55)*(Inputs!$B$20+0+Skills!P8+B836)+Summary!$B$55*(Inputs!$B$21+Skills!Q8+B836))/100)*(1+Inputs!$B$16/100)*(5000/(6000+Inputs!$B$43*(1-Inputs!$B$19/100)))*(1+(Inputs!$B$24+((C832=TRUE)*(F832-Calc!F30)))/100)*(1+3.3333333333333335*IF(C820=TRUE,F820,0)/100)*(1+(IF(Skills!A8="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810)</f>
        <v/>
      </c>
      <c r="L810">
        <f>K810*(MIN(Inputs!$B$22+((C826=TRUE)*(F826-Calc!F24)),Inputs!$B$23+((C831=TRUE)*(F831-Calc!F29)))/100+(Inputs!$B$23+((C831=TRUE)*(F831-Calc!F29)))/100)/2</f>
        <v/>
      </c>
      <c r="M810">
        <f>L810*(1+(Inputs!$B$10+((C828=TRUE)*(F828-Calc!F26))+B842)/100)</f>
        <v/>
      </c>
      <c r="N810">
        <f>L810*(1-MIN((Inputs!$B$9+((C827=TRUE)*(F827-Calc!F25))+B835),100)/100)+M810*(MIN((Inputs!$B$9+((C827=TRUE)*(F827-Calc!F25))+B835),100)/100)</f>
        <v/>
      </c>
      <c r="O810">
        <f>IF(C810,H810*N810*IF(AND(Inputs!$B$39&lt;&gt;"pvp",Inputs!$B$44&gt;0),((Skills!G8*((R810-1)*IF(Skills!H8&gt;0,Skills!I8/Skills!H8,1)+IF(Skills!H8&gt;0,MIN(Skills!I8,MAX(0,MAX(0,Inputs!$B$44-B846)-((R810-1)*IF(Inputs!$B$39="pvp",15,MAX(0.1,Skills!D8-IF(Skills!E8=TRUE,Inputs!$B$32,0))))))/Skills!H8,1)))/Inputs!$B$44),G810*Q810)*IF(Inputs!$B$39="pvp",1,(1-Summary!$B$55)*(1)+Summary!$B$55*(MIN(Skills!W8,Inputs!$B$37))),0)</f>
        <v/>
      </c>
      <c r="P810">
        <f>IF(B847=0,0,O810/B847)</f>
        <v/>
      </c>
      <c r="Q810">
        <f>IFERROR(1/IF(Inputs!$B$39="pvp",15,MAX(0.1,Skills!D8-IF(Skills!E8=TRUE,Inputs!$B$32,0))),0)</f>
        <v/>
      </c>
      <c r="R810">
        <f>IF(AND(Inputs!$B$39&lt;&gt;"pvp",Inputs!$B$44&gt;0),IF(MAX(0,Inputs!$B$44-B846)&lt;=0,0,(INT(MAX(0,Inputs!$B$44-B846)/IF(Inputs!$B$39="pvp",15,MAX(0.1,Skills!D8-IF(Skills!E8=TRUE,Inputs!$B$32,0))))+1)),0)</f>
        <v/>
      </c>
      <c r="S810">
        <f>IFERROR(O810/N810,0)</f>
        <v/>
      </c>
    </row>
    <row r="811">
      <c r="A811">
        <f>Skills!A9</f>
        <v/>
      </c>
      <c r="B811">
        <f>Skills!B9</f>
        <v/>
      </c>
      <c r="C811">
        <f>Inputs!$B$3&gt;=117</f>
        <v/>
      </c>
      <c r="D811">
        <f>IF(Skills!C9=1,60+(Inputs!$B$25+1)+Inputs!$B$29,IF(Skills!C9=2,90+Inputs!$B$26+Inputs!$B$29,IF(Skills!C9=3,120+Inputs!$B$27+Inputs!$B$29,MAX(0,(Inputs!$B$3-100)*3)+Inputs!$B$28+Inputs!$B$29)))</f>
        <v/>
      </c>
      <c r="E811">
        <f>INDEX(FactorTable!$B$2:$Y$301, MATCH(ROUND(MIN(300,MAX(1,D811)),0), FactorTable!$A$2:$A$301,0), Skills!M9+1)</f>
        <v/>
      </c>
      <c r="F811">
        <f>IF(Skills!N9=TRUE,(Skills!L9/10)*(E811/1000),Skills!L9/10)+Skills!O9</f>
        <v/>
      </c>
      <c r="G811">
        <f>Skills!G9*IF(Skills!H9&gt;0,Skills!I9/Skills!H9,1)</f>
        <v/>
      </c>
      <c r="H811">
        <f>1-(1-Skills!J9/100)^Skills!K9</f>
        <v/>
      </c>
      <c r="I811" t="inlineStr">
        <is>
          <t>1</t>
        </is>
      </c>
      <c r="J811">
        <f>((Inputs!$B$6*(1+Inputs!$B$7/100))+(((Inputs!$B$12*(1+Inputs!$B$13/100))-(Inputs!$B$12*(1+Inputs!$B$13/100)))+0.25*(Inputs!$B$14-Inputs!$B$14))*(1+Inputs!$B$7/100))*(F811/100)</f>
        <v/>
      </c>
      <c r="K811">
        <f>J811*(1+((Inputs!$B$12*(1+Inputs!$B$13/100))*0.01+Inputs!$B$14*0.0025)/100)*(1+Inputs!$B$15/100)*(1+IF(Inputs!$B$39="pvp",0,(1-Summary!$B$55)*(Inputs!$B$20+0+Skills!P9+B836)+Summary!$B$55*(Inputs!$B$21+Skills!Q9+B836))/100)*(1+Inputs!$B$16/100)*(5000/(6000+Inputs!$B$43*(1-Inputs!$B$19/100)))*(1+(Inputs!$B$24+((C832=TRUE)*(F832-Calc!F30)))/100)*(1+(IF(Skills!A9="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811)</f>
        <v/>
      </c>
      <c r="L811">
        <f>K811*(MIN(Inputs!$B$22+((C826=TRUE)*(F826-Calc!F24)),Inputs!$B$23+((C831=TRUE)*(F831-Calc!F29)))/100+(Inputs!$B$23+((C831=TRUE)*(F831-Calc!F29)))/100)/2</f>
        <v/>
      </c>
      <c r="M811">
        <f>L811*(1+(Inputs!$B$10+((C828=TRUE)*(F828-Calc!F26))+B842)/100)</f>
        <v/>
      </c>
      <c r="N811">
        <f>L811*(1-MIN((Inputs!$B$9+((C827=TRUE)*(F827-Calc!F25))+B835),100)/100)+M811*(MIN((Inputs!$B$9+((C827=TRUE)*(F827-Calc!F25))+B835),100)/100)</f>
        <v/>
      </c>
      <c r="O811">
        <f>IF(C811,0.2*SUMPRODUCT((Skills!Z2:Z30=TRUE)*(C804:C832=TRUE)*S804:S832)*N811,0)</f>
        <v/>
      </c>
      <c r="P811">
        <f>IF(B847=0,0,O811/B847)</f>
        <v/>
      </c>
      <c r="Q811" t="n">
        <v>0</v>
      </c>
      <c r="R811" t="n">
        <v>0</v>
      </c>
      <c r="S811" t="n">
        <v>0</v>
      </c>
    </row>
    <row r="812">
      <c r="A812">
        <f>Skills!A10</f>
        <v/>
      </c>
      <c r="B812">
        <f>Skills!B10</f>
        <v/>
      </c>
      <c r="C812">
        <f>Inputs!$B$3&gt;=74</f>
        <v/>
      </c>
      <c r="D812">
        <f>IF(Skills!C10=1,60+(Inputs!$B$25+1)+Inputs!$B$29,IF(Skills!C10=2,90+Inputs!$B$26+Inputs!$B$29,IF(Skills!C10=3,120+Inputs!$B$27+Inputs!$B$29,MAX(0,(Inputs!$B$3-100)*3)+Inputs!$B$28+Inputs!$B$29)))</f>
        <v/>
      </c>
      <c r="E812">
        <f>INDEX(FactorTable!$B$2:$Y$301, MATCH(ROUND(MIN(300,MAX(1,D812)),0), FactorTable!$A$2:$A$301,0), Skills!M10+1)</f>
        <v/>
      </c>
      <c r="F812">
        <f>IF(Skills!N10=TRUE,(Skills!L10/10)*(E812/1000),Skills!L10/10)+Skills!O10</f>
        <v/>
      </c>
      <c r="G812">
        <f>Skills!G10*IF(Skills!H10&gt;0,Skills!I10/Skills!H10,1)</f>
        <v/>
      </c>
      <c r="H812">
        <f>1-(1-Skills!J10/100)^Skills!K10</f>
        <v/>
      </c>
      <c r="I812" t="inlineStr">
        <is>
          <t>1</t>
        </is>
      </c>
      <c r="J812" t="inlineStr"/>
      <c r="K812" t="inlineStr"/>
      <c r="L812" t="inlineStr"/>
      <c r="M812" t="inlineStr"/>
      <c r="N812" t="inlineStr"/>
      <c r="O812" t="n">
        <v>0</v>
      </c>
      <c r="P812">
        <f>IF(B847=0,0,O812/B847)</f>
        <v/>
      </c>
      <c r="Q812">
        <f>IFERROR(1/IF(Inputs!$B$39="pvp",15,MAX(0.1,Skills!D10-IF(Skills!E10=TRUE,Inputs!$B$32,0))),0)</f>
        <v/>
      </c>
      <c r="R812">
        <f>IF(AND(Inputs!$B$39&lt;&gt;"pvp",Inputs!$B$44&gt;0),IF(Inputs!$B$44&lt;=0,0,(INT(Inputs!$B$44/IF(Inputs!$B$39="pvp",15,MAX(0.1,Skills!D10-IF(Skills!E10=TRUE,Inputs!$B$32,0))))+1)),0)</f>
        <v/>
      </c>
      <c r="S812">
        <f>IFERROR(O812/N812,0)</f>
        <v/>
      </c>
    </row>
    <row r="813">
      <c r="A813">
        <f>Skills!A11</f>
        <v/>
      </c>
      <c r="B813">
        <f>Skills!B11</f>
        <v/>
      </c>
      <c r="C813">
        <f>Inputs!$B$3&gt;=103</f>
        <v/>
      </c>
      <c r="D813">
        <f>IF(Skills!C11=1,60+(Inputs!$B$25+1)+Inputs!$B$29,IF(Skills!C11=2,90+Inputs!$B$26+Inputs!$B$29,IF(Skills!C11=3,120+Inputs!$B$27+Inputs!$B$29,MAX(0,(Inputs!$B$3-100)*3)+Inputs!$B$28+Inputs!$B$29)))</f>
        <v/>
      </c>
      <c r="E813">
        <f>INDEX(FactorTable!$B$2:$Y$301, MATCH(ROUND(MIN(300,MAX(1,D813)),0), FactorTable!$A$2:$A$301,0), Skills!M11+1)</f>
        <v/>
      </c>
      <c r="F813">
        <f>(Skills!L11/10)*(E813/1000)+IF(Inputs!$B$3&gt;=134,50,0)+0.5*(30000/10)*(INDEX(FactorTable!$B$2:$Y$301, MATCH(ROUND(MIN(300,MAX(1,D813)),0), FactorTable!$A$2:$A$301,0), 13)/1000)*B845</f>
        <v/>
      </c>
      <c r="G813">
        <f>Skills!G11*IF(Skills!H11&gt;0,Skills!I11/Skills!H11,1)</f>
        <v/>
      </c>
      <c r="H813">
        <f>1-(1-Skills!J11/100)^Skills!K11</f>
        <v/>
      </c>
      <c r="I813" t="inlineStr">
        <is>
          <t>1</t>
        </is>
      </c>
      <c r="J813">
        <f>((Inputs!$B$6*(1+Inputs!$B$7/100))+(((Inputs!$B$12*(1+Inputs!$B$13/100))-(Inputs!$B$12*(1+Inputs!$B$13/100)))+0.25*(Inputs!$B$14-Inputs!$B$14))*(1+Inputs!$B$7/100))*(F813/100)</f>
        <v/>
      </c>
      <c r="K813">
        <f>J813*(1+((Inputs!$B$12*(1+Inputs!$B$13/100))*0.01+Inputs!$B$14*0.0025)/100)*(1+Inputs!$B$15/100)*(1+IF(Inputs!$B$39="pvp",0,(1-Summary!$B$55)*(Inputs!$B$20+0+Skills!P11+B836)+Summary!$B$55*(Inputs!$B$21+Skills!Q11+B836))/100)*(1+Inputs!$B$16/100)*(5000/(6000+Inputs!$B$43*(1-Inputs!$B$19/100)))*(1+(Inputs!$B$24+((C832=TRUE)*(F832-Calc!F30)))/100)*(1+(IF(Skills!A11="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813)</f>
        <v/>
      </c>
      <c r="L813">
        <f>K813*(MIN(Inputs!$B$22+((C826=TRUE)*(F826-Calc!F24)),Inputs!$B$23+((C831=TRUE)*(F831-Calc!F29)))/100+(Inputs!$B$23+((C831=TRUE)*(F831-Calc!F29)))/100)/2</f>
        <v/>
      </c>
      <c r="M813">
        <f>L813*(1+(Inputs!$B$10+((C828=TRUE)*(F828-Calc!F26))+B842)/100)</f>
        <v/>
      </c>
      <c r="N813">
        <f>L813*(1-MIN((Inputs!$B$9+((C827=TRUE)*(F827-Calc!F25))+B835),100)/100)+M813*(MIN((Inputs!$B$9+((C827=TRUE)*(F827-Calc!F25))+B835),100)/100)</f>
        <v/>
      </c>
      <c r="O813">
        <f>IF(C813,H813*N813*IF(AND(Inputs!$B$39&lt;&gt;"pvp",Inputs!$B$44&gt;0),((Skills!G11*((R813-1)*IF(Skills!H11&gt;0,Skills!I11/Skills!H11,1)+IF(Skills!H11&gt;0,MIN(Skills!I11,MAX(0,MAX(0,Inputs!$B$44-B846)-((R813-1)*IF(Inputs!$B$39="pvp",15,MAX(0.1,Skills!D11-IF(Skills!E11=TRUE,Inputs!$B$32,0))))))/Skills!H11,1)))/Inputs!$B$44),G813*Q813)*IF(Inputs!$B$39="pvp",1,(1-Summary!$B$55)*(1)+Summary!$B$55*(MIN(Skills!W11,Inputs!$B$37))),0)</f>
        <v/>
      </c>
      <c r="P813">
        <f>IF(B847=0,0,O813/B847)</f>
        <v/>
      </c>
      <c r="Q813">
        <f>IFERROR(1/IF(Inputs!$B$39="pvp",15,MAX(0.1,Skills!D11-IF(Skills!E11=TRUE,Inputs!$B$32,0))),0)</f>
        <v/>
      </c>
      <c r="R813">
        <f>IF(AND(Inputs!$B$39&lt;&gt;"pvp",Inputs!$B$44&gt;0),IF(MAX(0,Inputs!$B$44-B846)&lt;=0,0,(INT(MAX(0,Inputs!$B$44-B846)/IF(Inputs!$B$39="pvp",15,MAX(0.1,Skills!D11-IF(Skills!E11=TRUE,Inputs!$B$32,0))))+1)),0)</f>
        <v/>
      </c>
      <c r="S813">
        <f>IFERROR(O813/N813,0)</f>
        <v/>
      </c>
    </row>
    <row r="814">
      <c r="A814">
        <f>Skills!A12</f>
        <v/>
      </c>
      <c r="B814">
        <f>Skills!B12</f>
        <v/>
      </c>
      <c r="C814">
        <f>Inputs!$B$3&gt;=105</f>
        <v/>
      </c>
      <c r="D814">
        <f>IF(Skills!C12=1,60+(Inputs!$B$25+1)+Inputs!$B$29,IF(Skills!C12=2,90+Inputs!$B$26+Inputs!$B$29,IF(Skills!C12=3,120+Inputs!$B$27+Inputs!$B$29,MAX(0,(Inputs!$B$3-100)*3)+Inputs!$B$28+Inputs!$B$29)))</f>
        <v/>
      </c>
      <c r="E814">
        <f>INDEX(FactorTable!$B$2:$Y$301, MATCH(ROUND(MIN(300,MAX(1,D814)),0), FactorTable!$A$2:$A$301,0), Skills!M12+1)</f>
        <v/>
      </c>
      <c r="F814">
        <f>IF(Skills!N12=TRUE,(Skills!L12/10)*(E814/1000),Skills!L12/10)+Skills!O12</f>
        <v/>
      </c>
      <c r="G814">
        <f>Skills!G12*IF(Skills!H12&gt;0,Skills!I12/Skills!H12,1)</f>
        <v/>
      </c>
      <c r="H814">
        <f>1-(1-Skills!J12/100)^Skills!K12</f>
        <v/>
      </c>
      <c r="I814" t="inlineStr">
        <is>
          <t>1</t>
        </is>
      </c>
      <c r="J814">
        <f>((Inputs!$B$6*(1+Inputs!$B$7/100))+(((Inputs!$B$12*(1+Inputs!$B$13/100))-(Inputs!$B$12*(1+Inputs!$B$13/100)))+0.25*(Inputs!$B$14-Inputs!$B$14))*(1+Inputs!$B$7/100))*(F814/100)</f>
        <v/>
      </c>
      <c r="K814">
        <f>J814*(1+((Inputs!$B$12*(1+Inputs!$B$13/100))*0.01+Inputs!$B$14*0.0025)/100)*(1+Inputs!$B$15/100)*(1+IF(Inputs!$B$39="pvp",0,(1-Summary!$B$55)*(Inputs!$B$20+0+Skills!P12+B836)+Summary!$B$55*(Inputs!$B$21+Skills!Q12+B836))/100)*(1+Inputs!$B$16/100)*(5000/(6000+Inputs!$B$43*(1-Inputs!$B$19/100)))*(1+(Inputs!$B$24+((C832=TRUE)*(F832-Calc!F30)))/100)*(1+(IF(Skills!A12="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814)</f>
        <v/>
      </c>
      <c r="L814">
        <f>K814*(MIN(Inputs!$B$22+((C826=TRUE)*(F826-Calc!F24)),Inputs!$B$23+((C831=TRUE)*(F831-Calc!F29)))/100+(Inputs!$B$23+((C831=TRUE)*(F831-Calc!F29)))/100)/2</f>
        <v/>
      </c>
      <c r="M814">
        <f>L814*(1+(Inputs!$B$10+((C828=TRUE)*(F828-Calc!F26))+B842)/100)</f>
        <v/>
      </c>
      <c r="N814">
        <f>L814*(1-MIN((Inputs!$B$9+((C827=TRUE)*(F827-Calc!F25))+B835),100)/100)+M814*(MIN((Inputs!$B$9+((C827=TRUE)*(F827-Calc!F25))+B835),100)/100)</f>
        <v/>
      </c>
      <c r="O814">
        <f>IF(C814,H814*N814*IF(AND(Inputs!$B$39&lt;&gt;"pvp",Inputs!$B$44&gt;0),((Skills!G12*((R814-1)*IF(Skills!H12&gt;0,Skills!I12/Skills!H12,1)+IF(Skills!H12&gt;0,MIN(Skills!I12,MAX(0,MAX(0,Inputs!$B$44-B846)-((R814-1)*IF(Inputs!$B$39="pvp",15,MAX(0.1,Skills!D12-IF(Skills!E12=TRUE,Inputs!$B$32,0))))))/Skills!H12,1)))/Inputs!$B$44),G814*Q814)*IF(Inputs!$B$39="pvp",1,(1-Summary!$B$55)*(1)+Summary!$B$55*(MIN(Skills!W12,Inputs!$B$37))),0)</f>
        <v/>
      </c>
      <c r="P814">
        <f>IF(B847=0,0,O814/B847)</f>
        <v/>
      </c>
      <c r="Q814">
        <f>IFERROR(1/IF(Inputs!$B$39="pvp",15,MAX(0.1,Skills!D12-IF(Skills!E12=TRUE,Inputs!$B$32,0))),0)</f>
        <v/>
      </c>
      <c r="R814">
        <f>IF(AND(Inputs!$B$39&lt;&gt;"pvp",Inputs!$B$44&gt;0),IF(MAX(0,Inputs!$B$44-B846)&lt;=0,0,(INT(MAX(0,Inputs!$B$44-B846)/IF(Inputs!$B$39="pvp",15,MAX(0.1,Skills!D12-IF(Skills!E12=TRUE,Inputs!$B$32,0))))+1)),0)</f>
        <v/>
      </c>
      <c r="S814">
        <f>IFERROR(O814/N814,0)</f>
        <v/>
      </c>
    </row>
    <row r="815">
      <c r="A815">
        <f>Skills!A13</f>
        <v/>
      </c>
      <c r="B815">
        <f>Skills!B13</f>
        <v/>
      </c>
      <c r="C815">
        <f>Inputs!$B$3&gt;=105</f>
        <v/>
      </c>
      <c r="D815">
        <f>IF(Skills!C13=1,60+(Inputs!$B$25+1)+Inputs!$B$29,IF(Skills!C13=2,90+Inputs!$B$26+Inputs!$B$29,IF(Skills!C13=3,120+Inputs!$B$27+Inputs!$B$29,MAX(0,(Inputs!$B$3-100)*3)+Inputs!$B$28+Inputs!$B$29)))</f>
        <v/>
      </c>
      <c r="E815">
        <f>INDEX(FactorTable!$B$2:$Y$301, MATCH(ROUND(MIN(300,MAX(1,D815)),0), FactorTable!$A$2:$A$301,0), Skills!M13+1)</f>
        <v/>
      </c>
      <c r="F815">
        <f>IF(Skills!N13=TRUE,(Skills!L13/10)*(E815/1000),Skills!L13/10)+Skills!O13</f>
        <v/>
      </c>
      <c r="G815">
        <f>Skills!G13*IF(Skills!H13&gt;0,Skills!I13/Skills!H13,1)</f>
        <v/>
      </c>
      <c r="H815">
        <f>1-(1-Skills!J13/100)^Skills!K13</f>
        <v/>
      </c>
      <c r="I815" t="inlineStr">
        <is>
          <t>1</t>
        </is>
      </c>
      <c r="J815">
        <f>((Inputs!$B$6*(1+Inputs!$B$7/100))+(((Inputs!$B$12*(1+Inputs!$B$13/100))-(Inputs!$B$12*(1+Inputs!$B$13/100)))+0.25*(Inputs!$B$14-Inputs!$B$14))*(1+Inputs!$B$7/100))*(F815/100)</f>
        <v/>
      </c>
      <c r="K815">
        <f>J815*(1+((Inputs!$B$12*(1+Inputs!$B$13/100))*0.01+Inputs!$B$14*0.0025)/100)*(1+Inputs!$B$15/100)*(1+IF(Inputs!$B$39="pvp",0,(1-Summary!$B$55)*(Inputs!$B$20+0+Skills!P13+B836)+Summary!$B$55*(Inputs!$B$21+Skills!Q13+B836))/100)*(1+Inputs!$B$16/100)*(5000/(6000+Inputs!$B$43*(1-Inputs!$B$19/100)))*(1+(Inputs!$B$24+((C832=TRUE)*(F832-Calc!F30)))/100)*(1+(IF(Skills!A13="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815)</f>
        <v/>
      </c>
      <c r="L815">
        <f>K815*(MIN(Inputs!$B$22+((C826=TRUE)*(F826-Calc!F24)),Inputs!$B$23+((C831=TRUE)*(F831-Calc!F29)))/100+(Inputs!$B$23+((C831=TRUE)*(F831-Calc!F29)))/100)/2</f>
        <v/>
      </c>
      <c r="M815">
        <f>L815*(1+(Inputs!$B$10+((C828=TRUE)*(F828-Calc!F26))+B842)/100)</f>
        <v/>
      </c>
      <c r="N815">
        <f>L815*(1-MIN((Inputs!$B$9+((C827=TRUE)*(F827-Calc!F25))+B835),100)/100)+M815*(MIN((Inputs!$B$9+((C827=TRUE)*(F827-Calc!F25))+B835),100)/100)</f>
        <v/>
      </c>
      <c r="O815">
        <f>IF(C815,H815*N815*IF(AND(Inputs!$B$39&lt;&gt;"pvp",Inputs!$B$44&gt;0),((Skills!G13*((R815-1)*IF(Skills!H13&gt;0,Skills!I13/Skills!H13,1)+IF(Skills!H13&gt;0,MIN(Skills!I13,MAX(0,MAX(0,Inputs!$B$44-B846)-((R815-1)*IF(Inputs!$B$39="pvp",15,MAX(0.1,Skills!D13-IF(Skills!E13=TRUE,Inputs!$B$32,0))))))/Skills!H13,1)))/Inputs!$B$44),G815*Q815)*IF(Inputs!$B$39="pvp",1,(1-Summary!$B$55)*(1)+Summary!$B$55*(MIN(Skills!W13,Inputs!$B$37))),0)</f>
        <v/>
      </c>
      <c r="P815">
        <f>IF(B847=0,0,O815/B847)</f>
        <v/>
      </c>
      <c r="Q815">
        <f>IFERROR(1/IF(Inputs!$B$39="pvp",15,MAX(0.1,Skills!D13-IF(Skills!E13=TRUE,Inputs!$B$32,0))),0)</f>
        <v/>
      </c>
      <c r="R815">
        <f>IF(AND(Inputs!$B$39&lt;&gt;"pvp",Inputs!$B$44&gt;0),IF(MAX(0,Inputs!$B$44-B846)&lt;=0,0,(INT(MAX(0,Inputs!$B$44-B846)/IF(Inputs!$B$39="pvp",15,MAX(0.1,Skills!D13-IF(Skills!E13=TRUE,Inputs!$B$32,0))))+1)),0)</f>
        <v/>
      </c>
      <c r="S815">
        <f>IFERROR(O815/N815,0)</f>
        <v/>
      </c>
    </row>
    <row r="816">
      <c r="A816">
        <f>Skills!A14</f>
        <v/>
      </c>
      <c r="B816">
        <f>Skills!B14</f>
        <v/>
      </c>
      <c r="C816">
        <f>Inputs!$B$3&gt;=107</f>
        <v/>
      </c>
      <c r="D816">
        <f>IF(Skills!C14=1,60+(Inputs!$B$25+1)+Inputs!$B$29,IF(Skills!C14=2,90+Inputs!$B$26+Inputs!$B$29,IF(Skills!C14=3,120+Inputs!$B$27+Inputs!$B$29,MAX(0,(Inputs!$B$3-100)*3)+Inputs!$B$28+Inputs!$B$29)))</f>
        <v/>
      </c>
      <c r="E816">
        <f>INDEX(FactorTable!$B$2:$Y$301, MATCH(ROUND(MIN(300,MAX(1,D816)),0), FactorTable!$A$2:$A$301,0), Skills!M14+1)</f>
        <v/>
      </c>
      <c r="F816">
        <f>IF(Skills!N14=TRUE,(Skills!L14/10)*(E816/1000),Skills!L14/10)+Skills!O14</f>
        <v/>
      </c>
      <c r="G816">
        <f>Skills!G14*IF(Skills!H14&gt;0,Skills!I14/Skills!H14,1)</f>
        <v/>
      </c>
      <c r="H816">
        <f>1-(1-Skills!J14/100)^Skills!K14</f>
        <v/>
      </c>
      <c r="I816" t="inlineStr">
        <is>
          <t>1</t>
        </is>
      </c>
      <c r="J816">
        <f>((Inputs!$B$6*(1+Inputs!$B$7/100))+(((Inputs!$B$12*(1+Inputs!$B$13/100))-(Inputs!$B$12*(1+Inputs!$B$13/100)))+0.25*(Inputs!$B$14-Inputs!$B$14))*(1+Inputs!$B$7/100))*(F816/100)</f>
        <v/>
      </c>
      <c r="K816">
        <f>J816*(1+((Inputs!$B$12*(1+Inputs!$B$13/100))*0.01+Inputs!$B$14*0.0025)/100)*(1+Inputs!$B$15/100)*(1+IF(Inputs!$B$39="pvp",0,(1-Summary!$B$55)*(Inputs!$B$20+0+Skills!P14+B836)+Summary!$B$55*(Inputs!$B$21+Skills!Q14+B836))/100)*(1+Inputs!$B$16/100)*(5000/(6000+Inputs!$B$43*(1-Inputs!$B$19/100)))*(1+(Inputs!$B$24+((C832=TRUE)*(F832-Calc!F30)))/100)*(1+(IF(Skills!A14="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816)</f>
        <v/>
      </c>
      <c r="L816">
        <f>K816*(MIN(Inputs!$B$22+((C826=TRUE)*(F826-Calc!F24)),Inputs!$B$23+((C831=TRUE)*(F831-Calc!F29)))/100+(Inputs!$B$23+((C831=TRUE)*(F831-Calc!F29)))/100)/2</f>
        <v/>
      </c>
      <c r="M816">
        <f>L816*(1+(Inputs!$B$10+((C828=TRUE)*(F828-Calc!F26))+B842)/100)</f>
        <v/>
      </c>
      <c r="N816">
        <f>L816*(1-MIN((Inputs!$B$9+((C827=TRUE)*(F827-Calc!F25))+B835),100)/100)+M816*(MIN((Inputs!$B$9+((C827=TRUE)*(F827-Calc!F25))+B835),100)/100)</f>
        <v/>
      </c>
      <c r="O816">
        <f>IF(C816,H816*N816*IF(AND(Inputs!$B$39&lt;&gt;"pvp",Inputs!$B$44&gt;0),((Skills!G14*((R816-1)*IF(Skills!H14&gt;0,Skills!I14/Skills!H14,1)+IF(Skills!H14&gt;0,MIN(Skills!I14,MAX(0,MAX(0,Inputs!$B$44-B846)-((R816-1)*IF(Inputs!$B$39="pvp",15,MAX(0.1,Skills!D14-IF(Skills!E14=TRUE,Inputs!$B$32,0))))))/Skills!H14,1)))/Inputs!$B$44),G816*Q816)*IF(Inputs!$B$39="pvp",1,(1-Summary!$B$55)*(1)+Summary!$B$55*(MIN(MIN(5,0.25*B839*Skills!D4)*Skills!V14,Inputs!$B$37))),0)</f>
        <v/>
      </c>
      <c r="P816">
        <f>IF(B847=0,0,O816/B847)</f>
        <v/>
      </c>
      <c r="Q816">
        <f>IFERROR(1/IF(Inputs!$B$39="pvp",15,MAX(0.1,Skills!D14-IF(Skills!E14=TRUE,Inputs!$B$32,0))),0)</f>
        <v/>
      </c>
      <c r="R816">
        <f>IF(AND(Inputs!$B$39&lt;&gt;"pvp",Inputs!$B$44&gt;0),IF(MAX(0,Inputs!$B$44-B846)&lt;=0,0,(INT(MAX(0,Inputs!$B$44-B846)/IF(Inputs!$B$39="pvp",15,MAX(0.1,Skills!D14-IF(Skills!E14=TRUE,Inputs!$B$32,0))))+1)),0)</f>
        <v/>
      </c>
      <c r="S816">
        <f>IFERROR(O816/N816,0)</f>
        <v/>
      </c>
    </row>
    <row r="817">
      <c r="A817">
        <f>Skills!A15</f>
        <v/>
      </c>
      <c r="B817">
        <f>Skills!B15</f>
        <v/>
      </c>
      <c r="C817">
        <f>Inputs!$B$3&gt;=110</f>
        <v/>
      </c>
      <c r="D817">
        <f>IF(Skills!C15=1,60+(Inputs!$B$25+1)+Inputs!$B$29,IF(Skills!C15=2,90+Inputs!$B$26+Inputs!$B$29,IF(Skills!C15=3,120+Inputs!$B$27+Inputs!$B$29,MAX(0,(Inputs!$B$3-100)*3)+Inputs!$B$28+Inputs!$B$29)))</f>
        <v/>
      </c>
      <c r="E817">
        <f>INDEX(FactorTable!$B$2:$Y$301, MATCH(ROUND(MIN(300,MAX(1,D817)),0), FactorTable!$A$2:$A$301,0), Skills!M15+1)</f>
        <v/>
      </c>
      <c r="F817">
        <f>IF(Skills!N15=TRUE,(Skills!L15/10)*(E817/1000),Skills!L15/10)+Skills!O15</f>
        <v/>
      </c>
      <c r="G817">
        <f>Skills!G15*IF(Skills!H15&gt;0,Skills!I15/Skills!H15,1)</f>
        <v/>
      </c>
      <c r="H817">
        <f>1-(1-Skills!J15/100)^Skills!K15</f>
        <v/>
      </c>
      <c r="I817" t="inlineStr">
        <is>
          <t>1</t>
        </is>
      </c>
      <c r="J817" t="inlineStr"/>
      <c r="K817" t="inlineStr"/>
      <c r="L817" t="inlineStr"/>
      <c r="M817" t="inlineStr"/>
      <c r="N817" t="inlineStr"/>
      <c r="O817" t="n">
        <v>0</v>
      </c>
      <c r="P817">
        <f>IF(B847=0,0,O817/B847)</f>
        <v/>
      </c>
      <c r="Q817">
        <f>IFERROR(1/IF(Inputs!$B$39="pvp",15,MAX(0.1,Skills!D15-IF(Skills!E15=TRUE,Inputs!$B$32,0))),0)</f>
        <v/>
      </c>
      <c r="R817">
        <f>IF(AND(Inputs!$B$39&lt;&gt;"pvp",Inputs!$B$44&gt;0),IF(Inputs!$B$44&lt;=0,0,(INT(Inputs!$B$44/IF(Inputs!$B$39="pvp",15,MAX(0.1,Skills!D15-IF(Skills!E15=TRUE,Inputs!$B$32,0))))+1)),0)</f>
        <v/>
      </c>
      <c r="S817">
        <f>IFERROR(O817/N817,0)</f>
        <v/>
      </c>
    </row>
    <row r="818">
      <c r="A818">
        <f>Skills!A16</f>
        <v/>
      </c>
      <c r="B818">
        <f>Skills!B16</f>
        <v/>
      </c>
      <c r="C818">
        <f>Inputs!$B$3&gt;=115</f>
        <v/>
      </c>
      <c r="D818">
        <f>IF(Skills!C16=1,60+(Inputs!$B$25+1)+Inputs!$B$29,IF(Skills!C16=2,90+Inputs!$B$26+Inputs!$B$29,IF(Skills!C16=3,120+Inputs!$B$27+Inputs!$B$29,MAX(0,(Inputs!$B$3-100)*3)+Inputs!$B$28+Inputs!$B$29)))</f>
        <v/>
      </c>
      <c r="E818">
        <f>INDEX(FactorTable!$B$2:$Y$301, MATCH(ROUND(MIN(300,MAX(1,D818)),0), FactorTable!$A$2:$A$301,0), Skills!M16+1)</f>
        <v/>
      </c>
      <c r="F818">
        <f>IF(Skills!N16=TRUE,(Skills!L16/10)*(E818/1000),Skills!L16/10)+Skills!O16</f>
        <v/>
      </c>
      <c r="G818">
        <f>Skills!G16*IF(Skills!H16&gt;0,Skills!I16/Skills!H16,1)</f>
        <v/>
      </c>
      <c r="H818">
        <f>1-(1-Skills!J16/100)^Skills!K16</f>
        <v/>
      </c>
      <c r="I818" t="inlineStr">
        <is>
          <t>1</t>
        </is>
      </c>
      <c r="J818">
        <f>((Inputs!$B$6*(1+Inputs!$B$7/100))+(((Inputs!$B$12*(1+Inputs!$B$13/100))-(Inputs!$B$12*(1+Inputs!$B$13/100)))+0.25*(Inputs!$B$14-Inputs!$B$14))*(1+Inputs!$B$7/100))*(F818/100)</f>
        <v/>
      </c>
      <c r="K818">
        <f>J818*(1+((Inputs!$B$12*(1+Inputs!$B$13/100))*0.01+Inputs!$B$14*0.0025)/100)*(1+Inputs!$B$15/100)*(1+IF(Inputs!$B$39="pvp",0,(1-Summary!$B$55)*(Inputs!$B$20+0+Skills!P16+B836)+Summary!$B$55*(Inputs!$B$21+Skills!Q16+B836))/100)*(1+Inputs!$B$16/100)*(5000/(6000+Inputs!$B$43*(1-Inputs!$B$19/100)))*(1+(Inputs!$B$24+((C832=TRUE)*(F832-Calc!F30)))/100)*(1+(IF(Skills!A16="CRUEL_STAB",Inputs!$B$17+((C829=TRUE)*(F829-Calc!F27)),Inputs!$B$18+((C830=TRUE)*(F830-Calc!F28))))/100)*(((1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B837*I818)</f>
        <v/>
      </c>
      <c r="L818">
        <f>K818*(MIN(Inputs!$B$22+((C826=TRUE)*(F826-Calc!F24)),Inputs!$B$23+((C831=TRUE)*(F831-Calc!F29)))/100+(Inputs!$B$23+((C831=TRUE)*(F831-Calc!F29)))/100)/2</f>
        <v/>
      </c>
      <c r="M818">
        <f>L818*(1+(Inputs!$B$10+((C828=TRUE)*(F828-Calc!F26))+B842)/100)</f>
        <v/>
      </c>
      <c r="N818">
        <f>L818*(1-MIN((Inputs!$B$9+((C827=TRUE)*(F827-Calc!F25))+B835),100)/100)+M818*(MIN((Inputs!$B$9+((C827=TRUE)*(F827-Calc!F25))+B835),100)/100)</f>
        <v/>
      </c>
      <c r="O818">
        <f>IF(C818,Inputs!$B$38*0.2*N818,0)</f>
        <v/>
      </c>
      <c r="P818">
        <f>IF(B847=0,0,O818/B847)</f>
        <v/>
      </c>
      <c r="Q818" t="n">
        <v>0</v>
      </c>
      <c r="R818" t="n">
        <v>0</v>
      </c>
      <c r="S818">
        <f>IFERROR(O818/N818,0)</f>
        <v/>
      </c>
    </row>
    <row r="819">
      <c r="A819">
        <f>Skills!A17</f>
        <v/>
      </c>
      <c r="B819">
        <f>Skills!B17</f>
        <v/>
      </c>
      <c r="C819">
        <f>Inputs!$B$3&gt;=115</f>
        <v/>
      </c>
      <c r="D819">
        <f>IF(Skills!C17=1,60+(Inputs!$B$25+1)+Inputs!$B$29,IF(Skills!C17=2,90+Inputs!$B$26+Inputs!$B$29,IF(Skills!C17=3,120+Inputs!$B$27+Inputs!$B$29,MAX(0,(Inputs!$B$3-100)*3)+Inputs!$B$28+Inputs!$B$29)))</f>
        <v/>
      </c>
      <c r="E819">
        <f>INDEX(FactorTable!$B$2:$Y$301, MATCH(ROUND(MIN(300,MAX(1,D819)),0), FactorTable!$A$2:$A$301,0), Skills!M17+1)</f>
        <v/>
      </c>
      <c r="F819">
        <f>IF(Skills!N17=TRUE,(Skills!L17/10)*(E819/1000),Skills!L17/10)+Skills!O17</f>
        <v/>
      </c>
      <c r="G819">
        <f>Skills!G17*IF(Skills!H17&gt;0,Skills!I17/Skills!H17,1)</f>
        <v/>
      </c>
      <c r="H819">
        <f>1-(1-Skills!J17/100)^Skills!K17</f>
        <v/>
      </c>
      <c r="I819" t="inlineStr">
        <is>
          <t>1</t>
        </is>
      </c>
      <c r="J819" t="inlineStr"/>
      <c r="K819" t="inlineStr"/>
      <c r="L819" t="inlineStr"/>
      <c r="M819" t="inlineStr"/>
      <c r="N819" t="inlineStr"/>
      <c r="O819" t="n">
        <v>0</v>
      </c>
      <c r="P819">
        <f>IF(B847=0,0,O819/B847)</f>
        <v/>
      </c>
      <c r="Q819" t="n">
        <v>0</v>
      </c>
      <c r="R819" t="n">
        <v>0</v>
      </c>
      <c r="S819">
        <f>IFERROR(O819/N819,0)</f>
        <v/>
      </c>
    </row>
    <row r="820">
      <c r="A820">
        <f>Skills!A18</f>
        <v/>
      </c>
      <c r="B820">
        <f>Skills!B18</f>
        <v/>
      </c>
      <c r="C820">
        <f>Inputs!$B$3&gt;=100</f>
        <v/>
      </c>
      <c r="D820">
        <f>IF(Skills!C18=1,60+(Inputs!$B$25+1)+Inputs!$B$29,IF(Skills!C18=2,90+Inputs!$B$26+Inputs!$B$29,IF(Skills!C18=3,120+Inputs!$B$27+Inputs!$B$29,MAX(0,(Inputs!$B$3-100)*3)+Inputs!$B$28+Inputs!$B$29)))</f>
        <v/>
      </c>
      <c r="E820">
        <f>INDEX(FactorTable!$B$2:$Y$301, MATCH(ROUND(MIN(300,MAX(1,D820)),0), FactorTable!$A$2:$A$301,0), Skills!M18+1)</f>
        <v/>
      </c>
      <c r="F820">
        <f>IF(Skills!N18=TRUE,(Skills!L18/10)*(E820/1000),Skills!L18/10)+Skills!O18</f>
        <v/>
      </c>
      <c r="G820">
        <f>Skills!G18*IF(Skills!H18&gt;0,Skills!I18/Skills!H18,1)</f>
        <v/>
      </c>
      <c r="H820">
        <f>1-(1-Skills!J18/100)^Skills!K18</f>
        <v/>
      </c>
      <c r="I820" t="inlineStr">
        <is>
          <t>1</t>
        </is>
      </c>
      <c r="J820" t="inlineStr"/>
      <c r="K820" t="inlineStr"/>
      <c r="L820" t="inlineStr"/>
      <c r="M820" t="inlineStr"/>
      <c r="N820" t="inlineStr"/>
      <c r="O820" t="n">
        <v>0</v>
      </c>
      <c r="P820">
        <f>IF(B847=0,0,O820/B847)</f>
        <v/>
      </c>
      <c r="Q820" t="n">
        <v>0</v>
      </c>
      <c r="R820" t="n">
        <v>0</v>
      </c>
      <c r="S820">
        <f>IFERROR(O820/N820,0)</f>
        <v/>
      </c>
    </row>
    <row r="821">
      <c r="A821">
        <f>Skills!A19</f>
        <v/>
      </c>
      <c r="B821">
        <f>Skills!B19</f>
        <v/>
      </c>
      <c r="C821">
        <f>TRUE</f>
        <v/>
      </c>
      <c r="D821">
        <f>IF(Skills!C19=1,60+(Inputs!$B$25+1)+Inputs!$B$29,IF(Skills!C19=2,90+Inputs!$B$26+Inputs!$B$29,IF(Skills!C19=3,120+Inputs!$B$27+Inputs!$B$29,MAX(0,(Inputs!$B$3-100)*3)+Inputs!$B$28+Inputs!$B$29)))</f>
        <v/>
      </c>
      <c r="E821">
        <f>INDEX(FactorTable!$B$2:$Y$301, MATCH(ROUND(MIN(300,MAX(1,D821)),0), FactorTable!$A$2:$A$301,0), Skills!M19+1)</f>
        <v/>
      </c>
      <c r="F821">
        <f>IF(Skills!N19=TRUE,(Skills!L19/10)*(E821/1000),Skills!L19/10)+Skills!O19</f>
        <v/>
      </c>
      <c r="G821">
        <f>Skills!G19*IF(Skills!H19&gt;0,Skills!I19/Skills!H19,1)</f>
        <v/>
      </c>
      <c r="H821">
        <f>1-(1-Skills!J19/100)^Skills!K19</f>
        <v/>
      </c>
      <c r="I821" t="inlineStr">
        <is>
          <t>1</t>
        </is>
      </c>
      <c r="J821" t="inlineStr"/>
      <c r="K821" t="inlineStr"/>
      <c r="L821" t="inlineStr"/>
      <c r="M821" t="inlineStr"/>
      <c r="N821" t="inlineStr"/>
      <c r="O821" t="n">
        <v>0</v>
      </c>
      <c r="P821">
        <f>IF(B847=0,0,O821/B847)</f>
        <v/>
      </c>
      <c r="Q821">
        <f>IFERROR(1/IF(Inputs!$B$39="pvp",15,MAX(0.1,Skills!D19-IF(Skills!E19=TRUE,Inputs!$B$32,0))),0)</f>
        <v/>
      </c>
      <c r="R821">
        <f>IF(AND(Inputs!$B$39&lt;&gt;"pvp",Inputs!$B$44&gt;0),IF(Inputs!$B$44&lt;=0,0,(INT(Inputs!$B$44/IF(Inputs!$B$39="pvp",15,MAX(0.1,Skills!D19-IF(Skills!E19=TRUE,Inputs!$B$32,0))))+1)),0)</f>
        <v/>
      </c>
      <c r="S821">
        <f>IFERROR(O821/N821,0)</f>
        <v/>
      </c>
    </row>
    <row r="822">
      <c r="A822">
        <f>Skills!A20</f>
        <v/>
      </c>
      <c r="B822">
        <f>Skills!B20</f>
        <v/>
      </c>
      <c r="C822">
        <f>Inputs!$B$3&gt;=15</f>
        <v/>
      </c>
      <c r="D822">
        <f>IF(Skills!C20=1,60+(Inputs!$B$25+1)+Inputs!$B$29,IF(Skills!C20=2,90+Inputs!$B$26+Inputs!$B$29,IF(Skills!C20=3,120+Inputs!$B$27+Inputs!$B$29,MAX(0,(Inputs!$B$3-100)*3)+Inputs!$B$28+Inputs!$B$29)))</f>
        <v/>
      </c>
      <c r="E822">
        <f>INDEX(FactorTable!$B$2:$Y$301, MATCH(ROUND(MIN(300,MAX(1,D822)),0), FactorTable!$A$2:$A$301,0), Skills!M20+1)</f>
        <v/>
      </c>
      <c r="F822">
        <f>IF(Skills!N20=TRUE,(Skills!L20/10)*(E822/1000),Skills!L20/10)+Skills!O20</f>
        <v/>
      </c>
      <c r="G822">
        <f>Skills!G20*IF(Skills!H20&gt;0,Skills!I20/Skills!H20,1)</f>
        <v/>
      </c>
      <c r="H822">
        <f>1-(1-Skills!J20/100)^Skills!K20</f>
        <v/>
      </c>
      <c r="I822" t="inlineStr">
        <is>
          <t>1</t>
        </is>
      </c>
      <c r="J822" t="inlineStr"/>
      <c r="K822" t="inlineStr"/>
      <c r="L822" t="inlineStr"/>
      <c r="M822" t="inlineStr"/>
      <c r="N822" t="inlineStr"/>
      <c r="O822" t="n">
        <v>0</v>
      </c>
      <c r="P822">
        <f>IF(B847=0,0,O822/B847)</f>
        <v/>
      </c>
      <c r="Q822">
        <f>IFERROR(1/IF(Inputs!$B$39="pvp",15,MAX(0.1,Skills!D20-IF(Skills!E20=TRUE,Inputs!$B$32,0))),0)</f>
        <v/>
      </c>
      <c r="R822">
        <f>IF(AND(Inputs!$B$39&lt;&gt;"pvp",Inputs!$B$44&gt;0),IF(Inputs!$B$44&lt;=0,0,(INT(Inputs!$B$44/IF(Inputs!$B$39="pvp",15,MAX(0.1,Skills!D20-IF(Skills!E20=TRUE,Inputs!$B$32,0))))+1)),0)</f>
        <v/>
      </c>
      <c r="S822">
        <f>IFERROR(O822/N822,0)</f>
        <v/>
      </c>
    </row>
    <row r="823">
      <c r="A823">
        <f>Skills!A21</f>
        <v/>
      </c>
      <c r="B823">
        <f>Skills!B21</f>
        <v/>
      </c>
      <c r="C823">
        <f>Inputs!$B$3&gt;=15</f>
        <v/>
      </c>
      <c r="D823">
        <f>IF(Skills!C21=1,60+(Inputs!$B$25+1)+Inputs!$B$29,IF(Skills!C21=2,90+Inputs!$B$26+Inputs!$B$29,IF(Skills!C21=3,120+Inputs!$B$27+Inputs!$B$29,MAX(0,(Inputs!$B$3-100)*3)+Inputs!$B$28+Inputs!$B$29)))</f>
        <v/>
      </c>
      <c r="E823">
        <f>INDEX(FactorTable!$B$2:$Y$301, MATCH(ROUND(MIN(300,MAX(1,D823)),0), FactorTable!$A$2:$A$301,0), Skills!M21+1)</f>
        <v/>
      </c>
      <c r="F823">
        <f>IF(Skills!N21=TRUE,(Skills!L21/10)*(E823/1000),Skills!L21/10)+Skills!O21</f>
        <v/>
      </c>
      <c r="G823">
        <f>Skills!G21*IF(Skills!H21&gt;0,Skills!I21/Skills!H21,1)</f>
        <v/>
      </c>
      <c r="H823">
        <f>1-(1-Skills!J21/100)^Skills!K21</f>
        <v/>
      </c>
      <c r="I823" t="inlineStr">
        <is>
          <t>1</t>
        </is>
      </c>
      <c r="J823" t="inlineStr"/>
      <c r="K823" t="inlineStr"/>
      <c r="L823" t="inlineStr"/>
      <c r="M823" t="inlineStr"/>
      <c r="N823" t="inlineStr"/>
      <c r="O823" t="n">
        <v>0</v>
      </c>
      <c r="P823">
        <f>IF(B847=0,0,O823/B847)</f>
        <v/>
      </c>
      <c r="Q823">
        <f>IFERROR(1/IF(Inputs!$B$39="pvp",15,MAX(0.1,Skills!D21-IF(Skills!E21=TRUE,Inputs!$B$32,0))),0)</f>
        <v/>
      </c>
      <c r="R823">
        <f>IF(AND(Inputs!$B$39&lt;&gt;"pvp",Inputs!$B$44&gt;0),IF(Inputs!$B$44&lt;=0,0,(INT(Inputs!$B$44/IF(Inputs!$B$39="pvp",15,MAX(0.1,Skills!D21-IF(Skills!E21=TRUE,Inputs!$B$32,0))))+1)),0)</f>
        <v/>
      </c>
      <c r="S823">
        <f>IFERROR(O823/N823,0)</f>
        <v/>
      </c>
    </row>
    <row r="824">
      <c r="A824">
        <f>Skills!A22</f>
        <v/>
      </c>
      <c r="B824">
        <f>Skills!B22</f>
        <v/>
      </c>
      <c r="C824">
        <f>Inputs!$B$3&gt;=33</f>
        <v/>
      </c>
      <c r="D824">
        <f>IF(Skills!C22=1,60+(Inputs!$B$25+1)+Inputs!$B$29,IF(Skills!C22=2,90+Inputs!$B$26+Inputs!$B$29,IF(Skills!C22=3,120+Inputs!$B$27+Inputs!$B$29,MAX(0,(Inputs!$B$3-100)*3)+Inputs!$B$28+Inputs!$B$29)))</f>
        <v/>
      </c>
      <c r="E824">
        <f>INDEX(FactorTable!$B$2:$Y$301, MATCH(ROUND(MIN(300,MAX(1,D824)),0), FactorTable!$A$2:$A$301,0), Skills!M22+1)</f>
        <v/>
      </c>
      <c r="F824">
        <f>IF(Skills!N22=TRUE,(Skills!L22/10)*(E824/1000),Skills!L22/10)+Skills!O22</f>
        <v/>
      </c>
      <c r="G824">
        <f>Skills!G22*IF(Skills!H22&gt;0,Skills!I22/Skills!H22,1)</f>
        <v/>
      </c>
      <c r="H824">
        <f>1-(1-Skills!J22/100)^Skills!K22</f>
        <v/>
      </c>
      <c r="I824" t="inlineStr">
        <is>
          <t>1</t>
        </is>
      </c>
      <c r="J824" t="inlineStr"/>
      <c r="K824" t="inlineStr"/>
      <c r="L824" t="inlineStr"/>
      <c r="M824" t="inlineStr"/>
      <c r="N824" t="inlineStr"/>
      <c r="O824" t="n">
        <v>0</v>
      </c>
      <c r="P824">
        <f>IF(B847=0,0,O824/B847)</f>
        <v/>
      </c>
      <c r="Q824" t="n">
        <v>0</v>
      </c>
      <c r="R824" t="n">
        <v>0</v>
      </c>
      <c r="S824">
        <f>IFERROR(O824/N824,0)</f>
        <v/>
      </c>
    </row>
    <row r="825">
      <c r="A825">
        <f>Skills!A23</f>
        <v/>
      </c>
      <c r="B825">
        <f>Skills!B23</f>
        <v/>
      </c>
      <c r="C825">
        <f>Inputs!$B$3&gt;=40</f>
        <v/>
      </c>
      <c r="D825">
        <f>IF(Skills!C23=1,60+(Inputs!$B$25+1)+Inputs!$B$29,IF(Skills!C23=2,90+Inputs!$B$26+Inputs!$B$29,IF(Skills!C23=3,120+Inputs!$B$27+Inputs!$B$29,MAX(0,(Inputs!$B$3-100)*3)+Inputs!$B$28+Inputs!$B$29)))</f>
        <v/>
      </c>
      <c r="E825">
        <f>INDEX(FactorTable!$B$2:$Y$301, MATCH(ROUND(MIN(300,MAX(1,D825)),0), FactorTable!$A$2:$A$301,0), Skills!M23+1)</f>
        <v/>
      </c>
      <c r="F825">
        <f>IF(Skills!N23=TRUE,(Skills!L23/10)*(E825/1000),Skills!L23/10)+Skills!O23</f>
        <v/>
      </c>
      <c r="G825">
        <f>Skills!G23*IF(Skills!H23&gt;0,Skills!I23/Skills!H23,1)</f>
        <v/>
      </c>
      <c r="H825">
        <f>1-(1-Skills!J23/100)^Skills!K23</f>
        <v/>
      </c>
      <c r="I825" t="inlineStr">
        <is>
          <t>1</t>
        </is>
      </c>
      <c r="J825" t="inlineStr"/>
      <c r="K825" t="inlineStr"/>
      <c r="L825" t="inlineStr"/>
      <c r="M825" t="inlineStr"/>
      <c r="N825" t="inlineStr"/>
      <c r="O825" t="n">
        <v>0</v>
      </c>
      <c r="P825">
        <f>IF(B847=0,0,O825/B847)</f>
        <v/>
      </c>
      <c r="Q825" t="n">
        <v>0</v>
      </c>
      <c r="R825" t="n">
        <v>0</v>
      </c>
      <c r="S825">
        <f>IFERROR(O825/N825,0)</f>
        <v/>
      </c>
    </row>
    <row r="826">
      <c r="A826">
        <f>Skills!A24</f>
        <v/>
      </c>
      <c r="B826">
        <f>Skills!B24</f>
        <v/>
      </c>
      <c r="C826">
        <f>Inputs!$B$3&gt;=43</f>
        <v/>
      </c>
      <c r="D826">
        <f>IF(Skills!C24=1,60+(Inputs!$B$25+1)+Inputs!$B$29,IF(Skills!C24=2,90+Inputs!$B$26+Inputs!$B$29,IF(Skills!C24=3,120+Inputs!$B$27+Inputs!$B$29,MAX(0,(Inputs!$B$3-100)*3)+Inputs!$B$28+Inputs!$B$29)))</f>
        <v/>
      </c>
      <c r="E826">
        <f>INDEX(FactorTable!$B$2:$Y$301, MATCH(ROUND(MIN(300,MAX(1,D826)),0), FactorTable!$A$2:$A$301,0), Skills!M24+1)</f>
        <v/>
      </c>
      <c r="F826">
        <f>IF(Skills!N24=TRUE,(Skills!L24/10)*(E826/1000),Skills!L24/10)+Skills!O24</f>
        <v/>
      </c>
      <c r="G826">
        <f>Skills!G24*IF(Skills!H24&gt;0,Skills!I24/Skills!H24,1)</f>
        <v/>
      </c>
      <c r="H826">
        <f>1-(1-Skills!J24/100)^Skills!K24</f>
        <v/>
      </c>
      <c r="I826" t="inlineStr">
        <is>
          <t>1</t>
        </is>
      </c>
      <c r="J826" t="inlineStr"/>
      <c r="K826" t="inlineStr"/>
      <c r="L826" t="inlineStr"/>
      <c r="M826" t="inlineStr"/>
      <c r="N826" t="inlineStr"/>
      <c r="O826" t="n">
        <v>0</v>
      </c>
      <c r="P826">
        <f>IF(B847=0,0,O826/B847)</f>
        <v/>
      </c>
      <c r="Q826" t="n">
        <v>0</v>
      </c>
      <c r="R826" t="n">
        <v>0</v>
      </c>
      <c r="S826">
        <f>IFERROR(O826/N826,0)</f>
        <v/>
      </c>
    </row>
    <row r="827">
      <c r="A827">
        <f>Skills!A25</f>
        <v/>
      </c>
      <c r="B827">
        <f>Skills!B25</f>
        <v/>
      </c>
      <c r="C827">
        <f>Inputs!$B$3&gt;=50</f>
        <v/>
      </c>
      <c r="D827">
        <f>IF(Skills!C25=1,60+(Inputs!$B$25+1)+Inputs!$B$29,IF(Skills!C25=2,90+Inputs!$B$26+Inputs!$B$29,IF(Skills!C25=3,120+Inputs!$B$27+Inputs!$B$29,MAX(0,(Inputs!$B$3-100)*3)+Inputs!$B$28+Inputs!$B$29)))</f>
        <v/>
      </c>
      <c r="E827">
        <f>INDEX(FactorTable!$B$2:$Y$301, MATCH(ROUND(MIN(300,MAX(1,D827)),0), FactorTable!$A$2:$A$301,0), Skills!M25+1)</f>
        <v/>
      </c>
      <c r="F827">
        <f>IF(Skills!N25=TRUE,(Skills!L25/10)*(E827/1000),Skills!L25/10)+Skills!O25</f>
        <v/>
      </c>
      <c r="G827">
        <f>Skills!G25*IF(Skills!H25&gt;0,Skills!I25/Skills!H25,1)</f>
        <v/>
      </c>
      <c r="H827">
        <f>1-(1-Skills!J25/100)^Skills!K25</f>
        <v/>
      </c>
      <c r="I827" t="inlineStr">
        <is>
          <t>1</t>
        </is>
      </c>
      <c r="J827" t="inlineStr"/>
      <c r="K827" t="inlineStr"/>
      <c r="L827" t="inlineStr"/>
      <c r="M827" t="inlineStr"/>
      <c r="N827" t="inlineStr"/>
      <c r="O827" t="n">
        <v>0</v>
      </c>
      <c r="P827">
        <f>IF(B847=0,0,O827/B847)</f>
        <v/>
      </c>
      <c r="Q827" t="n">
        <v>0</v>
      </c>
      <c r="R827" t="n">
        <v>0</v>
      </c>
      <c r="S827">
        <f>IFERROR(O827/N827,0)</f>
        <v/>
      </c>
    </row>
    <row r="828">
      <c r="A828">
        <f>Skills!A26</f>
        <v/>
      </c>
      <c r="B828">
        <f>Skills!B26</f>
        <v/>
      </c>
      <c r="C828">
        <f>Inputs!$B$3&gt;=50</f>
        <v/>
      </c>
      <c r="D828">
        <f>IF(Skills!C26=1,60+(Inputs!$B$25+1)+Inputs!$B$29,IF(Skills!C26=2,90+Inputs!$B$26+Inputs!$B$29,IF(Skills!C26=3,120+Inputs!$B$27+Inputs!$B$29,MAX(0,(Inputs!$B$3-100)*3)+Inputs!$B$28+Inputs!$B$29)))</f>
        <v/>
      </c>
      <c r="E828">
        <f>INDEX(FactorTable!$B$2:$Y$301, MATCH(ROUND(MIN(300,MAX(1,D828)),0), FactorTable!$A$2:$A$301,0), Skills!M26+1)</f>
        <v/>
      </c>
      <c r="F828">
        <f>IF(Skills!N26=TRUE,(Skills!L26/10)*(E828/1000),Skills!L26/10)+Skills!O26</f>
        <v/>
      </c>
      <c r="G828">
        <f>Skills!G26*IF(Skills!H26&gt;0,Skills!I26/Skills!H26,1)</f>
        <v/>
      </c>
      <c r="H828">
        <f>1-(1-Skills!J26/100)^Skills!K26</f>
        <v/>
      </c>
      <c r="I828" t="inlineStr">
        <is>
          <t>1</t>
        </is>
      </c>
      <c r="J828" t="inlineStr"/>
      <c r="K828" t="inlineStr"/>
      <c r="L828" t="inlineStr"/>
      <c r="M828" t="inlineStr"/>
      <c r="N828" t="inlineStr"/>
      <c r="O828" t="n">
        <v>0</v>
      </c>
      <c r="P828">
        <f>IF(B847=0,0,O828/B847)</f>
        <v/>
      </c>
      <c r="Q828" t="n">
        <v>0</v>
      </c>
      <c r="R828" t="n">
        <v>0</v>
      </c>
      <c r="S828">
        <f>IFERROR(O828/N828,0)</f>
        <v/>
      </c>
    </row>
    <row r="829">
      <c r="A829">
        <f>Skills!A27</f>
        <v/>
      </c>
      <c r="B829">
        <f>Skills!B27</f>
        <v/>
      </c>
      <c r="C829">
        <f>Inputs!$B$3&gt;=38</f>
        <v/>
      </c>
      <c r="D829">
        <f>IF(Skills!C27=1,60+(Inputs!$B$25+1)+Inputs!$B$29,IF(Skills!C27=2,90+Inputs!$B$26+Inputs!$B$29,IF(Skills!C27=3,120+Inputs!$B$27+Inputs!$B$29,MAX(0,(Inputs!$B$3-100)*3)+Inputs!$B$28+Inputs!$B$29)))</f>
        <v/>
      </c>
      <c r="E829">
        <f>INDEX(FactorTable!$B$2:$Y$301, MATCH(ROUND(MIN(300,MAX(1,D829)),0), FactorTable!$A$2:$A$301,0), Skills!M27+1)</f>
        <v/>
      </c>
      <c r="F829">
        <f>IF(Skills!N27=TRUE,(Skills!L27/10)*(E829/1000),Skills!L27/10)+Skills!O27</f>
        <v/>
      </c>
      <c r="G829">
        <f>Skills!G27*IF(Skills!H27&gt;0,Skills!I27/Skills!H27,1)</f>
        <v/>
      </c>
      <c r="H829">
        <f>1-(1-Skills!J27/100)^Skills!K27</f>
        <v/>
      </c>
      <c r="I829" t="inlineStr">
        <is>
          <t>1</t>
        </is>
      </c>
      <c r="J829" t="inlineStr"/>
      <c r="K829" t="inlineStr"/>
      <c r="L829" t="inlineStr"/>
      <c r="M829" t="inlineStr"/>
      <c r="N829" t="inlineStr"/>
      <c r="O829" t="n">
        <v>0</v>
      </c>
      <c r="P829">
        <f>IF(B847=0,0,O829/B847)</f>
        <v/>
      </c>
      <c r="Q829" t="n">
        <v>0</v>
      </c>
      <c r="R829" t="n">
        <v>0</v>
      </c>
      <c r="S829">
        <f>IFERROR(O829/N829,0)</f>
        <v/>
      </c>
    </row>
    <row r="830">
      <c r="A830">
        <f>Skills!A28</f>
        <v/>
      </c>
      <c r="B830">
        <f>Skills!B28</f>
        <v/>
      </c>
      <c r="C830">
        <f>Inputs!$B$3&gt;=120</f>
        <v/>
      </c>
      <c r="D830">
        <f>IF(Skills!C28=1,60+(Inputs!$B$25+1)+Inputs!$B$29,IF(Skills!C28=2,90+Inputs!$B$26+Inputs!$B$29,IF(Skills!C28=3,120+Inputs!$B$27+Inputs!$B$29,MAX(0,(Inputs!$B$3-100)*3)+Inputs!$B$28+Inputs!$B$29)))</f>
        <v/>
      </c>
      <c r="E830">
        <f>INDEX(FactorTable!$B$2:$Y$301, MATCH(ROUND(MIN(300,MAX(1,D830)),0), FactorTable!$A$2:$A$301,0), Skills!M28+1)</f>
        <v/>
      </c>
      <c r="F830">
        <f>IF(Skills!N28=TRUE,(Skills!L28/10)*(E830/1000),Skills!L28/10)+Skills!O28</f>
        <v/>
      </c>
      <c r="G830">
        <f>Skills!G28*IF(Skills!H28&gt;0,Skills!I28/Skills!H28,1)</f>
        <v/>
      </c>
      <c r="H830">
        <f>1-(1-Skills!J28/100)^Skills!K28</f>
        <v/>
      </c>
      <c r="I830" t="inlineStr">
        <is>
          <t>1</t>
        </is>
      </c>
      <c r="J830" t="inlineStr"/>
      <c r="K830" t="inlineStr"/>
      <c r="L830" t="inlineStr"/>
      <c r="M830" t="inlineStr"/>
      <c r="N830" t="inlineStr"/>
      <c r="O830" t="n">
        <v>0</v>
      </c>
      <c r="P830">
        <f>IF(B847=0,0,O830/B847)</f>
        <v/>
      </c>
      <c r="Q830" t="n">
        <v>0</v>
      </c>
      <c r="R830" t="n">
        <v>0</v>
      </c>
      <c r="S830">
        <f>IFERROR(O830/N830,0)</f>
        <v/>
      </c>
    </row>
    <row r="831">
      <c r="A831">
        <f>Skills!A29</f>
        <v/>
      </c>
      <c r="B831">
        <f>Skills!B29</f>
        <v/>
      </c>
      <c r="C831">
        <f>Inputs!$B$3&gt;=120</f>
        <v/>
      </c>
      <c r="D831">
        <f>IF(Skills!C29=1,60+(Inputs!$B$25+1)+Inputs!$B$29,IF(Skills!C29=2,90+Inputs!$B$26+Inputs!$B$29,IF(Skills!C29=3,120+Inputs!$B$27+Inputs!$B$29,MAX(0,(Inputs!$B$3-100)*3)+Inputs!$B$28+Inputs!$B$29)))</f>
        <v/>
      </c>
      <c r="E831">
        <f>INDEX(FactorTable!$B$2:$Y$301, MATCH(ROUND(MIN(300,MAX(1,D831)),0), FactorTable!$A$2:$A$301,0), Skills!M29+1)</f>
        <v/>
      </c>
      <c r="F831">
        <f>IF(Skills!N29=TRUE,(Skills!L29/10)*(E831/1000),Skills!L29/10)+Skills!O29</f>
        <v/>
      </c>
      <c r="G831">
        <f>Skills!G29*IF(Skills!H29&gt;0,Skills!I29/Skills!H29,1)</f>
        <v/>
      </c>
      <c r="H831">
        <f>1-(1-Skills!J29/100)^Skills!K29</f>
        <v/>
      </c>
      <c r="I831" t="inlineStr">
        <is>
          <t>1</t>
        </is>
      </c>
      <c r="J831" t="inlineStr"/>
      <c r="K831" t="inlineStr"/>
      <c r="L831" t="inlineStr"/>
      <c r="M831" t="inlineStr"/>
      <c r="N831" t="inlineStr"/>
      <c r="O831" t="n">
        <v>0</v>
      </c>
      <c r="P831">
        <f>IF(B847=0,0,O831/B847)</f>
        <v/>
      </c>
      <c r="Q831" t="n">
        <v>0</v>
      </c>
      <c r="R831" t="n">
        <v>0</v>
      </c>
      <c r="S831">
        <f>IFERROR(O831/N831,0)</f>
        <v/>
      </c>
    </row>
    <row r="832">
      <c r="A832">
        <f>Skills!A30</f>
        <v/>
      </c>
      <c r="B832">
        <f>Skills!B30</f>
        <v/>
      </c>
      <c r="C832">
        <f>Inputs!$B$3&gt;=125</f>
        <v/>
      </c>
      <c r="D832">
        <f>IF(Skills!C30=1,60+(Inputs!$B$25+1)+Inputs!$B$29,IF(Skills!C30=2,90+Inputs!$B$26+Inputs!$B$29,IF(Skills!C30=3,120+Inputs!$B$27+Inputs!$B$29,MAX(0,(Inputs!$B$3-100)*3)+Inputs!$B$28+Inputs!$B$29)))</f>
        <v/>
      </c>
      <c r="E832">
        <f>INDEX(FactorTable!$B$2:$Y$301, MATCH(ROUND(MIN(300,MAX(1,D832)),0), FactorTable!$A$2:$A$301,0), Skills!M30+1)</f>
        <v/>
      </c>
      <c r="F832">
        <f>IF(Skills!N30=TRUE,(Skills!L30/10)*(E832/1000),Skills!L30/10)+Skills!O30</f>
        <v/>
      </c>
      <c r="G832">
        <f>Skills!G30*IF(Skills!H30&gt;0,Skills!I30/Skills!H30,1)</f>
        <v/>
      </c>
      <c r="H832">
        <f>1-(1-Skills!J30/100)^Skills!K30</f>
        <v/>
      </c>
      <c r="I832" t="inlineStr">
        <is>
          <t>1</t>
        </is>
      </c>
      <c r="J832" t="inlineStr"/>
      <c r="K832" t="inlineStr"/>
      <c r="L832" t="inlineStr"/>
      <c r="M832" t="inlineStr"/>
      <c r="N832" t="inlineStr"/>
      <c r="O832" t="n">
        <v>0</v>
      </c>
      <c r="P832">
        <f>IF(B847=0,0,O832/B847)</f>
        <v/>
      </c>
      <c r="Q832" t="n">
        <v>0</v>
      </c>
      <c r="R832" t="n">
        <v>0</v>
      </c>
      <c r="S832">
        <f>IFERROR(O832/N832,0)</f>
        <v/>
      </c>
    </row>
    <row r="834">
      <c r="A834" t="inlineStr">
        <is>
          <t>Average Buff Multiplier</t>
        </is>
      </c>
      <c r="B834">
        <f>(1+(((C823=TRUE)*F823*IF(AND(Inputs!$B$39&lt;&gt;"pvp",Inputs!$B$44&gt;0),(((R823-1)*(Skills!Y21*(1+Inputs!$B$34/100))+MIN((Skills!Y21*(1+Inputs!$B$34/100)),MAX(0,Inputs!$B$44-((R823-1)*Skills!D21))))/Inputs!$B$44),IF(Inputs!$B$39="pvp",MIN((Skills!Y21*(1+Inputs!$B$34/100)),15)/15,(Skills!Y21*(1+Inputs!$B$34/100))/Skills!D21)))+((C825=TRUE)*(F825-Calc!F23))+((C819=TRUE)*(F819-Calc!F17)))/100)*(1+((C812=TRUE)*F812*IF(AND(Inputs!$B$39&lt;&gt;"pvp",Inputs!$B$44&gt;0),(((R812-1)*(Skills!Y10*(1+Inputs!$B$34/100))+MIN((Skills!Y10*(1+Inputs!$B$34/100)),MAX(0,Inputs!$B$44-((R812-1)*Skills!D10))))/Inputs!$B$44),IF(Inputs!$B$39="pvp",MIN((Skills!Y10*(1+Inputs!$B$34/100)),15)/15,(Skills!Y10*(1+Inputs!$B$34/100))/Skills!D10)))/100)*(1+((C817=TRUE)*F817*IF(AND(Inputs!$B$39&lt;&gt;"pvp",Inputs!$B$44&gt;0),(((R817-1)*(Skills!Y15*(1+Inputs!$B$34/100))+MIN((Skills!Y15*(1+Inputs!$B$34/100)),MAX(0,Inputs!$B$44-((R817-1)*Skills!D15))))/Inputs!$B$44),IF(Inputs!$B$39="pvp",MIN((Skills!Y15*(1+Inputs!$B$34/100)),15)/15,(Skills!Y15*(1+Inputs!$B$34/100))/Skills!D15)))/100)</f>
        <v/>
      </c>
    </row>
    <row r="835">
      <c r="A835" t="inlineStr">
        <is>
          <t>Global Crit Rate Bonus %</t>
        </is>
      </c>
      <c r="B835">
        <f>((C822=TRUE)*F822*IF(AND(Inputs!$B$39&lt;&gt;"pvp",Inputs!$B$44&gt;0),(((R822-1)*(Skills!Y20*(1+Inputs!$B$34/100))+MIN((Skills!Y20*(1+Inputs!$B$34/100)),MAX(0,Inputs!$B$44-((R822-1)*Skills!D20))))/Inputs!$B$44),IF(Inputs!$B$39="pvp",MIN((Skills!Y20*(1+Inputs!$B$34/100)),15)/15,(Skills!Y20*(1+Inputs!$B$34/100))/Skills!D20)))</f>
        <v/>
      </c>
    </row>
    <row r="836">
      <c r="A836" t="inlineStr">
        <is>
          <t>Global Monster Damage-Taken Bonus %</t>
        </is>
      </c>
      <c r="B836">
        <f>IF(Inputs!$B$3&gt;=82,15,0)</f>
        <v/>
      </c>
    </row>
    <row r="837">
      <c r="A837" t="inlineStr">
        <is>
          <t>Shadow Partner Average Multiplier</t>
        </is>
      </c>
      <c r="B837">
        <f>1+((C809=TRUE)*F809*(1+3.3333333333333335*IF(C820=TRUE,F820,0)/100)*I809*Skills!J7/100)/100</f>
        <v/>
      </c>
    </row>
    <row r="838">
      <c r="A838" t="inlineStr">
        <is>
          <t>Attack Speed Buff Bonus %</t>
        </is>
      </c>
      <c r="B838">
        <f>((C821=TRUE)*F821*IF(AND(Inputs!$B$39&lt;&gt;"pvp",Inputs!$B$44&gt;0),(((R821-1)*(Skills!Y19*(1+Inputs!$B$34/100))+MIN((Skills!Y19*(1+Inputs!$B$34/100)),MAX(0,Inputs!$B$44-((R821-1)*Skills!D19))))/Inputs!$B$44),IF(Inputs!$B$39="pvp",MIN((Skills!Y19*(1+Inputs!$B$34/100)),15)/15,(Skills!Y19*(1+Inputs!$B$34/100))/Skills!D19)))+((C805=TRUE)*F805*3)</f>
        <v/>
      </c>
    </row>
    <row r="839">
      <c r="A839" t="inlineStr">
        <is>
          <t>Actions Per Second</t>
        </is>
      </c>
      <c r="B839">
        <f>1+MIN(150,150*(1-(1-(Inputs!$B$11+((C824=TRUE)*(F824-Calc!F22)))/150)*(1-B838/150)))/100</f>
        <v/>
      </c>
    </row>
    <row r="840">
      <c r="A840" t="inlineStr">
        <is>
          <t>Skill + Buff Cast Rate</t>
        </is>
      </c>
      <c r="B840">
        <f>IF(AND(Inputs!$B$39&lt;&gt;"pvp",Inputs!$B$44&gt;0),SUMPRODUCT((Skills!E2:E30=TRUE)*(C804:C832=TRUE)*R804:R832*Skills!F2:F30)/Inputs!$B$44,SUMPRODUCT((Skills!E2:E30=TRUE)*(C804:C832=TRUE)*Q804:Q832*Skills!F2:F30))</f>
        <v/>
      </c>
    </row>
    <row r="841">
      <c r="A841" t="inlineStr">
        <is>
          <t>Cruel Stab Casts Per Second</t>
        </is>
      </c>
      <c r="B841">
        <f>MAX(0,B839-B840)</f>
        <v/>
      </c>
    </row>
    <row r="842">
      <c r="A842" t="inlineStr">
        <is>
          <t>Global Critical Damage Bonus % (Smokescreen Mastery Lv.113)</t>
        </is>
      </c>
      <c r="B842">
        <f>IF(Inputs!$B$3&gt;=113,30,0)*IF(AND(Inputs!$B$39&lt;&gt;"pvp",Inputs!$B$44&gt;0),(((R817-1)*(Skills!Y15*(1+Inputs!$B$34/100))+MIN((Skills!Y15*(1+Inputs!$B$34/100)),MAX(0,Inputs!$B$44-((R817-1)*Skills!D15))))/Inputs!$B$44),IF(Inputs!$B$39="pvp",MIN((Skills!Y15*(1+Inputs!$B$34/100)),15)/15,(Skills!Y15*(1+Inputs!$B$34/100))/Skills!D15))</f>
        <v/>
      </c>
    </row>
    <row r="843">
      <c r="A843" t="inlineStr">
        <is>
          <t>Meso Explosion average stack count</t>
        </is>
      </c>
      <c r="B843">
        <f>MIN(10,0.5*B839*Skills!D4)</f>
        <v/>
      </c>
    </row>
    <row r="844">
      <c r="A844" t="inlineStr">
        <is>
          <t>Blood Money average stack count</t>
        </is>
      </c>
      <c r="B844">
        <f>MIN(5,0.25*B839*Skills!D4)</f>
        <v/>
      </c>
    </row>
    <row r="845">
      <c r="A845" t="inlineStr">
        <is>
          <t>Assassinate Murderous Intent Multiplier</t>
        </is>
      </c>
      <c r="B845">
        <f>1+IFERROR(MIN(1,Q816*2/Q813),0)</f>
        <v/>
      </c>
    </row>
    <row r="846">
      <c r="A846" t="inlineStr">
        <is>
          <t>Buff-Casting Startup Delay (s, fixed-duration only)</t>
        </is>
      </c>
      <c r="B846">
        <f>IF(AND(Inputs!$B$39&lt;&gt;"pvp",Inputs!$B$44&gt;0),SUMPRODUCT((Skills!Y2:Y30&gt;0)*(Skills!E2:E30=TRUE)*(C804:C832=TRUE))/B839,0)</f>
        <v/>
      </c>
    </row>
    <row r="847">
      <c r="A847" s="5" t="inlineStr">
        <is>
          <t>TOTAL DPS</t>
        </is>
      </c>
      <c r="B847" s="5">
        <f>SUM(O804:O832)</f>
        <v/>
      </c>
    </row>
    <row r="850">
      <c r="A850" s="5" t="inlineStr">
        <is>
          <t>Stat: Skill Level Bonus — 2nd Job</t>
        </is>
      </c>
    </row>
    <row r="851">
      <c r="A851" s="9" t="inlineStr">
        <is>
          <t>Key</t>
        </is>
      </c>
      <c r="B851" s="9" t="inlineStr">
        <is>
          <t>Name</t>
        </is>
      </c>
      <c r="C851" s="9" t="inlineStr">
        <is>
          <t>Unlocked</t>
        </is>
      </c>
      <c r="D851" s="9" t="inlineStr">
        <is>
          <t>InputLevel</t>
        </is>
      </c>
      <c r="E851" s="9" t="inlineStr">
        <is>
          <t>Factor</t>
        </is>
      </c>
      <c r="F851" s="9" t="inlineStr">
        <is>
          <t>CoefficientPercent</t>
        </is>
      </c>
      <c r="G851" s="9" t="inlineStr">
        <is>
          <t>EffectiveHits</t>
        </is>
      </c>
      <c r="H851" s="9" t="inlineStr">
        <is>
          <t>ProcProbability</t>
        </is>
      </c>
      <c r="I851" s="9" t="inlineStr">
        <is>
          <t>MapleHeroMultiplier</t>
        </is>
      </c>
      <c r="J851" s="9" t="inlineStr">
        <is>
          <t>BaseDamage</t>
        </is>
      </c>
      <c r="K851" s="9" t="inlineStr">
        <is>
          <t>BaseHitDamage</t>
        </is>
      </c>
      <c r="L851" s="9" t="inlineStr">
        <is>
          <t>NonCritAvg</t>
        </is>
      </c>
      <c r="M851" s="9" t="inlineStr">
        <is>
          <t>CritAvg</t>
        </is>
      </c>
      <c r="N851" s="9" t="inlineStr">
        <is>
          <t>ExpectedDamage(perHit)</t>
        </is>
      </c>
      <c r="O851" s="9" t="inlineStr">
        <is>
          <t>DPS</t>
        </is>
      </c>
      <c r="P851" s="9" t="inlineStr">
        <is>
          <t>% of Total</t>
        </is>
      </c>
      <c r="Q851" s="9" t="inlineStr">
        <is>
          <t>InvCooldown</t>
        </is>
      </c>
      <c r="R851" s="9" t="inlineStr">
        <is>
          <t>CastsInFight</t>
        </is>
      </c>
      <c r="S851" s="9" t="inlineStr">
        <is>
          <t>HitRate(perSec)</t>
        </is>
      </c>
      <c r="U851" t="inlineStr">
        <is>
          <t>helpers</t>
        </is>
      </c>
    </row>
    <row r="852">
      <c r="A852">
        <f>Skills!A2</f>
        <v/>
      </c>
      <c r="B852">
        <f>Skills!B2</f>
        <v/>
      </c>
      <c r="C852">
        <f>Inputs!$B$3&gt;=100</f>
        <v/>
      </c>
      <c r="D852" t="inlineStr"/>
      <c r="E852" t="inlineStr"/>
      <c r="F852">
        <f>U854+Skills!O2</f>
        <v/>
      </c>
      <c r="G852">
        <f>Skills!G2*IF(Skills!H2&gt;0,Skills!I2/Skills!H2,1)</f>
        <v/>
      </c>
      <c r="H852">
        <f>1-(1-Skills!J2/100)^Skills!K2</f>
        <v/>
      </c>
      <c r="I852" t="inlineStr">
        <is>
          <t>1</t>
        </is>
      </c>
      <c r="J852">
        <f>((Inputs!$B$6*(1+Inputs!$B$7/100))+(((Inputs!$B$12*(1+Inputs!$B$13/100))-(Inputs!$B$12*(1+Inputs!$B$13/100)))+0.25*(Inputs!$B$14-Inputs!$B$14))*(1+Inputs!$B$7/100))*(F852/100)</f>
        <v/>
      </c>
      <c r="K852">
        <f>J852*(1+((Inputs!$B$12*(1+Inputs!$B$13/100))*0.01+Inputs!$B$14*0.0025)/100)*(1+Inputs!$B$15/100)*(1+IF(Inputs!$B$39="pvp",0,(1-Summary!$B$55)*(Inputs!$B$20+0+Skills!P2+B884)+Summary!$B$55*(Inputs!$B$21+Skills!Q2+B884))/100)*(1+Inputs!$B$16/100)*(5000/(6000+Inputs!$B$43*(1-Inputs!$B$19/100)))*(1+(Inputs!$B$24+((C880=TRUE)*(F880-Calc!F30)))/100)*(1+(IF(Skills!A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852)</f>
        <v/>
      </c>
      <c r="L852">
        <f>K852*(MIN(Inputs!$B$22+((C874=TRUE)*(F874-Calc!F24)),Inputs!$B$23+((C879=TRUE)*(F879-Calc!F29)))/100+(Inputs!$B$23+((C879=TRUE)*(F879-Calc!F29)))/100)/2</f>
        <v/>
      </c>
      <c r="M852">
        <f>L852*(1+(Inputs!$B$10+((C876=TRUE)*(F876-Calc!F26))+B890)/100)</f>
        <v/>
      </c>
      <c r="N852">
        <f>L852*(1-MIN((Inputs!$B$9+((C875=TRUE)*(F875-Calc!F25))+B883),100)/100)+M852*(MIN((Inputs!$B$9+((C875=TRUE)*(F875-Calc!F25))+B883),100)/100)</f>
        <v/>
      </c>
      <c r="O852">
        <f>IF(C852,Skills!G2*N852*B889*IF(Inputs!$B$39="pvp",1,(1-Summary!$B$55)*(1)+Summary!$B$55*(MIN((6+Inputs!$B$33),Inputs!$B$37))),0)</f>
        <v/>
      </c>
      <c r="P852">
        <f>IF(B895=0,0,O852/B895)</f>
        <v/>
      </c>
      <c r="Q852" t="n">
        <v>0</v>
      </c>
      <c r="R852" t="n">
        <v>0</v>
      </c>
      <c r="S852">
        <f>IFERROR(O852/N852,0)</f>
        <v/>
      </c>
      <c r="U852">
        <f>MAX(0,(Inputs!$B$3-100)*3)+Inputs!$B$28+Inputs!$B$29</f>
        <v/>
      </c>
    </row>
    <row r="853">
      <c r="A853">
        <f>Skills!A3</f>
        <v/>
      </c>
      <c r="B853">
        <f>Skills!B3</f>
        <v/>
      </c>
      <c r="C853">
        <f>Inputs!$B$3&gt;=35</f>
        <v/>
      </c>
      <c r="D853">
        <f>IF(Skills!C3=1,60+Inputs!$B$25+Inputs!$B$29,IF(Skills!C3=2,90+(Inputs!$B$26+1)+Inputs!$B$29,IF(Skills!C3=3,120+Inputs!$B$27+Inputs!$B$29,MAX(0,(Inputs!$B$3-100)*3)+Inputs!$B$28+Inputs!$B$29)))</f>
        <v/>
      </c>
      <c r="E853">
        <f>INDEX(FactorTable!$B$2:$Y$301, MATCH(ROUND(MIN(300,MAX(1,D853)),0), FactorTable!$A$2:$A$301,0), Skills!M3+1)</f>
        <v/>
      </c>
      <c r="F853">
        <f>IF(Skills!N3=TRUE,(Skills!L3/10)*(E853/1000),Skills!L3/10)+Skills!O3</f>
        <v/>
      </c>
      <c r="G853">
        <f>Skills!G3*IF(Skills!H3&gt;0,Skills!I3/Skills!H3,1)</f>
        <v/>
      </c>
      <c r="H853">
        <f>1-(1-Skills!J3/100)^Skills!K3</f>
        <v/>
      </c>
      <c r="I853" t="inlineStr">
        <is>
          <t>1</t>
        </is>
      </c>
      <c r="J853" t="inlineStr"/>
      <c r="K853" t="inlineStr"/>
      <c r="L853" t="inlineStr"/>
      <c r="M853" t="inlineStr"/>
      <c r="N853" t="inlineStr"/>
      <c r="O853" t="n">
        <v>0</v>
      </c>
      <c r="P853">
        <f>IF(B895=0,0,O853/B895)</f>
        <v/>
      </c>
      <c r="Q853" t="n">
        <v>0</v>
      </c>
      <c r="R853" t="n">
        <v>0</v>
      </c>
      <c r="S853">
        <f>IFERROR(O853/N853,0)</f>
        <v/>
      </c>
      <c r="U853">
        <f>INDEX(FactorTable!$B$2:$Y$301, MATCH(ROUND(MIN(300,MAX(1,U852)),0), FactorTable!$A$2:$A$301,0), 22)</f>
        <v/>
      </c>
    </row>
    <row r="854">
      <c r="A854">
        <f>Skills!A4</f>
        <v/>
      </c>
      <c r="B854">
        <f>Skills!B4</f>
        <v/>
      </c>
      <c r="C854">
        <f>Inputs!$B$3&gt;=66</f>
        <v/>
      </c>
      <c r="D854">
        <f>IF(Skills!C4=1,60+Inputs!$B$25+Inputs!$B$29,IF(Skills!C4=2,90+(Inputs!$B$26+1)+Inputs!$B$29,IF(Skills!C4=3,120+Inputs!$B$27+Inputs!$B$29,MAX(0,(Inputs!$B$3-100)*3)+Inputs!$B$28+Inputs!$B$29)))</f>
        <v/>
      </c>
      <c r="E854">
        <f>INDEX(FactorTable!$B$2:$Y$301, MATCH(ROUND(MIN(300,MAX(1,D854)),0), FactorTable!$A$2:$A$301,0), Skills!M4+1)</f>
        <v/>
      </c>
      <c r="F854">
        <f>IF(Skills!N4=TRUE,(Skills!L4/10)*(E854/1000),Skills!L4/10)+Skills!O4</f>
        <v/>
      </c>
      <c r="G854">
        <f>Skills!G4*IF(Skills!H4&gt;0,Skills!I4/Skills!H4,1)</f>
        <v/>
      </c>
      <c r="H854">
        <f>1-(1-Skills!J4/100)^Skills!K4</f>
        <v/>
      </c>
      <c r="I854" t="inlineStr">
        <is>
          <t>1</t>
        </is>
      </c>
      <c r="J854">
        <f>((Inputs!$B$6*(1+Inputs!$B$7/100))+(((Inputs!$B$12*(1+Inputs!$B$13/100))-(Inputs!$B$12*(1+Inputs!$B$13/100)))+0.25*(Inputs!$B$14-Inputs!$B$14))*(1+Inputs!$B$7/100))*(F854/100)</f>
        <v/>
      </c>
      <c r="K854">
        <f>J854*(1+((Inputs!$B$12*(1+Inputs!$B$13/100))*0.01+Inputs!$B$14*0.0025)/100)*(1+Inputs!$B$15/100)*(1+IF(Inputs!$B$39="pvp",0,(1-Summary!$B$55)*(Inputs!$B$20+0+Skills!P4+B884)+Summary!$B$55*(Inputs!$B$21+Skills!Q4+B884))/100)*(1+Inputs!$B$16/100)*(5000/(6000+Inputs!$B$43*(1-Inputs!$B$19/100)))*(1+(Inputs!$B$24+((C880=TRUE)*(F880-Calc!F30)))/100)*(1+(IF(Skills!A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854)</f>
        <v/>
      </c>
      <c r="L854">
        <f>K854*(MIN(Inputs!$B$22+((C874=TRUE)*(F874-Calc!F24)),Inputs!$B$23+((C879=TRUE)*(F879-Calc!F29)))/100+(Inputs!$B$23+((C879=TRUE)*(F879-Calc!F29)))/100)/2</f>
        <v/>
      </c>
      <c r="M854">
        <f>L854*(1+(Inputs!$B$10+((C876=TRUE)*(F876-Calc!F26))+B890)/100)</f>
        <v/>
      </c>
      <c r="N854">
        <f>L854*(1-MIN((Inputs!$B$9+((C875=TRUE)*(F875-Calc!F25))+B883),100)/100)+M854*(MIN((Inputs!$B$9+((C875=TRUE)*(F875-Calc!F25))+B883),100)/100)</f>
        <v/>
      </c>
      <c r="O854">
        <f>IF(C854,H854*N854*IF(AND(Inputs!$B$39&lt;&gt;"pvp",Inputs!$B$44&gt;0),((Skills!G4*((R854-1)*IF(Skills!H4&gt;0,Skills!I4/Skills!H4,1)+IF(Skills!H4&gt;0,MIN(Skills!I4,MAX(0,MAX(0,Inputs!$B$44-B894)-((R854-1)*IF(Inputs!$B$39="pvp",15,MAX(0.1,Skills!D4-IF(Skills!E4=TRUE,Inputs!$B$32,0))))))/Skills!H4,1)))/Inputs!$B$44),G854*Q854)*IF(Inputs!$B$39="pvp",1,(1-Summary!$B$55)*(1)+Summary!$B$55*(MIN(MIN(10,0.5*B887*Skills!D4),Inputs!$B$37))),0)</f>
        <v/>
      </c>
      <c r="P854">
        <f>IF(B895=0,0,O854/B895)</f>
        <v/>
      </c>
      <c r="Q854">
        <f>IFERROR(1/IF(Inputs!$B$39="pvp",15,MAX(0.1,Skills!D4-IF(Skills!E4=TRUE,Inputs!$B$32,0))),0)</f>
        <v/>
      </c>
      <c r="R854">
        <f>IF(AND(Inputs!$B$39&lt;&gt;"pvp",Inputs!$B$44&gt;0),IF(MAX(0,Inputs!$B$44-B894)&lt;=0,0,(INT(MAX(0,Inputs!$B$44-B894)/IF(Inputs!$B$39="pvp",15,MAX(0.1,Skills!D4-IF(Skills!E4=TRUE,Inputs!$B$32,0))))+1)),0)</f>
        <v/>
      </c>
      <c r="S854">
        <f>IFERROR(O854/N854,0)</f>
        <v/>
      </c>
      <c r="U854">
        <f>290*U853/1000</f>
        <v/>
      </c>
    </row>
    <row r="855">
      <c r="A855">
        <f>Skills!A5</f>
        <v/>
      </c>
      <c r="B855">
        <f>Skills!B5</f>
        <v/>
      </c>
      <c r="C855">
        <f>Inputs!$B$3&gt;=63</f>
        <v/>
      </c>
      <c r="D855">
        <f>IF(Skills!C5=1,60+Inputs!$B$25+Inputs!$B$29,IF(Skills!C5=2,90+(Inputs!$B$26+1)+Inputs!$B$29,IF(Skills!C5=3,120+Inputs!$B$27+Inputs!$B$29,MAX(0,(Inputs!$B$3-100)*3)+Inputs!$B$28+Inputs!$B$29)))</f>
        <v/>
      </c>
      <c r="E855">
        <f>INDEX(FactorTable!$B$2:$Y$301, MATCH(ROUND(MIN(300,MAX(1,D855)),0), FactorTable!$A$2:$A$301,0), Skills!M5+1)</f>
        <v/>
      </c>
      <c r="F855">
        <f>IF(Skills!N5=TRUE,(Skills!L5/10)*(E855/1000),Skills!L5/10)+Skills!O5</f>
        <v/>
      </c>
      <c r="G855">
        <f>Skills!G5*IF(Skills!H5&gt;0,Skills!I5/Skills!H5,1)</f>
        <v/>
      </c>
      <c r="H855">
        <f>1-(1-Skills!J5/100)^Skills!K5</f>
        <v/>
      </c>
      <c r="I855" t="inlineStr">
        <is>
          <t>1</t>
        </is>
      </c>
      <c r="J855">
        <f>((Inputs!$B$6*(1+Inputs!$B$7/100))+(((Inputs!$B$12*(1+Inputs!$B$13/100))-(Inputs!$B$12*(1+Inputs!$B$13/100)))+0.25*(Inputs!$B$14-Inputs!$B$14))*(1+Inputs!$B$7/100))*(F855/100)</f>
        <v/>
      </c>
      <c r="K855">
        <f>J855*(1+((Inputs!$B$12*(1+Inputs!$B$13/100))*0.01+Inputs!$B$14*0.0025)/100)*(1+Inputs!$B$15/100)*(1+IF(Inputs!$B$39="pvp",0,(1-Summary!$B$55)*(Inputs!$B$20+0+Skills!P5+B884)+Summary!$B$55*(Inputs!$B$21+Skills!Q5+B884))/100)*(1+Inputs!$B$16/100)*(5000/(6000+Inputs!$B$43*(1-Inputs!$B$19/100)))*(1+(Inputs!$B$24+((C880=TRUE)*(F880-Calc!F30)))/100)*(1+2.6666666666666665*IF(C868=TRUE,F868,0)/100)*(1+(IF(Skills!A5="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855)</f>
        <v/>
      </c>
      <c r="L855">
        <f>K855*(MIN(Inputs!$B$22+((C874=TRUE)*(F874-Calc!F24)),Inputs!$B$23+((C879=TRUE)*(F879-Calc!F29)))/100+(Inputs!$B$23+((C879=TRUE)*(F879-Calc!F29)))/100)/2</f>
        <v/>
      </c>
      <c r="M855">
        <f>L855*(1+(Inputs!$B$10+((C876=TRUE)*(F876-Calc!F26))+B890)/100)</f>
        <v/>
      </c>
      <c r="N855">
        <f>L855*(1-MIN((Inputs!$B$9+((C875=TRUE)*(F875-Calc!F25))+B883),100)/100)+M855*(MIN((Inputs!$B$9+((C875=TRUE)*(F875-Calc!F25))+B883),100)/100)</f>
        <v/>
      </c>
      <c r="O855">
        <f>IF(C855,H855*N855*IF(AND(Inputs!$B$39&lt;&gt;"pvp",Inputs!$B$44&gt;0),((Skills!G5*((R855-1)*IF(Skills!H5&gt;0,Skills!I5/Skills!H5,1)+IF(Skills!H5&gt;0,MIN(Skills!I5,MAX(0,MAX(0,Inputs!$B$44-B894)-((R855-1)*IF(Inputs!$B$39="pvp",15,MAX(0.1,Skills!D5-IF(Skills!E5=TRUE,Inputs!$B$32,0))))))/Skills!H5,1)))/Inputs!$B$44),G855*Q855)*IF(Inputs!$B$39="pvp",1,(1-Summary!$B$55)*(1)+Summary!$B$55*(MIN(Skills!W5,Inputs!$B$37))),0)</f>
        <v/>
      </c>
      <c r="P855">
        <f>IF(B895=0,0,O855/B895)</f>
        <v/>
      </c>
      <c r="Q855">
        <f>IFERROR(1/IF(Inputs!$B$39="pvp",15,MAX(0.1,Skills!D5-IF(Skills!E5=TRUE,Inputs!$B$32,0))),0)</f>
        <v/>
      </c>
      <c r="R855">
        <f>IF(AND(Inputs!$B$39&lt;&gt;"pvp",Inputs!$B$44&gt;0),IF(MAX(0,Inputs!$B$44-B894)&lt;=0,0,(INT(MAX(0,Inputs!$B$44-B894)/IF(Inputs!$B$39="pvp",15,MAX(0.1,Skills!D5-IF(Skills!E5=TRUE,Inputs!$B$32,0))))+1)),0)</f>
        <v/>
      </c>
      <c r="S855">
        <f>IFERROR(O855/N855,0)</f>
        <v/>
      </c>
    </row>
    <row r="856">
      <c r="A856">
        <f>Skills!A6</f>
        <v/>
      </c>
      <c r="B856">
        <f>Skills!B6</f>
        <v/>
      </c>
      <c r="C856">
        <f>Inputs!$B$3&gt;=69</f>
        <v/>
      </c>
      <c r="D856">
        <f>IF(Skills!C6=1,60+Inputs!$B$25+Inputs!$B$29,IF(Skills!C6=2,90+(Inputs!$B$26+1)+Inputs!$B$29,IF(Skills!C6=3,120+Inputs!$B$27+Inputs!$B$29,MAX(0,(Inputs!$B$3-100)*3)+Inputs!$B$28+Inputs!$B$29)))</f>
        <v/>
      </c>
      <c r="E856">
        <f>INDEX(FactorTable!$B$2:$Y$301, MATCH(ROUND(MIN(300,MAX(1,D856)),0), FactorTable!$A$2:$A$301,0), Skills!M6+1)</f>
        <v/>
      </c>
      <c r="F856">
        <f>IF(Skills!N6=TRUE,(Skills!L6/10)*(E856/1000),Skills!L6/10)+Skills!O6</f>
        <v/>
      </c>
      <c r="G856">
        <f>Skills!G6*IF(Skills!H6&gt;0,Skills!I6/Skills!H6,1)</f>
        <v/>
      </c>
      <c r="H856">
        <f>1-(1-Skills!J6/100)^Skills!K6</f>
        <v/>
      </c>
      <c r="I856" t="inlineStr">
        <is>
          <t>1</t>
        </is>
      </c>
      <c r="J856">
        <f>((Inputs!$B$6*(1+Inputs!$B$7/100))+(((Inputs!$B$12*(1+Inputs!$B$13/100))-(Inputs!$B$12*(1+Inputs!$B$13/100)))+0.25*(Inputs!$B$14-Inputs!$B$14))*(1+Inputs!$B$7/100))*(F856/100)</f>
        <v/>
      </c>
      <c r="K856">
        <f>J856*(1+((Inputs!$B$12*(1+Inputs!$B$13/100))*0.01+Inputs!$B$14*0.0025)/100)*(1+Inputs!$B$15/100)*(1+IF(Inputs!$B$39="pvp",0,(1-Summary!$B$55)*(Inputs!$B$20+0+Skills!P6+B884)+Summary!$B$55*(Inputs!$B$21+Skills!Q6+B884))/100)*(1+Inputs!$B$16/100)*(5000/(6000+Inputs!$B$43*(1-Inputs!$B$19/100)))*(1+(Inputs!$B$24+((C880=TRUE)*(F880-Calc!F30)))/100)*(1+1.0*IF(C868=TRUE,F868,0)/100)*(1+(IF(Skills!A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856)</f>
        <v/>
      </c>
      <c r="L856">
        <f>K856*(MIN(Inputs!$B$22+((C874=TRUE)*(F874-Calc!F24)),Inputs!$B$23+((C879=TRUE)*(F879-Calc!F29)))/100+(Inputs!$B$23+((C879=TRUE)*(F879-Calc!F29)))/100)/2</f>
        <v/>
      </c>
      <c r="M856">
        <f>L856*(1+(Inputs!$B$10+((C876=TRUE)*(F876-Calc!F26))+B890)/100)</f>
        <v/>
      </c>
      <c r="N856">
        <f>L856*(1-MIN((Inputs!$B$9+((C875=TRUE)*(F875-Calc!F25))+B883),100)/100)+M856*(MIN((Inputs!$B$9+((C875=TRUE)*(F875-Calc!F25))+B883),100)/100)</f>
        <v/>
      </c>
      <c r="O856">
        <f>IF(C856,H856*N856*IF(AND(Inputs!$B$39&lt;&gt;"pvp",Inputs!$B$44&gt;0),((Skills!G6*((R856-1)*IF(Skills!H6&gt;0,Skills!I6/Skills!H6,1)+IF(Skills!H6&gt;0,MIN(Skills!I6,MAX(0,MAX(0,Inputs!$B$44-B894)-((R856-1)*IF(Inputs!$B$39="pvp",15,MAX(0.1,Skills!D6-IF(Skills!E6=TRUE,Inputs!$B$32,0))))))/Skills!H6,1)))/Inputs!$B$44),G856*Q856)*IF(Inputs!$B$39="pvp",1,(1-Summary!$B$55)*(1)+Summary!$B$55*(MIN(Skills!W6,Inputs!$B$37))),0)</f>
        <v/>
      </c>
      <c r="P856">
        <f>IF(B895=0,0,O856/B895)</f>
        <v/>
      </c>
      <c r="Q856">
        <f>IFERROR(1/IF(Inputs!$B$39="pvp",15,MAX(0.1,Skills!D6-IF(Skills!E6=TRUE,Inputs!$B$32,0))),0)</f>
        <v/>
      </c>
      <c r="R856">
        <f>IF(AND(Inputs!$B$39&lt;&gt;"pvp",Inputs!$B$44&gt;0),IF(MAX(0,Inputs!$B$44-B894)&lt;=0,0,(INT(MAX(0,Inputs!$B$44-B894)/IF(Inputs!$B$39="pvp",15,MAX(0.1,Skills!D6-IF(Skills!E6=TRUE,Inputs!$B$32,0))))+1)),0)</f>
        <v/>
      </c>
      <c r="S856">
        <f>IFERROR(O856/N856,0)</f>
        <v/>
      </c>
    </row>
    <row r="857">
      <c r="A857">
        <f>Skills!A7</f>
        <v/>
      </c>
      <c r="B857">
        <f>Skills!B7</f>
        <v/>
      </c>
      <c r="C857">
        <f>Inputs!$B$3&gt;=60</f>
        <v/>
      </c>
      <c r="D857">
        <f>IF(Skills!C7=1,60+Inputs!$B$25+Inputs!$B$29,IF(Skills!C7=2,90+(Inputs!$B$26+1)+Inputs!$B$29,IF(Skills!C7=3,120+Inputs!$B$27+Inputs!$B$29,MAX(0,(Inputs!$B$3-100)*3)+Inputs!$B$28+Inputs!$B$29)))</f>
        <v/>
      </c>
      <c r="E857">
        <f>INDEX(FactorTable!$B$2:$Y$301, MATCH(ROUND(MIN(300,MAX(1,D857)),0), FactorTable!$A$2:$A$301,0), Skills!M7+1)</f>
        <v/>
      </c>
      <c r="F857">
        <f>IF(Skills!N7=TRUE,(Skills!L7/10)*(E857/1000),Skills!L7/10)+Skills!O7</f>
        <v/>
      </c>
      <c r="G857">
        <f>Skills!G7*IF(Skills!H7&gt;0,Skills!I7/Skills!H7,1)</f>
        <v/>
      </c>
      <c r="H857">
        <f>1-(1-Skills!J7/100)^Skills!K7</f>
        <v/>
      </c>
      <c r="I857" t="inlineStr">
        <is>
          <t>1</t>
        </is>
      </c>
      <c r="J857" t="inlineStr"/>
      <c r="K857" t="inlineStr"/>
      <c r="L857" t="inlineStr"/>
      <c r="M857" t="inlineStr"/>
      <c r="N857" t="inlineStr"/>
      <c r="O857" t="n">
        <v>0</v>
      </c>
      <c r="P857">
        <f>IF(B895=0,0,O857/B895)</f>
        <v/>
      </c>
      <c r="Q857" t="n">
        <v>0</v>
      </c>
      <c r="R857" t="n">
        <v>0</v>
      </c>
      <c r="S857">
        <f>IFERROR(O857/N857,0)</f>
        <v/>
      </c>
    </row>
    <row r="858">
      <c r="A858">
        <f>Skills!A8</f>
        <v/>
      </c>
      <c r="B858">
        <f>Skills!B8</f>
        <v/>
      </c>
      <c r="C858">
        <f>Inputs!$B$3&gt;=72</f>
        <v/>
      </c>
      <c r="D858">
        <f>IF(Skills!C8=1,60+Inputs!$B$25+Inputs!$B$29,IF(Skills!C8=2,90+(Inputs!$B$26+1)+Inputs!$B$29,IF(Skills!C8=3,120+Inputs!$B$27+Inputs!$B$29,MAX(0,(Inputs!$B$3-100)*3)+Inputs!$B$28+Inputs!$B$29)))</f>
        <v/>
      </c>
      <c r="E858">
        <f>INDEX(FactorTable!$B$2:$Y$301, MATCH(ROUND(MIN(300,MAX(1,D858)),0), FactorTable!$A$2:$A$301,0), Skills!M8+1)</f>
        <v/>
      </c>
      <c r="F858">
        <f>IF(Skills!N8=TRUE,(Skills!L8/10)*(E858/1000),Skills!L8/10)+Skills!O8</f>
        <v/>
      </c>
      <c r="G858">
        <f>Skills!G8*IF(Skills!H8&gt;0,Skills!I8/Skills!H8,1)</f>
        <v/>
      </c>
      <c r="H858">
        <f>1-(1-Skills!J8/100)^Skills!K8</f>
        <v/>
      </c>
      <c r="I858" t="inlineStr">
        <is>
          <t>1</t>
        </is>
      </c>
      <c r="J858">
        <f>((Inputs!$B$6*(1+Inputs!$B$7/100))+(((Inputs!$B$12*(1+Inputs!$B$13/100))-(Inputs!$B$12*(1+Inputs!$B$13/100)))+0.25*(Inputs!$B$14-Inputs!$B$14))*(1+Inputs!$B$7/100))*(F858/100)</f>
        <v/>
      </c>
      <c r="K858">
        <f>J858*(1+((Inputs!$B$12*(1+Inputs!$B$13/100))*0.01+Inputs!$B$14*0.0025)/100)*(1+Inputs!$B$15/100)*(1+IF(Inputs!$B$39="pvp",0,(1-Summary!$B$55)*(Inputs!$B$20+0+Skills!P8+B884)+Summary!$B$55*(Inputs!$B$21+Skills!Q8+B884))/100)*(1+Inputs!$B$16/100)*(5000/(6000+Inputs!$B$43*(1-Inputs!$B$19/100)))*(1+(Inputs!$B$24+((C880=TRUE)*(F880-Calc!F30)))/100)*(1+3.3333333333333335*IF(C868=TRUE,F868,0)/100)*(1+(IF(Skills!A8="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858)</f>
        <v/>
      </c>
      <c r="L858">
        <f>K858*(MIN(Inputs!$B$22+((C874=TRUE)*(F874-Calc!F24)),Inputs!$B$23+((C879=TRUE)*(F879-Calc!F29)))/100+(Inputs!$B$23+((C879=TRUE)*(F879-Calc!F29)))/100)/2</f>
        <v/>
      </c>
      <c r="M858">
        <f>L858*(1+(Inputs!$B$10+((C876=TRUE)*(F876-Calc!F26))+B890)/100)</f>
        <v/>
      </c>
      <c r="N858">
        <f>L858*(1-MIN((Inputs!$B$9+((C875=TRUE)*(F875-Calc!F25))+B883),100)/100)+M858*(MIN((Inputs!$B$9+((C875=TRUE)*(F875-Calc!F25))+B883),100)/100)</f>
        <v/>
      </c>
      <c r="O858">
        <f>IF(C858,H858*N858*IF(AND(Inputs!$B$39&lt;&gt;"pvp",Inputs!$B$44&gt;0),((Skills!G8*((R858-1)*IF(Skills!H8&gt;0,Skills!I8/Skills!H8,1)+IF(Skills!H8&gt;0,MIN(Skills!I8,MAX(0,MAX(0,Inputs!$B$44-B894)-((R858-1)*IF(Inputs!$B$39="pvp",15,MAX(0.1,Skills!D8-IF(Skills!E8=TRUE,Inputs!$B$32,0))))))/Skills!H8,1)))/Inputs!$B$44),G858*Q858)*IF(Inputs!$B$39="pvp",1,(1-Summary!$B$55)*(1)+Summary!$B$55*(MIN(Skills!W8,Inputs!$B$37))),0)</f>
        <v/>
      </c>
      <c r="P858">
        <f>IF(B895=0,0,O858/B895)</f>
        <v/>
      </c>
      <c r="Q858">
        <f>IFERROR(1/IF(Inputs!$B$39="pvp",15,MAX(0.1,Skills!D8-IF(Skills!E8=TRUE,Inputs!$B$32,0))),0)</f>
        <v/>
      </c>
      <c r="R858">
        <f>IF(AND(Inputs!$B$39&lt;&gt;"pvp",Inputs!$B$44&gt;0),IF(MAX(0,Inputs!$B$44-B894)&lt;=0,0,(INT(MAX(0,Inputs!$B$44-B894)/IF(Inputs!$B$39="pvp",15,MAX(0.1,Skills!D8-IF(Skills!E8=TRUE,Inputs!$B$32,0))))+1)),0)</f>
        <v/>
      </c>
      <c r="S858">
        <f>IFERROR(O858/N858,0)</f>
        <v/>
      </c>
    </row>
    <row r="859">
      <c r="A859">
        <f>Skills!A9</f>
        <v/>
      </c>
      <c r="B859">
        <f>Skills!B9</f>
        <v/>
      </c>
      <c r="C859">
        <f>Inputs!$B$3&gt;=117</f>
        <v/>
      </c>
      <c r="D859">
        <f>IF(Skills!C9=1,60+Inputs!$B$25+Inputs!$B$29,IF(Skills!C9=2,90+(Inputs!$B$26+1)+Inputs!$B$29,IF(Skills!C9=3,120+Inputs!$B$27+Inputs!$B$29,MAX(0,(Inputs!$B$3-100)*3)+Inputs!$B$28+Inputs!$B$29)))</f>
        <v/>
      </c>
      <c r="E859">
        <f>INDEX(FactorTable!$B$2:$Y$301, MATCH(ROUND(MIN(300,MAX(1,D859)),0), FactorTable!$A$2:$A$301,0), Skills!M9+1)</f>
        <v/>
      </c>
      <c r="F859">
        <f>IF(Skills!N9=TRUE,(Skills!L9/10)*(E859/1000),Skills!L9/10)+Skills!O9</f>
        <v/>
      </c>
      <c r="G859">
        <f>Skills!G9*IF(Skills!H9&gt;0,Skills!I9/Skills!H9,1)</f>
        <v/>
      </c>
      <c r="H859">
        <f>1-(1-Skills!J9/100)^Skills!K9</f>
        <v/>
      </c>
      <c r="I859" t="inlineStr">
        <is>
          <t>1</t>
        </is>
      </c>
      <c r="J859">
        <f>((Inputs!$B$6*(1+Inputs!$B$7/100))+(((Inputs!$B$12*(1+Inputs!$B$13/100))-(Inputs!$B$12*(1+Inputs!$B$13/100)))+0.25*(Inputs!$B$14-Inputs!$B$14))*(1+Inputs!$B$7/100))*(F859/100)</f>
        <v/>
      </c>
      <c r="K859">
        <f>J859*(1+((Inputs!$B$12*(1+Inputs!$B$13/100))*0.01+Inputs!$B$14*0.0025)/100)*(1+Inputs!$B$15/100)*(1+IF(Inputs!$B$39="pvp",0,(1-Summary!$B$55)*(Inputs!$B$20+0+Skills!P9+B884)+Summary!$B$55*(Inputs!$B$21+Skills!Q9+B884))/100)*(1+Inputs!$B$16/100)*(5000/(6000+Inputs!$B$43*(1-Inputs!$B$19/100)))*(1+(Inputs!$B$24+((C880=TRUE)*(F880-Calc!F30)))/100)*(1+(IF(Skills!A9="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859)</f>
        <v/>
      </c>
      <c r="L859">
        <f>K859*(MIN(Inputs!$B$22+((C874=TRUE)*(F874-Calc!F24)),Inputs!$B$23+((C879=TRUE)*(F879-Calc!F29)))/100+(Inputs!$B$23+((C879=TRUE)*(F879-Calc!F29)))/100)/2</f>
        <v/>
      </c>
      <c r="M859">
        <f>L859*(1+(Inputs!$B$10+((C876=TRUE)*(F876-Calc!F26))+B890)/100)</f>
        <v/>
      </c>
      <c r="N859">
        <f>L859*(1-MIN((Inputs!$B$9+((C875=TRUE)*(F875-Calc!F25))+B883),100)/100)+M859*(MIN((Inputs!$B$9+((C875=TRUE)*(F875-Calc!F25))+B883),100)/100)</f>
        <v/>
      </c>
      <c r="O859">
        <f>IF(C859,0.2*SUMPRODUCT((Skills!Z2:Z30=TRUE)*(C852:C880=TRUE)*S852:S880)*N859,0)</f>
        <v/>
      </c>
      <c r="P859">
        <f>IF(B895=0,0,O859/B895)</f>
        <v/>
      </c>
      <c r="Q859" t="n">
        <v>0</v>
      </c>
      <c r="R859" t="n">
        <v>0</v>
      </c>
      <c r="S859" t="n">
        <v>0</v>
      </c>
    </row>
    <row r="860">
      <c r="A860">
        <f>Skills!A10</f>
        <v/>
      </c>
      <c r="B860">
        <f>Skills!B10</f>
        <v/>
      </c>
      <c r="C860">
        <f>Inputs!$B$3&gt;=74</f>
        <v/>
      </c>
      <c r="D860">
        <f>IF(Skills!C10=1,60+Inputs!$B$25+Inputs!$B$29,IF(Skills!C10=2,90+(Inputs!$B$26+1)+Inputs!$B$29,IF(Skills!C10=3,120+Inputs!$B$27+Inputs!$B$29,MAX(0,(Inputs!$B$3-100)*3)+Inputs!$B$28+Inputs!$B$29)))</f>
        <v/>
      </c>
      <c r="E860">
        <f>INDEX(FactorTable!$B$2:$Y$301, MATCH(ROUND(MIN(300,MAX(1,D860)),0), FactorTable!$A$2:$A$301,0), Skills!M10+1)</f>
        <v/>
      </c>
      <c r="F860">
        <f>IF(Skills!N10=TRUE,(Skills!L10/10)*(E860/1000),Skills!L10/10)+Skills!O10</f>
        <v/>
      </c>
      <c r="G860">
        <f>Skills!G10*IF(Skills!H10&gt;0,Skills!I10/Skills!H10,1)</f>
        <v/>
      </c>
      <c r="H860">
        <f>1-(1-Skills!J10/100)^Skills!K10</f>
        <v/>
      </c>
      <c r="I860" t="inlineStr">
        <is>
          <t>1</t>
        </is>
      </c>
      <c r="J860" t="inlineStr"/>
      <c r="K860" t="inlineStr"/>
      <c r="L860" t="inlineStr"/>
      <c r="M860" t="inlineStr"/>
      <c r="N860" t="inlineStr"/>
      <c r="O860" t="n">
        <v>0</v>
      </c>
      <c r="P860">
        <f>IF(B895=0,0,O860/B895)</f>
        <v/>
      </c>
      <c r="Q860">
        <f>IFERROR(1/IF(Inputs!$B$39="pvp",15,MAX(0.1,Skills!D10-IF(Skills!E10=TRUE,Inputs!$B$32,0))),0)</f>
        <v/>
      </c>
      <c r="R860">
        <f>IF(AND(Inputs!$B$39&lt;&gt;"pvp",Inputs!$B$44&gt;0),IF(Inputs!$B$44&lt;=0,0,(INT(Inputs!$B$44/IF(Inputs!$B$39="pvp",15,MAX(0.1,Skills!D10-IF(Skills!E10=TRUE,Inputs!$B$32,0))))+1)),0)</f>
        <v/>
      </c>
      <c r="S860">
        <f>IFERROR(O860/N860,0)</f>
        <v/>
      </c>
    </row>
    <row r="861">
      <c r="A861">
        <f>Skills!A11</f>
        <v/>
      </c>
      <c r="B861">
        <f>Skills!B11</f>
        <v/>
      </c>
      <c r="C861">
        <f>Inputs!$B$3&gt;=103</f>
        <v/>
      </c>
      <c r="D861">
        <f>IF(Skills!C11=1,60+Inputs!$B$25+Inputs!$B$29,IF(Skills!C11=2,90+(Inputs!$B$26+1)+Inputs!$B$29,IF(Skills!C11=3,120+Inputs!$B$27+Inputs!$B$29,MAX(0,(Inputs!$B$3-100)*3)+Inputs!$B$28+Inputs!$B$29)))</f>
        <v/>
      </c>
      <c r="E861">
        <f>INDEX(FactorTable!$B$2:$Y$301, MATCH(ROUND(MIN(300,MAX(1,D861)),0), FactorTable!$A$2:$A$301,0), Skills!M11+1)</f>
        <v/>
      </c>
      <c r="F861">
        <f>(Skills!L11/10)*(E861/1000)+IF(Inputs!$B$3&gt;=134,50,0)+0.5*(30000/10)*(INDEX(FactorTable!$B$2:$Y$301, MATCH(ROUND(MIN(300,MAX(1,D861)),0), FactorTable!$A$2:$A$301,0), 13)/1000)*B893</f>
        <v/>
      </c>
      <c r="G861">
        <f>Skills!G11*IF(Skills!H11&gt;0,Skills!I11/Skills!H11,1)</f>
        <v/>
      </c>
      <c r="H861">
        <f>1-(1-Skills!J11/100)^Skills!K11</f>
        <v/>
      </c>
      <c r="I861" t="inlineStr">
        <is>
          <t>1</t>
        </is>
      </c>
      <c r="J861">
        <f>((Inputs!$B$6*(1+Inputs!$B$7/100))+(((Inputs!$B$12*(1+Inputs!$B$13/100))-(Inputs!$B$12*(1+Inputs!$B$13/100)))+0.25*(Inputs!$B$14-Inputs!$B$14))*(1+Inputs!$B$7/100))*(F861/100)</f>
        <v/>
      </c>
      <c r="K861">
        <f>J861*(1+((Inputs!$B$12*(1+Inputs!$B$13/100))*0.01+Inputs!$B$14*0.0025)/100)*(1+Inputs!$B$15/100)*(1+IF(Inputs!$B$39="pvp",0,(1-Summary!$B$55)*(Inputs!$B$20+0+Skills!P11+B884)+Summary!$B$55*(Inputs!$B$21+Skills!Q11+B884))/100)*(1+Inputs!$B$16/100)*(5000/(6000+Inputs!$B$43*(1-Inputs!$B$19/100)))*(1+(Inputs!$B$24+((C880=TRUE)*(F880-Calc!F30)))/100)*(1+(IF(Skills!A11="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861)</f>
        <v/>
      </c>
      <c r="L861">
        <f>K861*(MIN(Inputs!$B$22+((C874=TRUE)*(F874-Calc!F24)),Inputs!$B$23+((C879=TRUE)*(F879-Calc!F29)))/100+(Inputs!$B$23+((C879=TRUE)*(F879-Calc!F29)))/100)/2</f>
        <v/>
      </c>
      <c r="M861">
        <f>L861*(1+(Inputs!$B$10+((C876=TRUE)*(F876-Calc!F26))+B890)/100)</f>
        <v/>
      </c>
      <c r="N861">
        <f>L861*(1-MIN((Inputs!$B$9+((C875=TRUE)*(F875-Calc!F25))+B883),100)/100)+M861*(MIN((Inputs!$B$9+((C875=TRUE)*(F875-Calc!F25))+B883),100)/100)</f>
        <v/>
      </c>
      <c r="O861">
        <f>IF(C861,H861*N861*IF(AND(Inputs!$B$39&lt;&gt;"pvp",Inputs!$B$44&gt;0),((Skills!G11*((R861-1)*IF(Skills!H11&gt;0,Skills!I11/Skills!H11,1)+IF(Skills!H11&gt;0,MIN(Skills!I11,MAX(0,MAX(0,Inputs!$B$44-B894)-((R861-1)*IF(Inputs!$B$39="pvp",15,MAX(0.1,Skills!D11-IF(Skills!E11=TRUE,Inputs!$B$32,0))))))/Skills!H11,1)))/Inputs!$B$44),G861*Q861)*IF(Inputs!$B$39="pvp",1,(1-Summary!$B$55)*(1)+Summary!$B$55*(MIN(Skills!W11,Inputs!$B$37))),0)</f>
        <v/>
      </c>
      <c r="P861">
        <f>IF(B895=0,0,O861/B895)</f>
        <v/>
      </c>
      <c r="Q861">
        <f>IFERROR(1/IF(Inputs!$B$39="pvp",15,MAX(0.1,Skills!D11-IF(Skills!E11=TRUE,Inputs!$B$32,0))),0)</f>
        <v/>
      </c>
      <c r="R861">
        <f>IF(AND(Inputs!$B$39&lt;&gt;"pvp",Inputs!$B$44&gt;0),IF(MAX(0,Inputs!$B$44-B894)&lt;=0,0,(INT(MAX(0,Inputs!$B$44-B894)/IF(Inputs!$B$39="pvp",15,MAX(0.1,Skills!D11-IF(Skills!E11=TRUE,Inputs!$B$32,0))))+1)),0)</f>
        <v/>
      </c>
      <c r="S861">
        <f>IFERROR(O861/N861,0)</f>
        <v/>
      </c>
    </row>
    <row r="862">
      <c r="A862">
        <f>Skills!A12</f>
        <v/>
      </c>
      <c r="B862">
        <f>Skills!B12</f>
        <v/>
      </c>
      <c r="C862">
        <f>Inputs!$B$3&gt;=105</f>
        <v/>
      </c>
      <c r="D862">
        <f>IF(Skills!C12=1,60+Inputs!$B$25+Inputs!$B$29,IF(Skills!C12=2,90+(Inputs!$B$26+1)+Inputs!$B$29,IF(Skills!C12=3,120+Inputs!$B$27+Inputs!$B$29,MAX(0,(Inputs!$B$3-100)*3)+Inputs!$B$28+Inputs!$B$29)))</f>
        <v/>
      </c>
      <c r="E862">
        <f>INDEX(FactorTable!$B$2:$Y$301, MATCH(ROUND(MIN(300,MAX(1,D862)),0), FactorTable!$A$2:$A$301,0), Skills!M12+1)</f>
        <v/>
      </c>
      <c r="F862">
        <f>IF(Skills!N12=TRUE,(Skills!L12/10)*(E862/1000),Skills!L12/10)+Skills!O12</f>
        <v/>
      </c>
      <c r="G862">
        <f>Skills!G12*IF(Skills!H12&gt;0,Skills!I12/Skills!H12,1)</f>
        <v/>
      </c>
      <c r="H862">
        <f>1-(1-Skills!J12/100)^Skills!K12</f>
        <v/>
      </c>
      <c r="I862" t="inlineStr">
        <is>
          <t>1</t>
        </is>
      </c>
      <c r="J862">
        <f>((Inputs!$B$6*(1+Inputs!$B$7/100))+(((Inputs!$B$12*(1+Inputs!$B$13/100))-(Inputs!$B$12*(1+Inputs!$B$13/100)))+0.25*(Inputs!$B$14-Inputs!$B$14))*(1+Inputs!$B$7/100))*(F862/100)</f>
        <v/>
      </c>
      <c r="K862">
        <f>J862*(1+((Inputs!$B$12*(1+Inputs!$B$13/100))*0.01+Inputs!$B$14*0.0025)/100)*(1+Inputs!$B$15/100)*(1+IF(Inputs!$B$39="pvp",0,(1-Summary!$B$55)*(Inputs!$B$20+0+Skills!P12+B884)+Summary!$B$55*(Inputs!$B$21+Skills!Q12+B884))/100)*(1+Inputs!$B$16/100)*(5000/(6000+Inputs!$B$43*(1-Inputs!$B$19/100)))*(1+(Inputs!$B$24+((C880=TRUE)*(F880-Calc!F30)))/100)*(1+(IF(Skills!A12="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862)</f>
        <v/>
      </c>
      <c r="L862">
        <f>K862*(MIN(Inputs!$B$22+((C874=TRUE)*(F874-Calc!F24)),Inputs!$B$23+((C879=TRUE)*(F879-Calc!F29)))/100+(Inputs!$B$23+((C879=TRUE)*(F879-Calc!F29)))/100)/2</f>
        <v/>
      </c>
      <c r="M862">
        <f>L862*(1+(Inputs!$B$10+((C876=TRUE)*(F876-Calc!F26))+B890)/100)</f>
        <v/>
      </c>
      <c r="N862">
        <f>L862*(1-MIN((Inputs!$B$9+((C875=TRUE)*(F875-Calc!F25))+B883),100)/100)+M862*(MIN((Inputs!$B$9+((C875=TRUE)*(F875-Calc!F25))+B883),100)/100)</f>
        <v/>
      </c>
      <c r="O862">
        <f>IF(C862,H862*N862*IF(AND(Inputs!$B$39&lt;&gt;"pvp",Inputs!$B$44&gt;0),((Skills!G12*((R862-1)*IF(Skills!H12&gt;0,Skills!I12/Skills!H12,1)+IF(Skills!H12&gt;0,MIN(Skills!I12,MAX(0,MAX(0,Inputs!$B$44-B894)-((R862-1)*IF(Inputs!$B$39="pvp",15,MAX(0.1,Skills!D12-IF(Skills!E12=TRUE,Inputs!$B$32,0))))))/Skills!H12,1)))/Inputs!$B$44),G862*Q862)*IF(Inputs!$B$39="pvp",1,(1-Summary!$B$55)*(1)+Summary!$B$55*(MIN(Skills!W12,Inputs!$B$37))),0)</f>
        <v/>
      </c>
      <c r="P862">
        <f>IF(B895=0,0,O862/B895)</f>
        <v/>
      </c>
      <c r="Q862">
        <f>IFERROR(1/IF(Inputs!$B$39="pvp",15,MAX(0.1,Skills!D12-IF(Skills!E12=TRUE,Inputs!$B$32,0))),0)</f>
        <v/>
      </c>
      <c r="R862">
        <f>IF(AND(Inputs!$B$39&lt;&gt;"pvp",Inputs!$B$44&gt;0),IF(MAX(0,Inputs!$B$44-B894)&lt;=0,0,(INT(MAX(0,Inputs!$B$44-B894)/IF(Inputs!$B$39="pvp",15,MAX(0.1,Skills!D12-IF(Skills!E12=TRUE,Inputs!$B$32,0))))+1)),0)</f>
        <v/>
      </c>
      <c r="S862">
        <f>IFERROR(O862/N862,0)</f>
        <v/>
      </c>
    </row>
    <row r="863">
      <c r="A863">
        <f>Skills!A13</f>
        <v/>
      </c>
      <c r="B863">
        <f>Skills!B13</f>
        <v/>
      </c>
      <c r="C863">
        <f>Inputs!$B$3&gt;=105</f>
        <v/>
      </c>
      <c r="D863">
        <f>IF(Skills!C13=1,60+Inputs!$B$25+Inputs!$B$29,IF(Skills!C13=2,90+(Inputs!$B$26+1)+Inputs!$B$29,IF(Skills!C13=3,120+Inputs!$B$27+Inputs!$B$29,MAX(0,(Inputs!$B$3-100)*3)+Inputs!$B$28+Inputs!$B$29)))</f>
        <v/>
      </c>
      <c r="E863">
        <f>INDEX(FactorTable!$B$2:$Y$301, MATCH(ROUND(MIN(300,MAX(1,D863)),0), FactorTable!$A$2:$A$301,0), Skills!M13+1)</f>
        <v/>
      </c>
      <c r="F863">
        <f>IF(Skills!N13=TRUE,(Skills!L13/10)*(E863/1000),Skills!L13/10)+Skills!O13</f>
        <v/>
      </c>
      <c r="G863">
        <f>Skills!G13*IF(Skills!H13&gt;0,Skills!I13/Skills!H13,1)</f>
        <v/>
      </c>
      <c r="H863">
        <f>1-(1-Skills!J13/100)^Skills!K13</f>
        <v/>
      </c>
      <c r="I863" t="inlineStr">
        <is>
          <t>1</t>
        </is>
      </c>
      <c r="J863">
        <f>((Inputs!$B$6*(1+Inputs!$B$7/100))+(((Inputs!$B$12*(1+Inputs!$B$13/100))-(Inputs!$B$12*(1+Inputs!$B$13/100)))+0.25*(Inputs!$B$14-Inputs!$B$14))*(1+Inputs!$B$7/100))*(F863/100)</f>
        <v/>
      </c>
      <c r="K863">
        <f>J863*(1+((Inputs!$B$12*(1+Inputs!$B$13/100))*0.01+Inputs!$B$14*0.0025)/100)*(1+Inputs!$B$15/100)*(1+IF(Inputs!$B$39="pvp",0,(1-Summary!$B$55)*(Inputs!$B$20+0+Skills!P13+B884)+Summary!$B$55*(Inputs!$B$21+Skills!Q13+B884))/100)*(1+Inputs!$B$16/100)*(5000/(6000+Inputs!$B$43*(1-Inputs!$B$19/100)))*(1+(Inputs!$B$24+((C880=TRUE)*(F880-Calc!F30)))/100)*(1+(IF(Skills!A13="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863)</f>
        <v/>
      </c>
      <c r="L863">
        <f>K863*(MIN(Inputs!$B$22+((C874=TRUE)*(F874-Calc!F24)),Inputs!$B$23+((C879=TRUE)*(F879-Calc!F29)))/100+(Inputs!$B$23+((C879=TRUE)*(F879-Calc!F29)))/100)/2</f>
        <v/>
      </c>
      <c r="M863">
        <f>L863*(1+(Inputs!$B$10+((C876=TRUE)*(F876-Calc!F26))+B890)/100)</f>
        <v/>
      </c>
      <c r="N863">
        <f>L863*(1-MIN((Inputs!$B$9+((C875=TRUE)*(F875-Calc!F25))+B883),100)/100)+M863*(MIN((Inputs!$B$9+((C875=TRUE)*(F875-Calc!F25))+B883),100)/100)</f>
        <v/>
      </c>
      <c r="O863">
        <f>IF(C863,H863*N863*IF(AND(Inputs!$B$39&lt;&gt;"pvp",Inputs!$B$44&gt;0),((Skills!G13*((R863-1)*IF(Skills!H13&gt;0,Skills!I13/Skills!H13,1)+IF(Skills!H13&gt;0,MIN(Skills!I13,MAX(0,MAX(0,Inputs!$B$44-B894)-((R863-1)*IF(Inputs!$B$39="pvp",15,MAX(0.1,Skills!D13-IF(Skills!E13=TRUE,Inputs!$B$32,0))))))/Skills!H13,1)))/Inputs!$B$44),G863*Q863)*IF(Inputs!$B$39="pvp",1,(1-Summary!$B$55)*(1)+Summary!$B$55*(MIN(Skills!W13,Inputs!$B$37))),0)</f>
        <v/>
      </c>
      <c r="P863">
        <f>IF(B895=0,0,O863/B895)</f>
        <v/>
      </c>
      <c r="Q863">
        <f>IFERROR(1/IF(Inputs!$B$39="pvp",15,MAX(0.1,Skills!D13-IF(Skills!E13=TRUE,Inputs!$B$32,0))),0)</f>
        <v/>
      </c>
      <c r="R863">
        <f>IF(AND(Inputs!$B$39&lt;&gt;"pvp",Inputs!$B$44&gt;0),IF(MAX(0,Inputs!$B$44-B894)&lt;=0,0,(INT(MAX(0,Inputs!$B$44-B894)/IF(Inputs!$B$39="pvp",15,MAX(0.1,Skills!D13-IF(Skills!E13=TRUE,Inputs!$B$32,0))))+1)),0)</f>
        <v/>
      </c>
      <c r="S863">
        <f>IFERROR(O863/N863,0)</f>
        <v/>
      </c>
    </row>
    <row r="864">
      <c r="A864">
        <f>Skills!A14</f>
        <v/>
      </c>
      <c r="B864">
        <f>Skills!B14</f>
        <v/>
      </c>
      <c r="C864">
        <f>Inputs!$B$3&gt;=107</f>
        <v/>
      </c>
      <c r="D864">
        <f>IF(Skills!C14=1,60+Inputs!$B$25+Inputs!$B$29,IF(Skills!C14=2,90+(Inputs!$B$26+1)+Inputs!$B$29,IF(Skills!C14=3,120+Inputs!$B$27+Inputs!$B$29,MAX(0,(Inputs!$B$3-100)*3)+Inputs!$B$28+Inputs!$B$29)))</f>
        <v/>
      </c>
      <c r="E864">
        <f>INDEX(FactorTable!$B$2:$Y$301, MATCH(ROUND(MIN(300,MAX(1,D864)),0), FactorTable!$A$2:$A$301,0), Skills!M14+1)</f>
        <v/>
      </c>
      <c r="F864">
        <f>IF(Skills!N14=TRUE,(Skills!L14/10)*(E864/1000),Skills!L14/10)+Skills!O14</f>
        <v/>
      </c>
      <c r="G864">
        <f>Skills!G14*IF(Skills!H14&gt;0,Skills!I14/Skills!H14,1)</f>
        <v/>
      </c>
      <c r="H864">
        <f>1-(1-Skills!J14/100)^Skills!K14</f>
        <v/>
      </c>
      <c r="I864" t="inlineStr">
        <is>
          <t>1</t>
        </is>
      </c>
      <c r="J864">
        <f>((Inputs!$B$6*(1+Inputs!$B$7/100))+(((Inputs!$B$12*(1+Inputs!$B$13/100))-(Inputs!$B$12*(1+Inputs!$B$13/100)))+0.25*(Inputs!$B$14-Inputs!$B$14))*(1+Inputs!$B$7/100))*(F864/100)</f>
        <v/>
      </c>
      <c r="K864">
        <f>J864*(1+((Inputs!$B$12*(1+Inputs!$B$13/100))*0.01+Inputs!$B$14*0.0025)/100)*(1+Inputs!$B$15/100)*(1+IF(Inputs!$B$39="pvp",0,(1-Summary!$B$55)*(Inputs!$B$20+0+Skills!P14+B884)+Summary!$B$55*(Inputs!$B$21+Skills!Q14+B884))/100)*(1+Inputs!$B$16/100)*(5000/(6000+Inputs!$B$43*(1-Inputs!$B$19/100)))*(1+(Inputs!$B$24+((C880=TRUE)*(F880-Calc!F30)))/100)*(1+(IF(Skills!A14="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864)</f>
        <v/>
      </c>
      <c r="L864">
        <f>K864*(MIN(Inputs!$B$22+((C874=TRUE)*(F874-Calc!F24)),Inputs!$B$23+((C879=TRUE)*(F879-Calc!F29)))/100+(Inputs!$B$23+((C879=TRUE)*(F879-Calc!F29)))/100)/2</f>
        <v/>
      </c>
      <c r="M864">
        <f>L864*(1+(Inputs!$B$10+((C876=TRUE)*(F876-Calc!F26))+B890)/100)</f>
        <v/>
      </c>
      <c r="N864">
        <f>L864*(1-MIN((Inputs!$B$9+((C875=TRUE)*(F875-Calc!F25))+B883),100)/100)+M864*(MIN((Inputs!$B$9+((C875=TRUE)*(F875-Calc!F25))+B883),100)/100)</f>
        <v/>
      </c>
      <c r="O864">
        <f>IF(C864,H864*N864*IF(AND(Inputs!$B$39&lt;&gt;"pvp",Inputs!$B$44&gt;0),((Skills!G14*((R864-1)*IF(Skills!H14&gt;0,Skills!I14/Skills!H14,1)+IF(Skills!H14&gt;0,MIN(Skills!I14,MAX(0,MAX(0,Inputs!$B$44-B894)-((R864-1)*IF(Inputs!$B$39="pvp",15,MAX(0.1,Skills!D14-IF(Skills!E14=TRUE,Inputs!$B$32,0))))))/Skills!H14,1)))/Inputs!$B$44),G864*Q864)*IF(Inputs!$B$39="pvp",1,(1-Summary!$B$55)*(1)+Summary!$B$55*(MIN(MIN(5,0.25*B887*Skills!D4)*Skills!V14,Inputs!$B$37))),0)</f>
        <v/>
      </c>
      <c r="P864">
        <f>IF(B895=0,0,O864/B895)</f>
        <v/>
      </c>
      <c r="Q864">
        <f>IFERROR(1/IF(Inputs!$B$39="pvp",15,MAX(0.1,Skills!D14-IF(Skills!E14=TRUE,Inputs!$B$32,0))),0)</f>
        <v/>
      </c>
      <c r="R864">
        <f>IF(AND(Inputs!$B$39&lt;&gt;"pvp",Inputs!$B$44&gt;0),IF(MAX(0,Inputs!$B$44-B894)&lt;=0,0,(INT(MAX(0,Inputs!$B$44-B894)/IF(Inputs!$B$39="pvp",15,MAX(0.1,Skills!D14-IF(Skills!E14=TRUE,Inputs!$B$32,0))))+1)),0)</f>
        <v/>
      </c>
      <c r="S864">
        <f>IFERROR(O864/N864,0)</f>
        <v/>
      </c>
    </row>
    <row r="865">
      <c r="A865">
        <f>Skills!A15</f>
        <v/>
      </c>
      <c r="B865">
        <f>Skills!B15</f>
        <v/>
      </c>
      <c r="C865">
        <f>Inputs!$B$3&gt;=110</f>
        <v/>
      </c>
      <c r="D865">
        <f>IF(Skills!C15=1,60+Inputs!$B$25+Inputs!$B$29,IF(Skills!C15=2,90+(Inputs!$B$26+1)+Inputs!$B$29,IF(Skills!C15=3,120+Inputs!$B$27+Inputs!$B$29,MAX(0,(Inputs!$B$3-100)*3)+Inputs!$B$28+Inputs!$B$29)))</f>
        <v/>
      </c>
      <c r="E865">
        <f>INDEX(FactorTable!$B$2:$Y$301, MATCH(ROUND(MIN(300,MAX(1,D865)),0), FactorTable!$A$2:$A$301,0), Skills!M15+1)</f>
        <v/>
      </c>
      <c r="F865">
        <f>IF(Skills!N15=TRUE,(Skills!L15/10)*(E865/1000),Skills!L15/10)+Skills!O15</f>
        <v/>
      </c>
      <c r="G865">
        <f>Skills!G15*IF(Skills!H15&gt;0,Skills!I15/Skills!H15,1)</f>
        <v/>
      </c>
      <c r="H865">
        <f>1-(1-Skills!J15/100)^Skills!K15</f>
        <v/>
      </c>
      <c r="I865" t="inlineStr">
        <is>
          <t>1</t>
        </is>
      </c>
      <c r="J865" t="inlineStr"/>
      <c r="K865" t="inlineStr"/>
      <c r="L865" t="inlineStr"/>
      <c r="M865" t="inlineStr"/>
      <c r="N865" t="inlineStr"/>
      <c r="O865" t="n">
        <v>0</v>
      </c>
      <c r="P865">
        <f>IF(B895=0,0,O865/B895)</f>
        <v/>
      </c>
      <c r="Q865">
        <f>IFERROR(1/IF(Inputs!$B$39="pvp",15,MAX(0.1,Skills!D15-IF(Skills!E15=TRUE,Inputs!$B$32,0))),0)</f>
        <v/>
      </c>
      <c r="R865">
        <f>IF(AND(Inputs!$B$39&lt;&gt;"pvp",Inputs!$B$44&gt;0),IF(Inputs!$B$44&lt;=0,0,(INT(Inputs!$B$44/IF(Inputs!$B$39="pvp",15,MAX(0.1,Skills!D15-IF(Skills!E15=TRUE,Inputs!$B$32,0))))+1)),0)</f>
        <v/>
      </c>
      <c r="S865">
        <f>IFERROR(O865/N865,0)</f>
        <v/>
      </c>
    </row>
    <row r="866">
      <c r="A866">
        <f>Skills!A16</f>
        <v/>
      </c>
      <c r="B866">
        <f>Skills!B16</f>
        <v/>
      </c>
      <c r="C866">
        <f>Inputs!$B$3&gt;=115</f>
        <v/>
      </c>
      <c r="D866">
        <f>IF(Skills!C16=1,60+Inputs!$B$25+Inputs!$B$29,IF(Skills!C16=2,90+(Inputs!$B$26+1)+Inputs!$B$29,IF(Skills!C16=3,120+Inputs!$B$27+Inputs!$B$29,MAX(0,(Inputs!$B$3-100)*3)+Inputs!$B$28+Inputs!$B$29)))</f>
        <v/>
      </c>
      <c r="E866">
        <f>INDEX(FactorTable!$B$2:$Y$301, MATCH(ROUND(MIN(300,MAX(1,D866)),0), FactorTable!$A$2:$A$301,0), Skills!M16+1)</f>
        <v/>
      </c>
      <c r="F866">
        <f>IF(Skills!N16=TRUE,(Skills!L16/10)*(E866/1000),Skills!L16/10)+Skills!O16</f>
        <v/>
      </c>
      <c r="G866">
        <f>Skills!G16*IF(Skills!H16&gt;0,Skills!I16/Skills!H16,1)</f>
        <v/>
      </c>
      <c r="H866">
        <f>1-(1-Skills!J16/100)^Skills!K16</f>
        <v/>
      </c>
      <c r="I866" t="inlineStr">
        <is>
          <t>1</t>
        </is>
      </c>
      <c r="J866">
        <f>((Inputs!$B$6*(1+Inputs!$B$7/100))+(((Inputs!$B$12*(1+Inputs!$B$13/100))-(Inputs!$B$12*(1+Inputs!$B$13/100)))+0.25*(Inputs!$B$14-Inputs!$B$14))*(1+Inputs!$B$7/100))*(F866/100)</f>
        <v/>
      </c>
      <c r="K866">
        <f>J866*(1+((Inputs!$B$12*(1+Inputs!$B$13/100))*0.01+Inputs!$B$14*0.0025)/100)*(1+Inputs!$B$15/100)*(1+IF(Inputs!$B$39="pvp",0,(1-Summary!$B$55)*(Inputs!$B$20+0+Skills!P16+B884)+Summary!$B$55*(Inputs!$B$21+Skills!Q16+B884))/100)*(1+Inputs!$B$16/100)*(5000/(6000+Inputs!$B$43*(1-Inputs!$B$19/100)))*(1+(Inputs!$B$24+((C880=TRUE)*(F880-Calc!F30)))/100)*(1+(IF(Skills!A16="CRUEL_STAB",Inputs!$B$17+((C877=TRUE)*(F877-Calc!F27)),Inputs!$B$18+((C878=TRUE)*(F878-Calc!F28))))/100)*(((1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B885*I866)</f>
        <v/>
      </c>
      <c r="L866">
        <f>K866*(MIN(Inputs!$B$22+((C874=TRUE)*(F874-Calc!F24)),Inputs!$B$23+((C879=TRUE)*(F879-Calc!F29)))/100+(Inputs!$B$23+((C879=TRUE)*(F879-Calc!F29)))/100)/2</f>
        <v/>
      </c>
      <c r="M866">
        <f>L866*(1+(Inputs!$B$10+((C876=TRUE)*(F876-Calc!F26))+B890)/100)</f>
        <v/>
      </c>
      <c r="N866">
        <f>L866*(1-MIN((Inputs!$B$9+((C875=TRUE)*(F875-Calc!F25))+B883),100)/100)+M866*(MIN((Inputs!$B$9+((C875=TRUE)*(F875-Calc!F25))+B883),100)/100)</f>
        <v/>
      </c>
      <c r="O866">
        <f>IF(C866,Inputs!$B$38*0.2*N866,0)</f>
        <v/>
      </c>
      <c r="P866">
        <f>IF(B895=0,0,O866/B895)</f>
        <v/>
      </c>
      <c r="Q866" t="n">
        <v>0</v>
      </c>
      <c r="R866" t="n">
        <v>0</v>
      </c>
      <c r="S866">
        <f>IFERROR(O866/N866,0)</f>
        <v/>
      </c>
    </row>
    <row r="867">
      <c r="A867">
        <f>Skills!A17</f>
        <v/>
      </c>
      <c r="B867">
        <f>Skills!B17</f>
        <v/>
      </c>
      <c r="C867">
        <f>Inputs!$B$3&gt;=115</f>
        <v/>
      </c>
      <c r="D867">
        <f>IF(Skills!C17=1,60+Inputs!$B$25+Inputs!$B$29,IF(Skills!C17=2,90+(Inputs!$B$26+1)+Inputs!$B$29,IF(Skills!C17=3,120+Inputs!$B$27+Inputs!$B$29,MAX(0,(Inputs!$B$3-100)*3)+Inputs!$B$28+Inputs!$B$29)))</f>
        <v/>
      </c>
      <c r="E867">
        <f>INDEX(FactorTable!$B$2:$Y$301, MATCH(ROUND(MIN(300,MAX(1,D867)),0), FactorTable!$A$2:$A$301,0), Skills!M17+1)</f>
        <v/>
      </c>
      <c r="F867">
        <f>IF(Skills!N17=TRUE,(Skills!L17/10)*(E867/1000),Skills!L17/10)+Skills!O17</f>
        <v/>
      </c>
      <c r="G867">
        <f>Skills!G17*IF(Skills!H17&gt;0,Skills!I17/Skills!H17,1)</f>
        <v/>
      </c>
      <c r="H867">
        <f>1-(1-Skills!J17/100)^Skills!K17</f>
        <v/>
      </c>
      <c r="I867" t="inlineStr">
        <is>
          <t>1</t>
        </is>
      </c>
      <c r="J867" t="inlineStr"/>
      <c r="K867" t="inlineStr"/>
      <c r="L867" t="inlineStr"/>
      <c r="M867" t="inlineStr"/>
      <c r="N867" t="inlineStr"/>
      <c r="O867" t="n">
        <v>0</v>
      </c>
      <c r="P867">
        <f>IF(B895=0,0,O867/B895)</f>
        <v/>
      </c>
      <c r="Q867" t="n">
        <v>0</v>
      </c>
      <c r="R867" t="n">
        <v>0</v>
      </c>
      <c r="S867">
        <f>IFERROR(O867/N867,0)</f>
        <v/>
      </c>
    </row>
    <row r="868">
      <c r="A868">
        <f>Skills!A18</f>
        <v/>
      </c>
      <c r="B868">
        <f>Skills!B18</f>
        <v/>
      </c>
      <c r="C868">
        <f>Inputs!$B$3&gt;=100</f>
        <v/>
      </c>
      <c r="D868">
        <f>IF(Skills!C18=1,60+Inputs!$B$25+Inputs!$B$29,IF(Skills!C18=2,90+(Inputs!$B$26+1)+Inputs!$B$29,IF(Skills!C18=3,120+Inputs!$B$27+Inputs!$B$29,MAX(0,(Inputs!$B$3-100)*3)+Inputs!$B$28+Inputs!$B$29)))</f>
        <v/>
      </c>
      <c r="E868">
        <f>INDEX(FactorTable!$B$2:$Y$301, MATCH(ROUND(MIN(300,MAX(1,D868)),0), FactorTable!$A$2:$A$301,0), Skills!M18+1)</f>
        <v/>
      </c>
      <c r="F868">
        <f>IF(Skills!N18=TRUE,(Skills!L18/10)*(E868/1000),Skills!L18/10)+Skills!O18</f>
        <v/>
      </c>
      <c r="G868">
        <f>Skills!G18*IF(Skills!H18&gt;0,Skills!I18/Skills!H18,1)</f>
        <v/>
      </c>
      <c r="H868">
        <f>1-(1-Skills!J18/100)^Skills!K18</f>
        <v/>
      </c>
      <c r="I868" t="inlineStr">
        <is>
          <t>1</t>
        </is>
      </c>
      <c r="J868" t="inlineStr"/>
      <c r="K868" t="inlineStr"/>
      <c r="L868" t="inlineStr"/>
      <c r="M868" t="inlineStr"/>
      <c r="N868" t="inlineStr"/>
      <c r="O868" t="n">
        <v>0</v>
      </c>
      <c r="P868">
        <f>IF(B895=0,0,O868/B895)</f>
        <v/>
      </c>
      <c r="Q868" t="n">
        <v>0</v>
      </c>
      <c r="R868" t="n">
        <v>0</v>
      </c>
      <c r="S868">
        <f>IFERROR(O868/N868,0)</f>
        <v/>
      </c>
    </row>
    <row r="869">
      <c r="A869">
        <f>Skills!A19</f>
        <v/>
      </c>
      <c r="B869">
        <f>Skills!B19</f>
        <v/>
      </c>
      <c r="C869">
        <f>TRUE</f>
        <v/>
      </c>
      <c r="D869">
        <f>IF(Skills!C19=1,60+Inputs!$B$25+Inputs!$B$29,IF(Skills!C19=2,90+(Inputs!$B$26+1)+Inputs!$B$29,IF(Skills!C19=3,120+Inputs!$B$27+Inputs!$B$29,MAX(0,(Inputs!$B$3-100)*3)+Inputs!$B$28+Inputs!$B$29)))</f>
        <v/>
      </c>
      <c r="E869">
        <f>INDEX(FactorTable!$B$2:$Y$301, MATCH(ROUND(MIN(300,MAX(1,D869)),0), FactorTable!$A$2:$A$301,0), Skills!M19+1)</f>
        <v/>
      </c>
      <c r="F869">
        <f>IF(Skills!N19=TRUE,(Skills!L19/10)*(E869/1000),Skills!L19/10)+Skills!O19</f>
        <v/>
      </c>
      <c r="G869">
        <f>Skills!G19*IF(Skills!H19&gt;0,Skills!I19/Skills!H19,1)</f>
        <v/>
      </c>
      <c r="H869">
        <f>1-(1-Skills!J19/100)^Skills!K19</f>
        <v/>
      </c>
      <c r="I869" t="inlineStr">
        <is>
          <t>1</t>
        </is>
      </c>
      <c r="J869" t="inlineStr"/>
      <c r="K869" t="inlineStr"/>
      <c r="L869" t="inlineStr"/>
      <c r="M869" t="inlineStr"/>
      <c r="N869" t="inlineStr"/>
      <c r="O869" t="n">
        <v>0</v>
      </c>
      <c r="P869">
        <f>IF(B895=0,0,O869/B895)</f>
        <v/>
      </c>
      <c r="Q869">
        <f>IFERROR(1/IF(Inputs!$B$39="pvp",15,MAX(0.1,Skills!D19-IF(Skills!E19=TRUE,Inputs!$B$32,0))),0)</f>
        <v/>
      </c>
      <c r="R869">
        <f>IF(AND(Inputs!$B$39&lt;&gt;"pvp",Inputs!$B$44&gt;0),IF(Inputs!$B$44&lt;=0,0,(INT(Inputs!$B$44/IF(Inputs!$B$39="pvp",15,MAX(0.1,Skills!D19-IF(Skills!E19=TRUE,Inputs!$B$32,0))))+1)),0)</f>
        <v/>
      </c>
      <c r="S869">
        <f>IFERROR(O869/N869,0)</f>
        <v/>
      </c>
    </row>
    <row r="870">
      <c r="A870">
        <f>Skills!A20</f>
        <v/>
      </c>
      <c r="B870">
        <f>Skills!B20</f>
        <v/>
      </c>
      <c r="C870">
        <f>Inputs!$B$3&gt;=15</f>
        <v/>
      </c>
      <c r="D870">
        <f>IF(Skills!C20=1,60+Inputs!$B$25+Inputs!$B$29,IF(Skills!C20=2,90+(Inputs!$B$26+1)+Inputs!$B$29,IF(Skills!C20=3,120+Inputs!$B$27+Inputs!$B$29,MAX(0,(Inputs!$B$3-100)*3)+Inputs!$B$28+Inputs!$B$29)))</f>
        <v/>
      </c>
      <c r="E870">
        <f>INDEX(FactorTable!$B$2:$Y$301, MATCH(ROUND(MIN(300,MAX(1,D870)),0), FactorTable!$A$2:$A$301,0), Skills!M20+1)</f>
        <v/>
      </c>
      <c r="F870">
        <f>IF(Skills!N20=TRUE,(Skills!L20/10)*(E870/1000),Skills!L20/10)+Skills!O20</f>
        <v/>
      </c>
      <c r="G870">
        <f>Skills!G20*IF(Skills!H20&gt;0,Skills!I20/Skills!H20,1)</f>
        <v/>
      </c>
      <c r="H870">
        <f>1-(1-Skills!J20/100)^Skills!K20</f>
        <v/>
      </c>
      <c r="I870" t="inlineStr">
        <is>
          <t>1</t>
        </is>
      </c>
      <c r="J870" t="inlineStr"/>
      <c r="K870" t="inlineStr"/>
      <c r="L870" t="inlineStr"/>
      <c r="M870" t="inlineStr"/>
      <c r="N870" t="inlineStr"/>
      <c r="O870" t="n">
        <v>0</v>
      </c>
      <c r="P870">
        <f>IF(B895=0,0,O870/B895)</f>
        <v/>
      </c>
      <c r="Q870">
        <f>IFERROR(1/IF(Inputs!$B$39="pvp",15,MAX(0.1,Skills!D20-IF(Skills!E20=TRUE,Inputs!$B$32,0))),0)</f>
        <v/>
      </c>
      <c r="R870">
        <f>IF(AND(Inputs!$B$39&lt;&gt;"pvp",Inputs!$B$44&gt;0),IF(Inputs!$B$44&lt;=0,0,(INT(Inputs!$B$44/IF(Inputs!$B$39="pvp",15,MAX(0.1,Skills!D20-IF(Skills!E20=TRUE,Inputs!$B$32,0))))+1)),0)</f>
        <v/>
      </c>
      <c r="S870">
        <f>IFERROR(O870/N870,0)</f>
        <v/>
      </c>
    </row>
    <row r="871">
      <c r="A871">
        <f>Skills!A21</f>
        <v/>
      </c>
      <c r="B871">
        <f>Skills!B21</f>
        <v/>
      </c>
      <c r="C871">
        <f>Inputs!$B$3&gt;=15</f>
        <v/>
      </c>
      <c r="D871">
        <f>IF(Skills!C21=1,60+Inputs!$B$25+Inputs!$B$29,IF(Skills!C21=2,90+(Inputs!$B$26+1)+Inputs!$B$29,IF(Skills!C21=3,120+Inputs!$B$27+Inputs!$B$29,MAX(0,(Inputs!$B$3-100)*3)+Inputs!$B$28+Inputs!$B$29)))</f>
        <v/>
      </c>
      <c r="E871">
        <f>INDEX(FactorTable!$B$2:$Y$301, MATCH(ROUND(MIN(300,MAX(1,D871)),0), FactorTable!$A$2:$A$301,0), Skills!M21+1)</f>
        <v/>
      </c>
      <c r="F871">
        <f>IF(Skills!N21=TRUE,(Skills!L21/10)*(E871/1000),Skills!L21/10)+Skills!O21</f>
        <v/>
      </c>
      <c r="G871">
        <f>Skills!G21*IF(Skills!H21&gt;0,Skills!I21/Skills!H21,1)</f>
        <v/>
      </c>
      <c r="H871">
        <f>1-(1-Skills!J21/100)^Skills!K21</f>
        <v/>
      </c>
      <c r="I871" t="inlineStr">
        <is>
          <t>1</t>
        </is>
      </c>
      <c r="J871" t="inlineStr"/>
      <c r="K871" t="inlineStr"/>
      <c r="L871" t="inlineStr"/>
      <c r="M871" t="inlineStr"/>
      <c r="N871" t="inlineStr"/>
      <c r="O871" t="n">
        <v>0</v>
      </c>
      <c r="P871">
        <f>IF(B895=0,0,O871/B895)</f>
        <v/>
      </c>
      <c r="Q871">
        <f>IFERROR(1/IF(Inputs!$B$39="pvp",15,MAX(0.1,Skills!D21-IF(Skills!E21=TRUE,Inputs!$B$32,0))),0)</f>
        <v/>
      </c>
      <c r="R871">
        <f>IF(AND(Inputs!$B$39&lt;&gt;"pvp",Inputs!$B$44&gt;0),IF(Inputs!$B$44&lt;=0,0,(INT(Inputs!$B$44/IF(Inputs!$B$39="pvp",15,MAX(0.1,Skills!D21-IF(Skills!E21=TRUE,Inputs!$B$32,0))))+1)),0)</f>
        <v/>
      </c>
      <c r="S871">
        <f>IFERROR(O871/N871,0)</f>
        <v/>
      </c>
    </row>
    <row r="872">
      <c r="A872">
        <f>Skills!A22</f>
        <v/>
      </c>
      <c r="B872">
        <f>Skills!B22</f>
        <v/>
      </c>
      <c r="C872">
        <f>Inputs!$B$3&gt;=33</f>
        <v/>
      </c>
      <c r="D872">
        <f>IF(Skills!C22=1,60+Inputs!$B$25+Inputs!$B$29,IF(Skills!C22=2,90+(Inputs!$B$26+1)+Inputs!$B$29,IF(Skills!C22=3,120+Inputs!$B$27+Inputs!$B$29,MAX(0,(Inputs!$B$3-100)*3)+Inputs!$B$28+Inputs!$B$29)))</f>
        <v/>
      </c>
      <c r="E872">
        <f>INDEX(FactorTable!$B$2:$Y$301, MATCH(ROUND(MIN(300,MAX(1,D872)),0), FactorTable!$A$2:$A$301,0), Skills!M22+1)</f>
        <v/>
      </c>
      <c r="F872">
        <f>IF(Skills!N22=TRUE,(Skills!L22/10)*(E872/1000),Skills!L22/10)+Skills!O22</f>
        <v/>
      </c>
      <c r="G872">
        <f>Skills!G22*IF(Skills!H22&gt;0,Skills!I22/Skills!H22,1)</f>
        <v/>
      </c>
      <c r="H872">
        <f>1-(1-Skills!J22/100)^Skills!K22</f>
        <v/>
      </c>
      <c r="I872" t="inlineStr">
        <is>
          <t>1</t>
        </is>
      </c>
      <c r="J872" t="inlineStr"/>
      <c r="K872" t="inlineStr"/>
      <c r="L872" t="inlineStr"/>
      <c r="M872" t="inlineStr"/>
      <c r="N872" t="inlineStr"/>
      <c r="O872" t="n">
        <v>0</v>
      </c>
      <c r="P872">
        <f>IF(B895=0,0,O872/B895)</f>
        <v/>
      </c>
      <c r="Q872" t="n">
        <v>0</v>
      </c>
      <c r="R872" t="n">
        <v>0</v>
      </c>
      <c r="S872">
        <f>IFERROR(O872/N872,0)</f>
        <v/>
      </c>
    </row>
    <row r="873">
      <c r="A873">
        <f>Skills!A23</f>
        <v/>
      </c>
      <c r="B873">
        <f>Skills!B23</f>
        <v/>
      </c>
      <c r="C873">
        <f>Inputs!$B$3&gt;=40</f>
        <v/>
      </c>
      <c r="D873">
        <f>IF(Skills!C23=1,60+Inputs!$B$25+Inputs!$B$29,IF(Skills!C23=2,90+(Inputs!$B$26+1)+Inputs!$B$29,IF(Skills!C23=3,120+Inputs!$B$27+Inputs!$B$29,MAX(0,(Inputs!$B$3-100)*3)+Inputs!$B$28+Inputs!$B$29)))</f>
        <v/>
      </c>
      <c r="E873">
        <f>INDEX(FactorTable!$B$2:$Y$301, MATCH(ROUND(MIN(300,MAX(1,D873)),0), FactorTable!$A$2:$A$301,0), Skills!M23+1)</f>
        <v/>
      </c>
      <c r="F873">
        <f>IF(Skills!N23=TRUE,(Skills!L23/10)*(E873/1000),Skills!L23/10)+Skills!O23</f>
        <v/>
      </c>
      <c r="G873">
        <f>Skills!G23*IF(Skills!H23&gt;0,Skills!I23/Skills!H23,1)</f>
        <v/>
      </c>
      <c r="H873">
        <f>1-(1-Skills!J23/100)^Skills!K23</f>
        <v/>
      </c>
      <c r="I873" t="inlineStr">
        <is>
          <t>1</t>
        </is>
      </c>
      <c r="J873" t="inlineStr"/>
      <c r="K873" t="inlineStr"/>
      <c r="L873" t="inlineStr"/>
      <c r="M873" t="inlineStr"/>
      <c r="N873" t="inlineStr"/>
      <c r="O873" t="n">
        <v>0</v>
      </c>
      <c r="P873">
        <f>IF(B895=0,0,O873/B895)</f>
        <v/>
      </c>
      <c r="Q873" t="n">
        <v>0</v>
      </c>
      <c r="R873" t="n">
        <v>0</v>
      </c>
      <c r="S873">
        <f>IFERROR(O873/N873,0)</f>
        <v/>
      </c>
    </row>
    <row r="874">
      <c r="A874">
        <f>Skills!A24</f>
        <v/>
      </c>
      <c r="B874">
        <f>Skills!B24</f>
        <v/>
      </c>
      <c r="C874">
        <f>Inputs!$B$3&gt;=43</f>
        <v/>
      </c>
      <c r="D874">
        <f>IF(Skills!C24=1,60+Inputs!$B$25+Inputs!$B$29,IF(Skills!C24=2,90+(Inputs!$B$26+1)+Inputs!$B$29,IF(Skills!C24=3,120+Inputs!$B$27+Inputs!$B$29,MAX(0,(Inputs!$B$3-100)*3)+Inputs!$B$28+Inputs!$B$29)))</f>
        <v/>
      </c>
      <c r="E874">
        <f>INDEX(FactorTable!$B$2:$Y$301, MATCH(ROUND(MIN(300,MAX(1,D874)),0), FactorTable!$A$2:$A$301,0), Skills!M24+1)</f>
        <v/>
      </c>
      <c r="F874">
        <f>IF(Skills!N24=TRUE,(Skills!L24/10)*(E874/1000),Skills!L24/10)+Skills!O24</f>
        <v/>
      </c>
      <c r="G874">
        <f>Skills!G24*IF(Skills!H24&gt;0,Skills!I24/Skills!H24,1)</f>
        <v/>
      </c>
      <c r="H874">
        <f>1-(1-Skills!J24/100)^Skills!K24</f>
        <v/>
      </c>
      <c r="I874" t="inlineStr">
        <is>
          <t>1</t>
        </is>
      </c>
      <c r="J874" t="inlineStr"/>
      <c r="K874" t="inlineStr"/>
      <c r="L874" t="inlineStr"/>
      <c r="M874" t="inlineStr"/>
      <c r="N874" t="inlineStr"/>
      <c r="O874" t="n">
        <v>0</v>
      </c>
      <c r="P874">
        <f>IF(B895=0,0,O874/B895)</f>
        <v/>
      </c>
      <c r="Q874" t="n">
        <v>0</v>
      </c>
      <c r="R874" t="n">
        <v>0</v>
      </c>
      <c r="S874">
        <f>IFERROR(O874/N874,0)</f>
        <v/>
      </c>
    </row>
    <row r="875">
      <c r="A875">
        <f>Skills!A25</f>
        <v/>
      </c>
      <c r="B875">
        <f>Skills!B25</f>
        <v/>
      </c>
      <c r="C875">
        <f>Inputs!$B$3&gt;=50</f>
        <v/>
      </c>
      <c r="D875">
        <f>IF(Skills!C25=1,60+Inputs!$B$25+Inputs!$B$29,IF(Skills!C25=2,90+(Inputs!$B$26+1)+Inputs!$B$29,IF(Skills!C25=3,120+Inputs!$B$27+Inputs!$B$29,MAX(0,(Inputs!$B$3-100)*3)+Inputs!$B$28+Inputs!$B$29)))</f>
        <v/>
      </c>
      <c r="E875">
        <f>INDEX(FactorTable!$B$2:$Y$301, MATCH(ROUND(MIN(300,MAX(1,D875)),0), FactorTable!$A$2:$A$301,0), Skills!M25+1)</f>
        <v/>
      </c>
      <c r="F875">
        <f>IF(Skills!N25=TRUE,(Skills!L25/10)*(E875/1000),Skills!L25/10)+Skills!O25</f>
        <v/>
      </c>
      <c r="G875">
        <f>Skills!G25*IF(Skills!H25&gt;0,Skills!I25/Skills!H25,1)</f>
        <v/>
      </c>
      <c r="H875">
        <f>1-(1-Skills!J25/100)^Skills!K25</f>
        <v/>
      </c>
      <c r="I875" t="inlineStr">
        <is>
          <t>1</t>
        </is>
      </c>
      <c r="J875" t="inlineStr"/>
      <c r="K875" t="inlineStr"/>
      <c r="L875" t="inlineStr"/>
      <c r="M875" t="inlineStr"/>
      <c r="N875" t="inlineStr"/>
      <c r="O875" t="n">
        <v>0</v>
      </c>
      <c r="P875">
        <f>IF(B895=0,0,O875/B895)</f>
        <v/>
      </c>
      <c r="Q875" t="n">
        <v>0</v>
      </c>
      <c r="R875" t="n">
        <v>0</v>
      </c>
      <c r="S875">
        <f>IFERROR(O875/N875,0)</f>
        <v/>
      </c>
    </row>
    <row r="876">
      <c r="A876">
        <f>Skills!A26</f>
        <v/>
      </c>
      <c r="B876">
        <f>Skills!B26</f>
        <v/>
      </c>
      <c r="C876">
        <f>Inputs!$B$3&gt;=50</f>
        <v/>
      </c>
      <c r="D876">
        <f>IF(Skills!C26=1,60+Inputs!$B$25+Inputs!$B$29,IF(Skills!C26=2,90+(Inputs!$B$26+1)+Inputs!$B$29,IF(Skills!C26=3,120+Inputs!$B$27+Inputs!$B$29,MAX(0,(Inputs!$B$3-100)*3)+Inputs!$B$28+Inputs!$B$29)))</f>
        <v/>
      </c>
      <c r="E876">
        <f>INDEX(FactorTable!$B$2:$Y$301, MATCH(ROUND(MIN(300,MAX(1,D876)),0), FactorTable!$A$2:$A$301,0), Skills!M26+1)</f>
        <v/>
      </c>
      <c r="F876">
        <f>IF(Skills!N26=TRUE,(Skills!L26/10)*(E876/1000),Skills!L26/10)+Skills!O26</f>
        <v/>
      </c>
      <c r="G876">
        <f>Skills!G26*IF(Skills!H26&gt;0,Skills!I26/Skills!H26,1)</f>
        <v/>
      </c>
      <c r="H876">
        <f>1-(1-Skills!J26/100)^Skills!K26</f>
        <v/>
      </c>
      <c r="I876" t="inlineStr">
        <is>
          <t>1</t>
        </is>
      </c>
      <c r="J876" t="inlineStr"/>
      <c r="K876" t="inlineStr"/>
      <c r="L876" t="inlineStr"/>
      <c r="M876" t="inlineStr"/>
      <c r="N876" t="inlineStr"/>
      <c r="O876" t="n">
        <v>0</v>
      </c>
      <c r="P876">
        <f>IF(B895=0,0,O876/B895)</f>
        <v/>
      </c>
      <c r="Q876" t="n">
        <v>0</v>
      </c>
      <c r="R876" t="n">
        <v>0</v>
      </c>
      <c r="S876">
        <f>IFERROR(O876/N876,0)</f>
        <v/>
      </c>
    </row>
    <row r="877">
      <c r="A877">
        <f>Skills!A27</f>
        <v/>
      </c>
      <c r="B877">
        <f>Skills!B27</f>
        <v/>
      </c>
      <c r="C877">
        <f>Inputs!$B$3&gt;=38</f>
        <v/>
      </c>
      <c r="D877">
        <f>IF(Skills!C27=1,60+Inputs!$B$25+Inputs!$B$29,IF(Skills!C27=2,90+(Inputs!$B$26+1)+Inputs!$B$29,IF(Skills!C27=3,120+Inputs!$B$27+Inputs!$B$29,MAX(0,(Inputs!$B$3-100)*3)+Inputs!$B$28+Inputs!$B$29)))</f>
        <v/>
      </c>
      <c r="E877">
        <f>INDEX(FactorTable!$B$2:$Y$301, MATCH(ROUND(MIN(300,MAX(1,D877)),0), FactorTable!$A$2:$A$301,0), Skills!M27+1)</f>
        <v/>
      </c>
      <c r="F877">
        <f>IF(Skills!N27=TRUE,(Skills!L27/10)*(E877/1000),Skills!L27/10)+Skills!O27</f>
        <v/>
      </c>
      <c r="G877">
        <f>Skills!G27*IF(Skills!H27&gt;0,Skills!I27/Skills!H27,1)</f>
        <v/>
      </c>
      <c r="H877">
        <f>1-(1-Skills!J27/100)^Skills!K27</f>
        <v/>
      </c>
      <c r="I877" t="inlineStr">
        <is>
          <t>1</t>
        </is>
      </c>
      <c r="J877" t="inlineStr"/>
      <c r="K877" t="inlineStr"/>
      <c r="L877" t="inlineStr"/>
      <c r="M877" t="inlineStr"/>
      <c r="N877" t="inlineStr"/>
      <c r="O877" t="n">
        <v>0</v>
      </c>
      <c r="P877">
        <f>IF(B895=0,0,O877/B895)</f>
        <v/>
      </c>
      <c r="Q877" t="n">
        <v>0</v>
      </c>
      <c r="R877" t="n">
        <v>0</v>
      </c>
      <c r="S877">
        <f>IFERROR(O877/N877,0)</f>
        <v/>
      </c>
    </row>
    <row r="878">
      <c r="A878">
        <f>Skills!A28</f>
        <v/>
      </c>
      <c r="B878">
        <f>Skills!B28</f>
        <v/>
      </c>
      <c r="C878">
        <f>Inputs!$B$3&gt;=120</f>
        <v/>
      </c>
      <c r="D878">
        <f>IF(Skills!C28=1,60+Inputs!$B$25+Inputs!$B$29,IF(Skills!C28=2,90+(Inputs!$B$26+1)+Inputs!$B$29,IF(Skills!C28=3,120+Inputs!$B$27+Inputs!$B$29,MAX(0,(Inputs!$B$3-100)*3)+Inputs!$B$28+Inputs!$B$29)))</f>
        <v/>
      </c>
      <c r="E878">
        <f>INDEX(FactorTable!$B$2:$Y$301, MATCH(ROUND(MIN(300,MAX(1,D878)),0), FactorTable!$A$2:$A$301,0), Skills!M28+1)</f>
        <v/>
      </c>
      <c r="F878">
        <f>IF(Skills!N28=TRUE,(Skills!L28/10)*(E878/1000),Skills!L28/10)+Skills!O28</f>
        <v/>
      </c>
      <c r="G878">
        <f>Skills!G28*IF(Skills!H28&gt;0,Skills!I28/Skills!H28,1)</f>
        <v/>
      </c>
      <c r="H878">
        <f>1-(1-Skills!J28/100)^Skills!K28</f>
        <v/>
      </c>
      <c r="I878" t="inlineStr">
        <is>
          <t>1</t>
        </is>
      </c>
      <c r="J878" t="inlineStr"/>
      <c r="K878" t="inlineStr"/>
      <c r="L878" t="inlineStr"/>
      <c r="M878" t="inlineStr"/>
      <c r="N878" t="inlineStr"/>
      <c r="O878" t="n">
        <v>0</v>
      </c>
      <c r="P878">
        <f>IF(B895=0,0,O878/B895)</f>
        <v/>
      </c>
      <c r="Q878" t="n">
        <v>0</v>
      </c>
      <c r="R878" t="n">
        <v>0</v>
      </c>
      <c r="S878">
        <f>IFERROR(O878/N878,0)</f>
        <v/>
      </c>
    </row>
    <row r="879">
      <c r="A879">
        <f>Skills!A29</f>
        <v/>
      </c>
      <c r="B879">
        <f>Skills!B29</f>
        <v/>
      </c>
      <c r="C879">
        <f>Inputs!$B$3&gt;=120</f>
        <v/>
      </c>
      <c r="D879">
        <f>IF(Skills!C29=1,60+Inputs!$B$25+Inputs!$B$29,IF(Skills!C29=2,90+(Inputs!$B$26+1)+Inputs!$B$29,IF(Skills!C29=3,120+Inputs!$B$27+Inputs!$B$29,MAX(0,(Inputs!$B$3-100)*3)+Inputs!$B$28+Inputs!$B$29)))</f>
        <v/>
      </c>
      <c r="E879">
        <f>INDEX(FactorTable!$B$2:$Y$301, MATCH(ROUND(MIN(300,MAX(1,D879)),0), FactorTable!$A$2:$A$301,0), Skills!M29+1)</f>
        <v/>
      </c>
      <c r="F879">
        <f>IF(Skills!N29=TRUE,(Skills!L29/10)*(E879/1000),Skills!L29/10)+Skills!O29</f>
        <v/>
      </c>
      <c r="G879">
        <f>Skills!G29*IF(Skills!H29&gt;0,Skills!I29/Skills!H29,1)</f>
        <v/>
      </c>
      <c r="H879">
        <f>1-(1-Skills!J29/100)^Skills!K29</f>
        <v/>
      </c>
      <c r="I879" t="inlineStr">
        <is>
          <t>1</t>
        </is>
      </c>
      <c r="J879" t="inlineStr"/>
      <c r="K879" t="inlineStr"/>
      <c r="L879" t="inlineStr"/>
      <c r="M879" t="inlineStr"/>
      <c r="N879" t="inlineStr"/>
      <c r="O879" t="n">
        <v>0</v>
      </c>
      <c r="P879">
        <f>IF(B895=0,0,O879/B895)</f>
        <v/>
      </c>
      <c r="Q879" t="n">
        <v>0</v>
      </c>
      <c r="R879" t="n">
        <v>0</v>
      </c>
      <c r="S879">
        <f>IFERROR(O879/N879,0)</f>
        <v/>
      </c>
    </row>
    <row r="880">
      <c r="A880">
        <f>Skills!A30</f>
        <v/>
      </c>
      <c r="B880">
        <f>Skills!B30</f>
        <v/>
      </c>
      <c r="C880">
        <f>Inputs!$B$3&gt;=125</f>
        <v/>
      </c>
      <c r="D880">
        <f>IF(Skills!C30=1,60+Inputs!$B$25+Inputs!$B$29,IF(Skills!C30=2,90+(Inputs!$B$26+1)+Inputs!$B$29,IF(Skills!C30=3,120+Inputs!$B$27+Inputs!$B$29,MAX(0,(Inputs!$B$3-100)*3)+Inputs!$B$28+Inputs!$B$29)))</f>
        <v/>
      </c>
      <c r="E880">
        <f>INDEX(FactorTable!$B$2:$Y$301, MATCH(ROUND(MIN(300,MAX(1,D880)),0), FactorTable!$A$2:$A$301,0), Skills!M30+1)</f>
        <v/>
      </c>
      <c r="F880">
        <f>IF(Skills!N30=TRUE,(Skills!L30/10)*(E880/1000),Skills!L30/10)+Skills!O30</f>
        <v/>
      </c>
      <c r="G880">
        <f>Skills!G30*IF(Skills!H30&gt;0,Skills!I30/Skills!H30,1)</f>
        <v/>
      </c>
      <c r="H880">
        <f>1-(1-Skills!J30/100)^Skills!K30</f>
        <v/>
      </c>
      <c r="I880" t="inlineStr">
        <is>
          <t>1</t>
        </is>
      </c>
      <c r="J880" t="inlineStr"/>
      <c r="K880" t="inlineStr"/>
      <c r="L880" t="inlineStr"/>
      <c r="M880" t="inlineStr"/>
      <c r="N880" t="inlineStr"/>
      <c r="O880" t="n">
        <v>0</v>
      </c>
      <c r="P880">
        <f>IF(B895=0,0,O880/B895)</f>
        <v/>
      </c>
      <c r="Q880" t="n">
        <v>0</v>
      </c>
      <c r="R880" t="n">
        <v>0</v>
      </c>
      <c r="S880">
        <f>IFERROR(O880/N880,0)</f>
        <v/>
      </c>
    </row>
    <row r="882">
      <c r="A882" t="inlineStr">
        <is>
          <t>Average Buff Multiplier</t>
        </is>
      </c>
      <c r="B882">
        <f>(1+(((C871=TRUE)*F871*IF(AND(Inputs!$B$39&lt;&gt;"pvp",Inputs!$B$44&gt;0),(((R871-1)*(Skills!Y21*(1+Inputs!$B$34/100))+MIN((Skills!Y21*(1+Inputs!$B$34/100)),MAX(0,Inputs!$B$44-((R871-1)*Skills!D21))))/Inputs!$B$44),IF(Inputs!$B$39="pvp",MIN((Skills!Y21*(1+Inputs!$B$34/100)),15)/15,(Skills!Y21*(1+Inputs!$B$34/100))/Skills!D21)))+((C873=TRUE)*(F873-Calc!F23))+((C867=TRUE)*(F867-Calc!F17)))/100)*(1+((C860=TRUE)*F860*IF(AND(Inputs!$B$39&lt;&gt;"pvp",Inputs!$B$44&gt;0),(((R860-1)*(Skills!Y10*(1+Inputs!$B$34/100))+MIN((Skills!Y10*(1+Inputs!$B$34/100)),MAX(0,Inputs!$B$44-((R860-1)*Skills!D10))))/Inputs!$B$44),IF(Inputs!$B$39="pvp",MIN((Skills!Y10*(1+Inputs!$B$34/100)),15)/15,(Skills!Y10*(1+Inputs!$B$34/100))/Skills!D10)))/100)*(1+((C865=TRUE)*F865*IF(AND(Inputs!$B$39&lt;&gt;"pvp",Inputs!$B$44&gt;0),(((R865-1)*(Skills!Y15*(1+Inputs!$B$34/100))+MIN((Skills!Y15*(1+Inputs!$B$34/100)),MAX(0,Inputs!$B$44-((R865-1)*Skills!D15))))/Inputs!$B$44),IF(Inputs!$B$39="pvp",MIN((Skills!Y15*(1+Inputs!$B$34/100)),15)/15,(Skills!Y15*(1+Inputs!$B$34/100))/Skills!D15)))/100)</f>
        <v/>
      </c>
    </row>
    <row r="883">
      <c r="A883" t="inlineStr">
        <is>
          <t>Global Crit Rate Bonus %</t>
        </is>
      </c>
      <c r="B883">
        <f>((C870=TRUE)*F870*IF(AND(Inputs!$B$39&lt;&gt;"pvp",Inputs!$B$44&gt;0),(((R870-1)*(Skills!Y20*(1+Inputs!$B$34/100))+MIN((Skills!Y20*(1+Inputs!$B$34/100)),MAX(0,Inputs!$B$44-((R870-1)*Skills!D20))))/Inputs!$B$44),IF(Inputs!$B$39="pvp",MIN((Skills!Y20*(1+Inputs!$B$34/100)),15)/15,(Skills!Y20*(1+Inputs!$B$34/100))/Skills!D20)))</f>
        <v/>
      </c>
    </row>
    <row r="884">
      <c r="A884" t="inlineStr">
        <is>
          <t>Global Monster Damage-Taken Bonus %</t>
        </is>
      </c>
      <c r="B884">
        <f>IF(Inputs!$B$3&gt;=82,15,0)</f>
        <v/>
      </c>
    </row>
    <row r="885">
      <c r="A885" t="inlineStr">
        <is>
          <t>Shadow Partner Average Multiplier</t>
        </is>
      </c>
      <c r="B885">
        <f>1+((C857=TRUE)*F857*(1+3.3333333333333335*IF(C868=TRUE,F868,0)/100)*I857*Skills!J7/100)/100</f>
        <v/>
      </c>
    </row>
    <row r="886">
      <c r="A886" t="inlineStr">
        <is>
          <t>Attack Speed Buff Bonus %</t>
        </is>
      </c>
      <c r="B886">
        <f>((C869=TRUE)*F869*IF(AND(Inputs!$B$39&lt;&gt;"pvp",Inputs!$B$44&gt;0),(((R869-1)*(Skills!Y19*(1+Inputs!$B$34/100))+MIN((Skills!Y19*(1+Inputs!$B$34/100)),MAX(0,Inputs!$B$44-((R869-1)*Skills!D19))))/Inputs!$B$44),IF(Inputs!$B$39="pvp",MIN((Skills!Y19*(1+Inputs!$B$34/100)),15)/15,(Skills!Y19*(1+Inputs!$B$34/100))/Skills!D19)))+((C853=TRUE)*F853*3)</f>
        <v/>
      </c>
    </row>
    <row r="887">
      <c r="A887" t="inlineStr">
        <is>
          <t>Actions Per Second</t>
        </is>
      </c>
      <c r="B887">
        <f>1+MIN(150,150*(1-(1-(Inputs!$B$11+((C872=TRUE)*(F872-Calc!F22)))/150)*(1-B886/150)))/100</f>
        <v/>
      </c>
    </row>
    <row r="888">
      <c r="A888" t="inlineStr">
        <is>
          <t>Skill + Buff Cast Rate</t>
        </is>
      </c>
      <c r="B888">
        <f>IF(AND(Inputs!$B$39&lt;&gt;"pvp",Inputs!$B$44&gt;0),SUMPRODUCT((Skills!E2:E30=TRUE)*(C852:C880=TRUE)*R852:R880*Skills!F2:F30)/Inputs!$B$44,SUMPRODUCT((Skills!E2:E30=TRUE)*(C852:C880=TRUE)*Q852:Q880*Skills!F2:F30))</f>
        <v/>
      </c>
    </row>
    <row r="889">
      <c r="A889" t="inlineStr">
        <is>
          <t>Cruel Stab Casts Per Second</t>
        </is>
      </c>
      <c r="B889">
        <f>MAX(0,B887-B888)</f>
        <v/>
      </c>
    </row>
    <row r="890">
      <c r="A890" t="inlineStr">
        <is>
          <t>Global Critical Damage Bonus % (Smokescreen Mastery Lv.113)</t>
        </is>
      </c>
      <c r="B890">
        <f>IF(Inputs!$B$3&gt;=113,30,0)*IF(AND(Inputs!$B$39&lt;&gt;"pvp",Inputs!$B$44&gt;0),(((R865-1)*(Skills!Y15*(1+Inputs!$B$34/100))+MIN((Skills!Y15*(1+Inputs!$B$34/100)),MAX(0,Inputs!$B$44-((R865-1)*Skills!D15))))/Inputs!$B$44),IF(Inputs!$B$39="pvp",MIN((Skills!Y15*(1+Inputs!$B$34/100)),15)/15,(Skills!Y15*(1+Inputs!$B$34/100))/Skills!D15))</f>
        <v/>
      </c>
    </row>
    <row r="891">
      <c r="A891" t="inlineStr">
        <is>
          <t>Meso Explosion average stack count</t>
        </is>
      </c>
      <c r="B891">
        <f>MIN(10,0.5*B887*Skills!D4)</f>
        <v/>
      </c>
    </row>
    <row r="892">
      <c r="A892" t="inlineStr">
        <is>
          <t>Blood Money average stack count</t>
        </is>
      </c>
      <c r="B892">
        <f>MIN(5,0.25*B887*Skills!D4)</f>
        <v/>
      </c>
    </row>
    <row r="893">
      <c r="A893" t="inlineStr">
        <is>
          <t>Assassinate Murderous Intent Multiplier</t>
        </is>
      </c>
      <c r="B893">
        <f>1+IFERROR(MIN(1,Q864*2/Q861),0)</f>
        <v/>
      </c>
    </row>
    <row r="894">
      <c r="A894" t="inlineStr">
        <is>
          <t>Buff-Casting Startup Delay (s, fixed-duration only)</t>
        </is>
      </c>
      <c r="B894">
        <f>IF(AND(Inputs!$B$39&lt;&gt;"pvp",Inputs!$B$44&gt;0),SUMPRODUCT((Skills!Y2:Y30&gt;0)*(Skills!E2:E30=TRUE)*(C852:C880=TRUE))/B887,0)</f>
        <v/>
      </c>
    </row>
    <row r="895">
      <c r="A895" s="5" t="inlineStr">
        <is>
          <t>TOTAL DPS</t>
        </is>
      </c>
      <c r="B895" s="5">
        <f>SUM(O852:O880)</f>
        <v/>
      </c>
    </row>
    <row r="898">
      <c r="A898" s="5" t="inlineStr">
        <is>
          <t>Stat: Skill Level Bonus — 3rd Job</t>
        </is>
      </c>
    </row>
    <row r="899">
      <c r="A899" s="9" t="inlineStr">
        <is>
          <t>Key</t>
        </is>
      </c>
      <c r="B899" s="9" t="inlineStr">
        <is>
          <t>Name</t>
        </is>
      </c>
      <c r="C899" s="9" t="inlineStr">
        <is>
          <t>Unlocked</t>
        </is>
      </c>
      <c r="D899" s="9" t="inlineStr">
        <is>
          <t>InputLevel</t>
        </is>
      </c>
      <c r="E899" s="9" t="inlineStr">
        <is>
          <t>Factor</t>
        </is>
      </c>
      <c r="F899" s="9" t="inlineStr">
        <is>
          <t>CoefficientPercent</t>
        </is>
      </c>
      <c r="G899" s="9" t="inlineStr">
        <is>
          <t>EffectiveHits</t>
        </is>
      </c>
      <c r="H899" s="9" t="inlineStr">
        <is>
          <t>ProcProbability</t>
        </is>
      </c>
      <c r="I899" s="9" t="inlineStr">
        <is>
          <t>MapleHeroMultiplier</t>
        </is>
      </c>
      <c r="J899" s="9" t="inlineStr">
        <is>
          <t>BaseDamage</t>
        </is>
      </c>
      <c r="K899" s="9" t="inlineStr">
        <is>
          <t>BaseHitDamage</t>
        </is>
      </c>
      <c r="L899" s="9" t="inlineStr">
        <is>
          <t>NonCritAvg</t>
        </is>
      </c>
      <c r="M899" s="9" t="inlineStr">
        <is>
          <t>CritAvg</t>
        </is>
      </c>
      <c r="N899" s="9" t="inlineStr">
        <is>
          <t>ExpectedDamage(perHit)</t>
        </is>
      </c>
      <c r="O899" s="9" t="inlineStr">
        <is>
          <t>DPS</t>
        </is>
      </c>
      <c r="P899" s="9" t="inlineStr">
        <is>
          <t>% of Total</t>
        </is>
      </c>
      <c r="Q899" s="9" t="inlineStr">
        <is>
          <t>InvCooldown</t>
        </is>
      </c>
      <c r="R899" s="9" t="inlineStr">
        <is>
          <t>CastsInFight</t>
        </is>
      </c>
      <c r="S899" s="9" t="inlineStr">
        <is>
          <t>HitRate(perSec)</t>
        </is>
      </c>
      <c r="U899" t="inlineStr">
        <is>
          <t>helpers</t>
        </is>
      </c>
    </row>
    <row r="900">
      <c r="A900">
        <f>Skills!A2</f>
        <v/>
      </c>
      <c r="B900">
        <f>Skills!B2</f>
        <v/>
      </c>
      <c r="C900">
        <f>Inputs!$B$3&gt;=100</f>
        <v/>
      </c>
      <c r="D900" t="inlineStr"/>
      <c r="E900" t="inlineStr"/>
      <c r="F900">
        <f>U902+Skills!O2</f>
        <v/>
      </c>
      <c r="G900">
        <f>Skills!G2*IF(Skills!H2&gt;0,Skills!I2/Skills!H2,1)</f>
        <v/>
      </c>
      <c r="H900">
        <f>1-(1-Skills!J2/100)^Skills!K2</f>
        <v/>
      </c>
      <c r="I900" t="inlineStr">
        <is>
          <t>1</t>
        </is>
      </c>
      <c r="J900">
        <f>((Inputs!$B$6*(1+Inputs!$B$7/100))+(((Inputs!$B$12*(1+Inputs!$B$13/100))-(Inputs!$B$12*(1+Inputs!$B$13/100)))+0.25*(Inputs!$B$14-Inputs!$B$14))*(1+Inputs!$B$7/100))*(F900/100)</f>
        <v/>
      </c>
      <c r="K900">
        <f>J900*(1+((Inputs!$B$12*(1+Inputs!$B$13/100))*0.01+Inputs!$B$14*0.0025)/100)*(1+Inputs!$B$15/100)*(1+IF(Inputs!$B$39="pvp",0,(1-Summary!$B$55)*(Inputs!$B$20+0+Skills!P2+B932)+Summary!$B$55*(Inputs!$B$21+Skills!Q2+B932))/100)*(1+Inputs!$B$16/100)*(5000/(6000+Inputs!$B$43*(1-Inputs!$B$19/100)))*(1+(Inputs!$B$24+((C928=TRUE)*(F928-Calc!F30)))/100)*(1+(IF(Skills!A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900)</f>
        <v/>
      </c>
      <c r="L900">
        <f>K900*(MIN(Inputs!$B$22+((C922=TRUE)*(F922-Calc!F24)),Inputs!$B$23+((C927=TRUE)*(F927-Calc!F29)))/100+(Inputs!$B$23+((C927=TRUE)*(F927-Calc!F29)))/100)/2</f>
        <v/>
      </c>
      <c r="M900">
        <f>L900*(1+(Inputs!$B$10+((C924=TRUE)*(F924-Calc!F26))+B938)/100)</f>
        <v/>
      </c>
      <c r="N900">
        <f>L900*(1-MIN((Inputs!$B$9+((C923=TRUE)*(F923-Calc!F25))+B931),100)/100)+M900*(MIN((Inputs!$B$9+((C923=TRUE)*(F923-Calc!F25))+B931),100)/100)</f>
        <v/>
      </c>
      <c r="O900">
        <f>IF(C900,Skills!G2*N900*B937*IF(Inputs!$B$39="pvp",1,(1-Summary!$B$55)*(1)+Summary!$B$55*(MIN((6+Inputs!$B$33),Inputs!$B$37))),0)</f>
        <v/>
      </c>
      <c r="P900">
        <f>IF(B943=0,0,O900/B943)</f>
        <v/>
      </c>
      <c r="Q900" t="n">
        <v>0</v>
      </c>
      <c r="R900" t="n">
        <v>0</v>
      </c>
      <c r="S900">
        <f>IFERROR(O900/N900,0)</f>
        <v/>
      </c>
      <c r="U900">
        <f>MAX(0,(Inputs!$B$3-100)*3)+Inputs!$B$28+Inputs!$B$29</f>
        <v/>
      </c>
    </row>
    <row r="901">
      <c r="A901">
        <f>Skills!A3</f>
        <v/>
      </c>
      <c r="B901">
        <f>Skills!B3</f>
        <v/>
      </c>
      <c r="C901">
        <f>Inputs!$B$3&gt;=35</f>
        <v/>
      </c>
      <c r="D901">
        <f>IF(Skills!C3=1,60+Inputs!$B$25+Inputs!$B$29,IF(Skills!C3=2,90+Inputs!$B$26+Inputs!$B$29,IF(Skills!C3=3,120+(Inputs!$B$27+1)+Inputs!$B$29,MAX(0,(Inputs!$B$3-100)*3)+Inputs!$B$28+Inputs!$B$29)))</f>
        <v/>
      </c>
      <c r="E901">
        <f>INDEX(FactorTable!$B$2:$Y$301, MATCH(ROUND(MIN(300,MAX(1,D901)),0), FactorTable!$A$2:$A$301,0), Skills!M3+1)</f>
        <v/>
      </c>
      <c r="F901">
        <f>IF(Skills!N3=TRUE,(Skills!L3/10)*(E901/1000),Skills!L3/10)+Skills!O3</f>
        <v/>
      </c>
      <c r="G901">
        <f>Skills!G3*IF(Skills!H3&gt;0,Skills!I3/Skills!H3,1)</f>
        <v/>
      </c>
      <c r="H901">
        <f>1-(1-Skills!J3/100)^Skills!K3</f>
        <v/>
      </c>
      <c r="I901" t="inlineStr">
        <is>
          <t>1</t>
        </is>
      </c>
      <c r="J901" t="inlineStr"/>
      <c r="K901" t="inlineStr"/>
      <c r="L901" t="inlineStr"/>
      <c r="M901" t="inlineStr"/>
      <c r="N901" t="inlineStr"/>
      <c r="O901" t="n">
        <v>0</v>
      </c>
      <c r="P901">
        <f>IF(B943=0,0,O901/B943)</f>
        <v/>
      </c>
      <c r="Q901" t="n">
        <v>0</v>
      </c>
      <c r="R901" t="n">
        <v>0</v>
      </c>
      <c r="S901">
        <f>IFERROR(O901/N901,0)</f>
        <v/>
      </c>
      <c r="U901">
        <f>INDEX(FactorTable!$B$2:$Y$301, MATCH(ROUND(MIN(300,MAX(1,U900)),0), FactorTable!$A$2:$A$301,0), 22)</f>
        <v/>
      </c>
    </row>
    <row r="902">
      <c r="A902">
        <f>Skills!A4</f>
        <v/>
      </c>
      <c r="B902">
        <f>Skills!B4</f>
        <v/>
      </c>
      <c r="C902">
        <f>Inputs!$B$3&gt;=66</f>
        <v/>
      </c>
      <c r="D902">
        <f>IF(Skills!C4=1,60+Inputs!$B$25+Inputs!$B$29,IF(Skills!C4=2,90+Inputs!$B$26+Inputs!$B$29,IF(Skills!C4=3,120+(Inputs!$B$27+1)+Inputs!$B$29,MAX(0,(Inputs!$B$3-100)*3)+Inputs!$B$28+Inputs!$B$29)))</f>
        <v/>
      </c>
      <c r="E902">
        <f>INDEX(FactorTable!$B$2:$Y$301, MATCH(ROUND(MIN(300,MAX(1,D902)),0), FactorTable!$A$2:$A$301,0), Skills!M4+1)</f>
        <v/>
      </c>
      <c r="F902">
        <f>IF(Skills!N4=TRUE,(Skills!L4/10)*(E902/1000),Skills!L4/10)+Skills!O4</f>
        <v/>
      </c>
      <c r="G902">
        <f>Skills!G4*IF(Skills!H4&gt;0,Skills!I4/Skills!H4,1)</f>
        <v/>
      </c>
      <c r="H902">
        <f>1-(1-Skills!J4/100)^Skills!K4</f>
        <v/>
      </c>
      <c r="I902" t="inlineStr">
        <is>
          <t>1</t>
        </is>
      </c>
      <c r="J902">
        <f>((Inputs!$B$6*(1+Inputs!$B$7/100))+(((Inputs!$B$12*(1+Inputs!$B$13/100))-(Inputs!$B$12*(1+Inputs!$B$13/100)))+0.25*(Inputs!$B$14-Inputs!$B$14))*(1+Inputs!$B$7/100))*(F902/100)</f>
        <v/>
      </c>
      <c r="K902">
        <f>J902*(1+((Inputs!$B$12*(1+Inputs!$B$13/100))*0.01+Inputs!$B$14*0.0025)/100)*(1+Inputs!$B$15/100)*(1+IF(Inputs!$B$39="pvp",0,(1-Summary!$B$55)*(Inputs!$B$20+0+Skills!P4+B932)+Summary!$B$55*(Inputs!$B$21+Skills!Q4+B932))/100)*(1+Inputs!$B$16/100)*(5000/(6000+Inputs!$B$43*(1-Inputs!$B$19/100)))*(1+(Inputs!$B$24+((C928=TRUE)*(F928-Calc!F30)))/100)*(1+(IF(Skills!A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902)</f>
        <v/>
      </c>
      <c r="L902">
        <f>K902*(MIN(Inputs!$B$22+((C922=TRUE)*(F922-Calc!F24)),Inputs!$B$23+((C927=TRUE)*(F927-Calc!F29)))/100+(Inputs!$B$23+((C927=TRUE)*(F927-Calc!F29)))/100)/2</f>
        <v/>
      </c>
      <c r="M902">
        <f>L902*(1+(Inputs!$B$10+((C924=TRUE)*(F924-Calc!F26))+B938)/100)</f>
        <v/>
      </c>
      <c r="N902">
        <f>L902*(1-MIN((Inputs!$B$9+((C923=TRUE)*(F923-Calc!F25))+B931),100)/100)+M902*(MIN((Inputs!$B$9+((C923=TRUE)*(F923-Calc!F25))+B931),100)/100)</f>
        <v/>
      </c>
      <c r="O902">
        <f>IF(C902,H902*N902*IF(AND(Inputs!$B$39&lt;&gt;"pvp",Inputs!$B$44&gt;0),((Skills!G4*((R902-1)*IF(Skills!H4&gt;0,Skills!I4/Skills!H4,1)+IF(Skills!H4&gt;0,MIN(Skills!I4,MAX(0,MAX(0,Inputs!$B$44-B942)-((R902-1)*IF(Inputs!$B$39="pvp",15,MAX(0.1,Skills!D4-IF(Skills!E4=TRUE,Inputs!$B$32,0))))))/Skills!H4,1)))/Inputs!$B$44),G902*Q902)*IF(Inputs!$B$39="pvp",1,(1-Summary!$B$55)*(1)+Summary!$B$55*(MIN(MIN(10,0.5*B935*Skills!D4),Inputs!$B$37))),0)</f>
        <v/>
      </c>
      <c r="P902">
        <f>IF(B943=0,0,O902/B943)</f>
        <v/>
      </c>
      <c r="Q902">
        <f>IFERROR(1/IF(Inputs!$B$39="pvp",15,MAX(0.1,Skills!D4-IF(Skills!E4=TRUE,Inputs!$B$32,0))),0)</f>
        <v/>
      </c>
      <c r="R902">
        <f>IF(AND(Inputs!$B$39&lt;&gt;"pvp",Inputs!$B$44&gt;0),IF(MAX(0,Inputs!$B$44-B942)&lt;=0,0,(INT(MAX(0,Inputs!$B$44-B942)/IF(Inputs!$B$39="pvp",15,MAX(0.1,Skills!D4-IF(Skills!E4=TRUE,Inputs!$B$32,0))))+1)),0)</f>
        <v/>
      </c>
      <c r="S902">
        <f>IFERROR(O902/N902,0)</f>
        <v/>
      </c>
      <c r="U902">
        <f>290*U901/1000</f>
        <v/>
      </c>
    </row>
    <row r="903">
      <c r="A903">
        <f>Skills!A5</f>
        <v/>
      </c>
      <c r="B903">
        <f>Skills!B5</f>
        <v/>
      </c>
      <c r="C903">
        <f>Inputs!$B$3&gt;=63</f>
        <v/>
      </c>
      <c r="D903">
        <f>IF(Skills!C5=1,60+Inputs!$B$25+Inputs!$B$29,IF(Skills!C5=2,90+Inputs!$B$26+Inputs!$B$29,IF(Skills!C5=3,120+(Inputs!$B$27+1)+Inputs!$B$29,MAX(0,(Inputs!$B$3-100)*3)+Inputs!$B$28+Inputs!$B$29)))</f>
        <v/>
      </c>
      <c r="E903">
        <f>INDEX(FactorTable!$B$2:$Y$301, MATCH(ROUND(MIN(300,MAX(1,D903)),0), FactorTable!$A$2:$A$301,0), Skills!M5+1)</f>
        <v/>
      </c>
      <c r="F903">
        <f>IF(Skills!N5=TRUE,(Skills!L5/10)*(E903/1000),Skills!L5/10)+Skills!O5</f>
        <v/>
      </c>
      <c r="G903">
        <f>Skills!G5*IF(Skills!H5&gt;0,Skills!I5/Skills!H5,1)</f>
        <v/>
      </c>
      <c r="H903">
        <f>1-(1-Skills!J5/100)^Skills!K5</f>
        <v/>
      </c>
      <c r="I903" t="inlineStr">
        <is>
          <t>1</t>
        </is>
      </c>
      <c r="J903">
        <f>((Inputs!$B$6*(1+Inputs!$B$7/100))+(((Inputs!$B$12*(1+Inputs!$B$13/100))-(Inputs!$B$12*(1+Inputs!$B$13/100)))+0.25*(Inputs!$B$14-Inputs!$B$14))*(1+Inputs!$B$7/100))*(F903/100)</f>
        <v/>
      </c>
      <c r="K903">
        <f>J903*(1+((Inputs!$B$12*(1+Inputs!$B$13/100))*0.01+Inputs!$B$14*0.0025)/100)*(1+Inputs!$B$15/100)*(1+IF(Inputs!$B$39="pvp",0,(1-Summary!$B$55)*(Inputs!$B$20+0+Skills!P5+B932)+Summary!$B$55*(Inputs!$B$21+Skills!Q5+B932))/100)*(1+Inputs!$B$16/100)*(5000/(6000+Inputs!$B$43*(1-Inputs!$B$19/100)))*(1+(Inputs!$B$24+((C928=TRUE)*(F928-Calc!F30)))/100)*(1+2.6666666666666665*IF(C916=TRUE,F916,0)/100)*(1+(IF(Skills!A5="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903)</f>
        <v/>
      </c>
      <c r="L903">
        <f>K903*(MIN(Inputs!$B$22+((C922=TRUE)*(F922-Calc!F24)),Inputs!$B$23+((C927=TRUE)*(F927-Calc!F29)))/100+(Inputs!$B$23+((C927=TRUE)*(F927-Calc!F29)))/100)/2</f>
        <v/>
      </c>
      <c r="M903">
        <f>L903*(1+(Inputs!$B$10+((C924=TRUE)*(F924-Calc!F26))+B938)/100)</f>
        <v/>
      </c>
      <c r="N903">
        <f>L903*(1-MIN((Inputs!$B$9+((C923=TRUE)*(F923-Calc!F25))+B931),100)/100)+M903*(MIN((Inputs!$B$9+((C923=TRUE)*(F923-Calc!F25))+B931),100)/100)</f>
        <v/>
      </c>
      <c r="O903">
        <f>IF(C903,H903*N903*IF(AND(Inputs!$B$39&lt;&gt;"pvp",Inputs!$B$44&gt;0),((Skills!G5*((R903-1)*IF(Skills!H5&gt;0,Skills!I5/Skills!H5,1)+IF(Skills!H5&gt;0,MIN(Skills!I5,MAX(0,MAX(0,Inputs!$B$44-B942)-((R903-1)*IF(Inputs!$B$39="pvp",15,MAX(0.1,Skills!D5-IF(Skills!E5=TRUE,Inputs!$B$32,0))))))/Skills!H5,1)))/Inputs!$B$44),G903*Q903)*IF(Inputs!$B$39="pvp",1,(1-Summary!$B$55)*(1)+Summary!$B$55*(MIN(Skills!W5,Inputs!$B$37))),0)</f>
        <v/>
      </c>
      <c r="P903">
        <f>IF(B943=0,0,O903/B943)</f>
        <v/>
      </c>
      <c r="Q903">
        <f>IFERROR(1/IF(Inputs!$B$39="pvp",15,MAX(0.1,Skills!D5-IF(Skills!E5=TRUE,Inputs!$B$32,0))),0)</f>
        <v/>
      </c>
      <c r="R903">
        <f>IF(AND(Inputs!$B$39&lt;&gt;"pvp",Inputs!$B$44&gt;0),IF(MAX(0,Inputs!$B$44-B942)&lt;=0,0,(INT(MAX(0,Inputs!$B$44-B942)/IF(Inputs!$B$39="pvp",15,MAX(0.1,Skills!D5-IF(Skills!E5=TRUE,Inputs!$B$32,0))))+1)),0)</f>
        <v/>
      </c>
      <c r="S903">
        <f>IFERROR(O903/N903,0)</f>
        <v/>
      </c>
    </row>
    <row r="904">
      <c r="A904">
        <f>Skills!A6</f>
        <v/>
      </c>
      <c r="B904">
        <f>Skills!B6</f>
        <v/>
      </c>
      <c r="C904">
        <f>Inputs!$B$3&gt;=69</f>
        <v/>
      </c>
      <c r="D904">
        <f>IF(Skills!C6=1,60+Inputs!$B$25+Inputs!$B$29,IF(Skills!C6=2,90+Inputs!$B$26+Inputs!$B$29,IF(Skills!C6=3,120+(Inputs!$B$27+1)+Inputs!$B$29,MAX(0,(Inputs!$B$3-100)*3)+Inputs!$B$28+Inputs!$B$29)))</f>
        <v/>
      </c>
      <c r="E904">
        <f>INDEX(FactorTable!$B$2:$Y$301, MATCH(ROUND(MIN(300,MAX(1,D904)),0), FactorTable!$A$2:$A$301,0), Skills!M6+1)</f>
        <v/>
      </c>
      <c r="F904">
        <f>IF(Skills!N6=TRUE,(Skills!L6/10)*(E904/1000),Skills!L6/10)+Skills!O6</f>
        <v/>
      </c>
      <c r="G904">
        <f>Skills!G6*IF(Skills!H6&gt;0,Skills!I6/Skills!H6,1)</f>
        <v/>
      </c>
      <c r="H904">
        <f>1-(1-Skills!J6/100)^Skills!K6</f>
        <v/>
      </c>
      <c r="I904" t="inlineStr">
        <is>
          <t>1</t>
        </is>
      </c>
      <c r="J904">
        <f>((Inputs!$B$6*(1+Inputs!$B$7/100))+(((Inputs!$B$12*(1+Inputs!$B$13/100))-(Inputs!$B$12*(1+Inputs!$B$13/100)))+0.25*(Inputs!$B$14-Inputs!$B$14))*(1+Inputs!$B$7/100))*(F904/100)</f>
        <v/>
      </c>
      <c r="K904">
        <f>J904*(1+((Inputs!$B$12*(1+Inputs!$B$13/100))*0.01+Inputs!$B$14*0.0025)/100)*(1+Inputs!$B$15/100)*(1+IF(Inputs!$B$39="pvp",0,(1-Summary!$B$55)*(Inputs!$B$20+0+Skills!P6+B932)+Summary!$B$55*(Inputs!$B$21+Skills!Q6+B932))/100)*(1+Inputs!$B$16/100)*(5000/(6000+Inputs!$B$43*(1-Inputs!$B$19/100)))*(1+(Inputs!$B$24+((C928=TRUE)*(F928-Calc!F30)))/100)*(1+1.0*IF(C916=TRUE,F916,0)/100)*(1+(IF(Skills!A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904)</f>
        <v/>
      </c>
      <c r="L904">
        <f>K904*(MIN(Inputs!$B$22+((C922=TRUE)*(F922-Calc!F24)),Inputs!$B$23+((C927=TRUE)*(F927-Calc!F29)))/100+(Inputs!$B$23+((C927=TRUE)*(F927-Calc!F29)))/100)/2</f>
        <v/>
      </c>
      <c r="M904">
        <f>L904*(1+(Inputs!$B$10+((C924=TRUE)*(F924-Calc!F26))+B938)/100)</f>
        <v/>
      </c>
      <c r="N904">
        <f>L904*(1-MIN((Inputs!$B$9+((C923=TRUE)*(F923-Calc!F25))+B931),100)/100)+M904*(MIN((Inputs!$B$9+((C923=TRUE)*(F923-Calc!F25))+B931),100)/100)</f>
        <v/>
      </c>
      <c r="O904">
        <f>IF(C904,H904*N904*IF(AND(Inputs!$B$39&lt;&gt;"pvp",Inputs!$B$44&gt;0),((Skills!G6*((R904-1)*IF(Skills!H6&gt;0,Skills!I6/Skills!H6,1)+IF(Skills!H6&gt;0,MIN(Skills!I6,MAX(0,MAX(0,Inputs!$B$44-B942)-((R904-1)*IF(Inputs!$B$39="pvp",15,MAX(0.1,Skills!D6-IF(Skills!E6=TRUE,Inputs!$B$32,0))))))/Skills!H6,1)))/Inputs!$B$44),G904*Q904)*IF(Inputs!$B$39="pvp",1,(1-Summary!$B$55)*(1)+Summary!$B$55*(MIN(Skills!W6,Inputs!$B$37))),0)</f>
        <v/>
      </c>
      <c r="P904">
        <f>IF(B943=0,0,O904/B943)</f>
        <v/>
      </c>
      <c r="Q904">
        <f>IFERROR(1/IF(Inputs!$B$39="pvp",15,MAX(0.1,Skills!D6-IF(Skills!E6=TRUE,Inputs!$B$32,0))),0)</f>
        <v/>
      </c>
      <c r="R904">
        <f>IF(AND(Inputs!$B$39&lt;&gt;"pvp",Inputs!$B$44&gt;0),IF(MAX(0,Inputs!$B$44-B942)&lt;=0,0,(INT(MAX(0,Inputs!$B$44-B942)/IF(Inputs!$B$39="pvp",15,MAX(0.1,Skills!D6-IF(Skills!E6=TRUE,Inputs!$B$32,0))))+1)),0)</f>
        <v/>
      </c>
      <c r="S904">
        <f>IFERROR(O904/N904,0)</f>
        <v/>
      </c>
    </row>
    <row r="905">
      <c r="A905">
        <f>Skills!A7</f>
        <v/>
      </c>
      <c r="B905">
        <f>Skills!B7</f>
        <v/>
      </c>
      <c r="C905">
        <f>Inputs!$B$3&gt;=60</f>
        <v/>
      </c>
      <c r="D905">
        <f>IF(Skills!C7=1,60+Inputs!$B$25+Inputs!$B$29,IF(Skills!C7=2,90+Inputs!$B$26+Inputs!$B$29,IF(Skills!C7=3,120+(Inputs!$B$27+1)+Inputs!$B$29,MAX(0,(Inputs!$B$3-100)*3)+Inputs!$B$28+Inputs!$B$29)))</f>
        <v/>
      </c>
      <c r="E905">
        <f>INDEX(FactorTable!$B$2:$Y$301, MATCH(ROUND(MIN(300,MAX(1,D905)),0), FactorTable!$A$2:$A$301,0), Skills!M7+1)</f>
        <v/>
      </c>
      <c r="F905">
        <f>IF(Skills!N7=TRUE,(Skills!L7/10)*(E905/1000),Skills!L7/10)+Skills!O7</f>
        <v/>
      </c>
      <c r="G905">
        <f>Skills!G7*IF(Skills!H7&gt;0,Skills!I7/Skills!H7,1)</f>
        <v/>
      </c>
      <c r="H905">
        <f>1-(1-Skills!J7/100)^Skills!K7</f>
        <v/>
      </c>
      <c r="I905" t="inlineStr">
        <is>
          <t>1</t>
        </is>
      </c>
      <c r="J905" t="inlineStr"/>
      <c r="K905" t="inlineStr"/>
      <c r="L905" t="inlineStr"/>
      <c r="M905" t="inlineStr"/>
      <c r="N905" t="inlineStr"/>
      <c r="O905" t="n">
        <v>0</v>
      </c>
      <c r="P905">
        <f>IF(B943=0,0,O905/B943)</f>
        <v/>
      </c>
      <c r="Q905" t="n">
        <v>0</v>
      </c>
      <c r="R905" t="n">
        <v>0</v>
      </c>
      <c r="S905">
        <f>IFERROR(O905/N905,0)</f>
        <v/>
      </c>
    </row>
    <row r="906">
      <c r="A906">
        <f>Skills!A8</f>
        <v/>
      </c>
      <c r="B906">
        <f>Skills!B8</f>
        <v/>
      </c>
      <c r="C906">
        <f>Inputs!$B$3&gt;=72</f>
        <v/>
      </c>
      <c r="D906">
        <f>IF(Skills!C8=1,60+Inputs!$B$25+Inputs!$B$29,IF(Skills!C8=2,90+Inputs!$B$26+Inputs!$B$29,IF(Skills!C8=3,120+(Inputs!$B$27+1)+Inputs!$B$29,MAX(0,(Inputs!$B$3-100)*3)+Inputs!$B$28+Inputs!$B$29)))</f>
        <v/>
      </c>
      <c r="E906">
        <f>INDEX(FactorTable!$B$2:$Y$301, MATCH(ROUND(MIN(300,MAX(1,D906)),0), FactorTable!$A$2:$A$301,0), Skills!M8+1)</f>
        <v/>
      </c>
      <c r="F906">
        <f>IF(Skills!N8=TRUE,(Skills!L8/10)*(E906/1000),Skills!L8/10)+Skills!O8</f>
        <v/>
      </c>
      <c r="G906">
        <f>Skills!G8*IF(Skills!H8&gt;0,Skills!I8/Skills!H8,1)</f>
        <v/>
      </c>
      <c r="H906">
        <f>1-(1-Skills!J8/100)^Skills!K8</f>
        <v/>
      </c>
      <c r="I906" t="inlineStr">
        <is>
          <t>1</t>
        </is>
      </c>
      <c r="J906">
        <f>((Inputs!$B$6*(1+Inputs!$B$7/100))+(((Inputs!$B$12*(1+Inputs!$B$13/100))-(Inputs!$B$12*(1+Inputs!$B$13/100)))+0.25*(Inputs!$B$14-Inputs!$B$14))*(1+Inputs!$B$7/100))*(F906/100)</f>
        <v/>
      </c>
      <c r="K906">
        <f>J906*(1+((Inputs!$B$12*(1+Inputs!$B$13/100))*0.01+Inputs!$B$14*0.0025)/100)*(1+Inputs!$B$15/100)*(1+IF(Inputs!$B$39="pvp",0,(1-Summary!$B$55)*(Inputs!$B$20+0+Skills!P8+B932)+Summary!$B$55*(Inputs!$B$21+Skills!Q8+B932))/100)*(1+Inputs!$B$16/100)*(5000/(6000+Inputs!$B$43*(1-Inputs!$B$19/100)))*(1+(Inputs!$B$24+((C928=TRUE)*(F928-Calc!F30)))/100)*(1+3.3333333333333335*IF(C916=TRUE,F916,0)/100)*(1+(IF(Skills!A8="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906)</f>
        <v/>
      </c>
      <c r="L906">
        <f>K906*(MIN(Inputs!$B$22+((C922=TRUE)*(F922-Calc!F24)),Inputs!$B$23+((C927=TRUE)*(F927-Calc!F29)))/100+(Inputs!$B$23+((C927=TRUE)*(F927-Calc!F29)))/100)/2</f>
        <v/>
      </c>
      <c r="M906">
        <f>L906*(1+(Inputs!$B$10+((C924=TRUE)*(F924-Calc!F26))+B938)/100)</f>
        <v/>
      </c>
      <c r="N906">
        <f>L906*(1-MIN((Inputs!$B$9+((C923=TRUE)*(F923-Calc!F25))+B931),100)/100)+M906*(MIN((Inputs!$B$9+((C923=TRUE)*(F923-Calc!F25))+B931),100)/100)</f>
        <v/>
      </c>
      <c r="O906">
        <f>IF(C906,H906*N906*IF(AND(Inputs!$B$39&lt;&gt;"pvp",Inputs!$B$44&gt;0),((Skills!G8*((R906-1)*IF(Skills!H8&gt;0,Skills!I8/Skills!H8,1)+IF(Skills!H8&gt;0,MIN(Skills!I8,MAX(0,MAX(0,Inputs!$B$44-B942)-((R906-1)*IF(Inputs!$B$39="pvp",15,MAX(0.1,Skills!D8-IF(Skills!E8=TRUE,Inputs!$B$32,0))))))/Skills!H8,1)))/Inputs!$B$44),G906*Q906)*IF(Inputs!$B$39="pvp",1,(1-Summary!$B$55)*(1)+Summary!$B$55*(MIN(Skills!W8,Inputs!$B$37))),0)</f>
        <v/>
      </c>
      <c r="P906">
        <f>IF(B943=0,0,O906/B943)</f>
        <v/>
      </c>
      <c r="Q906">
        <f>IFERROR(1/IF(Inputs!$B$39="pvp",15,MAX(0.1,Skills!D8-IF(Skills!E8=TRUE,Inputs!$B$32,0))),0)</f>
        <v/>
      </c>
      <c r="R906">
        <f>IF(AND(Inputs!$B$39&lt;&gt;"pvp",Inputs!$B$44&gt;0),IF(MAX(0,Inputs!$B$44-B942)&lt;=0,0,(INT(MAX(0,Inputs!$B$44-B942)/IF(Inputs!$B$39="pvp",15,MAX(0.1,Skills!D8-IF(Skills!E8=TRUE,Inputs!$B$32,0))))+1)),0)</f>
        <v/>
      </c>
      <c r="S906">
        <f>IFERROR(O906/N906,0)</f>
        <v/>
      </c>
    </row>
    <row r="907">
      <c r="A907">
        <f>Skills!A9</f>
        <v/>
      </c>
      <c r="B907">
        <f>Skills!B9</f>
        <v/>
      </c>
      <c r="C907">
        <f>Inputs!$B$3&gt;=117</f>
        <v/>
      </c>
      <c r="D907">
        <f>IF(Skills!C9=1,60+Inputs!$B$25+Inputs!$B$29,IF(Skills!C9=2,90+Inputs!$B$26+Inputs!$B$29,IF(Skills!C9=3,120+(Inputs!$B$27+1)+Inputs!$B$29,MAX(0,(Inputs!$B$3-100)*3)+Inputs!$B$28+Inputs!$B$29)))</f>
        <v/>
      </c>
      <c r="E907">
        <f>INDEX(FactorTable!$B$2:$Y$301, MATCH(ROUND(MIN(300,MAX(1,D907)),0), FactorTable!$A$2:$A$301,0), Skills!M9+1)</f>
        <v/>
      </c>
      <c r="F907">
        <f>IF(Skills!N9=TRUE,(Skills!L9/10)*(E907/1000),Skills!L9/10)+Skills!O9</f>
        <v/>
      </c>
      <c r="G907">
        <f>Skills!G9*IF(Skills!H9&gt;0,Skills!I9/Skills!H9,1)</f>
        <v/>
      </c>
      <c r="H907">
        <f>1-(1-Skills!J9/100)^Skills!K9</f>
        <v/>
      </c>
      <c r="I907" t="inlineStr">
        <is>
          <t>1</t>
        </is>
      </c>
      <c r="J907">
        <f>((Inputs!$B$6*(1+Inputs!$B$7/100))+(((Inputs!$B$12*(1+Inputs!$B$13/100))-(Inputs!$B$12*(1+Inputs!$B$13/100)))+0.25*(Inputs!$B$14-Inputs!$B$14))*(1+Inputs!$B$7/100))*(F907/100)</f>
        <v/>
      </c>
      <c r="K907">
        <f>J907*(1+((Inputs!$B$12*(1+Inputs!$B$13/100))*0.01+Inputs!$B$14*0.0025)/100)*(1+Inputs!$B$15/100)*(1+IF(Inputs!$B$39="pvp",0,(1-Summary!$B$55)*(Inputs!$B$20+0+Skills!P9+B932)+Summary!$B$55*(Inputs!$B$21+Skills!Q9+B932))/100)*(1+Inputs!$B$16/100)*(5000/(6000+Inputs!$B$43*(1-Inputs!$B$19/100)))*(1+(Inputs!$B$24+((C928=TRUE)*(F928-Calc!F30)))/100)*(1+(IF(Skills!A9="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907)</f>
        <v/>
      </c>
      <c r="L907">
        <f>K907*(MIN(Inputs!$B$22+((C922=TRUE)*(F922-Calc!F24)),Inputs!$B$23+((C927=TRUE)*(F927-Calc!F29)))/100+(Inputs!$B$23+((C927=TRUE)*(F927-Calc!F29)))/100)/2</f>
        <v/>
      </c>
      <c r="M907">
        <f>L907*(1+(Inputs!$B$10+((C924=TRUE)*(F924-Calc!F26))+B938)/100)</f>
        <v/>
      </c>
      <c r="N907">
        <f>L907*(1-MIN((Inputs!$B$9+((C923=TRUE)*(F923-Calc!F25))+B931),100)/100)+M907*(MIN((Inputs!$B$9+((C923=TRUE)*(F923-Calc!F25))+B931),100)/100)</f>
        <v/>
      </c>
      <c r="O907">
        <f>IF(C907,0.2*SUMPRODUCT((Skills!Z2:Z30=TRUE)*(C900:C928=TRUE)*S900:S928)*N907,0)</f>
        <v/>
      </c>
      <c r="P907">
        <f>IF(B943=0,0,O907/B943)</f>
        <v/>
      </c>
      <c r="Q907" t="n">
        <v>0</v>
      </c>
      <c r="R907" t="n">
        <v>0</v>
      </c>
      <c r="S907" t="n">
        <v>0</v>
      </c>
    </row>
    <row r="908">
      <c r="A908">
        <f>Skills!A10</f>
        <v/>
      </c>
      <c r="B908">
        <f>Skills!B10</f>
        <v/>
      </c>
      <c r="C908">
        <f>Inputs!$B$3&gt;=74</f>
        <v/>
      </c>
      <c r="D908">
        <f>IF(Skills!C10=1,60+Inputs!$B$25+Inputs!$B$29,IF(Skills!C10=2,90+Inputs!$B$26+Inputs!$B$29,IF(Skills!C10=3,120+(Inputs!$B$27+1)+Inputs!$B$29,MAX(0,(Inputs!$B$3-100)*3)+Inputs!$B$28+Inputs!$B$29)))</f>
        <v/>
      </c>
      <c r="E908">
        <f>INDEX(FactorTable!$B$2:$Y$301, MATCH(ROUND(MIN(300,MAX(1,D908)),0), FactorTable!$A$2:$A$301,0), Skills!M10+1)</f>
        <v/>
      </c>
      <c r="F908">
        <f>IF(Skills!N10=TRUE,(Skills!L10/10)*(E908/1000),Skills!L10/10)+Skills!O10</f>
        <v/>
      </c>
      <c r="G908">
        <f>Skills!G10*IF(Skills!H10&gt;0,Skills!I10/Skills!H10,1)</f>
        <v/>
      </c>
      <c r="H908">
        <f>1-(1-Skills!J10/100)^Skills!K10</f>
        <v/>
      </c>
      <c r="I908" t="inlineStr">
        <is>
          <t>1</t>
        </is>
      </c>
      <c r="J908" t="inlineStr"/>
      <c r="K908" t="inlineStr"/>
      <c r="L908" t="inlineStr"/>
      <c r="M908" t="inlineStr"/>
      <c r="N908" t="inlineStr"/>
      <c r="O908" t="n">
        <v>0</v>
      </c>
      <c r="P908">
        <f>IF(B943=0,0,O908/B943)</f>
        <v/>
      </c>
      <c r="Q908">
        <f>IFERROR(1/IF(Inputs!$B$39="pvp",15,MAX(0.1,Skills!D10-IF(Skills!E10=TRUE,Inputs!$B$32,0))),0)</f>
        <v/>
      </c>
      <c r="R908">
        <f>IF(AND(Inputs!$B$39&lt;&gt;"pvp",Inputs!$B$44&gt;0),IF(Inputs!$B$44&lt;=0,0,(INT(Inputs!$B$44/IF(Inputs!$B$39="pvp",15,MAX(0.1,Skills!D10-IF(Skills!E10=TRUE,Inputs!$B$32,0))))+1)),0)</f>
        <v/>
      </c>
      <c r="S908">
        <f>IFERROR(O908/N908,0)</f>
        <v/>
      </c>
    </row>
    <row r="909">
      <c r="A909">
        <f>Skills!A11</f>
        <v/>
      </c>
      <c r="B909">
        <f>Skills!B11</f>
        <v/>
      </c>
      <c r="C909">
        <f>Inputs!$B$3&gt;=103</f>
        <v/>
      </c>
      <c r="D909">
        <f>IF(Skills!C11=1,60+Inputs!$B$25+Inputs!$B$29,IF(Skills!C11=2,90+Inputs!$B$26+Inputs!$B$29,IF(Skills!C11=3,120+(Inputs!$B$27+1)+Inputs!$B$29,MAX(0,(Inputs!$B$3-100)*3)+Inputs!$B$28+Inputs!$B$29)))</f>
        <v/>
      </c>
      <c r="E909">
        <f>INDEX(FactorTable!$B$2:$Y$301, MATCH(ROUND(MIN(300,MAX(1,D909)),0), FactorTable!$A$2:$A$301,0), Skills!M11+1)</f>
        <v/>
      </c>
      <c r="F909">
        <f>(Skills!L11/10)*(E909/1000)+IF(Inputs!$B$3&gt;=134,50,0)+0.5*(30000/10)*(INDEX(FactorTable!$B$2:$Y$301, MATCH(ROUND(MIN(300,MAX(1,D909)),0), FactorTable!$A$2:$A$301,0), 13)/1000)*B941</f>
        <v/>
      </c>
      <c r="G909">
        <f>Skills!G11*IF(Skills!H11&gt;0,Skills!I11/Skills!H11,1)</f>
        <v/>
      </c>
      <c r="H909">
        <f>1-(1-Skills!J11/100)^Skills!K11</f>
        <v/>
      </c>
      <c r="I909" t="inlineStr">
        <is>
          <t>1</t>
        </is>
      </c>
      <c r="J909">
        <f>((Inputs!$B$6*(1+Inputs!$B$7/100))+(((Inputs!$B$12*(1+Inputs!$B$13/100))-(Inputs!$B$12*(1+Inputs!$B$13/100)))+0.25*(Inputs!$B$14-Inputs!$B$14))*(1+Inputs!$B$7/100))*(F909/100)</f>
        <v/>
      </c>
      <c r="K909">
        <f>J909*(1+((Inputs!$B$12*(1+Inputs!$B$13/100))*0.01+Inputs!$B$14*0.0025)/100)*(1+Inputs!$B$15/100)*(1+IF(Inputs!$B$39="pvp",0,(1-Summary!$B$55)*(Inputs!$B$20+0+Skills!P11+B932)+Summary!$B$55*(Inputs!$B$21+Skills!Q11+B932))/100)*(1+Inputs!$B$16/100)*(5000/(6000+Inputs!$B$43*(1-Inputs!$B$19/100)))*(1+(Inputs!$B$24+((C928=TRUE)*(F928-Calc!F30)))/100)*(1+(IF(Skills!A11="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909)</f>
        <v/>
      </c>
      <c r="L909">
        <f>K909*(MIN(Inputs!$B$22+((C922=TRUE)*(F922-Calc!F24)),Inputs!$B$23+((C927=TRUE)*(F927-Calc!F29)))/100+(Inputs!$B$23+((C927=TRUE)*(F927-Calc!F29)))/100)/2</f>
        <v/>
      </c>
      <c r="M909">
        <f>L909*(1+(Inputs!$B$10+((C924=TRUE)*(F924-Calc!F26))+B938)/100)</f>
        <v/>
      </c>
      <c r="N909">
        <f>L909*(1-MIN((Inputs!$B$9+((C923=TRUE)*(F923-Calc!F25))+B931),100)/100)+M909*(MIN((Inputs!$B$9+((C923=TRUE)*(F923-Calc!F25))+B931),100)/100)</f>
        <v/>
      </c>
      <c r="O909">
        <f>IF(C909,H909*N909*IF(AND(Inputs!$B$39&lt;&gt;"pvp",Inputs!$B$44&gt;0),((Skills!G11*((R909-1)*IF(Skills!H11&gt;0,Skills!I11/Skills!H11,1)+IF(Skills!H11&gt;0,MIN(Skills!I11,MAX(0,MAX(0,Inputs!$B$44-B942)-((R909-1)*IF(Inputs!$B$39="pvp",15,MAX(0.1,Skills!D11-IF(Skills!E11=TRUE,Inputs!$B$32,0))))))/Skills!H11,1)))/Inputs!$B$44),G909*Q909)*IF(Inputs!$B$39="pvp",1,(1-Summary!$B$55)*(1)+Summary!$B$55*(MIN(Skills!W11,Inputs!$B$37))),0)</f>
        <v/>
      </c>
      <c r="P909">
        <f>IF(B943=0,0,O909/B943)</f>
        <v/>
      </c>
      <c r="Q909">
        <f>IFERROR(1/IF(Inputs!$B$39="pvp",15,MAX(0.1,Skills!D11-IF(Skills!E11=TRUE,Inputs!$B$32,0))),0)</f>
        <v/>
      </c>
      <c r="R909">
        <f>IF(AND(Inputs!$B$39&lt;&gt;"pvp",Inputs!$B$44&gt;0),IF(MAX(0,Inputs!$B$44-B942)&lt;=0,0,(INT(MAX(0,Inputs!$B$44-B942)/IF(Inputs!$B$39="pvp",15,MAX(0.1,Skills!D11-IF(Skills!E11=TRUE,Inputs!$B$32,0))))+1)),0)</f>
        <v/>
      </c>
      <c r="S909">
        <f>IFERROR(O909/N909,0)</f>
        <v/>
      </c>
    </row>
    <row r="910">
      <c r="A910">
        <f>Skills!A12</f>
        <v/>
      </c>
      <c r="B910">
        <f>Skills!B12</f>
        <v/>
      </c>
      <c r="C910">
        <f>Inputs!$B$3&gt;=105</f>
        <v/>
      </c>
      <c r="D910">
        <f>IF(Skills!C12=1,60+Inputs!$B$25+Inputs!$B$29,IF(Skills!C12=2,90+Inputs!$B$26+Inputs!$B$29,IF(Skills!C12=3,120+(Inputs!$B$27+1)+Inputs!$B$29,MAX(0,(Inputs!$B$3-100)*3)+Inputs!$B$28+Inputs!$B$29)))</f>
        <v/>
      </c>
      <c r="E910">
        <f>INDEX(FactorTable!$B$2:$Y$301, MATCH(ROUND(MIN(300,MAX(1,D910)),0), FactorTable!$A$2:$A$301,0), Skills!M12+1)</f>
        <v/>
      </c>
      <c r="F910">
        <f>IF(Skills!N12=TRUE,(Skills!L12/10)*(E910/1000),Skills!L12/10)+Skills!O12</f>
        <v/>
      </c>
      <c r="G910">
        <f>Skills!G12*IF(Skills!H12&gt;0,Skills!I12/Skills!H12,1)</f>
        <v/>
      </c>
      <c r="H910">
        <f>1-(1-Skills!J12/100)^Skills!K12</f>
        <v/>
      </c>
      <c r="I910" t="inlineStr">
        <is>
          <t>1</t>
        </is>
      </c>
      <c r="J910">
        <f>((Inputs!$B$6*(1+Inputs!$B$7/100))+(((Inputs!$B$12*(1+Inputs!$B$13/100))-(Inputs!$B$12*(1+Inputs!$B$13/100)))+0.25*(Inputs!$B$14-Inputs!$B$14))*(1+Inputs!$B$7/100))*(F910/100)</f>
        <v/>
      </c>
      <c r="K910">
        <f>J910*(1+((Inputs!$B$12*(1+Inputs!$B$13/100))*0.01+Inputs!$B$14*0.0025)/100)*(1+Inputs!$B$15/100)*(1+IF(Inputs!$B$39="pvp",0,(1-Summary!$B$55)*(Inputs!$B$20+0+Skills!P12+B932)+Summary!$B$55*(Inputs!$B$21+Skills!Q12+B932))/100)*(1+Inputs!$B$16/100)*(5000/(6000+Inputs!$B$43*(1-Inputs!$B$19/100)))*(1+(Inputs!$B$24+((C928=TRUE)*(F928-Calc!F30)))/100)*(1+(IF(Skills!A12="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910)</f>
        <v/>
      </c>
      <c r="L910">
        <f>K910*(MIN(Inputs!$B$22+((C922=TRUE)*(F922-Calc!F24)),Inputs!$B$23+((C927=TRUE)*(F927-Calc!F29)))/100+(Inputs!$B$23+((C927=TRUE)*(F927-Calc!F29)))/100)/2</f>
        <v/>
      </c>
      <c r="M910">
        <f>L910*(1+(Inputs!$B$10+((C924=TRUE)*(F924-Calc!F26))+B938)/100)</f>
        <v/>
      </c>
      <c r="N910">
        <f>L910*(1-MIN((Inputs!$B$9+((C923=TRUE)*(F923-Calc!F25))+B931),100)/100)+M910*(MIN((Inputs!$B$9+((C923=TRUE)*(F923-Calc!F25))+B931),100)/100)</f>
        <v/>
      </c>
      <c r="O910">
        <f>IF(C910,H910*N910*IF(AND(Inputs!$B$39&lt;&gt;"pvp",Inputs!$B$44&gt;0),((Skills!G12*((R910-1)*IF(Skills!H12&gt;0,Skills!I12/Skills!H12,1)+IF(Skills!H12&gt;0,MIN(Skills!I12,MAX(0,MAX(0,Inputs!$B$44-B942)-((R910-1)*IF(Inputs!$B$39="pvp",15,MAX(0.1,Skills!D12-IF(Skills!E12=TRUE,Inputs!$B$32,0))))))/Skills!H12,1)))/Inputs!$B$44),G910*Q910)*IF(Inputs!$B$39="pvp",1,(1-Summary!$B$55)*(1)+Summary!$B$55*(MIN(Skills!W12,Inputs!$B$37))),0)</f>
        <v/>
      </c>
      <c r="P910">
        <f>IF(B943=0,0,O910/B943)</f>
        <v/>
      </c>
      <c r="Q910">
        <f>IFERROR(1/IF(Inputs!$B$39="pvp",15,MAX(0.1,Skills!D12-IF(Skills!E12=TRUE,Inputs!$B$32,0))),0)</f>
        <v/>
      </c>
      <c r="R910">
        <f>IF(AND(Inputs!$B$39&lt;&gt;"pvp",Inputs!$B$44&gt;0),IF(MAX(0,Inputs!$B$44-B942)&lt;=0,0,(INT(MAX(0,Inputs!$B$44-B942)/IF(Inputs!$B$39="pvp",15,MAX(0.1,Skills!D12-IF(Skills!E12=TRUE,Inputs!$B$32,0))))+1)),0)</f>
        <v/>
      </c>
      <c r="S910">
        <f>IFERROR(O910/N910,0)</f>
        <v/>
      </c>
    </row>
    <row r="911">
      <c r="A911">
        <f>Skills!A13</f>
        <v/>
      </c>
      <c r="B911">
        <f>Skills!B13</f>
        <v/>
      </c>
      <c r="C911">
        <f>Inputs!$B$3&gt;=105</f>
        <v/>
      </c>
      <c r="D911">
        <f>IF(Skills!C13=1,60+Inputs!$B$25+Inputs!$B$29,IF(Skills!C13=2,90+Inputs!$B$26+Inputs!$B$29,IF(Skills!C13=3,120+(Inputs!$B$27+1)+Inputs!$B$29,MAX(0,(Inputs!$B$3-100)*3)+Inputs!$B$28+Inputs!$B$29)))</f>
        <v/>
      </c>
      <c r="E911">
        <f>INDEX(FactorTable!$B$2:$Y$301, MATCH(ROUND(MIN(300,MAX(1,D911)),0), FactorTable!$A$2:$A$301,0), Skills!M13+1)</f>
        <v/>
      </c>
      <c r="F911">
        <f>IF(Skills!N13=TRUE,(Skills!L13/10)*(E911/1000),Skills!L13/10)+Skills!O13</f>
        <v/>
      </c>
      <c r="G911">
        <f>Skills!G13*IF(Skills!H13&gt;0,Skills!I13/Skills!H13,1)</f>
        <v/>
      </c>
      <c r="H911">
        <f>1-(1-Skills!J13/100)^Skills!K13</f>
        <v/>
      </c>
      <c r="I911" t="inlineStr">
        <is>
          <t>1</t>
        </is>
      </c>
      <c r="J911">
        <f>((Inputs!$B$6*(1+Inputs!$B$7/100))+(((Inputs!$B$12*(1+Inputs!$B$13/100))-(Inputs!$B$12*(1+Inputs!$B$13/100)))+0.25*(Inputs!$B$14-Inputs!$B$14))*(1+Inputs!$B$7/100))*(F911/100)</f>
        <v/>
      </c>
      <c r="K911">
        <f>J911*(1+((Inputs!$B$12*(1+Inputs!$B$13/100))*0.01+Inputs!$B$14*0.0025)/100)*(1+Inputs!$B$15/100)*(1+IF(Inputs!$B$39="pvp",0,(1-Summary!$B$55)*(Inputs!$B$20+0+Skills!P13+B932)+Summary!$B$55*(Inputs!$B$21+Skills!Q13+B932))/100)*(1+Inputs!$B$16/100)*(5000/(6000+Inputs!$B$43*(1-Inputs!$B$19/100)))*(1+(Inputs!$B$24+((C928=TRUE)*(F928-Calc!F30)))/100)*(1+(IF(Skills!A13="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911)</f>
        <v/>
      </c>
      <c r="L911">
        <f>K911*(MIN(Inputs!$B$22+((C922=TRUE)*(F922-Calc!F24)),Inputs!$B$23+((C927=TRUE)*(F927-Calc!F29)))/100+(Inputs!$B$23+((C927=TRUE)*(F927-Calc!F29)))/100)/2</f>
        <v/>
      </c>
      <c r="M911">
        <f>L911*(1+(Inputs!$B$10+((C924=TRUE)*(F924-Calc!F26))+B938)/100)</f>
        <v/>
      </c>
      <c r="N911">
        <f>L911*(1-MIN((Inputs!$B$9+((C923=TRUE)*(F923-Calc!F25))+B931),100)/100)+M911*(MIN((Inputs!$B$9+((C923=TRUE)*(F923-Calc!F25))+B931),100)/100)</f>
        <v/>
      </c>
      <c r="O911">
        <f>IF(C911,H911*N911*IF(AND(Inputs!$B$39&lt;&gt;"pvp",Inputs!$B$44&gt;0),((Skills!G13*((R911-1)*IF(Skills!H13&gt;0,Skills!I13/Skills!H13,1)+IF(Skills!H13&gt;0,MIN(Skills!I13,MAX(0,MAX(0,Inputs!$B$44-B942)-((R911-1)*IF(Inputs!$B$39="pvp",15,MAX(0.1,Skills!D13-IF(Skills!E13=TRUE,Inputs!$B$32,0))))))/Skills!H13,1)))/Inputs!$B$44),G911*Q911)*IF(Inputs!$B$39="pvp",1,(1-Summary!$B$55)*(1)+Summary!$B$55*(MIN(Skills!W13,Inputs!$B$37))),0)</f>
        <v/>
      </c>
      <c r="P911">
        <f>IF(B943=0,0,O911/B943)</f>
        <v/>
      </c>
      <c r="Q911">
        <f>IFERROR(1/IF(Inputs!$B$39="pvp",15,MAX(0.1,Skills!D13-IF(Skills!E13=TRUE,Inputs!$B$32,0))),0)</f>
        <v/>
      </c>
      <c r="R911">
        <f>IF(AND(Inputs!$B$39&lt;&gt;"pvp",Inputs!$B$44&gt;0),IF(MAX(0,Inputs!$B$44-B942)&lt;=0,0,(INT(MAX(0,Inputs!$B$44-B942)/IF(Inputs!$B$39="pvp",15,MAX(0.1,Skills!D13-IF(Skills!E13=TRUE,Inputs!$B$32,0))))+1)),0)</f>
        <v/>
      </c>
      <c r="S911">
        <f>IFERROR(O911/N911,0)</f>
        <v/>
      </c>
    </row>
    <row r="912">
      <c r="A912">
        <f>Skills!A14</f>
        <v/>
      </c>
      <c r="B912">
        <f>Skills!B14</f>
        <v/>
      </c>
      <c r="C912">
        <f>Inputs!$B$3&gt;=107</f>
        <v/>
      </c>
      <c r="D912">
        <f>IF(Skills!C14=1,60+Inputs!$B$25+Inputs!$B$29,IF(Skills!C14=2,90+Inputs!$B$26+Inputs!$B$29,IF(Skills!C14=3,120+(Inputs!$B$27+1)+Inputs!$B$29,MAX(0,(Inputs!$B$3-100)*3)+Inputs!$B$28+Inputs!$B$29)))</f>
        <v/>
      </c>
      <c r="E912">
        <f>INDEX(FactorTable!$B$2:$Y$301, MATCH(ROUND(MIN(300,MAX(1,D912)),0), FactorTable!$A$2:$A$301,0), Skills!M14+1)</f>
        <v/>
      </c>
      <c r="F912">
        <f>IF(Skills!N14=TRUE,(Skills!L14/10)*(E912/1000),Skills!L14/10)+Skills!O14</f>
        <v/>
      </c>
      <c r="G912">
        <f>Skills!G14*IF(Skills!H14&gt;0,Skills!I14/Skills!H14,1)</f>
        <v/>
      </c>
      <c r="H912">
        <f>1-(1-Skills!J14/100)^Skills!K14</f>
        <v/>
      </c>
      <c r="I912" t="inlineStr">
        <is>
          <t>1</t>
        </is>
      </c>
      <c r="J912">
        <f>((Inputs!$B$6*(1+Inputs!$B$7/100))+(((Inputs!$B$12*(1+Inputs!$B$13/100))-(Inputs!$B$12*(1+Inputs!$B$13/100)))+0.25*(Inputs!$B$14-Inputs!$B$14))*(1+Inputs!$B$7/100))*(F912/100)</f>
        <v/>
      </c>
      <c r="K912">
        <f>J912*(1+((Inputs!$B$12*(1+Inputs!$B$13/100))*0.01+Inputs!$B$14*0.0025)/100)*(1+Inputs!$B$15/100)*(1+IF(Inputs!$B$39="pvp",0,(1-Summary!$B$55)*(Inputs!$B$20+0+Skills!P14+B932)+Summary!$B$55*(Inputs!$B$21+Skills!Q14+B932))/100)*(1+Inputs!$B$16/100)*(5000/(6000+Inputs!$B$43*(1-Inputs!$B$19/100)))*(1+(Inputs!$B$24+((C928=TRUE)*(F928-Calc!F30)))/100)*(1+(IF(Skills!A14="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912)</f>
        <v/>
      </c>
      <c r="L912">
        <f>K912*(MIN(Inputs!$B$22+((C922=TRUE)*(F922-Calc!F24)),Inputs!$B$23+((C927=TRUE)*(F927-Calc!F29)))/100+(Inputs!$B$23+((C927=TRUE)*(F927-Calc!F29)))/100)/2</f>
        <v/>
      </c>
      <c r="M912">
        <f>L912*(1+(Inputs!$B$10+((C924=TRUE)*(F924-Calc!F26))+B938)/100)</f>
        <v/>
      </c>
      <c r="N912">
        <f>L912*(1-MIN((Inputs!$B$9+((C923=TRUE)*(F923-Calc!F25))+B931),100)/100)+M912*(MIN((Inputs!$B$9+((C923=TRUE)*(F923-Calc!F25))+B931),100)/100)</f>
        <v/>
      </c>
      <c r="O912">
        <f>IF(C912,H912*N912*IF(AND(Inputs!$B$39&lt;&gt;"pvp",Inputs!$B$44&gt;0),((Skills!G14*((R912-1)*IF(Skills!H14&gt;0,Skills!I14/Skills!H14,1)+IF(Skills!H14&gt;0,MIN(Skills!I14,MAX(0,MAX(0,Inputs!$B$44-B942)-((R912-1)*IF(Inputs!$B$39="pvp",15,MAX(0.1,Skills!D14-IF(Skills!E14=TRUE,Inputs!$B$32,0))))))/Skills!H14,1)))/Inputs!$B$44),G912*Q912)*IF(Inputs!$B$39="pvp",1,(1-Summary!$B$55)*(1)+Summary!$B$55*(MIN(MIN(5,0.25*B935*Skills!D4)*Skills!V14,Inputs!$B$37))),0)</f>
        <v/>
      </c>
      <c r="P912">
        <f>IF(B943=0,0,O912/B943)</f>
        <v/>
      </c>
      <c r="Q912">
        <f>IFERROR(1/IF(Inputs!$B$39="pvp",15,MAX(0.1,Skills!D14-IF(Skills!E14=TRUE,Inputs!$B$32,0))),0)</f>
        <v/>
      </c>
      <c r="R912">
        <f>IF(AND(Inputs!$B$39&lt;&gt;"pvp",Inputs!$B$44&gt;0),IF(MAX(0,Inputs!$B$44-B942)&lt;=0,0,(INT(MAX(0,Inputs!$B$44-B942)/IF(Inputs!$B$39="pvp",15,MAX(0.1,Skills!D14-IF(Skills!E14=TRUE,Inputs!$B$32,0))))+1)),0)</f>
        <v/>
      </c>
      <c r="S912">
        <f>IFERROR(O912/N912,0)</f>
        <v/>
      </c>
    </row>
    <row r="913">
      <c r="A913">
        <f>Skills!A15</f>
        <v/>
      </c>
      <c r="B913">
        <f>Skills!B15</f>
        <v/>
      </c>
      <c r="C913">
        <f>Inputs!$B$3&gt;=110</f>
        <v/>
      </c>
      <c r="D913">
        <f>IF(Skills!C15=1,60+Inputs!$B$25+Inputs!$B$29,IF(Skills!C15=2,90+Inputs!$B$26+Inputs!$B$29,IF(Skills!C15=3,120+(Inputs!$B$27+1)+Inputs!$B$29,MAX(0,(Inputs!$B$3-100)*3)+Inputs!$B$28+Inputs!$B$29)))</f>
        <v/>
      </c>
      <c r="E913">
        <f>INDEX(FactorTable!$B$2:$Y$301, MATCH(ROUND(MIN(300,MAX(1,D913)),0), FactorTable!$A$2:$A$301,0), Skills!M15+1)</f>
        <v/>
      </c>
      <c r="F913">
        <f>IF(Skills!N15=TRUE,(Skills!L15/10)*(E913/1000),Skills!L15/10)+Skills!O15</f>
        <v/>
      </c>
      <c r="G913">
        <f>Skills!G15*IF(Skills!H15&gt;0,Skills!I15/Skills!H15,1)</f>
        <v/>
      </c>
      <c r="H913">
        <f>1-(1-Skills!J15/100)^Skills!K15</f>
        <v/>
      </c>
      <c r="I913" t="inlineStr">
        <is>
          <t>1</t>
        </is>
      </c>
      <c r="J913" t="inlineStr"/>
      <c r="K913" t="inlineStr"/>
      <c r="L913" t="inlineStr"/>
      <c r="M913" t="inlineStr"/>
      <c r="N913" t="inlineStr"/>
      <c r="O913" t="n">
        <v>0</v>
      </c>
      <c r="P913">
        <f>IF(B943=0,0,O913/B943)</f>
        <v/>
      </c>
      <c r="Q913">
        <f>IFERROR(1/IF(Inputs!$B$39="pvp",15,MAX(0.1,Skills!D15-IF(Skills!E15=TRUE,Inputs!$B$32,0))),0)</f>
        <v/>
      </c>
      <c r="R913">
        <f>IF(AND(Inputs!$B$39&lt;&gt;"pvp",Inputs!$B$44&gt;0),IF(Inputs!$B$44&lt;=0,0,(INT(Inputs!$B$44/IF(Inputs!$B$39="pvp",15,MAX(0.1,Skills!D15-IF(Skills!E15=TRUE,Inputs!$B$32,0))))+1)),0)</f>
        <v/>
      </c>
      <c r="S913">
        <f>IFERROR(O913/N913,0)</f>
        <v/>
      </c>
    </row>
    <row r="914">
      <c r="A914">
        <f>Skills!A16</f>
        <v/>
      </c>
      <c r="B914">
        <f>Skills!B16</f>
        <v/>
      </c>
      <c r="C914">
        <f>Inputs!$B$3&gt;=115</f>
        <v/>
      </c>
      <c r="D914">
        <f>IF(Skills!C16=1,60+Inputs!$B$25+Inputs!$B$29,IF(Skills!C16=2,90+Inputs!$B$26+Inputs!$B$29,IF(Skills!C16=3,120+(Inputs!$B$27+1)+Inputs!$B$29,MAX(0,(Inputs!$B$3-100)*3)+Inputs!$B$28+Inputs!$B$29)))</f>
        <v/>
      </c>
      <c r="E914">
        <f>INDEX(FactorTable!$B$2:$Y$301, MATCH(ROUND(MIN(300,MAX(1,D914)),0), FactorTable!$A$2:$A$301,0), Skills!M16+1)</f>
        <v/>
      </c>
      <c r="F914">
        <f>IF(Skills!N16=TRUE,(Skills!L16/10)*(E914/1000),Skills!L16/10)+Skills!O16</f>
        <v/>
      </c>
      <c r="G914">
        <f>Skills!G16*IF(Skills!H16&gt;0,Skills!I16/Skills!H16,1)</f>
        <v/>
      </c>
      <c r="H914">
        <f>1-(1-Skills!J16/100)^Skills!K16</f>
        <v/>
      </c>
      <c r="I914" t="inlineStr">
        <is>
          <t>1</t>
        </is>
      </c>
      <c r="J914">
        <f>((Inputs!$B$6*(1+Inputs!$B$7/100))+(((Inputs!$B$12*(1+Inputs!$B$13/100))-(Inputs!$B$12*(1+Inputs!$B$13/100)))+0.25*(Inputs!$B$14-Inputs!$B$14))*(1+Inputs!$B$7/100))*(F914/100)</f>
        <v/>
      </c>
      <c r="K914">
        <f>J914*(1+((Inputs!$B$12*(1+Inputs!$B$13/100))*0.01+Inputs!$B$14*0.0025)/100)*(1+Inputs!$B$15/100)*(1+IF(Inputs!$B$39="pvp",0,(1-Summary!$B$55)*(Inputs!$B$20+0+Skills!P16+B932)+Summary!$B$55*(Inputs!$B$21+Skills!Q16+B932))/100)*(1+Inputs!$B$16/100)*(5000/(6000+Inputs!$B$43*(1-Inputs!$B$19/100)))*(1+(Inputs!$B$24+((C928=TRUE)*(F928-Calc!F30)))/100)*(1+(IF(Skills!A16="CRUEL_STAB",Inputs!$B$17+((C925=TRUE)*(F925-Calc!F27)),Inputs!$B$18+((C926=TRUE)*(F926-Calc!F28))))/100)*(((1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B933*I914)</f>
        <v/>
      </c>
      <c r="L914">
        <f>K914*(MIN(Inputs!$B$22+((C922=TRUE)*(F922-Calc!F24)),Inputs!$B$23+((C927=TRUE)*(F927-Calc!F29)))/100+(Inputs!$B$23+((C927=TRUE)*(F927-Calc!F29)))/100)/2</f>
        <v/>
      </c>
      <c r="M914">
        <f>L914*(1+(Inputs!$B$10+((C924=TRUE)*(F924-Calc!F26))+B938)/100)</f>
        <v/>
      </c>
      <c r="N914">
        <f>L914*(1-MIN((Inputs!$B$9+((C923=TRUE)*(F923-Calc!F25))+B931),100)/100)+M914*(MIN((Inputs!$B$9+((C923=TRUE)*(F923-Calc!F25))+B931),100)/100)</f>
        <v/>
      </c>
      <c r="O914">
        <f>IF(C914,Inputs!$B$38*0.2*N914,0)</f>
        <v/>
      </c>
      <c r="P914">
        <f>IF(B943=0,0,O914/B943)</f>
        <v/>
      </c>
      <c r="Q914" t="n">
        <v>0</v>
      </c>
      <c r="R914" t="n">
        <v>0</v>
      </c>
      <c r="S914">
        <f>IFERROR(O914/N914,0)</f>
        <v/>
      </c>
    </row>
    <row r="915">
      <c r="A915">
        <f>Skills!A17</f>
        <v/>
      </c>
      <c r="B915">
        <f>Skills!B17</f>
        <v/>
      </c>
      <c r="C915">
        <f>Inputs!$B$3&gt;=115</f>
        <v/>
      </c>
      <c r="D915">
        <f>IF(Skills!C17=1,60+Inputs!$B$25+Inputs!$B$29,IF(Skills!C17=2,90+Inputs!$B$26+Inputs!$B$29,IF(Skills!C17=3,120+(Inputs!$B$27+1)+Inputs!$B$29,MAX(0,(Inputs!$B$3-100)*3)+Inputs!$B$28+Inputs!$B$29)))</f>
        <v/>
      </c>
      <c r="E915">
        <f>INDEX(FactorTable!$B$2:$Y$301, MATCH(ROUND(MIN(300,MAX(1,D915)),0), FactorTable!$A$2:$A$301,0), Skills!M17+1)</f>
        <v/>
      </c>
      <c r="F915">
        <f>IF(Skills!N17=TRUE,(Skills!L17/10)*(E915/1000),Skills!L17/10)+Skills!O17</f>
        <v/>
      </c>
      <c r="G915">
        <f>Skills!G17*IF(Skills!H17&gt;0,Skills!I17/Skills!H17,1)</f>
        <v/>
      </c>
      <c r="H915">
        <f>1-(1-Skills!J17/100)^Skills!K17</f>
        <v/>
      </c>
      <c r="I915" t="inlineStr">
        <is>
          <t>1</t>
        </is>
      </c>
      <c r="J915" t="inlineStr"/>
      <c r="K915" t="inlineStr"/>
      <c r="L915" t="inlineStr"/>
      <c r="M915" t="inlineStr"/>
      <c r="N915" t="inlineStr"/>
      <c r="O915" t="n">
        <v>0</v>
      </c>
      <c r="P915">
        <f>IF(B943=0,0,O915/B943)</f>
        <v/>
      </c>
      <c r="Q915" t="n">
        <v>0</v>
      </c>
      <c r="R915" t="n">
        <v>0</v>
      </c>
      <c r="S915">
        <f>IFERROR(O915/N915,0)</f>
        <v/>
      </c>
    </row>
    <row r="916">
      <c r="A916">
        <f>Skills!A18</f>
        <v/>
      </c>
      <c r="B916">
        <f>Skills!B18</f>
        <v/>
      </c>
      <c r="C916">
        <f>Inputs!$B$3&gt;=100</f>
        <v/>
      </c>
      <c r="D916">
        <f>IF(Skills!C18=1,60+Inputs!$B$25+Inputs!$B$29,IF(Skills!C18=2,90+Inputs!$B$26+Inputs!$B$29,IF(Skills!C18=3,120+(Inputs!$B$27+1)+Inputs!$B$29,MAX(0,(Inputs!$B$3-100)*3)+Inputs!$B$28+Inputs!$B$29)))</f>
        <v/>
      </c>
      <c r="E916">
        <f>INDEX(FactorTable!$B$2:$Y$301, MATCH(ROUND(MIN(300,MAX(1,D916)),0), FactorTable!$A$2:$A$301,0), Skills!M18+1)</f>
        <v/>
      </c>
      <c r="F916">
        <f>IF(Skills!N18=TRUE,(Skills!L18/10)*(E916/1000),Skills!L18/10)+Skills!O18</f>
        <v/>
      </c>
      <c r="G916">
        <f>Skills!G18*IF(Skills!H18&gt;0,Skills!I18/Skills!H18,1)</f>
        <v/>
      </c>
      <c r="H916">
        <f>1-(1-Skills!J18/100)^Skills!K18</f>
        <v/>
      </c>
      <c r="I916" t="inlineStr">
        <is>
          <t>1</t>
        </is>
      </c>
      <c r="J916" t="inlineStr"/>
      <c r="K916" t="inlineStr"/>
      <c r="L916" t="inlineStr"/>
      <c r="M916" t="inlineStr"/>
      <c r="N916" t="inlineStr"/>
      <c r="O916" t="n">
        <v>0</v>
      </c>
      <c r="P916">
        <f>IF(B943=0,0,O916/B943)</f>
        <v/>
      </c>
      <c r="Q916" t="n">
        <v>0</v>
      </c>
      <c r="R916" t="n">
        <v>0</v>
      </c>
      <c r="S916">
        <f>IFERROR(O916/N916,0)</f>
        <v/>
      </c>
    </row>
    <row r="917">
      <c r="A917">
        <f>Skills!A19</f>
        <v/>
      </c>
      <c r="B917">
        <f>Skills!B19</f>
        <v/>
      </c>
      <c r="C917">
        <f>TRUE</f>
        <v/>
      </c>
      <c r="D917">
        <f>IF(Skills!C19=1,60+Inputs!$B$25+Inputs!$B$29,IF(Skills!C19=2,90+Inputs!$B$26+Inputs!$B$29,IF(Skills!C19=3,120+(Inputs!$B$27+1)+Inputs!$B$29,MAX(0,(Inputs!$B$3-100)*3)+Inputs!$B$28+Inputs!$B$29)))</f>
        <v/>
      </c>
      <c r="E917">
        <f>INDEX(FactorTable!$B$2:$Y$301, MATCH(ROUND(MIN(300,MAX(1,D917)),0), FactorTable!$A$2:$A$301,0), Skills!M19+1)</f>
        <v/>
      </c>
      <c r="F917">
        <f>IF(Skills!N19=TRUE,(Skills!L19/10)*(E917/1000),Skills!L19/10)+Skills!O19</f>
        <v/>
      </c>
      <c r="G917">
        <f>Skills!G19*IF(Skills!H19&gt;0,Skills!I19/Skills!H19,1)</f>
        <v/>
      </c>
      <c r="H917">
        <f>1-(1-Skills!J19/100)^Skills!K19</f>
        <v/>
      </c>
      <c r="I917" t="inlineStr">
        <is>
          <t>1</t>
        </is>
      </c>
      <c r="J917" t="inlineStr"/>
      <c r="K917" t="inlineStr"/>
      <c r="L917" t="inlineStr"/>
      <c r="M917" t="inlineStr"/>
      <c r="N917" t="inlineStr"/>
      <c r="O917" t="n">
        <v>0</v>
      </c>
      <c r="P917">
        <f>IF(B943=0,0,O917/B943)</f>
        <v/>
      </c>
      <c r="Q917">
        <f>IFERROR(1/IF(Inputs!$B$39="pvp",15,MAX(0.1,Skills!D19-IF(Skills!E19=TRUE,Inputs!$B$32,0))),0)</f>
        <v/>
      </c>
      <c r="R917">
        <f>IF(AND(Inputs!$B$39&lt;&gt;"pvp",Inputs!$B$44&gt;0),IF(Inputs!$B$44&lt;=0,0,(INT(Inputs!$B$44/IF(Inputs!$B$39="pvp",15,MAX(0.1,Skills!D19-IF(Skills!E19=TRUE,Inputs!$B$32,0))))+1)),0)</f>
        <v/>
      </c>
      <c r="S917">
        <f>IFERROR(O917/N917,0)</f>
        <v/>
      </c>
    </row>
    <row r="918">
      <c r="A918">
        <f>Skills!A20</f>
        <v/>
      </c>
      <c r="B918">
        <f>Skills!B20</f>
        <v/>
      </c>
      <c r="C918">
        <f>Inputs!$B$3&gt;=15</f>
        <v/>
      </c>
      <c r="D918">
        <f>IF(Skills!C20=1,60+Inputs!$B$25+Inputs!$B$29,IF(Skills!C20=2,90+Inputs!$B$26+Inputs!$B$29,IF(Skills!C20=3,120+(Inputs!$B$27+1)+Inputs!$B$29,MAX(0,(Inputs!$B$3-100)*3)+Inputs!$B$28+Inputs!$B$29)))</f>
        <v/>
      </c>
      <c r="E918">
        <f>INDEX(FactorTable!$B$2:$Y$301, MATCH(ROUND(MIN(300,MAX(1,D918)),0), FactorTable!$A$2:$A$301,0), Skills!M20+1)</f>
        <v/>
      </c>
      <c r="F918">
        <f>IF(Skills!N20=TRUE,(Skills!L20/10)*(E918/1000),Skills!L20/10)+Skills!O20</f>
        <v/>
      </c>
      <c r="G918">
        <f>Skills!G20*IF(Skills!H20&gt;0,Skills!I20/Skills!H20,1)</f>
        <v/>
      </c>
      <c r="H918">
        <f>1-(1-Skills!J20/100)^Skills!K20</f>
        <v/>
      </c>
      <c r="I918" t="inlineStr">
        <is>
          <t>1</t>
        </is>
      </c>
      <c r="J918" t="inlineStr"/>
      <c r="K918" t="inlineStr"/>
      <c r="L918" t="inlineStr"/>
      <c r="M918" t="inlineStr"/>
      <c r="N918" t="inlineStr"/>
      <c r="O918" t="n">
        <v>0</v>
      </c>
      <c r="P918">
        <f>IF(B943=0,0,O918/B943)</f>
        <v/>
      </c>
      <c r="Q918">
        <f>IFERROR(1/IF(Inputs!$B$39="pvp",15,MAX(0.1,Skills!D20-IF(Skills!E20=TRUE,Inputs!$B$32,0))),0)</f>
        <v/>
      </c>
      <c r="R918">
        <f>IF(AND(Inputs!$B$39&lt;&gt;"pvp",Inputs!$B$44&gt;0),IF(Inputs!$B$44&lt;=0,0,(INT(Inputs!$B$44/IF(Inputs!$B$39="pvp",15,MAX(0.1,Skills!D20-IF(Skills!E20=TRUE,Inputs!$B$32,0))))+1)),0)</f>
        <v/>
      </c>
      <c r="S918">
        <f>IFERROR(O918/N918,0)</f>
        <v/>
      </c>
    </row>
    <row r="919">
      <c r="A919">
        <f>Skills!A21</f>
        <v/>
      </c>
      <c r="B919">
        <f>Skills!B21</f>
        <v/>
      </c>
      <c r="C919">
        <f>Inputs!$B$3&gt;=15</f>
        <v/>
      </c>
      <c r="D919">
        <f>IF(Skills!C21=1,60+Inputs!$B$25+Inputs!$B$29,IF(Skills!C21=2,90+Inputs!$B$26+Inputs!$B$29,IF(Skills!C21=3,120+(Inputs!$B$27+1)+Inputs!$B$29,MAX(0,(Inputs!$B$3-100)*3)+Inputs!$B$28+Inputs!$B$29)))</f>
        <v/>
      </c>
      <c r="E919">
        <f>INDEX(FactorTable!$B$2:$Y$301, MATCH(ROUND(MIN(300,MAX(1,D919)),0), FactorTable!$A$2:$A$301,0), Skills!M21+1)</f>
        <v/>
      </c>
      <c r="F919">
        <f>IF(Skills!N21=TRUE,(Skills!L21/10)*(E919/1000),Skills!L21/10)+Skills!O21</f>
        <v/>
      </c>
      <c r="G919">
        <f>Skills!G21*IF(Skills!H21&gt;0,Skills!I21/Skills!H21,1)</f>
        <v/>
      </c>
      <c r="H919">
        <f>1-(1-Skills!J21/100)^Skills!K21</f>
        <v/>
      </c>
      <c r="I919" t="inlineStr">
        <is>
          <t>1</t>
        </is>
      </c>
      <c r="J919" t="inlineStr"/>
      <c r="K919" t="inlineStr"/>
      <c r="L919" t="inlineStr"/>
      <c r="M919" t="inlineStr"/>
      <c r="N919" t="inlineStr"/>
      <c r="O919" t="n">
        <v>0</v>
      </c>
      <c r="P919">
        <f>IF(B943=0,0,O919/B943)</f>
        <v/>
      </c>
      <c r="Q919">
        <f>IFERROR(1/IF(Inputs!$B$39="pvp",15,MAX(0.1,Skills!D21-IF(Skills!E21=TRUE,Inputs!$B$32,0))),0)</f>
        <v/>
      </c>
      <c r="R919">
        <f>IF(AND(Inputs!$B$39&lt;&gt;"pvp",Inputs!$B$44&gt;0),IF(Inputs!$B$44&lt;=0,0,(INT(Inputs!$B$44/IF(Inputs!$B$39="pvp",15,MAX(0.1,Skills!D21-IF(Skills!E21=TRUE,Inputs!$B$32,0))))+1)),0)</f>
        <v/>
      </c>
      <c r="S919">
        <f>IFERROR(O919/N919,0)</f>
        <v/>
      </c>
    </row>
    <row r="920">
      <c r="A920">
        <f>Skills!A22</f>
        <v/>
      </c>
      <c r="B920">
        <f>Skills!B22</f>
        <v/>
      </c>
      <c r="C920">
        <f>Inputs!$B$3&gt;=33</f>
        <v/>
      </c>
      <c r="D920">
        <f>IF(Skills!C22=1,60+Inputs!$B$25+Inputs!$B$29,IF(Skills!C22=2,90+Inputs!$B$26+Inputs!$B$29,IF(Skills!C22=3,120+(Inputs!$B$27+1)+Inputs!$B$29,MAX(0,(Inputs!$B$3-100)*3)+Inputs!$B$28+Inputs!$B$29)))</f>
        <v/>
      </c>
      <c r="E920">
        <f>INDEX(FactorTable!$B$2:$Y$301, MATCH(ROUND(MIN(300,MAX(1,D920)),0), FactorTable!$A$2:$A$301,0), Skills!M22+1)</f>
        <v/>
      </c>
      <c r="F920">
        <f>IF(Skills!N22=TRUE,(Skills!L22/10)*(E920/1000),Skills!L22/10)+Skills!O22</f>
        <v/>
      </c>
      <c r="G920">
        <f>Skills!G22*IF(Skills!H22&gt;0,Skills!I22/Skills!H22,1)</f>
        <v/>
      </c>
      <c r="H920">
        <f>1-(1-Skills!J22/100)^Skills!K22</f>
        <v/>
      </c>
      <c r="I920" t="inlineStr">
        <is>
          <t>1</t>
        </is>
      </c>
      <c r="J920" t="inlineStr"/>
      <c r="K920" t="inlineStr"/>
      <c r="L920" t="inlineStr"/>
      <c r="M920" t="inlineStr"/>
      <c r="N920" t="inlineStr"/>
      <c r="O920" t="n">
        <v>0</v>
      </c>
      <c r="P920">
        <f>IF(B943=0,0,O920/B943)</f>
        <v/>
      </c>
      <c r="Q920" t="n">
        <v>0</v>
      </c>
      <c r="R920" t="n">
        <v>0</v>
      </c>
      <c r="S920">
        <f>IFERROR(O920/N920,0)</f>
        <v/>
      </c>
    </row>
    <row r="921">
      <c r="A921">
        <f>Skills!A23</f>
        <v/>
      </c>
      <c r="B921">
        <f>Skills!B23</f>
        <v/>
      </c>
      <c r="C921">
        <f>Inputs!$B$3&gt;=40</f>
        <v/>
      </c>
      <c r="D921">
        <f>IF(Skills!C23=1,60+Inputs!$B$25+Inputs!$B$29,IF(Skills!C23=2,90+Inputs!$B$26+Inputs!$B$29,IF(Skills!C23=3,120+(Inputs!$B$27+1)+Inputs!$B$29,MAX(0,(Inputs!$B$3-100)*3)+Inputs!$B$28+Inputs!$B$29)))</f>
        <v/>
      </c>
      <c r="E921">
        <f>INDEX(FactorTable!$B$2:$Y$301, MATCH(ROUND(MIN(300,MAX(1,D921)),0), FactorTable!$A$2:$A$301,0), Skills!M23+1)</f>
        <v/>
      </c>
      <c r="F921">
        <f>IF(Skills!N23=TRUE,(Skills!L23/10)*(E921/1000),Skills!L23/10)+Skills!O23</f>
        <v/>
      </c>
      <c r="G921">
        <f>Skills!G23*IF(Skills!H23&gt;0,Skills!I23/Skills!H23,1)</f>
        <v/>
      </c>
      <c r="H921">
        <f>1-(1-Skills!J23/100)^Skills!K23</f>
        <v/>
      </c>
      <c r="I921" t="inlineStr">
        <is>
          <t>1</t>
        </is>
      </c>
      <c r="J921" t="inlineStr"/>
      <c r="K921" t="inlineStr"/>
      <c r="L921" t="inlineStr"/>
      <c r="M921" t="inlineStr"/>
      <c r="N921" t="inlineStr"/>
      <c r="O921" t="n">
        <v>0</v>
      </c>
      <c r="P921">
        <f>IF(B943=0,0,O921/B943)</f>
        <v/>
      </c>
      <c r="Q921" t="n">
        <v>0</v>
      </c>
      <c r="R921" t="n">
        <v>0</v>
      </c>
      <c r="S921">
        <f>IFERROR(O921/N921,0)</f>
        <v/>
      </c>
    </row>
    <row r="922">
      <c r="A922">
        <f>Skills!A24</f>
        <v/>
      </c>
      <c r="B922">
        <f>Skills!B24</f>
        <v/>
      </c>
      <c r="C922">
        <f>Inputs!$B$3&gt;=43</f>
        <v/>
      </c>
      <c r="D922">
        <f>IF(Skills!C24=1,60+Inputs!$B$25+Inputs!$B$29,IF(Skills!C24=2,90+Inputs!$B$26+Inputs!$B$29,IF(Skills!C24=3,120+(Inputs!$B$27+1)+Inputs!$B$29,MAX(0,(Inputs!$B$3-100)*3)+Inputs!$B$28+Inputs!$B$29)))</f>
        <v/>
      </c>
      <c r="E922">
        <f>INDEX(FactorTable!$B$2:$Y$301, MATCH(ROUND(MIN(300,MAX(1,D922)),0), FactorTable!$A$2:$A$301,0), Skills!M24+1)</f>
        <v/>
      </c>
      <c r="F922">
        <f>IF(Skills!N24=TRUE,(Skills!L24/10)*(E922/1000),Skills!L24/10)+Skills!O24</f>
        <v/>
      </c>
      <c r="G922">
        <f>Skills!G24*IF(Skills!H24&gt;0,Skills!I24/Skills!H24,1)</f>
        <v/>
      </c>
      <c r="H922">
        <f>1-(1-Skills!J24/100)^Skills!K24</f>
        <v/>
      </c>
      <c r="I922" t="inlineStr">
        <is>
          <t>1</t>
        </is>
      </c>
      <c r="J922" t="inlineStr"/>
      <c r="K922" t="inlineStr"/>
      <c r="L922" t="inlineStr"/>
      <c r="M922" t="inlineStr"/>
      <c r="N922" t="inlineStr"/>
      <c r="O922" t="n">
        <v>0</v>
      </c>
      <c r="P922">
        <f>IF(B943=0,0,O922/B943)</f>
        <v/>
      </c>
      <c r="Q922" t="n">
        <v>0</v>
      </c>
      <c r="R922" t="n">
        <v>0</v>
      </c>
      <c r="S922">
        <f>IFERROR(O922/N922,0)</f>
        <v/>
      </c>
    </row>
    <row r="923">
      <c r="A923">
        <f>Skills!A25</f>
        <v/>
      </c>
      <c r="B923">
        <f>Skills!B25</f>
        <v/>
      </c>
      <c r="C923">
        <f>Inputs!$B$3&gt;=50</f>
        <v/>
      </c>
      <c r="D923">
        <f>IF(Skills!C25=1,60+Inputs!$B$25+Inputs!$B$29,IF(Skills!C25=2,90+Inputs!$B$26+Inputs!$B$29,IF(Skills!C25=3,120+(Inputs!$B$27+1)+Inputs!$B$29,MAX(0,(Inputs!$B$3-100)*3)+Inputs!$B$28+Inputs!$B$29)))</f>
        <v/>
      </c>
      <c r="E923">
        <f>INDEX(FactorTable!$B$2:$Y$301, MATCH(ROUND(MIN(300,MAX(1,D923)),0), FactorTable!$A$2:$A$301,0), Skills!M25+1)</f>
        <v/>
      </c>
      <c r="F923">
        <f>IF(Skills!N25=TRUE,(Skills!L25/10)*(E923/1000),Skills!L25/10)+Skills!O25</f>
        <v/>
      </c>
      <c r="G923">
        <f>Skills!G25*IF(Skills!H25&gt;0,Skills!I25/Skills!H25,1)</f>
        <v/>
      </c>
      <c r="H923">
        <f>1-(1-Skills!J25/100)^Skills!K25</f>
        <v/>
      </c>
      <c r="I923" t="inlineStr">
        <is>
          <t>1</t>
        </is>
      </c>
      <c r="J923" t="inlineStr"/>
      <c r="K923" t="inlineStr"/>
      <c r="L923" t="inlineStr"/>
      <c r="M923" t="inlineStr"/>
      <c r="N923" t="inlineStr"/>
      <c r="O923" t="n">
        <v>0</v>
      </c>
      <c r="P923">
        <f>IF(B943=0,0,O923/B943)</f>
        <v/>
      </c>
      <c r="Q923" t="n">
        <v>0</v>
      </c>
      <c r="R923" t="n">
        <v>0</v>
      </c>
      <c r="S923">
        <f>IFERROR(O923/N923,0)</f>
        <v/>
      </c>
    </row>
    <row r="924">
      <c r="A924">
        <f>Skills!A26</f>
        <v/>
      </c>
      <c r="B924">
        <f>Skills!B26</f>
        <v/>
      </c>
      <c r="C924">
        <f>Inputs!$B$3&gt;=50</f>
        <v/>
      </c>
      <c r="D924">
        <f>IF(Skills!C26=1,60+Inputs!$B$25+Inputs!$B$29,IF(Skills!C26=2,90+Inputs!$B$26+Inputs!$B$29,IF(Skills!C26=3,120+(Inputs!$B$27+1)+Inputs!$B$29,MAX(0,(Inputs!$B$3-100)*3)+Inputs!$B$28+Inputs!$B$29)))</f>
        <v/>
      </c>
      <c r="E924">
        <f>INDEX(FactorTable!$B$2:$Y$301, MATCH(ROUND(MIN(300,MAX(1,D924)),0), FactorTable!$A$2:$A$301,0), Skills!M26+1)</f>
        <v/>
      </c>
      <c r="F924">
        <f>IF(Skills!N26=TRUE,(Skills!L26/10)*(E924/1000),Skills!L26/10)+Skills!O26</f>
        <v/>
      </c>
      <c r="G924">
        <f>Skills!G26*IF(Skills!H26&gt;0,Skills!I26/Skills!H26,1)</f>
        <v/>
      </c>
      <c r="H924">
        <f>1-(1-Skills!J26/100)^Skills!K26</f>
        <v/>
      </c>
      <c r="I924" t="inlineStr">
        <is>
          <t>1</t>
        </is>
      </c>
      <c r="J924" t="inlineStr"/>
      <c r="K924" t="inlineStr"/>
      <c r="L924" t="inlineStr"/>
      <c r="M924" t="inlineStr"/>
      <c r="N924" t="inlineStr"/>
      <c r="O924" t="n">
        <v>0</v>
      </c>
      <c r="P924">
        <f>IF(B943=0,0,O924/B943)</f>
        <v/>
      </c>
      <c r="Q924" t="n">
        <v>0</v>
      </c>
      <c r="R924" t="n">
        <v>0</v>
      </c>
      <c r="S924">
        <f>IFERROR(O924/N924,0)</f>
        <v/>
      </c>
    </row>
    <row r="925">
      <c r="A925">
        <f>Skills!A27</f>
        <v/>
      </c>
      <c r="B925">
        <f>Skills!B27</f>
        <v/>
      </c>
      <c r="C925">
        <f>Inputs!$B$3&gt;=38</f>
        <v/>
      </c>
      <c r="D925">
        <f>IF(Skills!C27=1,60+Inputs!$B$25+Inputs!$B$29,IF(Skills!C27=2,90+Inputs!$B$26+Inputs!$B$29,IF(Skills!C27=3,120+(Inputs!$B$27+1)+Inputs!$B$29,MAX(0,(Inputs!$B$3-100)*3)+Inputs!$B$28+Inputs!$B$29)))</f>
        <v/>
      </c>
      <c r="E925">
        <f>INDEX(FactorTable!$B$2:$Y$301, MATCH(ROUND(MIN(300,MAX(1,D925)),0), FactorTable!$A$2:$A$301,0), Skills!M27+1)</f>
        <v/>
      </c>
      <c r="F925">
        <f>IF(Skills!N27=TRUE,(Skills!L27/10)*(E925/1000),Skills!L27/10)+Skills!O27</f>
        <v/>
      </c>
      <c r="G925">
        <f>Skills!G27*IF(Skills!H27&gt;0,Skills!I27/Skills!H27,1)</f>
        <v/>
      </c>
      <c r="H925">
        <f>1-(1-Skills!J27/100)^Skills!K27</f>
        <v/>
      </c>
      <c r="I925" t="inlineStr">
        <is>
          <t>1</t>
        </is>
      </c>
      <c r="J925" t="inlineStr"/>
      <c r="K925" t="inlineStr"/>
      <c r="L925" t="inlineStr"/>
      <c r="M925" t="inlineStr"/>
      <c r="N925" t="inlineStr"/>
      <c r="O925" t="n">
        <v>0</v>
      </c>
      <c r="P925">
        <f>IF(B943=0,0,O925/B943)</f>
        <v/>
      </c>
      <c r="Q925" t="n">
        <v>0</v>
      </c>
      <c r="R925" t="n">
        <v>0</v>
      </c>
      <c r="S925">
        <f>IFERROR(O925/N925,0)</f>
        <v/>
      </c>
    </row>
    <row r="926">
      <c r="A926">
        <f>Skills!A28</f>
        <v/>
      </c>
      <c r="B926">
        <f>Skills!B28</f>
        <v/>
      </c>
      <c r="C926">
        <f>Inputs!$B$3&gt;=120</f>
        <v/>
      </c>
      <c r="D926">
        <f>IF(Skills!C28=1,60+Inputs!$B$25+Inputs!$B$29,IF(Skills!C28=2,90+Inputs!$B$26+Inputs!$B$29,IF(Skills!C28=3,120+(Inputs!$B$27+1)+Inputs!$B$29,MAX(0,(Inputs!$B$3-100)*3)+Inputs!$B$28+Inputs!$B$29)))</f>
        <v/>
      </c>
      <c r="E926">
        <f>INDEX(FactorTable!$B$2:$Y$301, MATCH(ROUND(MIN(300,MAX(1,D926)),0), FactorTable!$A$2:$A$301,0), Skills!M28+1)</f>
        <v/>
      </c>
      <c r="F926">
        <f>IF(Skills!N28=TRUE,(Skills!L28/10)*(E926/1000),Skills!L28/10)+Skills!O28</f>
        <v/>
      </c>
      <c r="G926">
        <f>Skills!G28*IF(Skills!H28&gt;0,Skills!I28/Skills!H28,1)</f>
        <v/>
      </c>
      <c r="H926">
        <f>1-(1-Skills!J28/100)^Skills!K28</f>
        <v/>
      </c>
      <c r="I926" t="inlineStr">
        <is>
          <t>1</t>
        </is>
      </c>
      <c r="J926" t="inlineStr"/>
      <c r="K926" t="inlineStr"/>
      <c r="L926" t="inlineStr"/>
      <c r="M926" t="inlineStr"/>
      <c r="N926" t="inlineStr"/>
      <c r="O926" t="n">
        <v>0</v>
      </c>
      <c r="P926">
        <f>IF(B943=0,0,O926/B943)</f>
        <v/>
      </c>
      <c r="Q926" t="n">
        <v>0</v>
      </c>
      <c r="R926" t="n">
        <v>0</v>
      </c>
      <c r="S926">
        <f>IFERROR(O926/N926,0)</f>
        <v/>
      </c>
    </row>
    <row r="927">
      <c r="A927">
        <f>Skills!A29</f>
        <v/>
      </c>
      <c r="B927">
        <f>Skills!B29</f>
        <v/>
      </c>
      <c r="C927">
        <f>Inputs!$B$3&gt;=120</f>
        <v/>
      </c>
      <c r="D927">
        <f>IF(Skills!C29=1,60+Inputs!$B$25+Inputs!$B$29,IF(Skills!C29=2,90+Inputs!$B$26+Inputs!$B$29,IF(Skills!C29=3,120+(Inputs!$B$27+1)+Inputs!$B$29,MAX(0,(Inputs!$B$3-100)*3)+Inputs!$B$28+Inputs!$B$29)))</f>
        <v/>
      </c>
      <c r="E927">
        <f>INDEX(FactorTable!$B$2:$Y$301, MATCH(ROUND(MIN(300,MAX(1,D927)),0), FactorTable!$A$2:$A$301,0), Skills!M29+1)</f>
        <v/>
      </c>
      <c r="F927">
        <f>IF(Skills!N29=TRUE,(Skills!L29/10)*(E927/1000),Skills!L29/10)+Skills!O29</f>
        <v/>
      </c>
      <c r="G927">
        <f>Skills!G29*IF(Skills!H29&gt;0,Skills!I29/Skills!H29,1)</f>
        <v/>
      </c>
      <c r="H927">
        <f>1-(1-Skills!J29/100)^Skills!K29</f>
        <v/>
      </c>
      <c r="I927" t="inlineStr">
        <is>
          <t>1</t>
        </is>
      </c>
      <c r="J927" t="inlineStr"/>
      <c r="K927" t="inlineStr"/>
      <c r="L927" t="inlineStr"/>
      <c r="M927" t="inlineStr"/>
      <c r="N927" t="inlineStr"/>
      <c r="O927" t="n">
        <v>0</v>
      </c>
      <c r="P927">
        <f>IF(B943=0,0,O927/B943)</f>
        <v/>
      </c>
      <c r="Q927" t="n">
        <v>0</v>
      </c>
      <c r="R927" t="n">
        <v>0</v>
      </c>
      <c r="S927">
        <f>IFERROR(O927/N927,0)</f>
        <v/>
      </c>
    </row>
    <row r="928">
      <c r="A928">
        <f>Skills!A30</f>
        <v/>
      </c>
      <c r="B928">
        <f>Skills!B30</f>
        <v/>
      </c>
      <c r="C928">
        <f>Inputs!$B$3&gt;=125</f>
        <v/>
      </c>
      <c r="D928">
        <f>IF(Skills!C30=1,60+Inputs!$B$25+Inputs!$B$29,IF(Skills!C30=2,90+Inputs!$B$26+Inputs!$B$29,IF(Skills!C30=3,120+(Inputs!$B$27+1)+Inputs!$B$29,MAX(0,(Inputs!$B$3-100)*3)+Inputs!$B$28+Inputs!$B$29)))</f>
        <v/>
      </c>
      <c r="E928">
        <f>INDEX(FactorTable!$B$2:$Y$301, MATCH(ROUND(MIN(300,MAX(1,D928)),0), FactorTable!$A$2:$A$301,0), Skills!M30+1)</f>
        <v/>
      </c>
      <c r="F928">
        <f>IF(Skills!N30=TRUE,(Skills!L30/10)*(E928/1000),Skills!L30/10)+Skills!O30</f>
        <v/>
      </c>
      <c r="G928">
        <f>Skills!G30*IF(Skills!H30&gt;0,Skills!I30/Skills!H30,1)</f>
        <v/>
      </c>
      <c r="H928">
        <f>1-(1-Skills!J30/100)^Skills!K30</f>
        <v/>
      </c>
      <c r="I928" t="inlineStr">
        <is>
          <t>1</t>
        </is>
      </c>
      <c r="J928" t="inlineStr"/>
      <c r="K928" t="inlineStr"/>
      <c r="L928" t="inlineStr"/>
      <c r="M928" t="inlineStr"/>
      <c r="N928" t="inlineStr"/>
      <c r="O928" t="n">
        <v>0</v>
      </c>
      <c r="P928">
        <f>IF(B943=0,0,O928/B943)</f>
        <v/>
      </c>
      <c r="Q928" t="n">
        <v>0</v>
      </c>
      <c r="R928" t="n">
        <v>0</v>
      </c>
      <c r="S928">
        <f>IFERROR(O928/N928,0)</f>
        <v/>
      </c>
    </row>
    <row r="930">
      <c r="A930" t="inlineStr">
        <is>
          <t>Average Buff Multiplier</t>
        </is>
      </c>
      <c r="B930">
        <f>(1+(((C919=TRUE)*F919*IF(AND(Inputs!$B$39&lt;&gt;"pvp",Inputs!$B$44&gt;0),(((R919-1)*(Skills!Y21*(1+Inputs!$B$34/100))+MIN((Skills!Y21*(1+Inputs!$B$34/100)),MAX(0,Inputs!$B$44-((R919-1)*Skills!D21))))/Inputs!$B$44),IF(Inputs!$B$39="pvp",MIN((Skills!Y21*(1+Inputs!$B$34/100)),15)/15,(Skills!Y21*(1+Inputs!$B$34/100))/Skills!D21)))+((C921=TRUE)*(F921-Calc!F23))+((C915=TRUE)*(F915-Calc!F17)))/100)*(1+((C908=TRUE)*F908*IF(AND(Inputs!$B$39&lt;&gt;"pvp",Inputs!$B$44&gt;0),(((R908-1)*(Skills!Y10*(1+Inputs!$B$34/100))+MIN((Skills!Y10*(1+Inputs!$B$34/100)),MAX(0,Inputs!$B$44-((R908-1)*Skills!D10))))/Inputs!$B$44),IF(Inputs!$B$39="pvp",MIN((Skills!Y10*(1+Inputs!$B$34/100)),15)/15,(Skills!Y10*(1+Inputs!$B$34/100))/Skills!D10)))/100)*(1+((C913=TRUE)*F913*IF(AND(Inputs!$B$39&lt;&gt;"pvp",Inputs!$B$44&gt;0),(((R913-1)*(Skills!Y15*(1+Inputs!$B$34/100))+MIN((Skills!Y15*(1+Inputs!$B$34/100)),MAX(0,Inputs!$B$44-((R913-1)*Skills!D15))))/Inputs!$B$44),IF(Inputs!$B$39="pvp",MIN((Skills!Y15*(1+Inputs!$B$34/100)),15)/15,(Skills!Y15*(1+Inputs!$B$34/100))/Skills!D15)))/100)</f>
        <v/>
      </c>
    </row>
    <row r="931">
      <c r="A931" t="inlineStr">
        <is>
          <t>Global Crit Rate Bonus %</t>
        </is>
      </c>
      <c r="B931">
        <f>((C918=TRUE)*F918*IF(AND(Inputs!$B$39&lt;&gt;"pvp",Inputs!$B$44&gt;0),(((R918-1)*(Skills!Y20*(1+Inputs!$B$34/100))+MIN((Skills!Y20*(1+Inputs!$B$34/100)),MAX(0,Inputs!$B$44-((R918-1)*Skills!D20))))/Inputs!$B$44),IF(Inputs!$B$39="pvp",MIN((Skills!Y20*(1+Inputs!$B$34/100)),15)/15,(Skills!Y20*(1+Inputs!$B$34/100))/Skills!D20)))</f>
        <v/>
      </c>
    </row>
    <row r="932">
      <c r="A932" t="inlineStr">
        <is>
          <t>Global Monster Damage-Taken Bonus %</t>
        </is>
      </c>
      <c r="B932">
        <f>IF(Inputs!$B$3&gt;=82,15,0)</f>
        <v/>
      </c>
    </row>
    <row r="933">
      <c r="A933" t="inlineStr">
        <is>
          <t>Shadow Partner Average Multiplier</t>
        </is>
      </c>
      <c r="B933">
        <f>1+((C905=TRUE)*F905*(1+3.3333333333333335*IF(C916=TRUE,F916,0)/100)*I905*Skills!J7/100)/100</f>
        <v/>
      </c>
    </row>
    <row r="934">
      <c r="A934" t="inlineStr">
        <is>
          <t>Attack Speed Buff Bonus %</t>
        </is>
      </c>
      <c r="B934">
        <f>((C917=TRUE)*F917*IF(AND(Inputs!$B$39&lt;&gt;"pvp",Inputs!$B$44&gt;0),(((R917-1)*(Skills!Y19*(1+Inputs!$B$34/100))+MIN((Skills!Y19*(1+Inputs!$B$34/100)),MAX(0,Inputs!$B$44-((R917-1)*Skills!D19))))/Inputs!$B$44),IF(Inputs!$B$39="pvp",MIN((Skills!Y19*(1+Inputs!$B$34/100)),15)/15,(Skills!Y19*(1+Inputs!$B$34/100))/Skills!D19)))+((C901=TRUE)*F901*3)</f>
        <v/>
      </c>
    </row>
    <row r="935">
      <c r="A935" t="inlineStr">
        <is>
          <t>Actions Per Second</t>
        </is>
      </c>
      <c r="B935">
        <f>1+MIN(150,150*(1-(1-(Inputs!$B$11+((C920=TRUE)*(F920-Calc!F22)))/150)*(1-B934/150)))/100</f>
        <v/>
      </c>
    </row>
    <row r="936">
      <c r="A936" t="inlineStr">
        <is>
          <t>Skill + Buff Cast Rate</t>
        </is>
      </c>
      <c r="B936">
        <f>IF(AND(Inputs!$B$39&lt;&gt;"pvp",Inputs!$B$44&gt;0),SUMPRODUCT((Skills!E2:E30=TRUE)*(C900:C928=TRUE)*R900:R928*Skills!F2:F30)/Inputs!$B$44,SUMPRODUCT((Skills!E2:E30=TRUE)*(C900:C928=TRUE)*Q900:Q928*Skills!F2:F30))</f>
        <v/>
      </c>
    </row>
    <row r="937">
      <c r="A937" t="inlineStr">
        <is>
          <t>Cruel Stab Casts Per Second</t>
        </is>
      </c>
      <c r="B937">
        <f>MAX(0,B935-B936)</f>
        <v/>
      </c>
    </row>
    <row r="938">
      <c r="A938" t="inlineStr">
        <is>
          <t>Global Critical Damage Bonus % (Smokescreen Mastery Lv.113)</t>
        </is>
      </c>
      <c r="B938">
        <f>IF(Inputs!$B$3&gt;=113,30,0)*IF(AND(Inputs!$B$39&lt;&gt;"pvp",Inputs!$B$44&gt;0),(((R913-1)*(Skills!Y15*(1+Inputs!$B$34/100))+MIN((Skills!Y15*(1+Inputs!$B$34/100)),MAX(0,Inputs!$B$44-((R913-1)*Skills!D15))))/Inputs!$B$44),IF(Inputs!$B$39="pvp",MIN((Skills!Y15*(1+Inputs!$B$34/100)),15)/15,(Skills!Y15*(1+Inputs!$B$34/100))/Skills!D15))</f>
        <v/>
      </c>
    </row>
    <row r="939">
      <c r="A939" t="inlineStr">
        <is>
          <t>Meso Explosion average stack count</t>
        </is>
      </c>
      <c r="B939">
        <f>MIN(10,0.5*B935*Skills!D4)</f>
        <v/>
      </c>
    </row>
    <row r="940">
      <c r="A940" t="inlineStr">
        <is>
          <t>Blood Money average stack count</t>
        </is>
      </c>
      <c r="B940">
        <f>MIN(5,0.25*B935*Skills!D4)</f>
        <v/>
      </c>
    </row>
    <row r="941">
      <c r="A941" t="inlineStr">
        <is>
          <t>Assassinate Murderous Intent Multiplier</t>
        </is>
      </c>
      <c r="B941">
        <f>1+IFERROR(MIN(1,Q912*2/Q909),0)</f>
        <v/>
      </c>
    </row>
    <row r="942">
      <c r="A942" t="inlineStr">
        <is>
          <t>Buff-Casting Startup Delay (s, fixed-duration only)</t>
        </is>
      </c>
      <c r="B942">
        <f>IF(AND(Inputs!$B$39&lt;&gt;"pvp",Inputs!$B$44&gt;0),SUMPRODUCT((Skills!Y2:Y30&gt;0)*(Skills!E2:E30=TRUE)*(C900:C928=TRUE))/B935,0)</f>
        <v/>
      </c>
    </row>
    <row r="943">
      <c r="A943" s="5" t="inlineStr">
        <is>
          <t>TOTAL DPS</t>
        </is>
      </c>
      <c r="B943" s="5">
        <f>SUM(O900:O928)</f>
        <v/>
      </c>
    </row>
    <row r="946">
      <c r="A946" s="5" t="inlineStr">
        <is>
          <t>Stat: Skill Level Bonus — 4th Job</t>
        </is>
      </c>
    </row>
    <row r="947">
      <c r="A947" s="9" t="inlineStr">
        <is>
          <t>Key</t>
        </is>
      </c>
      <c r="B947" s="9" t="inlineStr">
        <is>
          <t>Name</t>
        </is>
      </c>
      <c r="C947" s="9" t="inlineStr">
        <is>
          <t>Unlocked</t>
        </is>
      </c>
      <c r="D947" s="9" t="inlineStr">
        <is>
          <t>InputLevel</t>
        </is>
      </c>
      <c r="E947" s="9" t="inlineStr">
        <is>
          <t>Factor</t>
        </is>
      </c>
      <c r="F947" s="9" t="inlineStr">
        <is>
          <t>CoefficientPercent</t>
        </is>
      </c>
      <c r="G947" s="9" t="inlineStr">
        <is>
          <t>EffectiveHits</t>
        </is>
      </c>
      <c r="H947" s="9" t="inlineStr">
        <is>
          <t>ProcProbability</t>
        </is>
      </c>
      <c r="I947" s="9" t="inlineStr">
        <is>
          <t>MapleHeroMultiplier</t>
        </is>
      </c>
      <c r="J947" s="9" t="inlineStr">
        <is>
          <t>BaseDamage</t>
        </is>
      </c>
      <c r="K947" s="9" t="inlineStr">
        <is>
          <t>BaseHitDamage</t>
        </is>
      </c>
      <c r="L947" s="9" t="inlineStr">
        <is>
          <t>NonCritAvg</t>
        </is>
      </c>
      <c r="M947" s="9" t="inlineStr">
        <is>
          <t>CritAvg</t>
        </is>
      </c>
      <c r="N947" s="9" t="inlineStr">
        <is>
          <t>ExpectedDamage(perHit)</t>
        </is>
      </c>
      <c r="O947" s="9" t="inlineStr">
        <is>
          <t>DPS</t>
        </is>
      </c>
      <c r="P947" s="9" t="inlineStr">
        <is>
          <t>% of Total</t>
        </is>
      </c>
      <c r="Q947" s="9" t="inlineStr">
        <is>
          <t>InvCooldown</t>
        </is>
      </c>
      <c r="R947" s="9" t="inlineStr">
        <is>
          <t>CastsInFight</t>
        </is>
      </c>
      <c r="S947" s="9" t="inlineStr">
        <is>
          <t>HitRate(perSec)</t>
        </is>
      </c>
      <c r="U947" t="inlineStr">
        <is>
          <t>helpers</t>
        </is>
      </c>
    </row>
    <row r="948">
      <c r="A948">
        <f>Skills!A2</f>
        <v/>
      </c>
      <c r="B948">
        <f>Skills!B2</f>
        <v/>
      </c>
      <c r="C948">
        <f>Inputs!$B$3&gt;=100</f>
        <v/>
      </c>
      <c r="D948" t="inlineStr"/>
      <c r="E948" t="inlineStr"/>
      <c r="F948">
        <f>U950+Skills!O2</f>
        <v/>
      </c>
      <c r="G948">
        <f>Skills!G2*IF(Skills!H2&gt;0,Skills!I2/Skills!H2,1)</f>
        <v/>
      </c>
      <c r="H948">
        <f>1-(1-Skills!J2/100)^Skills!K2</f>
        <v/>
      </c>
      <c r="I948" t="inlineStr">
        <is>
          <t>1</t>
        </is>
      </c>
      <c r="J948">
        <f>((Inputs!$B$6*(1+Inputs!$B$7/100))+(((Inputs!$B$12*(1+Inputs!$B$13/100))-(Inputs!$B$12*(1+Inputs!$B$13/100)))+0.25*(Inputs!$B$14-Inputs!$B$14))*(1+Inputs!$B$7/100))*(F948/100)</f>
        <v/>
      </c>
      <c r="K948">
        <f>J948*(1+((Inputs!$B$12*(1+Inputs!$B$13/100))*0.01+Inputs!$B$14*0.0025)/100)*(1+Inputs!$B$15/100)*(1+IF(Inputs!$B$39="pvp",0,(1-Summary!$B$55)*(Inputs!$B$20+0+Skills!P2+B980)+Summary!$B$55*(Inputs!$B$21+Skills!Q2+B980))/100)*(1+Inputs!$B$16/100)*(5000/(6000+Inputs!$B$43*(1-Inputs!$B$19/100)))*(1+(Inputs!$B$24+((C976=TRUE)*(F976-Calc!F30)))/100)*(1+(IF(Skills!A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948)</f>
        <v/>
      </c>
      <c r="L948">
        <f>K948*(MIN(Inputs!$B$22+((C970=TRUE)*(F970-Calc!F24)),Inputs!$B$23+((C975=TRUE)*(F975-Calc!F29)))/100+(Inputs!$B$23+((C975=TRUE)*(F975-Calc!F29)))/100)/2</f>
        <v/>
      </c>
      <c r="M948">
        <f>L948*(1+(Inputs!$B$10+((C972=TRUE)*(F972-Calc!F26))+B986)/100)</f>
        <v/>
      </c>
      <c r="N948">
        <f>L948*(1-MIN((Inputs!$B$9+((C971=TRUE)*(F971-Calc!F25))+B979),100)/100)+M948*(MIN((Inputs!$B$9+((C971=TRUE)*(F971-Calc!F25))+B979),100)/100)</f>
        <v/>
      </c>
      <c r="O948">
        <f>IF(C948,Skills!G2*N948*B985*IF(Inputs!$B$39="pvp",1,(1-Summary!$B$55)*(1)+Summary!$B$55*(MIN((6+Inputs!$B$33),Inputs!$B$37))),0)</f>
        <v/>
      </c>
      <c r="P948">
        <f>IF(B991=0,0,O948/B991)</f>
        <v/>
      </c>
      <c r="Q948" t="n">
        <v>0</v>
      </c>
      <c r="R948" t="n">
        <v>0</v>
      </c>
      <c r="S948">
        <f>IFERROR(O948/N948,0)</f>
        <v/>
      </c>
      <c r="U948">
        <f>MAX(0,(Inputs!$B$3-100)*3)+(Inputs!$B$28+1)+Inputs!$B$29</f>
        <v/>
      </c>
    </row>
    <row r="949">
      <c r="A949">
        <f>Skills!A3</f>
        <v/>
      </c>
      <c r="B949">
        <f>Skills!B3</f>
        <v/>
      </c>
      <c r="C949">
        <f>Inputs!$B$3&gt;=35</f>
        <v/>
      </c>
      <c r="D949">
        <f>IF(Skills!C3=1,60+Inputs!$B$25+Inputs!$B$29,IF(Skills!C3=2,90+Inputs!$B$26+Inputs!$B$29,IF(Skills!C3=3,120+Inputs!$B$27+Inputs!$B$29,MAX(0,(Inputs!$B$3-100)*3)+(Inputs!$B$28+1)+Inputs!$B$29)))</f>
        <v/>
      </c>
      <c r="E949">
        <f>INDEX(FactorTable!$B$2:$Y$301, MATCH(ROUND(MIN(300,MAX(1,D949)),0), FactorTable!$A$2:$A$301,0), Skills!M3+1)</f>
        <v/>
      </c>
      <c r="F949">
        <f>IF(Skills!N3=TRUE,(Skills!L3/10)*(E949/1000),Skills!L3/10)+Skills!O3</f>
        <v/>
      </c>
      <c r="G949">
        <f>Skills!G3*IF(Skills!H3&gt;0,Skills!I3/Skills!H3,1)</f>
        <v/>
      </c>
      <c r="H949">
        <f>1-(1-Skills!J3/100)^Skills!K3</f>
        <v/>
      </c>
      <c r="I949" t="inlineStr">
        <is>
          <t>1</t>
        </is>
      </c>
      <c r="J949" t="inlineStr"/>
      <c r="K949" t="inlineStr"/>
      <c r="L949" t="inlineStr"/>
      <c r="M949" t="inlineStr"/>
      <c r="N949" t="inlineStr"/>
      <c r="O949" t="n">
        <v>0</v>
      </c>
      <c r="P949">
        <f>IF(B991=0,0,O949/B991)</f>
        <v/>
      </c>
      <c r="Q949" t="n">
        <v>0</v>
      </c>
      <c r="R949" t="n">
        <v>0</v>
      </c>
      <c r="S949">
        <f>IFERROR(O949/N949,0)</f>
        <v/>
      </c>
      <c r="U949">
        <f>INDEX(FactorTable!$B$2:$Y$301, MATCH(ROUND(MIN(300,MAX(1,U948)),0), FactorTable!$A$2:$A$301,0), 22)</f>
        <v/>
      </c>
    </row>
    <row r="950">
      <c r="A950">
        <f>Skills!A4</f>
        <v/>
      </c>
      <c r="B950">
        <f>Skills!B4</f>
        <v/>
      </c>
      <c r="C950">
        <f>Inputs!$B$3&gt;=66</f>
        <v/>
      </c>
      <c r="D950">
        <f>IF(Skills!C4=1,60+Inputs!$B$25+Inputs!$B$29,IF(Skills!C4=2,90+Inputs!$B$26+Inputs!$B$29,IF(Skills!C4=3,120+Inputs!$B$27+Inputs!$B$29,MAX(0,(Inputs!$B$3-100)*3)+(Inputs!$B$28+1)+Inputs!$B$29)))</f>
        <v/>
      </c>
      <c r="E950">
        <f>INDEX(FactorTable!$B$2:$Y$301, MATCH(ROUND(MIN(300,MAX(1,D950)),0), FactorTable!$A$2:$A$301,0), Skills!M4+1)</f>
        <v/>
      </c>
      <c r="F950">
        <f>IF(Skills!N4=TRUE,(Skills!L4/10)*(E950/1000),Skills!L4/10)+Skills!O4</f>
        <v/>
      </c>
      <c r="G950">
        <f>Skills!G4*IF(Skills!H4&gt;0,Skills!I4/Skills!H4,1)</f>
        <v/>
      </c>
      <c r="H950">
        <f>1-(1-Skills!J4/100)^Skills!K4</f>
        <v/>
      </c>
      <c r="I950" t="inlineStr">
        <is>
          <t>1</t>
        </is>
      </c>
      <c r="J950">
        <f>((Inputs!$B$6*(1+Inputs!$B$7/100))+(((Inputs!$B$12*(1+Inputs!$B$13/100))-(Inputs!$B$12*(1+Inputs!$B$13/100)))+0.25*(Inputs!$B$14-Inputs!$B$14))*(1+Inputs!$B$7/100))*(F950/100)</f>
        <v/>
      </c>
      <c r="K950">
        <f>J950*(1+((Inputs!$B$12*(1+Inputs!$B$13/100))*0.01+Inputs!$B$14*0.0025)/100)*(1+Inputs!$B$15/100)*(1+IF(Inputs!$B$39="pvp",0,(1-Summary!$B$55)*(Inputs!$B$20+0+Skills!P4+B980)+Summary!$B$55*(Inputs!$B$21+Skills!Q4+B980))/100)*(1+Inputs!$B$16/100)*(5000/(6000+Inputs!$B$43*(1-Inputs!$B$19/100)))*(1+(Inputs!$B$24+((C976=TRUE)*(F976-Calc!F30)))/100)*(1+(IF(Skills!A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950)</f>
        <v/>
      </c>
      <c r="L950">
        <f>K950*(MIN(Inputs!$B$22+((C970=TRUE)*(F970-Calc!F24)),Inputs!$B$23+((C975=TRUE)*(F975-Calc!F29)))/100+(Inputs!$B$23+((C975=TRUE)*(F975-Calc!F29)))/100)/2</f>
        <v/>
      </c>
      <c r="M950">
        <f>L950*(1+(Inputs!$B$10+((C972=TRUE)*(F972-Calc!F26))+B986)/100)</f>
        <v/>
      </c>
      <c r="N950">
        <f>L950*(1-MIN((Inputs!$B$9+((C971=TRUE)*(F971-Calc!F25))+B979),100)/100)+M950*(MIN((Inputs!$B$9+((C971=TRUE)*(F971-Calc!F25))+B979),100)/100)</f>
        <v/>
      </c>
      <c r="O950">
        <f>IF(C950,H950*N950*IF(AND(Inputs!$B$39&lt;&gt;"pvp",Inputs!$B$44&gt;0),((Skills!G4*((R950-1)*IF(Skills!H4&gt;0,Skills!I4/Skills!H4,1)+IF(Skills!H4&gt;0,MIN(Skills!I4,MAX(0,MAX(0,Inputs!$B$44-B990)-((R950-1)*IF(Inputs!$B$39="pvp",15,MAX(0.1,Skills!D4-IF(Skills!E4=TRUE,Inputs!$B$32,0))))))/Skills!H4,1)))/Inputs!$B$44),G950*Q950)*IF(Inputs!$B$39="pvp",1,(1-Summary!$B$55)*(1)+Summary!$B$55*(MIN(MIN(10,0.5*B983*Skills!D4),Inputs!$B$37))),0)</f>
        <v/>
      </c>
      <c r="P950">
        <f>IF(B991=0,0,O950/B991)</f>
        <v/>
      </c>
      <c r="Q950">
        <f>IFERROR(1/IF(Inputs!$B$39="pvp",15,MAX(0.1,Skills!D4-IF(Skills!E4=TRUE,Inputs!$B$32,0))),0)</f>
        <v/>
      </c>
      <c r="R950">
        <f>IF(AND(Inputs!$B$39&lt;&gt;"pvp",Inputs!$B$44&gt;0),IF(MAX(0,Inputs!$B$44-B990)&lt;=0,0,(INT(MAX(0,Inputs!$B$44-B990)/IF(Inputs!$B$39="pvp",15,MAX(0.1,Skills!D4-IF(Skills!E4=TRUE,Inputs!$B$32,0))))+1)),0)</f>
        <v/>
      </c>
      <c r="S950">
        <f>IFERROR(O950/N950,0)</f>
        <v/>
      </c>
      <c r="U950">
        <f>290*U949/1000</f>
        <v/>
      </c>
    </row>
    <row r="951">
      <c r="A951">
        <f>Skills!A5</f>
        <v/>
      </c>
      <c r="B951">
        <f>Skills!B5</f>
        <v/>
      </c>
      <c r="C951">
        <f>Inputs!$B$3&gt;=63</f>
        <v/>
      </c>
      <c r="D951">
        <f>IF(Skills!C5=1,60+Inputs!$B$25+Inputs!$B$29,IF(Skills!C5=2,90+Inputs!$B$26+Inputs!$B$29,IF(Skills!C5=3,120+Inputs!$B$27+Inputs!$B$29,MAX(0,(Inputs!$B$3-100)*3)+(Inputs!$B$28+1)+Inputs!$B$29)))</f>
        <v/>
      </c>
      <c r="E951">
        <f>INDEX(FactorTable!$B$2:$Y$301, MATCH(ROUND(MIN(300,MAX(1,D951)),0), FactorTable!$A$2:$A$301,0), Skills!M5+1)</f>
        <v/>
      </c>
      <c r="F951">
        <f>IF(Skills!N5=TRUE,(Skills!L5/10)*(E951/1000),Skills!L5/10)+Skills!O5</f>
        <v/>
      </c>
      <c r="G951">
        <f>Skills!G5*IF(Skills!H5&gt;0,Skills!I5/Skills!H5,1)</f>
        <v/>
      </c>
      <c r="H951">
        <f>1-(1-Skills!J5/100)^Skills!K5</f>
        <v/>
      </c>
      <c r="I951" t="inlineStr">
        <is>
          <t>1</t>
        </is>
      </c>
      <c r="J951">
        <f>((Inputs!$B$6*(1+Inputs!$B$7/100))+(((Inputs!$B$12*(1+Inputs!$B$13/100))-(Inputs!$B$12*(1+Inputs!$B$13/100)))+0.25*(Inputs!$B$14-Inputs!$B$14))*(1+Inputs!$B$7/100))*(F951/100)</f>
        <v/>
      </c>
      <c r="K951">
        <f>J951*(1+((Inputs!$B$12*(1+Inputs!$B$13/100))*0.01+Inputs!$B$14*0.0025)/100)*(1+Inputs!$B$15/100)*(1+IF(Inputs!$B$39="pvp",0,(1-Summary!$B$55)*(Inputs!$B$20+0+Skills!P5+B980)+Summary!$B$55*(Inputs!$B$21+Skills!Q5+B980))/100)*(1+Inputs!$B$16/100)*(5000/(6000+Inputs!$B$43*(1-Inputs!$B$19/100)))*(1+(Inputs!$B$24+((C976=TRUE)*(F976-Calc!F30)))/100)*(1+2.6666666666666665*IF(C964=TRUE,F964,0)/100)*(1+(IF(Skills!A5="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951)</f>
        <v/>
      </c>
      <c r="L951">
        <f>K951*(MIN(Inputs!$B$22+((C970=TRUE)*(F970-Calc!F24)),Inputs!$B$23+((C975=TRUE)*(F975-Calc!F29)))/100+(Inputs!$B$23+((C975=TRUE)*(F975-Calc!F29)))/100)/2</f>
        <v/>
      </c>
      <c r="M951">
        <f>L951*(1+(Inputs!$B$10+((C972=TRUE)*(F972-Calc!F26))+B986)/100)</f>
        <v/>
      </c>
      <c r="N951">
        <f>L951*(1-MIN((Inputs!$B$9+((C971=TRUE)*(F971-Calc!F25))+B979),100)/100)+M951*(MIN((Inputs!$B$9+((C971=TRUE)*(F971-Calc!F25))+B979),100)/100)</f>
        <v/>
      </c>
      <c r="O951">
        <f>IF(C951,H951*N951*IF(AND(Inputs!$B$39&lt;&gt;"pvp",Inputs!$B$44&gt;0),((Skills!G5*((R951-1)*IF(Skills!H5&gt;0,Skills!I5/Skills!H5,1)+IF(Skills!H5&gt;0,MIN(Skills!I5,MAX(0,MAX(0,Inputs!$B$44-B990)-((R951-1)*IF(Inputs!$B$39="pvp",15,MAX(0.1,Skills!D5-IF(Skills!E5=TRUE,Inputs!$B$32,0))))))/Skills!H5,1)))/Inputs!$B$44),G951*Q951)*IF(Inputs!$B$39="pvp",1,(1-Summary!$B$55)*(1)+Summary!$B$55*(MIN(Skills!W5,Inputs!$B$37))),0)</f>
        <v/>
      </c>
      <c r="P951">
        <f>IF(B991=0,0,O951/B991)</f>
        <v/>
      </c>
      <c r="Q951">
        <f>IFERROR(1/IF(Inputs!$B$39="pvp",15,MAX(0.1,Skills!D5-IF(Skills!E5=TRUE,Inputs!$B$32,0))),0)</f>
        <v/>
      </c>
      <c r="R951">
        <f>IF(AND(Inputs!$B$39&lt;&gt;"pvp",Inputs!$B$44&gt;0),IF(MAX(0,Inputs!$B$44-B990)&lt;=0,0,(INT(MAX(0,Inputs!$B$44-B990)/IF(Inputs!$B$39="pvp",15,MAX(0.1,Skills!D5-IF(Skills!E5=TRUE,Inputs!$B$32,0))))+1)),0)</f>
        <v/>
      </c>
      <c r="S951">
        <f>IFERROR(O951/N951,0)</f>
        <v/>
      </c>
    </row>
    <row r="952">
      <c r="A952">
        <f>Skills!A6</f>
        <v/>
      </c>
      <c r="B952">
        <f>Skills!B6</f>
        <v/>
      </c>
      <c r="C952">
        <f>Inputs!$B$3&gt;=69</f>
        <v/>
      </c>
      <c r="D952">
        <f>IF(Skills!C6=1,60+Inputs!$B$25+Inputs!$B$29,IF(Skills!C6=2,90+Inputs!$B$26+Inputs!$B$29,IF(Skills!C6=3,120+Inputs!$B$27+Inputs!$B$29,MAX(0,(Inputs!$B$3-100)*3)+(Inputs!$B$28+1)+Inputs!$B$29)))</f>
        <v/>
      </c>
      <c r="E952">
        <f>INDEX(FactorTable!$B$2:$Y$301, MATCH(ROUND(MIN(300,MAX(1,D952)),0), FactorTable!$A$2:$A$301,0), Skills!M6+1)</f>
        <v/>
      </c>
      <c r="F952">
        <f>IF(Skills!N6=TRUE,(Skills!L6/10)*(E952/1000),Skills!L6/10)+Skills!O6</f>
        <v/>
      </c>
      <c r="G952">
        <f>Skills!G6*IF(Skills!H6&gt;0,Skills!I6/Skills!H6,1)</f>
        <v/>
      </c>
      <c r="H952">
        <f>1-(1-Skills!J6/100)^Skills!K6</f>
        <v/>
      </c>
      <c r="I952" t="inlineStr">
        <is>
          <t>1</t>
        </is>
      </c>
      <c r="J952">
        <f>((Inputs!$B$6*(1+Inputs!$B$7/100))+(((Inputs!$B$12*(1+Inputs!$B$13/100))-(Inputs!$B$12*(1+Inputs!$B$13/100)))+0.25*(Inputs!$B$14-Inputs!$B$14))*(1+Inputs!$B$7/100))*(F952/100)</f>
        <v/>
      </c>
      <c r="K952">
        <f>J952*(1+((Inputs!$B$12*(1+Inputs!$B$13/100))*0.01+Inputs!$B$14*0.0025)/100)*(1+Inputs!$B$15/100)*(1+IF(Inputs!$B$39="pvp",0,(1-Summary!$B$55)*(Inputs!$B$20+0+Skills!P6+B980)+Summary!$B$55*(Inputs!$B$21+Skills!Q6+B980))/100)*(1+Inputs!$B$16/100)*(5000/(6000+Inputs!$B$43*(1-Inputs!$B$19/100)))*(1+(Inputs!$B$24+((C976=TRUE)*(F976-Calc!F30)))/100)*(1+1.0*IF(C964=TRUE,F964,0)/100)*(1+(IF(Skills!A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952)</f>
        <v/>
      </c>
      <c r="L952">
        <f>K952*(MIN(Inputs!$B$22+((C970=TRUE)*(F970-Calc!F24)),Inputs!$B$23+((C975=TRUE)*(F975-Calc!F29)))/100+(Inputs!$B$23+((C975=TRUE)*(F975-Calc!F29)))/100)/2</f>
        <v/>
      </c>
      <c r="M952">
        <f>L952*(1+(Inputs!$B$10+((C972=TRUE)*(F972-Calc!F26))+B986)/100)</f>
        <v/>
      </c>
      <c r="N952">
        <f>L952*(1-MIN((Inputs!$B$9+((C971=TRUE)*(F971-Calc!F25))+B979),100)/100)+M952*(MIN((Inputs!$B$9+((C971=TRUE)*(F971-Calc!F25))+B979),100)/100)</f>
        <v/>
      </c>
      <c r="O952">
        <f>IF(C952,H952*N952*IF(AND(Inputs!$B$39&lt;&gt;"pvp",Inputs!$B$44&gt;0),((Skills!G6*((R952-1)*IF(Skills!H6&gt;0,Skills!I6/Skills!H6,1)+IF(Skills!H6&gt;0,MIN(Skills!I6,MAX(0,MAX(0,Inputs!$B$44-B990)-((R952-1)*IF(Inputs!$B$39="pvp",15,MAX(0.1,Skills!D6-IF(Skills!E6=TRUE,Inputs!$B$32,0))))))/Skills!H6,1)))/Inputs!$B$44),G952*Q952)*IF(Inputs!$B$39="pvp",1,(1-Summary!$B$55)*(1)+Summary!$B$55*(MIN(Skills!W6,Inputs!$B$37))),0)</f>
        <v/>
      </c>
      <c r="P952">
        <f>IF(B991=0,0,O952/B991)</f>
        <v/>
      </c>
      <c r="Q952">
        <f>IFERROR(1/IF(Inputs!$B$39="pvp",15,MAX(0.1,Skills!D6-IF(Skills!E6=TRUE,Inputs!$B$32,0))),0)</f>
        <v/>
      </c>
      <c r="R952">
        <f>IF(AND(Inputs!$B$39&lt;&gt;"pvp",Inputs!$B$44&gt;0),IF(MAX(0,Inputs!$B$44-B990)&lt;=0,0,(INT(MAX(0,Inputs!$B$44-B990)/IF(Inputs!$B$39="pvp",15,MAX(0.1,Skills!D6-IF(Skills!E6=TRUE,Inputs!$B$32,0))))+1)),0)</f>
        <v/>
      </c>
      <c r="S952">
        <f>IFERROR(O952/N952,0)</f>
        <v/>
      </c>
    </row>
    <row r="953">
      <c r="A953">
        <f>Skills!A7</f>
        <v/>
      </c>
      <c r="B953">
        <f>Skills!B7</f>
        <v/>
      </c>
      <c r="C953">
        <f>Inputs!$B$3&gt;=60</f>
        <v/>
      </c>
      <c r="D953">
        <f>IF(Skills!C7=1,60+Inputs!$B$25+Inputs!$B$29,IF(Skills!C7=2,90+Inputs!$B$26+Inputs!$B$29,IF(Skills!C7=3,120+Inputs!$B$27+Inputs!$B$29,MAX(0,(Inputs!$B$3-100)*3)+(Inputs!$B$28+1)+Inputs!$B$29)))</f>
        <v/>
      </c>
      <c r="E953">
        <f>INDEX(FactorTable!$B$2:$Y$301, MATCH(ROUND(MIN(300,MAX(1,D953)),0), FactorTable!$A$2:$A$301,0), Skills!M7+1)</f>
        <v/>
      </c>
      <c r="F953">
        <f>IF(Skills!N7=TRUE,(Skills!L7/10)*(E953/1000),Skills!L7/10)+Skills!O7</f>
        <v/>
      </c>
      <c r="G953">
        <f>Skills!G7*IF(Skills!H7&gt;0,Skills!I7/Skills!H7,1)</f>
        <v/>
      </c>
      <c r="H953">
        <f>1-(1-Skills!J7/100)^Skills!K7</f>
        <v/>
      </c>
      <c r="I953" t="inlineStr">
        <is>
          <t>1</t>
        </is>
      </c>
      <c r="J953" t="inlineStr"/>
      <c r="K953" t="inlineStr"/>
      <c r="L953" t="inlineStr"/>
      <c r="M953" t="inlineStr"/>
      <c r="N953" t="inlineStr"/>
      <c r="O953" t="n">
        <v>0</v>
      </c>
      <c r="P953">
        <f>IF(B991=0,0,O953/B991)</f>
        <v/>
      </c>
      <c r="Q953" t="n">
        <v>0</v>
      </c>
      <c r="R953" t="n">
        <v>0</v>
      </c>
      <c r="S953">
        <f>IFERROR(O953/N953,0)</f>
        <v/>
      </c>
    </row>
    <row r="954">
      <c r="A954">
        <f>Skills!A8</f>
        <v/>
      </c>
      <c r="B954">
        <f>Skills!B8</f>
        <v/>
      </c>
      <c r="C954">
        <f>Inputs!$B$3&gt;=72</f>
        <v/>
      </c>
      <c r="D954">
        <f>IF(Skills!C8=1,60+Inputs!$B$25+Inputs!$B$29,IF(Skills!C8=2,90+Inputs!$B$26+Inputs!$B$29,IF(Skills!C8=3,120+Inputs!$B$27+Inputs!$B$29,MAX(0,(Inputs!$B$3-100)*3)+(Inputs!$B$28+1)+Inputs!$B$29)))</f>
        <v/>
      </c>
      <c r="E954">
        <f>INDEX(FactorTable!$B$2:$Y$301, MATCH(ROUND(MIN(300,MAX(1,D954)),0), FactorTable!$A$2:$A$301,0), Skills!M8+1)</f>
        <v/>
      </c>
      <c r="F954">
        <f>IF(Skills!N8=TRUE,(Skills!L8/10)*(E954/1000),Skills!L8/10)+Skills!O8</f>
        <v/>
      </c>
      <c r="G954">
        <f>Skills!G8*IF(Skills!H8&gt;0,Skills!I8/Skills!H8,1)</f>
        <v/>
      </c>
      <c r="H954">
        <f>1-(1-Skills!J8/100)^Skills!K8</f>
        <v/>
      </c>
      <c r="I954" t="inlineStr">
        <is>
          <t>1</t>
        </is>
      </c>
      <c r="J954">
        <f>((Inputs!$B$6*(1+Inputs!$B$7/100))+(((Inputs!$B$12*(1+Inputs!$B$13/100))-(Inputs!$B$12*(1+Inputs!$B$13/100)))+0.25*(Inputs!$B$14-Inputs!$B$14))*(1+Inputs!$B$7/100))*(F954/100)</f>
        <v/>
      </c>
      <c r="K954">
        <f>J954*(1+((Inputs!$B$12*(1+Inputs!$B$13/100))*0.01+Inputs!$B$14*0.0025)/100)*(1+Inputs!$B$15/100)*(1+IF(Inputs!$B$39="pvp",0,(1-Summary!$B$55)*(Inputs!$B$20+0+Skills!P8+B980)+Summary!$B$55*(Inputs!$B$21+Skills!Q8+B980))/100)*(1+Inputs!$B$16/100)*(5000/(6000+Inputs!$B$43*(1-Inputs!$B$19/100)))*(1+(Inputs!$B$24+((C976=TRUE)*(F976-Calc!F30)))/100)*(1+3.3333333333333335*IF(C964=TRUE,F964,0)/100)*(1+(IF(Skills!A8="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954)</f>
        <v/>
      </c>
      <c r="L954">
        <f>K954*(MIN(Inputs!$B$22+((C970=TRUE)*(F970-Calc!F24)),Inputs!$B$23+((C975=TRUE)*(F975-Calc!F29)))/100+(Inputs!$B$23+((C975=TRUE)*(F975-Calc!F29)))/100)/2</f>
        <v/>
      </c>
      <c r="M954">
        <f>L954*(1+(Inputs!$B$10+((C972=TRUE)*(F972-Calc!F26))+B986)/100)</f>
        <v/>
      </c>
      <c r="N954">
        <f>L954*(1-MIN((Inputs!$B$9+((C971=TRUE)*(F971-Calc!F25))+B979),100)/100)+M954*(MIN((Inputs!$B$9+((C971=TRUE)*(F971-Calc!F25))+B979),100)/100)</f>
        <v/>
      </c>
      <c r="O954">
        <f>IF(C954,H954*N954*IF(AND(Inputs!$B$39&lt;&gt;"pvp",Inputs!$B$44&gt;0),((Skills!G8*((R954-1)*IF(Skills!H8&gt;0,Skills!I8/Skills!H8,1)+IF(Skills!H8&gt;0,MIN(Skills!I8,MAX(0,MAX(0,Inputs!$B$44-B990)-((R954-1)*IF(Inputs!$B$39="pvp",15,MAX(0.1,Skills!D8-IF(Skills!E8=TRUE,Inputs!$B$32,0))))))/Skills!H8,1)))/Inputs!$B$44),G954*Q954)*IF(Inputs!$B$39="pvp",1,(1-Summary!$B$55)*(1)+Summary!$B$55*(MIN(Skills!W8,Inputs!$B$37))),0)</f>
        <v/>
      </c>
      <c r="P954">
        <f>IF(B991=0,0,O954/B991)</f>
        <v/>
      </c>
      <c r="Q954">
        <f>IFERROR(1/IF(Inputs!$B$39="pvp",15,MAX(0.1,Skills!D8-IF(Skills!E8=TRUE,Inputs!$B$32,0))),0)</f>
        <v/>
      </c>
      <c r="R954">
        <f>IF(AND(Inputs!$B$39&lt;&gt;"pvp",Inputs!$B$44&gt;0),IF(MAX(0,Inputs!$B$44-B990)&lt;=0,0,(INT(MAX(0,Inputs!$B$44-B990)/IF(Inputs!$B$39="pvp",15,MAX(0.1,Skills!D8-IF(Skills!E8=TRUE,Inputs!$B$32,0))))+1)),0)</f>
        <v/>
      </c>
      <c r="S954">
        <f>IFERROR(O954/N954,0)</f>
        <v/>
      </c>
    </row>
    <row r="955">
      <c r="A955">
        <f>Skills!A9</f>
        <v/>
      </c>
      <c r="B955">
        <f>Skills!B9</f>
        <v/>
      </c>
      <c r="C955">
        <f>Inputs!$B$3&gt;=117</f>
        <v/>
      </c>
      <c r="D955">
        <f>IF(Skills!C9=1,60+Inputs!$B$25+Inputs!$B$29,IF(Skills!C9=2,90+Inputs!$B$26+Inputs!$B$29,IF(Skills!C9=3,120+Inputs!$B$27+Inputs!$B$29,MAX(0,(Inputs!$B$3-100)*3)+(Inputs!$B$28+1)+Inputs!$B$29)))</f>
        <v/>
      </c>
      <c r="E955">
        <f>INDEX(FactorTable!$B$2:$Y$301, MATCH(ROUND(MIN(300,MAX(1,D955)),0), FactorTable!$A$2:$A$301,0), Skills!M9+1)</f>
        <v/>
      </c>
      <c r="F955">
        <f>IF(Skills!N9=TRUE,(Skills!L9/10)*(E955/1000),Skills!L9/10)+Skills!O9</f>
        <v/>
      </c>
      <c r="G955">
        <f>Skills!G9*IF(Skills!H9&gt;0,Skills!I9/Skills!H9,1)</f>
        <v/>
      </c>
      <c r="H955">
        <f>1-(1-Skills!J9/100)^Skills!K9</f>
        <v/>
      </c>
      <c r="I955" t="inlineStr">
        <is>
          <t>1</t>
        </is>
      </c>
      <c r="J955">
        <f>((Inputs!$B$6*(1+Inputs!$B$7/100))+(((Inputs!$B$12*(1+Inputs!$B$13/100))-(Inputs!$B$12*(1+Inputs!$B$13/100)))+0.25*(Inputs!$B$14-Inputs!$B$14))*(1+Inputs!$B$7/100))*(F955/100)</f>
        <v/>
      </c>
      <c r="K955">
        <f>J955*(1+((Inputs!$B$12*(1+Inputs!$B$13/100))*0.01+Inputs!$B$14*0.0025)/100)*(1+Inputs!$B$15/100)*(1+IF(Inputs!$B$39="pvp",0,(1-Summary!$B$55)*(Inputs!$B$20+0+Skills!P9+B980)+Summary!$B$55*(Inputs!$B$21+Skills!Q9+B980))/100)*(1+Inputs!$B$16/100)*(5000/(6000+Inputs!$B$43*(1-Inputs!$B$19/100)))*(1+(Inputs!$B$24+((C976=TRUE)*(F976-Calc!F30)))/100)*(1+(IF(Skills!A9="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955)</f>
        <v/>
      </c>
      <c r="L955">
        <f>K955*(MIN(Inputs!$B$22+((C970=TRUE)*(F970-Calc!F24)),Inputs!$B$23+((C975=TRUE)*(F975-Calc!F29)))/100+(Inputs!$B$23+((C975=TRUE)*(F975-Calc!F29)))/100)/2</f>
        <v/>
      </c>
      <c r="M955">
        <f>L955*(1+(Inputs!$B$10+((C972=TRUE)*(F972-Calc!F26))+B986)/100)</f>
        <v/>
      </c>
      <c r="N955">
        <f>L955*(1-MIN((Inputs!$B$9+((C971=TRUE)*(F971-Calc!F25))+B979),100)/100)+M955*(MIN((Inputs!$B$9+((C971=TRUE)*(F971-Calc!F25))+B979),100)/100)</f>
        <v/>
      </c>
      <c r="O955">
        <f>IF(C955,0.2*SUMPRODUCT((Skills!Z2:Z30=TRUE)*(C948:C976=TRUE)*S948:S976)*N955,0)</f>
        <v/>
      </c>
      <c r="P955">
        <f>IF(B991=0,0,O955/B991)</f>
        <v/>
      </c>
      <c r="Q955" t="n">
        <v>0</v>
      </c>
      <c r="R955" t="n">
        <v>0</v>
      </c>
      <c r="S955" t="n">
        <v>0</v>
      </c>
    </row>
    <row r="956">
      <c r="A956">
        <f>Skills!A10</f>
        <v/>
      </c>
      <c r="B956">
        <f>Skills!B10</f>
        <v/>
      </c>
      <c r="C956">
        <f>Inputs!$B$3&gt;=74</f>
        <v/>
      </c>
      <c r="D956">
        <f>IF(Skills!C10=1,60+Inputs!$B$25+Inputs!$B$29,IF(Skills!C10=2,90+Inputs!$B$26+Inputs!$B$29,IF(Skills!C10=3,120+Inputs!$B$27+Inputs!$B$29,MAX(0,(Inputs!$B$3-100)*3)+(Inputs!$B$28+1)+Inputs!$B$29)))</f>
        <v/>
      </c>
      <c r="E956">
        <f>INDEX(FactorTable!$B$2:$Y$301, MATCH(ROUND(MIN(300,MAX(1,D956)),0), FactorTable!$A$2:$A$301,0), Skills!M10+1)</f>
        <v/>
      </c>
      <c r="F956">
        <f>IF(Skills!N10=TRUE,(Skills!L10/10)*(E956/1000),Skills!L10/10)+Skills!O10</f>
        <v/>
      </c>
      <c r="G956">
        <f>Skills!G10*IF(Skills!H10&gt;0,Skills!I10/Skills!H10,1)</f>
        <v/>
      </c>
      <c r="H956">
        <f>1-(1-Skills!J10/100)^Skills!K10</f>
        <v/>
      </c>
      <c r="I956" t="inlineStr">
        <is>
          <t>1</t>
        </is>
      </c>
      <c r="J956" t="inlineStr"/>
      <c r="K956" t="inlineStr"/>
      <c r="L956" t="inlineStr"/>
      <c r="M956" t="inlineStr"/>
      <c r="N956" t="inlineStr"/>
      <c r="O956" t="n">
        <v>0</v>
      </c>
      <c r="P956">
        <f>IF(B991=0,0,O956/B991)</f>
        <v/>
      </c>
      <c r="Q956">
        <f>IFERROR(1/IF(Inputs!$B$39="pvp",15,MAX(0.1,Skills!D10-IF(Skills!E10=TRUE,Inputs!$B$32,0))),0)</f>
        <v/>
      </c>
      <c r="R956">
        <f>IF(AND(Inputs!$B$39&lt;&gt;"pvp",Inputs!$B$44&gt;0),IF(Inputs!$B$44&lt;=0,0,(INT(Inputs!$B$44/IF(Inputs!$B$39="pvp",15,MAX(0.1,Skills!D10-IF(Skills!E10=TRUE,Inputs!$B$32,0))))+1)),0)</f>
        <v/>
      </c>
      <c r="S956">
        <f>IFERROR(O956/N956,0)</f>
        <v/>
      </c>
    </row>
    <row r="957">
      <c r="A957">
        <f>Skills!A11</f>
        <v/>
      </c>
      <c r="B957">
        <f>Skills!B11</f>
        <v/>
      </c>
      <c r="C957">
        <f>Inputs!$B$3&gt;=103</f>
        <v/>
      </c>
      <c r="D957">
        <f>IF(Skills!C11=1,60+Inputs!$B$25+Inputs!$B$29,IF(Skills!C11=2,90+Inputs!$B$26+Inputs!$B$29,IF(Skills!C11=3,120+Inputs!$B$27+Inputs!$B$29,MAX(0,(Inputs!$B$3-100)*3)+(Inputs!$B$28+1)+Inputs!$B$29)))</f>
        <v/>
      </c>
      <c r="E957">
        <f>INDEX(FactorTable!$B$2:$Y$301, MATCH(ROUND(MIN(300,MAX(1,D957)),0), FactorTable!$A$2:$A$301,0), Skills!M11+1)</f>
        <v/>
      </c>
      <c r="F957">
        <f>(Skills!L11/10)*(E957/1000)+IF(Inputs!$B$3&gt;=134,50,0)+0.5*(30000/10)*(INDEX(FactorTable!$B$2:$Y$301, MATCH(ROUND(MIN(300,MAX(1,D957)),0), FactorTable!$A$2:$A$301,0), 13)/1000)*B989</f>
        <v/>
      </c>
      <c r="G957">
        <f>Skills!G11*IF(Skills!H11&gt;0,Skills!I11/Skills!H11,1)</f>
        <v/>
      </c>
      <c r="H957">
        <f>1-(1-Skills!J11/100)^Skills!K11</f>
        <v/>
      </c>
      <c r="I957" t="inlineStr">
        <is>
          <t>1</t>
        </is>
      </c>
      <c r="J957">
        <f>((Inputs!$B$6*(1+Inputs!$B$7/100))+(((Inputs!$B$12*(1+Inputs!$B$13/100))-(Inputs!$B$12*(1+Inputs!$B$13/100)))+0.25*(Inputs!$B$14-Inputs!$B$14))*(1+Inputs!$B$7/100))*(F957/100)</f>
        <v/>
      </c>
      <c r="K957">
        <f>J957*(1+((Inputs!$B$12*(1+Inputs!$B$13/100))*0.01+Inputs!$B$14*0.0025)/100)*(1+Inputs!$B$15/100)*(1+IF(Inputs!$B$39="pvp",0,(1-Summary!$B$55)*(Inputs!$B$20+0+Skills!P11+B980)+Summary!$B$55*(Inputs!$B$21+Skills!Q11+B980))/100)*(1+Inputs!$B$16/100)*(5000/(6000+Inputs!$B$43*(1-Inputs!$B$19/100)))*(1+(Inputs!$B$24+((C976=TRUE)*(F976-Calc!F30)))/100)*(1+(IF(Skills!A11="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957)</f>
        <v/>
      </c>
      <c r="L957">
        <f>K957*(MIN(Inputs!$B$22+((C970=TRUE)*(F970-Calc!F24)),Inputs!$B$23+((C975=TRUE)*(F975-Calc!F29)))/100+(Inputs!$B$23+((C975=TRUE)*(F975-Calc!F29)))/100)/2</f>
        <v/>
      </c>
      <c r="M957">
        <f>L957*(1+(Inputs!$B$10+((C972=TRUE)*(F972-Calc!F26))+B986)/100)</f>
        <v/>
      </c>
      <c r="N957">
        <f>L957*(1-MIN((Inputs!$B$9+((C971=TRUE)*(F971-Calc!F25))+B979),100)/100)+M957*(MIN((Inputs!$B$9+((C971=TRUE)*(F971-Calc!F25))+B979),100)/100)</f>
        <v/>
      </c>
      <c r="O957">
        <f>IF(C957,H957*N957*IF(AND(Inputs!$B$39&lt;&gt;"pvp",Inputs!$B$44&gt;0),((Skills!G11*((R957-1)*IF(Skills!H11&gt;0,Skills!I11/Skills!H11,1)+IF(Skills!H11&gt;0,MIN(Skills!I11,MAX(0,MAX(0,Inputs!$B$44-B990)-((R957-1)*IF(Inputs!$B$39="pvp",15,MAX(0.1,Skills!D11-IF(Skills!E11=TRUE,Inputs!$B$32,0))))))/Skills!H11,1)))/Inputs!$B$44),G957*Q957)*IF(Inputs!$B$39="pvp",1,(1-Summary!$B$55)*(1)+Summary!$B$55*(MIN(Skills!W11,Inputs!$B$37))),0)</f>
        <v/>
      </c>
      <c r="P957">
        <f>IF(B991=0,0,O957/B991)</f>
        <v/>
      </c>
      <c r="Q957">
        <f>IFERROR(1/IF(Inputs!$B$39="pvp",15,MAX(0.1,Skills!D11-IF(Skills!E11=TRUE,Inputs!$B$32,0))),0)</f>
        <v/>
      </c>
      <c r="R957">
        <f>IF(AND(Inputs!$B$39&lt;&gt;"pvp",Inputs!$B$44&gt;0),IF(MAX(0,Inputs!$B$44-B990)&lt;=0,0,(INT(MAX(0,Inputs!$B$44-B990)/IF(Inputs!$B$39="pvp",15,MAX(0.1,Skills!D11-IF(Skills!E11=TRUE,Inputs!$B$32,0))))+1)),0)</f>
        <v/>
      </c>
      <c r="S957">
        <f>IFERROR(O957/N957,0)</f>
        <v/>
      </c>
    </row>
    <row r="958">
      <c r="A958">
        <f>Skills!A12</f>
        <v/>
      </c>
      <c r="B958">
        <f>Skills!B12</f>
        <v/>
      </c>
      <c r="C958">
        <f>Inputs!$B$3&gt;=105</f>
        <v/>
      </c>
      <c r="D958">
        <f>IF(Skills!C12=1,60+Inputs!$B$25+Inputs!$B$29,IF(Skills!C12=2,90+Inputs!$B$26+Inputs!$B$29,IF(Skills!C12=3,120+Inputs!$B$27+Inputs!$B$29,MAX(0,(Inputs!$B$3-100)*3)+(Inputs!$B$28+1)+Inputs!$B$29)))</f>
        <v/>
      </c>
      <c r="E958">
        <f>INDEX(FactorTable!$B$2:$Y$301, MATCH(ROUND(MIN(300,MAX(1,D958)),0), FactorTable!$A$2:$A$301,0), Skills!M12+1)</f>
        <v/>
      </c>
      <c r="F958">
        <f>IF(Skills!N12=TRUE,(Skills!L12/10)*(E958/1000),Skills!L12/10)+Skills!O12</f>
        <v/>
      </c>
      <c r="G958">
        <f>Skills!G12*IF(Skills!H12&gt;0,Skills!I12/Skills!H12,1)</f>
        <v/>
      </c>
      <c r="H958">
        <f>1-(1-Skills!J12/100)^Skills!K12</f>
        <v/>
      </c>
      <c r="I958" t="inlineStr">
        <is>
          <t>1</t>
        </is>
      </c>
      <c r="J958">
        <f>((Inputs!$B$6*(1+Inputs!$B$7/100))+(((Inputs!$B$12*(1+Inputs!$B$13/100))-(Inputs!$B$12*(1+Inputs!$B$13/100)))+0.25*(Inputs!$B$14-Inputs!$B$14))*(1+Inputs!$B$7/100))*(F958/100)</f>
        <v/>
      </c>
      <c r="K958">
        <f>J958*(1+((Inputs!$B$12*(1+Inputs!$B$13/100))*0.01+Inputs!$B$14*0.0025)/100)*(1+Inputs!$B$15/100)*(1+IF(Inputs!$B$39="pvp",0,(1-Summary!$B$55)*(Inputs!$B$20+0+Skills!P12+B980)+Summary!$B$55*(Inputs!$B$21+Skills!Q12+B980))/100)*(1+Inputs!$B$16/100)*(5000/(6000+Inputs!$B$43*(1-Inputs!$B$19/100)))*(1+(Inputs!$B$24+((C976=TRUE)*(F976-Calc!F30)))/100)*(1+(IF(Skills!A12="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958)</f>
        <v/>
      </c>
      <c r="L958">
        <f>K958*(MIN(Inputs!$B$22+((C970=TRUE)*(F970-Calc!F24)),Inputs!$B$23+((C975=TRUE)*(F975-Calc!F29)))/100+(Inputs!$B$23+((C975=TRUE)*(F975-Calc!F29)))/100)/2</f>
        <v/>
      </c>
      <c r="M958">
        <f>L958*(1+(Inputs!$B$10+((C972=TRUE)*(F972-Calc!F26))+B986)/100)</f>
        <v/>
      </c>
      <c r="N958">
        <f>L958*(1-MIN((Inputs!$B$9+((C971=TRUE)*(F971-Calc!F25))+B979),100)/100)+M958*(MIN((Inputs!$B$9+((C971=TRUE)*(F971-Calc!F25))+B979),100)/100)</f>
        <v/>
      </c>
      <c r="O958">
        <f>IF(C958,H958*N958*IF(AND(Inputs!$B$39&lt;&gt;"pvp",Inputs!$B$44&gt;0),((Skills!G12*((R958-1)*IF(Skills!H12&gt;0,Skills!I12/Skills!H12,1)+IF(Skills!H12&gt;0,MIN(Skills!I12,MAX(0,MAX(0,Inputs!$B$44-B990)-((R958-1)*IF(Inputs!$B$39="pvp",15,MAX(0.1,Skills!D12-IF(Skills!E12=TRUE,Inputs!$B$32,0))))))/Skills!H12,1)))/Inputs!$B$44),G958*Q958)*IF(Inputs!$B$39="pvp",1,(1-Summary!$B$55)*(1)+Summary!$B$55*(MIN(Skills!W12,Inputs!$B$37))),0)</f>
        <v/>
      </c>
      <c r="P958">
        <f>IF(B991=0,0,O958/B991)</f>
        <v/>
      </c>
      <c r="Q958">
        <f>IFERROR(1/IF(Inputs!$B$39="pvp",15,MAX(0.1,Skills!D12-IF(Skills!E12=TRUE,Inputs!$B$32,0))),0)</f>
        <v/>
      </c>
      <c r="R958">
        <f>IF(AND(Inputs!$B$39&lt;&gt;"pvp",Inputs!$B$44&gt;0),IF(MAX(0,Inputs!$B$44-B990)&lt;=0,0,(INT(MAX(0,Inputs!$B$44-B990)/IF(Inputs!$B$39="pvp",15,MAX(0.1,Skills!D12-IF(Skills!E12=TRUE,Inputs!$B$32,0))))+1)),0)</f>
        <v/>
      </c>
      <c r="S958">
        <f>IFERROR(O958/N958,0)</f>
        <v/>
      </c>
    </row>
    <row r="959">
      <c r="A959">
        <f>Skills!A13</f>
        <v/>
      </c>
      <c r="B959">
        <f>Skills!B13</f>
        <v/>
      </c>
      <c r="C959">
        <f>Inputs!$B$3&gt;=105</f>
        <v/>
      </c>
      <c r="D959">
        <f>IF(Skills!C13=1,60+Inputs!$B$25+Inputs!$B$29,IF(Skills!C13=2,90+Inputs!$B$26+Inputs!$B$29,IF(Skills!C13=3,120+Inputs!$B$27+Inputs!$B$29,MAX(0,(Inputs!$B$3-100)*3)+(Inputs!$B$28+1)+Inputs!$B$29)))</f>
        <v/>
      </c>
      <c r="E959">
        <f>INDEX(FactorTable!$B$2:$Y$301, MATCH(ROUND(MIN(300,MAX(1,D959)),0), FactorTable!$A$2:$A$301,0), Skills!M13+1)</f>
        <v/>
      </c>
      <c r="F959">
        <f>IF(Skills!N13=TRUE,(Skills!L13/10)*(E959/1000),Skills!L13/10)+Skills!O13</f>
        <v/>
      </c>
      <c r="G959">
        <f>Skills!G13*IF(Skills!H13&gt;0,Skills!I13/Skills!H13,1)</f>
        <v/>
      </c>
      <c r="H959">
        <f>1-(1-Skills!J13/100)^Skills!K13</f>
        <v/>
      </c>
      <c r="I959" t="inlineStr">
        <is>
          <t>1</t>
        </is>
      </c>
      <c r="J959">
        <f>((Inputs!$B$6*(1+Inputs!$B$7/100))+(((Inputs!$B$12*(1+Inputs!$B$13/100))-(Inputs!$B$12*(1+Inputs!$B$13/100)))+0.25*(Inputs!$B$14-Inputs!$B$14))*(1+Inputs!$B$7/100))*(F959/100)</f>
        <v/>
      </c>
      <c r="K959">
        <f>J959*(1+((Inputs!$B$12*(1+Inputs!$B$13/100))*0.01+Inputs!$B$14*0.0025)/100)*(1+Inputs!$B$15/100)*(1+IF(Inputs!$B$39="pvp",0,(1-Summary!$B$55)*(Inputs!$B$20+0+Skills!P13+B980)+Summary!$B$55*(Inputs!$B$21+Skills!Q13+B980))/100)*(1+Inputs!$B$16/100)*(5000/(6000+Inputs!$B$43*(1-Inputs!$B$19/100)))*(1+(Inputs!$B$24+((C976=TRUE)*(F976-Calc!F30)))/100)*(1+(IF(Skills!A13="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959)</f>
        <v/>
      </c>
      <c r="L959">
        <f>K959*(MIN(Inputs!$B$22+((C970=TRUE)*(F970-Calc!F24)),Inputs!$B$23+((C975=TRUE)*(F975-Calc!F29)))/100+(Inputs!$B$23+((C975=TRUE)*(F975-Calc!F29)))/100)/2</f>
        <v/>
      </c>
      <c r="M959">
        <f>L959*(1+(Inputs!$B$10+((C972=TRUE)*(F972-Calc!F26))+B986)/100)</f>
        <v/>
      </c>
      <c r="N959">
        <f>L959*(1-MIN((Inputs!$B$9+((C971=TRUE)*(F971-Calc!F25))+B979),100)/100)+M959*(MIN((Inputs!$B$9+((C971=TRUE)*(F971-Calc!F25))+B979),100)/100)</f>
        <v/>
      </c>
      <c r="O959">
        <f>IF(C959,H959*N959*IF(AND(Inputs!$B$39&lt;&gt;"pvp",Inputs!$B$44&gt;0),((Skills!G13*((R959-1)*IF(Skills!H13&gt;0,Skills!I13/Skills!H13,1)+IF(Skills!H13&gt;0,MIN(Skills!I13,MAX(0,MAX(0,Inputs!$B$44-B990)-((R959-1)*IF(Inputs!$B$39="pvp",15,MAX(0.1,Skills!D13-IF(Skills!E13=TRUE,Inputs!$B$32,0))))))/Skills!H13,1)))/Inputs!$B$44),G959*Q959)*IF(Inputs!$B$39="pvp",1,(1-Summary!$B$55)*(1)+Summary!$B$55*(MIN(Skills!W13,Inputs!$B$37))),0)</f>
        <v/>
      </c>
      <c r="P959">
        <f>IF(B991=0,0,O959/B991)</f>
        <v/>
      </c>
      <c r="Q959">
        <f>IFERROR(1/IF(Inputs!$B$39="pvp",15,MAX(0.1,Skills!D13-IF(Skills!E13=TRUE,Inputs!$B$32,0))),0)</f>
        <v/>
      </c>
      <c r="R959">
        <f>IF(AND(Inputs!$B$39&lt;&gt;"pvp",Inputs!$B$44&gt;0),IF(MAX(0,Inputs!$B$44-B990)&lt;=0,0,(INT(MAX(0,Inputs!$B$44-B990)/IF(Inputs!$B$39="pvp",15,MAX(0.1,Skills!D13-IF(Skills!E13=TRUE,Inputs!$B$32,0))))+1)),0)</f>
        <v/>
      </c>
      <c r="S959">
        <f>IFERROR(O959/N959,0)</f>
        <v/>
      </c>
    </row>
    <row r="960">
      <c r="A960">
        <f>Skills!A14</f>
        <v/>
      </c>
      <c r="B960">
        <f>Skills!B14</f>
        <v/>
      </c>
      <c r="C960">
        <f>Inputs!$B$3&gt;=107</f>
        <v/>
      </c>
      <c r="D960">
        <f>IF(Skills!C14=1,60+Inputs!$B$25+Inputs!$B$29,IF(Skills!C14=2,90+Inputs!$B$26+Inputs!$B$29,IF(Skills!C14=3,120+Inputs!$B$27+Inputs!$B$29,MAX(0,(Inputs!$B$3-100)*3)+(Inputs!$B$28+1)+Inputs!$B$29)))</f>
        <v/>
      </c>
      <c r="E960">
        <f>INDEX(FactorTable!$B$2:$Y$301, MATCH(ROUND(MIN(300,MAX(1,D960)),0), FactorTable!$A$2:$A$301,0), Skills!M14+1)</f>
        <v/>
      </c>
      <c r="F960">
        <f>IF(Skills!N14=TRUE,(Skills!L14/10)*(E960/1000),Skills!L14/10)+Skills!O14</f>
        <v/>
      </c>
      <c r="G960">
        <f>Skills!G14*IF(Skills!H14&gt;0,Skills!I14/Skills!H14,1)</f>
        <v/>
      </c>
      <c r="H960">
        <f>1-(1-Skills!J14/100)^Skills!K14</f>
        <v/>
      </c>
      <c r="I960" t="inlineStr">
        <is>
          <t>1</t>
        </is>
      </c>
      <c r="J960">
        <f>((Inputs!$B$6*(1+Inputs!$B$7/100))+(((Inputs!$B$12*(1+Inputs!$B$13/100))-(Inputs!$B$12*(1+Inputs!$B$13/100)))+0.25*(Inputs!$B$14-Inputs!$B$14))*(1+Inputs!$B$7/100))*(F960/100)</f>
        <v/>
      </c>
      <c r="K960">
        <f>J960*(1+((Inputs!$B$12*(1+Inputs!$B$13/100))*0.01+Inputs!$B$14*0.0025)/100)*(1+Inputs!$B$15/100)*(1+IF(Inputs!$B$39="pvp",0,(1-Summary!$B$55)*(Inputs!$B$20+0+Skills!P14+B980)+Summary!$B$55*(Inputs!$B$21+Skills!Q14+B980))/100)*(1+Inputs!$B$16/100)*(5000/(6000+Inputs!$B$43*(1-Inputs!$B$19/100)))*(1+(Inputs!$B$24+((C976=TRUE)*(F976-Calc!F30)))/100)*(1+(IF(Skills!A14="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960)</f>
        <v/>
      </c>
      <c r="L960">
        <f>K960*(MIN(Inputs!$B$22+((C970=TRUE)*(F970-Calc!F24)),Inputs!$B$23+((C975=TRUE)*(F975-Calc!F29)))/100+(Inputs!$B$23+((C975=TRUE)*(F975-Calc!F29)))/100)/2</f>
        <v/>
      </c>
      <c r="M960">
        <f>L960*(1+(Inputs!$B$10+((C972=TRUE)*(F972-Calc!F26))+B986)/100)</f>
        <v/>
      </c>
      <c r="N960">
        <f>L960*(1-MIN((Inputs!$B$9+((C971=TRUE)*(F971-Calc!F25))+B979),100)/100)+M960*(MIN((Inputs!$B$9+((C971=TRUE)*(F971-Calc!F25))+B979),100)/100)</f>
        <v/>
      </c>
      <c r="O960">
        <f>IF(C960,H960*N960*IF(AND(Inputs!$B$39&lt;&gt;"pvp",Inputs!$B$44&gt;0),((Skills!G14*((R960-1)*IF(Skills!H14&gt;0,Skills!I14/Skills!H14,1)+IF(Skills!H14&gt;0,MIN(Skills!I14,MAX(0,MAX(0,Inputs!$B$44-B990)-((R960-1)*IF(Inputs!$B$39="pvp",15,MAX(0.1,Skills!D14-IF(Skills!E14=TRUE,Inputs!$B$32,0))))))/Skills!H14,1)))/Inputs!$B$44),G960*Q960)*IF(Inputs!$B$39="pvp",1,(1-Summary!$B$55)*(1)+Summary!$B$55*(MIN(MIN(5,0.25*B983*Skills!D4)*Skills!V14,Inputs!$B$37))),0)</f>
        <v/>
      </c>
      <c r="P960">
        <f>IF(B991=0,0,O960/B991)</f>
        <v/>
      </c>
      <c r="Q960">
        <f>IFERROR(1/IF(Inputs!$B$39="pvp",15,MAX(0.1,Skills!D14-IF(Skills!E14=TRUE,Inputs!$B$32,0))),0)</f>
        <v/>
      </c>
      <c r="R960">
        <f>IF(AND(Inputs!$B$39&lt;&gt;"pvp",Inputs!$B$44&gt;0),IF(MAX(0,Inputs!$B$44-B990)&lt;=0,0,(INT(MAX(0,Inputs!$B$44-B990)/IF(Inputs!$B$39="pvp",15,MAX(0.1,Skills!D14-IF(Skills!E14=TRUE,Inputs!$B$32,0))))+1)),0)</f>
        <v/>
      </c>
      <c r="S960">
        <f>IFERROR(O960/N960,0)</f>
        <v/>
      </c>
    </row>
    <row r="961">
      <c r="A961">
        <f>Skills!A15</f>
        <v/>
      </c>
      <c r="B961">
        <f>Skills!B15</f>
        <v/>
      </c>
      <c r="C961">
        <f>Inputs!$B$3&gt;=110</f>
        <v/>
      </c>
      <c r="D961">
        <f>IF(Skills!C15=1,60+Inputs!$B$25+Inputs!$B$29,IF(Skills!C15=2,90+Inputs!$B$26+Inputs!$B$29,IF(Skills!C15=3,120+Inputs!$B$27+Inputs!$B$29,MAX(0,(Inputs!$B$3-100)*3)+(Inputs!$B$28+1)+Inputs!$B$29)))</f>
        <v/>
      </c>
      <c r="E961">
        <f>INDEX(FactorTable!$B$2:$Y$301, MATCH(ROUND(MIN(300,MAX(1,D961)),0), FactorTable!$A$2:$A$301,0), Skills!M15+1)</f>
        <v/>
      </c>
      <c r="F961">
        <f>IF(Skills!N15=TRUE,(Skills!L15/10)*(E961/1000),Skills!L15/10)+Skills!O15</f>
        <v/>
      </c>
      <c r="G961">
        <f>Skills!G15*IF(Skills!H15&gt;0,Skills!I15/Skills!H15,1)</f>
        <v/>
      </c>
      <c r="H961">
        <f>1-(1-Skills!J15/100)^Skills!K15</f>
        <v/>
      </c>
      <c r="I961" t="inlineStr">
        <is>
          <t>1</t>
        </is>
      </c>
      <c r="J961" t="inlineStr"/>
      <c r="K961" t="inlineStr"/>
      <c r="L961" t="inlineStr"/>
      <c r="M961" t="inlineStr"/>
      <c r="N961" t="inlineStr"/>
      <c r="O961" t="n">
        <v>0</v>
      </c>
      <c r="P961">
        <f>IF(B991=0,0,O961/B991)</f>
        <v/>
      </c>
      <c r="Q961">
        <f>IFERROR(1/IF(Inputs!$B$39="pvp",15,MAX(0.1,Skills!D15-IF(Skills!E15=TRUE,Inputs!$B$32,0))),0)</f>
        <v/>
      </c>
      <c r="R961">
        <f>IF(AND(Inputs!$B$39&lt;&gt;"pvp",Inputs!$B$44&gt;0),IF(Inputs!$B$44&lt;=0,0,(INT(Inputs!$B$44/IF(Inputs!$B$39="pvp",15,MAX(0.1,Skills!D15-IF(Skills!E15=TRUE,Inputs!$B$32,0))))+1)),0)</f>
        <v/>
      </c>
      <c r="S961">
        <f>IFERROR(O961/N961,0)</f>
        <v/>
      </c>
    </row>
    <row r="962">
      <c r="A962">
        <f>Skills!A16</f>
        <v/>
      </c>
      <c r="B962">
        <f>Skills!B16</f>
        <v/>
      </c>
      <c r="C962">
        <f>Inputs!$B$3&gt;=115</f>
        <v/>
      </c>
      <c r="D962">
        <f>IF(Skills!C16=1,60+Inputs!$B$25+Inputs!$B$29,IF(Skills!C16=2,90+Inputs!$B$26+Inputs!$B$29,IF(Skills!C16=3,120+Inputs!$B$27+Inputs!$B$29,MAX(0,(Inputs!$B$3-100)*3)+(Inputs!$B$28+1)+Inputs!$B$29)))</f>
        <v/>
      </c>
      <c r="E962">
        <f>INDEX(FactorTable!$B$2:$Y$301, MATCH(ROUND(MIN(300,MAX(1,D962)),0), FactorTable!$A$2:$A$301,0), Skills!M16+1)</f>
        <v/>
      </c>
      <c r="F962">
        <f>IF(Skills!N16=TRUE,(Skills!L16/10)*(E962/1000),Skills!L16/10)+Skills!O16</f>
        <v/>
      </c>
      <c r="G962">
        <f>Skills!G16*IF(Skills!H16&gt;0,Skills!I16/Skills!H16,1)</f>
        <v/>
      </c>
      <c r="H962">
        <f>1-(1-Skills!J16/100)^Skills!K16</f>
        <v/>
      </c>
      <c r="I962" t="inlineStr">
        <is>
          <t>1</t>
        </is>
      </c>
      <c r="J962">
        <f>((Inputs!$B$6*(1+Inputs!$B$7/100))+(((Inputs!$B$12*(1+Inputs!$B$13/100))-(Inputs!$B$12*(1+Inputs!$B$13/100)))+0.25*(Inputs!$B$14-Inputs!$B$14))*(1+Inputs!$B$7/100))*(F962/100)</f>
        <v/>
      </c>
      <c r="K962">
        <f>J962*(1+((Inputs!$B$12*(1+Inputs!$B$13/100))*0.01+Inputs!$B$14*0.0025)/100)*(1+Inputs!$B$15/100)*(1+IF(Inputs!$B$39="pvp",0,(1-Summary!$B$55)*(Inputs!$B$20+0+Skills!P16+B980)+Summary!$B$55*(Inputs!$B$21+Skills!Q16+B980))/100)*(1+Inputs!$B$16/100)*(5000/(6000+Inputs!$B$43*(1-Inputs!$B$19/100)))*(1+(Inputs!$B$24+((C976=TRUE)*(F976-Calc!F30)))/100)*(1+(IF(Skills!A16="CRUEL_STAB",Inputs!$B$17+((C973=TRUE)*(F973-Calc!F27)),Inputs!$B$18+((C974=TRUE)*(F974-Calc!F28))))/100)*(((1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B981*I962)</f>
        <v/>
      </c>
      <c r="L962">
        <f>K962*(MIN(Inputs!$B$22+((C970=TRUE)*(F970-Calc!F24)),Inputs!$B$23+((C975=TRUE)*(F975-Calc!F29)))/100+(Inputs!$B$23+((C975=TRUE)*(F975-Calc!F29)))/100)/2</f>
        <v/>
      </c>
      <c r="M962">
        <f>L962*(1+(Inputs!$B$10+((C972=TRUE)*(F972-Calc!F26))+B986)/100)</f>
        <v/>
      </c>
      <c r="N962">
        <f>L962*(1-MIN((Inputs!$B$9+((C971=TRUE)*(F971-Calc!F25))+B979),100)/100)+M962*(MIN((Inputs!$B$9+((C971=TRUE)*(F971-Calc!F25))+B979),100)/100)</f>
        <v/>
      </c>
      <c r="O962">
        <f>IF(C962,Inputs!$B$38*0.2*N962,0)</f>
        <v/>
      </c>
      <c r="P962">
        <f>IF(B991=0,0,O962/B991)</f>
        <v/>
      </c>
      <c r="Q962" t="n">
        <v>0</v>
      </c>
      <c r="R962" t="n">
        <v>0</v>
      </c>
      <c r="S962">
        <f>IFERROR(O962/N962,0)</f>
        <v/>
      </c>
    </row>
    <row r="963">
      <c r="A963">
        <f>Skills!A17</f>
        <v/>
      </c>
      <c r="B963">
        <f>Skills!B17</f>
        <v/>
      </c>
      <c r="C963">
        <f>Inputs!$B$3&gt;=115</f>
        <v/>
      </c>
      <c r="D963">
        <f>IF(Skills!C17=1,60+Inputs!$B$25+Inputs!$B$29,IF(Skills!C17=2,90+Inputs!$B$26+Inputs!$B$29,IF(Skills!C17=3,120+Inputs!$B$27+Inputs!$B$29,MAX(0,(Inputs!$B$3-100)*3)+(Inputs!$B$28+1)+Inputs!$B$29)))</f>
        <v/>
      </c>
      <c r="E963">
        <f>INDEX(FactorTable!$B$2:$Y$301, MATCH(ROUND(MIN(300,MAX(1,D963)),0), FactorTable!$A$2:$A$301,0), Skills!M17+1)</f>
        <v/>
      </c>
      <c r="F963">
        <f>IF(Skills!N17=TRUE,(Skills!L17/10)*(E963/1000),Skills!L17/10)+Skills!O17</f>
        <v/>
      </c>
      <c r="G963">
        <f>Skills!G17*IF(Skills!H17&gt;0,Skills!I17/Skills!H17,1)</f>
        <v/>
      </c>
      <c r="H963">
        <f>1-(1-Skills!J17/100)^Skills!K17</f>
        <v/>
      </c>
      <c r="I963" t="inlineStr">
        <is>
          <t>1</t>
        </is>
      </c>
      <c r="J963" t="inlineStr"/>
      <c r="K963" t="inlineStr"/>
      <c r="L963" t="inlineStr"/>
      <c r="M963" t="inlineStr"/>
      <c r="N963" t="inlineStr"/>
      <c r="O963" t="n">
        <v>0</v>
      </c>
      <c r="P963">
        <f>IF(B991=0,0,O963/B991)</f>
        <v/>
      </c>
      <c r="Q963" t="n">
        <v>0</v>
      </c>
      <c r="R963" t="n">
        <v>0</v>
      </c>
      <c r="S963">
        <f>IFERROR(O963/N963,0)</f>
        <v/>
      </c>
    </row>
    <row r="964">
      <c r="A964">
        <f>Skills!A18</f>
        <v/>
      </c>
      <c r="B964">
        <f>Skills!B18</f>
        <v/>
      </c>
      <c r="C964">
        <f>Inputs!$B$3&gt;=100</f>
        <v/>
      </c>
      <c r="D964">
        <f>IF(Skills!C18=1,60+Inputs!$B$25+Inputs!$B$29,IF(Skills!C18=2,90+Inputs!$B$26+Inputs!$B$29,IF(Skills!C18=3,120+Inputs!$B$27+Inputs!$B$29,MAX(0,(Inputs!$B$3-100)*3)+(Inputs!$B$28+1)+Inputs!$B$29)))</f>
        <v/>
      </c>
      <c r="E964">
        <f>INDEX(FactorTable!$B$2:$Y$301, MATCH(ROUND(MIN(300,MAX(1,D964)),0), FactorTable!$A$2:$A$301,0), Skills!M18+1)</f>
        <v/>
      </c>
      <c r="F964">
        <f>IF(Skills!N18=TRUE,(Skills!L18/10)*(E964/1000),Skills!L18/10)+Skills!O18</f>
        <v/>
      </c>
      <c r="G964">
        <f>Skills!G18*IF(Skills!H18&gt;0,Skills!I18/Skills!H18,1)</f>
        <v/>
      </c>
      <c r="H964">
        <f>1-(1-Skills!J18/100)^Skills!K18</f>
        <v/>
      </c>
      <c r="I964" t="inlineStr">
        <is>
          <t>1</t>
        </is>
      </c>
      <c r="J964" t="inlineStr"/>
      <c r="K964" t="inlineStr"/>
      <c r="L964" t="inlineStr"/>
      <c r="M964" t="inlineStr"/>
      <c r="N964" t="inlineStr"/>
      <c r="O964" t="n">
        <v>0</v>
      </c>
      <c r="P964">
        <f>IF(B991=0,0,O964/B991)</f>
        <v/>
      </c>
      <c r="Q964" t="n">
        <v>0</v>
      </c>
      <c r="R964" t="n">
        <v>0</v>
      </c>
      <c r="S964">
        <f>IFERROR(O964/N964,0)</f>
        <v/>
      </c>
    </row>
    <row r="965">
      <c r="A965">
        <f>Skills!A19</f>
        <v/>
      </c>
      <c r="B965">
        <f>Skills!B19</f>
        <v/>
      </c>
      <c r="C965">
        <f>TRUE</f>
        <v/>
      </c>
      <c r="D965">
        <f>IF(Skills!C19=1,60+Inputs!$B$25+Inputs!$B$29,IF(Skills!C19=2,90+Inputs!$B$26+Inputs!$B$29,IF(Skills!C19=3,120+Inputs!$B$27+Inputs!$B$29,MAX(0,(Inputs!$B$3-100)*3)+(Inputs!$B$28+1)+Inputs!$B$29)))</f>
        <v/>
      </c>
      <c r="E965">
        <f>INDEX(FactorTable!$B$2:$Y$301, MATCH(ROUND(MIN(300,MAX(1,D965)),0), FactorTable!$A$2:$A$301,0), Skills!M19+1)</f>
        <v/>
      </c>
      <c r="F965">
        <f>IF(Skills!N19=TRUE,(Skills!L19/10)*(E965/1000),Skills!L19/10)+Skills!O19</f>
        <v/>
      </c>
      <c r="G965">
        <f>Skills!G19*IF(Skills!H19&gt;0,Skills!I19/Skills!H19,1)</f>
        <v/>
      </c>
      <c r="H965">
        <f>1-(1-Skills!J19/100)^Skills!K19</f>
        <v/>
      </c>
      <c r="I965" t="inlineStr">
        <is>
          <t>1</t>
        </is>
      </c>
      <c r="J965" t="inlineStr"/>
      <c r="K965" t="inlineStr"/>
      <c r="L965" t="inlineStr"/>
      <c r="M965" t="inlineStr"/>
      <c r="N965" t="inlineStr"/>
      <c r="O965" t="n">
        <v>0</v>
      </c>
      <c r="P965">
        <f>IF(B991=0,0,O965/B991)</f>
        <v/>
      </c>
      <c r="Q965">
        <f>IFERROR(1/IF(Inputs!$B$39="pvp",15,MAX(0.1,Skills!D19-IF(Skills!E19=TRUE,Inputs!$B$32,0))),0)</f>
        <v/>
      </c>
      <c r="R965">
        <f>IF(AND(Inputs!$B$39&lt;&gt;"pvp",Inputs!$B$44&gt;0),IF(Inputs!$B$44&lt;=0,0,(INT(Inputs!$B$44/IF(Inputs!$B$39="pvp",15,MAX(0.1,Skills!D19-IF(Skills!E19=TRUE,Inputs!$B$32,0))))+1)),0)</f>
        <v/>
      </c>
      <c r="S965">
        <f>IFERROR(O965/N965,0)</f>
        <v/>
      </c>
    </row>
    <row r="966">
      <c r="A966">
        <f>Skills!A20</f>
        <v/>
      </c>
      <c r="B966">
        <f>Skills!B20</f>
        <v/>
      </c>
      <c r="C966">
        <f>Inputs!$B$3&gt;=15</f>
        <v/>
      </c>
      <c r="D966">
        <f>IF(Skills!C20=1,60+Inputs!$B$25+Inputs!$B$29,IF(Skills!C20=2,90+Inputs!$B$26+Inputs!$B$29,IF(Skills!C20=3,120+Inputs!$B$27+Inputs!$B$29,MAX(0,(Inputs!$B$3-100)*3)+(Inputs!$B$28+1)+Inputs!$B$29)))</f>
        <v/>
      </c>
      <c r="E966">
        <f>INDEX(FactorTable!$B$2:$Y$301, MATCH(ROUND(MIN(300,MAX(1,D966)),0), FactorTable!$A$2:$A$301,0), Skills!M20+1)</f>
        <v/>
      </c>
      <c r="F966">
        <f>IF(Skills!N20=TRUE,(Skills!L20/10)*(E966/1000),Skills!L20/10)+Skills!O20</f>
        <v/>
      </c>
      <c r="G966">
        <f>Skills!G20*IF(Skills!H20&gt;0,Skills!I20/Skills!H20,1)</f>
        <v/>
      </c>
      <c r="H966">
        <f>1-(1-Skills!J20/100)^Skills!K20</f>
        <v/>
      </c>
      <c r="I966" t="inlineStr">
        <is>
          <t>1</t>
        </is>
      </c>
      <c r="J966" t="inlineStr"/>
      <c r="K966" t="inlineStr"/>
      <c r="L966" t="inlineStr"/>
      <c r="M966" t="inlineStr"/>
      <c r="N966" t="inlineStr"/>
      <c r="O966" t="n">
        <v>0</v>
      </c>
      <c r="P966">
        <f>IF(B991=0,0,O966/B991)</f>
        <v/>
      </c>
      <c r="Q966">
        <f>IFERROR(1/IF(Inputs!$B$39="pvp",15,MAX(0.1,Skills!D20-IF(Skills!E20=TRUE,Inputs!$B$32,0))),0)</f>
        <v/>
      </c>
      <c r="R966">
        <f>IF(AND(Inputs!$B$39&lt;&gt;"pvp",Inputs!$B$44&gt;0),IF(Inputs!$B$44&lt;=0,0,(INT(Inputs!$B$44/IF(Inputs!$B$39="pvp",15,MAX(0.1,Skills!D20-IF(Skills!E20=TRUE,Inputs!$B$32,0))))+1)),0)</f>
        <v/>
      </c>
      <c r="S966">
        <f>IFERROR(O966/N966,0)</f>
        <v/>
      </c>
    </row>
    <row r="967">
      <c r="A967">
        <f>Skills!A21</f>
        <v/>
      </c>
      <c r="B967">
        <f>Skills!B21</f>
        <v/>
      </c>
      <c r="C967">
        <f>Inputs!$B$3&gt;=15</f>
        <v/>
      </c>
      <c r="D967">
        <f>IF(Skills!C21=1,60+Inputs!$B$25+Inputs!$B$29,IF(Skills!C21=2,90+Inputs!$B$26+Inputs!$B$29,IF(Skills!C21=3,120+Inputs!$B$27+Inputs!$B$29,MAX(0,(Inputs!$B$3-100)*3)+(Inputs!$B$28+1)+Inputs!$B$29)))</f>
        <v/>
      </c>
      <c r="E967">
        <f>INDEX(FactorTable!$B$2:$Y$301, MATCH(ROUND(MIN(300,MAX(1,D967)),0), FactorTable!$A$2:$A$301,0), Skills!M21+1)</f>
        <v/>
      </c>
      <c r="F967">
        <f>IF(Skills!N21=TRUE,(Skills!L21/10)*(E967/1000),Skills!L21/10)+Skills!O21</f>
        <v/>
      </c>
      <c r="G967">
        <f>Skills!G21*IF(Skills!H21&gt;0,Skills!I21/Skills!H21,1)</f>
        <v/>
      </c>
      <c r="H967">
        <f>1-(1-Skills!J21/100)^Skills!K21</f>
        <v/>
      </c>
      <c r="I967" t="inlineStr">
        <is>
          <t>1</t>
        </is>
      </c>
      <c r="J967" t="inlineStr"/>
      <c r="K967" t="inlineStr"/>
      <c r="L967" t="inlineStr"/>
      <c r="M967" t="inlineStr"/>
      <c r="N967" t="inlineStr"/>
      <c r="O967" t="n">
        <v>0</v>
      </c>
      <c r="P967">
        <f>IF(B991=0,0,O967/B991)</f>
        <v/>
      </c>
      <c r="Q967">
        <f>IFERROR(1/IF(Inputs!$B$39="pvp",15,MAX(0.1,Skills!D21-IF(Skills!E21=TRUE,Inputs!$B$32,0))),0)</f>
        <v/>
      </c>
      <c r="R967">
        <f>IF(AND(Inputs!$B$39&lt;&gt;"pvp",Inputs!$B$44&gt;0),IF(Inputs!$B$44&lt;=0,0,(INT(Inputs!$B$44/IF(Inputs!$B$39="pvp",15,MAX(0.1,Skills!D21-IF(Skills!E21=TRUE,Inputs!$B$32,0))))+1)),0)</f>
        <v/>
      </c>
      <c r="S967">
        <f>IFERROR(O967/N967,0)</f>
        <v/>
      </c>
    </row>
    <row r="968">
      <c r="A968">
        <f>Skills!A22</f>
        <v/>
      </c>
      <c r="B968">
        <f>Skills!B22</f>
        <v/>
      </c>
      <c r="C968">
        <f>Inputs!$B$3&gt;=33</f>
        <v/>
      </c>
      <c r="D968">
        <f>IF(Skills!C22=1,60+Inputs!$B$25+Inputs!$B$29,IF(Skills!C22=2,90+Inputs!$B$26+Inputs!$B$29,IF(Skills!C22=3,120+Inputs!$B$27+Inputs!$B$29,MAX(0,(Inputs!$B$3-100)*3)+(Inputs!$B$28+1)+Inputs!$B$29)))</f>
        <v/>
      </c>
      <c r="E968">
        <f>INDEX(FactorTable!$B$2:$Y$301, MATCH(ROUND(MIN(300,MAX(1,D968)),0), FactorTable!$A$2:$A$301,0), Skills!M22+1)</f>
        <v/>
      </c>
      <c r="F968">
        <f>IF(Skills!N22=TRUE,(Skills!L22/10)*(E968/1000),Skills!L22/10)+Skills!O22</f>
        <v/>
      </c>
      <c r="G968">
        <f>Skills!G22*IF(Skills!H22&gt;0,Skills!I22/Skills!H22,1)</f>
        <v/>
      </c>
      <c r="H968">
        <f>1-(1-Skills!J22/100)^Skills!K22</f>
        <v/>
      </c>
      <c r="I968" t="inlineStr">
        <is>
          <t>1</t>
        </is>
      </c>
      <c r="J968" t="inlineStr"/>
      <c r="K968" t="inlineStr"/>
      <c r="L968" t="inlineStr"/>
      <c r="M968" t="inlineStr"/>
      <c r="N968" t="inlineStr"/>
      <c r="O968" t="n">
        <v>0</v>
      </c>
      <c r="P968">
        <f>IF(B991=0,0,O968/B991)</f>
        <v/>
      </c>
      <c r="Q968" t="n">
        <v>0</v>
      </c>
      <c r="R968" t="n">
        <v>0</v>
      </c>
      <c r="S968">
        <f>IFERROR(O968/N968,0)</f>
        <v/>
      </c>
    </row>
    <row r="969">
      <c r="A969">
        <f>Skills!A23</f>
        <v/>
      </c>
      <c r="B969">
        <f>Skills!B23</f>
        <v/>
      </c>
      <c r="C969">
        <f>Inputs!$B$3&gt;=40</f>
        <v/>
      </c>
      <c r="D969">
        <f>IF(Skills!C23=1,60+Inputs!$B$25+Inputs!$B$29,IF(Skills!C23=2,90+Inputs!$B$26+Inputs!$B$29,IF(Skills!C23=3,120+Inputs!$B$27+Inputs!$B$29,MAX(0,(Inputs!$B$3-100)*3)+(Inputs!$B$28+1)+Inputs!$B$29)))</f>
        <v/>
      </c>
      <c r="E969">
        <f>INDEX(FactorTable!$B$2:$Y$301, MATCH(ROUND(MIN(300,MAX(1,D969)),0), FactorTable!$A$2:$A$301,0), Skills!M23+1)</f>
        <v/>
      </c>
      <c r="F969">
        <f>IF(Skills!N23=TRUE,(Skills!L23/10)*(E969/1000),Skills!L23/10)+Skills!O23</f>
        <v/>
      </c>
      <c r="G969">
        <f>Skills!G23*IF(Skills!H23&gt;0,Skills!I23/Skills!H23,1)</f>
        <v/>
      </c>
      <c r="H969">
        <f>1-(1-Skills!J23/100)^Skills!K23</f>
        <v/>
      </c>
      <c r="I969" t="inlineStr">
        <is>
          <t>1</t>
        </is>
      </c>
      <c r="J969" t="inlineStr"/>
      <c r="K969" t="inlineStr"/>
      <c r="L969" t="inlineStr"/>
      <c r="M969" t="inlineStr"/>
      <c r="N969" t="inlineStr"/>
      <c r="O969" t="n">
        <v>0</v>
      </c>
      <c r="P969">
        <f>IF(B991=0,0,O969/B991)</f>
        <v/>
      </c>
      <c r="Q969" t="n">
        <v>0</v>
      </c>
      <c r="R969" t="n">
        <v>0</v>
      </c>
      <c r="S969">
        <f>IFERROR(O969/N969,0)</f>
        <v/>
      </c>
    </row>
    <row r="970">
      <c r="A970">
        <f>Skills!A24</f>
        <v/>
      </c>
      <c r="B970">
        <f>Skills!B24</f>
        <v/>
      </c>
      <c r="C970">
        <f>Inputs!$B$3&gt;=43</f>
        <v/>
      </c>
      <c r="D970">
        <f>IF(Skills!C24=1,60+Inputs!$B$25+Inputs!$B$29,IF(Skills!C24=2,90+Inputs!$B$26+Inputs!$B$29,IF(Skills!C24=3,120+Inputs!$B$27+Inputs!$B$29,MAX(0,(Inputs!$B$3-100)*3)+(Inputs!$B$28+1)+Inputs!$B$29)))</f>
        <v/>
      </c>
      <c r="E970">
        <f>INDEX(FactorTable!$B$2:$Y$301, MATCH(ROUND(MIN(300,MAX(1,D970)),0), FactorTable!$A$2:$A$301,0), Skills!M24+1)</f>
        <v/>
      </c>
      <c r="F970">
        <f>IF(Skills!N24=TRUE,(Skills!L24/10)*(E970/1000),Skills!L24/10)+Skills!O24</f>
        <v/>
      </c>
      <c r="G970">
        <f>Skills!G24*IF(Skills!H24&gt;0,Skills!I24/Skills!H24,1)</f>
        <v/>
      </c>
      <c r="H970">
        <f>1-(1-Skills!J24/100)^Skills!K24</f>
        <v/>
      </c>
      <c r="I970" t="inlineStr">
        <is>
          <t>1</t>
        </is>
      </c>
      <c r="J970" t="inlineStr"/>
      <c r="K970" t="inlineStr"/>
      <c r="L970" t="inlineStr"/>
      <c r="M970" t="inlineStr"/>
      <c r="N970" t="inlineStr"/>
      <c r="O970" t="n">
        <v>0</v>
      </c>
      <c r="P970">
        <f>IF(B991=0,0,O970/B991)</f>
        <v/>
      </c>
      <c r="Q970" t="n">
        <v>0</v>
      </c>
      <c r="R970" t="n">
        <v>0</v>
      </c>
      <c r="S970">
        <f>IFERROR(O970/N970,0)</f>
        <v/>
      </c>
    </row>
    <row r="971">
      <c r="A971">
        <f>Skills!A25</f>
        <v/>
      </c>
      <c r="B971">
        <f>Skills!B25</f>
        <v/>
      </c>
      <c r="C971">
        <f>Inputs!$B$3&gt;=50</f>
        <v/>
      </c>
      <c r="D971">
        <f>IF(Skills!C25=1,60+Inputs!$B$25+Inputs!$B$29,IF(Skills!C25=2,90+Inputs!$B$26+Inputs!$B$29,IF(Skills!C25=3,120+Inputs!$B$27+Inputs!$B$29,MAX(0,(Inputs!$B$3-100)*3)+(Inputs!$B$28+1)+Inputs!$B$29)))</f>
        <v/>
      </c>
      <c r="E971">
        <f>INDEX(FactorTable!$B$2:$Y$301, MATCH(ROUND(MIN(300,MAX(1,D971)),0), FactorTable!$A$2:$A$301,0), Skills!M25+1)</f>
        <v/>
      </c>
      <c r="F971">
        <f>IF(Skills!N25=TRUE,(Skills!L25/10)*(E971/1000),Skills!L25/10)+Skills!O25</f>
        <v/>
      </c>
      <c r="G971">
        <f>Skills!G25*IF(Skills!H25&gt;0,Skills!I25/Skills!H25,1)</f>
        <v/>
      </c>
      <c r="H971">
        <f>1-(1-Skills!J25/100)^Skills!K25</f>
        <v/>
      </c>
      <c r="I971" t="inlineStr">
        <is>
          <t>1</t>
        </is>
      </c>
      <c r="J971" t="inlineStr"/>
      <c r="K971" t="inlineStr"/>
      <c r="L971" t="inlineStr"/>
      <c r="M971" t="inlineStr"/>
      <c r="N971" t="inlineStr"/>
      <c r="O971" t="n">
        <v>0</v>
      </c>
      <c r="P971">
        <f>IF(B991=0,0,O971/B991)</f>
        <v/>
      </c>
      <c r="Q971" t="n">
        <v>0</v>
      </c>
      <c r="R971" t="n">
        <v>0</v>
      </c>
      <c r="S971">
        <f>IFERROR(O971/N971,0)</f>
        <v/>
      </c>
    </row>
    <row r="972">
      <c r="A972">
        <f>Skills!A26</f>
        <v/>
      </c>
      <c r="B972">
        <f>Skills!B26</f>
        <v/>
      </c>
      <c r="C972">
        <f>Inputs!$B$3&gt;=50</f>
        <v/>
      </c>
      <c r="D972">
        <f>IF(Skills!C26=1,60+Inputs!$B$25+Inputs!$B$29,IF(Skills!C26=2,90+Inputs!$B$26+Inputs!$B$29,IF(Skills!C26=3,120+Inputs!$B$27+Inputs!$B$29,MAX(0,(Inputs!$B$3-100)*3)+(Inputs!$B$28+1)+Inputs!$B$29)))</f>
        <v/>
      </c>
      <c r="E972">
        <f>INDEX(FactorTable!$B$2:$Y$301, MATCH(ROUND(MIN(300,MAX(1,D972)),0), FactorTable!$A$2:$A$301,0), Skills!M26+1)</f>
        <v/>
      </c>
      <c r="F972">
        <f>IF(Skills!N26=TRUE,(Skills!L26/10)*(E972/1000),Skills!L26/10)+Skills!O26</f>
        <v/>
      </c>
      <c r="G972">
        <f>Skills!G26*IF(Skills!H26&gt;0,Skills!I26/Skills!H26,1)</f>
        <v/>
      </c>
      <c r="H972">
        <f>1-(1-Skills!J26/100)^Skills!K26</f>
        <v/>
      </c>
      <c r="I972" t="inlineStr">
        <is>
          <t>1</t>
        </is>
      </c>
      <c r="J972" t="inlineStr"/>
      <c r="K972" t="inlineStr"/>
      <c r="L972" t="inlineStr"/>
      <c r="M972" t="inlineStr"/>
      <c r="N972" t="inlineStr"/>
      <c r="O972" t="n">
        <v>0</v>
      </c>
      <c r="P972">
        <f>IF(B991=0,0,O972/B991)</f>
        <v/>
      </c>
      <c r="Q972" t="n">
        <v>0</v>
      </c>
      <c r="R972" t="n">
        <v>0</v>
      </c>
      <c r="S972">
        <f>IFERROR(O972/N972,0)</f>
        <v/>
      </c>
    </row>
    <row r="973">
      <c r="A973">
        <f>Skills!A27</f>
        <v/>
      </c>
      <c r="B973">
        <f>Skills!B27</f>
        <v/>
      </c>
      <c r="C973">
        <f>Inputs!$B$3&gt;=38</f>
        <v/>
      </c>
      <c r="D973">
        <f>IF(Skills!C27=1,60+Inputs!$B$25+Inputs!$B$29,IF(Skills!C27=2,90+Inputs!$B$26+Inputs!$B$29,IF(Skills!C27=3,120+Inputs!$B$27+Inputs!$B$29,MAX(0,(Inputs!$B$3-100)*3)+(Inputs!$B$28+1)+Inputs!$B$29)))</f>
        <v/>
      </c>
      <c r="E973">
        <f>INDEX(FactorTable!$B$2:$Y$301, MATCH(ROUND(MIN(300,MAX(1,D973)),0), FactorTable!$A$2:$A$301,0), Skills!M27+1)</f>
        <v/>
      </c>
      <c r="F973">
        <f>IF(Skills!N27=TRUE,(Skills!L27/10)*(E973/1000),Skills!L27/10)+Skills!O27</f>
        <v/>
      </c>
      <c r="G973">
        <f>Skills!G27*IF(Skills!H27&gt;0,Skills!I27/Skills!H27,1)</f>
        <v/>
      </c>
      <c r="H973">
        <f>1-(1-Skills!J27/100)^Skills!K27</f>
        <v/>
      </c>
      <c r="I973" t="inlineStr">
        <is>
          <t>1</t>
        </is>
      </c>
      <c r="J973" t="inlineStr"/>
      <c r="K973" t="inlineStr"/>
      <c r="L973" t="inlineStr"/>
      <c r="M973" t="inlineStr"/>
      <c r="N973" t="inlineStr"/>
      <c r="O973" t="n">
        <v>0</v>
      </c>
      <c r="P973">
        <f>IF(B991=0,0,O973/B991)</f>
        <v/>
      </c>
      <c r="Q973" t="n">
        <v>0</v>
      </c>
      <c r="R973" t="n">
        <v>0</v>
      </c>
      <c r="S973">
        <f>IFERROR(O973/N973,0)</f>
        <v/>
      </c>
    </row>
    <row r="974">
      <c r="A974">
        <f>Skills!A28</f>
        <v/>
      </c>
      <c r="B974">
        <f>Skills!B28</f>
        <v/>
      </c>
      <c r="C974">
        <f>Inputs!$B$3&gt;=120</f>
        <v/>
      </c>
      <c r="D974">
        <f>IF(Skills!C28=1,60+Inputs!$B$25+Inputs!$B$29,IF(Skills!C28=2,90+Inputs!$B$26+Inputs!$B$29,IF(Skills!C28=3,120+Inputs!$B$27+Inputs!$B$29,MAX(0,(Inputs!$B$3-100)*3)+(Inputs!$B$28+1)+Inputs!$B$29)))</f>
        <v/>
      </c>
      <c r="E974">
        <f>INDEX(FactorTable!$B$2:$Y$301, MATCH(ROUND(MIN(300,MAX(1,D974)),0), FactorTable!$A$2:$A$301,0), Skills!M28+1)</f>
        <v/>
      </c>
      <c r="F974">
        <f>IF(Skills!N28=TRUE,(Skills!L28/10)*(E974/1000),Skills!L28/10)+Skills!O28</f>
        <v/>
      </c>
      <c r="G974">
        <f>Skills!G28*IF(Skills!H28&gt;0,Skills!I28/Skills!H28,1)</f>
        <v/>
      </c>
      <c r="H974">
        <f>1-(1-Skills!J28/100)^Skills!K28</f>
        <v/>
      </c>
      <c r="I974" t="inlineStr">
        <is>
          <t>1</t>
        </is>
      </c>
      <c r="J974" t="inlineStr"/>
      <c r="K974" t="inlineStr"/>
      <c r="L974" t="inlineStr"/>
      <c r="M974" t="inlineStr"/>
      <c r="N974" t="inlineStr"/>
      <c r="O974" t="n">
        <v>0</v>
      </c>
      <c r="P974">
        <f>IF(B991=0,0,O974/B991)</f>
        <v/>
      </c>
      <c r="Q974" t="n">
        <v>0</v>
      </c>
      <c r="R974" t="n">
        <v>0</v>
      </c>
      <c r="S974">
        <f>IFERROR(O974/N974,0)</f>
        <v/>
      </c>
    </row>
    <row r="975">
      <c r="A975">
        <f>Skills!A29</f>
        <v/>
      </c>
      <c r="B975">
        <f>Skills!B29</f>
        <v/>
      </c>
      <c r="C975">
        <f>Inputs!$B$3&gt;=120</f>
        <v/>
      </c>
      <c r="D975">
        <f>IF(Skills!C29=1,60+Inputs!$B$25+Inputs!$B$29,IF(Skills!C29=2,90+Inputs!$B$26+Inputs!$B$29,IF(Skills!C29=3,120+Inputs!$B$27+Inputs!$B$29,MAX(0,(Inputs!$B$3-100)*3)+(Inputs!$B$28+1)+Inputs!$B$29)))</f>
        <v/>
      </c>
      <c r="E975">
        <f>INDEX(FactorTable!$B$2:$Y$301, MATCH(ROUND(MIN(300,MAX(1,D975)),0), FactorTable!$A$2:$A$301,0), Skills!M29+1)</f>
        <v/>
      </c>
      <c r="F975">
        <f>IF(Skills!N29=TRUE,(Skills!L29/10)*(E975/1000),Skills!L29/10)+Skills!O29</f>
        <v/>
      </c>
      <c r="G975">
        <f>Skills!G29*IF(Skills!H29&gt;0,Skills!I29/Skills!H29,1)</f>
        <v/>
      </c>
      <c r="H975">
        <f>1-(1-Skills!J29/100)^Skills!K29</f>
        <v/>
      </c>
      <c r="I975" t="inlineStr">
        <is>
          <t>1</t>
        </is>
      </c>
      <c r="J975" t="inlineStr"/>
      <c r="K975" t="inlineStr"/>
      <c r="L975" t="inlineStr"/>
      <c r="M975" t="inlineStr"/>
      <c r="N975" t="inlineStr"/>
      <c r="O975" t="n">
        <v>0</v>
      </c>
      <c r="P975">
        <f>IF(B991=0,0,O975/B991)</f>
        <v/>
      </c>
      <c r="Q975" t="n">
        <v>0</v>
      </c>
      <c r="R975" t="n">
        <v>0</v>
      </c>
      <c r="S975">
        <f>IFERROR(O975/N975,0)</f>
        <v/>
      </c>
    </row>
    <row r="976">
      <c r="A976">
        <f>Skills!A30</f>
        <v/>
      </c>
      <c r="B976">
        <f>Skills!B30</f>
        <v/>
      </c>
      <c r="C976">
        <f>Inputs!$B$3&gt;=125</f>
        <v/>
      </c>
      <c r="D976">
        <f>IF(Skills!C30=1,60+Inputs!$B$25+Inputs!$B$29,IF(Skills!C30=2,90+Inputs!$B$26+Inputs!$B$29,IF(Skills!C30=3,120+Inputs!$B$27+Inputs!$B$29,MAX(0,(Inputs!$B$3-100)*3)+(Inputs!$B$28+1)+Inputs!$B$29)))</f>
        <v/>
      </c>
      <c r="E976">
        <f>INDEX(FactorTable!$B$2:$Y$301, MATCH(ROUND(MIN(300,MAX(1,D976)),0), FactorTable!$A$2:$A$301,0), Skills!M30+1)</f>
        <v/>
      </c>
      <c r="F976">
        <f>IF(Skills!N30=TRUE,(Skills!L30/10)*(E976/1000),Skills!L30/10)+Skills!O30</f>
        <v/>
      </c>
      <c r="G976">
        <f>Skills!G30*IF(Skills!H30&gt;0,Skills!I30/Skills!H30,1)</f>
        <v/>
      </c>
      <c r="H976">
        <f>1-(1-Skills!J30/100)^Skills!K30</f>
        <v/>
      </c>
      <c r="I976" t="inlineStr">
        <is>
          <t>1</t>
        </is>
      </c>
      <c r="J976" t="inlineStr"/>
      <c r="K976" t="inlineStr"/>
      <c r="L976" t="inlineStr"/>
      <c r="M976" t="inlineStr"/>
      <c r="N976" t="inlineStr"/>
      <c r="O976" t="n">
        <v>0</v>
      </c>
      <c r="P976">
        <f>IF(B991=0,0,O976/B991)</f>
        <v/>
      </c>
      <c r="Q976" t="n">
        <v>0</v>
      </c>
      <c r="R976" t="n">
        <v>0</v>
      </c>
      <c r="S976">
        <f>IFERROR(O976/N976,0)</f>
        <v/>
      </c>
    </row>
    <row r="978">
      <c r="A978" t="inlineStr">
        <is>
          <t>Average Buff Multiplier</t>
        </is>
      </c>
      <c r="B978">
        <f>(1+(((C967=TRUE)*F967*IF(AND(Inputs!$B$39&lt;&gt;"pvp",Inputs!$B$44&gt;0),(((R967-1)*(Skills!Y21*(1+Inputs!$B$34/100))+MIN((Skills!Y21*(1+Inputs!$B$34/100)),MAX(0,Inputs!$B$44-((R967-1)*Skills!D21))))/Inputs!$B$44),IF(Inputs!$B$39="pvp",MIN((Skills!Y21*(1+Inputs!$B$34/100)),15)/15,(Skills!Y21*(1+Inputs!$B$34/100))/Skills!D21)))+((C969=TRUE)*(F969-Calc!F23))+((C963=TRUE)*(F963-Calc!F17)))/100)*(1+((C956=TRUE)*F956*IF(AND(Inputs!$B$39&lt;&gt;"pvp",Inputs!$B$44&gt;0),(((R956-1)*(Skills!Y10*(1+Inputs!$B$34/100))+MIN((Skills!Y10*(1+Inputs!$B$34/100)),MAX(0,Inputs!$B$44-((R956-1)*Skills!D10))))/Inputs!$B$44),IF(Inputs!$B$39="pvp",MIN((Skills!Y10*(1+Inputs!$B$34/100)),15)/15,(Skills!Y10*(1+Inputs!$B$34/100))/Skills!D10)))/100)*(1+((C961=TRUE)*F961*IF(AND(Inputs!$B$39&lt;&gt;"pvp",Inputs!$B$44&gt;0),(((R961-1)*(Skills!Y15*(1+Inputs!$B$34/100))+MIN((Skills!Y15*(1+Inputs!$B$34/100)),MAX(0,Inputs!$B$44-((R961-1)*Skills!D15))))/Inputs!$B$44),IF(Inputs!$B$39="pvp",MIN((Skills!Y15*(1+Inputs!$B$34/100)),15)/15,(Skills!Y15*(1+Inputs!$B$34/100))/Skills!D15)))/100)</f>
        <v/>
      </c>
    </row>
    <row r="979">
      <c r="A979" t="inlineStr">
        <is>
          <t>Global Crit Rate Bonus %</t>
        </is>
      </c>
      <c r="B979">
        <f>((C966=TRUE)*F966*IF(AND(Inputs!$B$39&lt;&gt;"pvp",Inputs!$B$44&gt;0),(((R966-1)*(Skills!Y20*(1+Inputs!$B$34/100))+MIN((Skills!Y20*(1+Inputs!$B$34/100)),MAX(0,Inputs!$B$44-((R966-1)*Skills!D20))))/Inputs!$B$44),IF(Inputs!$B$39="pvp",MIN((Skills!Y20*(1+Inputs!$B$34/100)),15)/15,(Skills!Y20*(1+Inputs!$B$34/100))/Skills!D20)))</f>
        <v/>
      </c>
    </row>
    <row r="980">
      <c r="A980" t="inlineStr">
        <is>
          <t>Global Monster Damage-Taken Bonus %</t>
        </is>
      </c>
      <c r="B980">
        <f>IF(Inputs!$B$3&gt;=82,15,0)</f>
        <v/>
      </c>
    </row>
    <row r="981">
      <c r="A981" t="inlineStr">
        <is>
          <t>Shadow Partner Average Multiplier</t>
        </is>
      </c>
      <c r="B981">
        <f>1+((C953=TRUE)*F953*(1+3.3333333333333335*IF(C964=TRUE,F964,0)/100)*I953*Skills!J7/100)/100</f>
        <v/>
      </c>
    </row>
    <row r="982">
      <c r="A982" t="inlineStr">
        <is>
          <t>Attack Speed Buff Bonus %</t>
        </is>
      </c>
      <c r="B982">
        <f>((C965=TRUE)*F965*IF(AND(Inputs!$B$39&lt;&gt;"pvp",Inputs!$B$44&gt;0),(((R965-1)*(Skills!Y19*(1+Inputs!$B$34/100))+MIN((Skills!Y19*(1+Inputs!$B$34/100)),MAX(0,Inputs!$B$44-((R965-1)*Skills!D19))))/Inputs!$B$44),IF(Inputs!$B$39="pvp",MIN((Skills!Y19*(1+Inputs!$B$34/100)),15)/15,(Skills!Y19*(1+Inputs!$B$34/100))/Skills!D19)))+((C949=TRUE)*F949*3)</f>
        <v/>
      </c>
    </row>
    <row r="983">
      <c r="A983" t="inlineStr">
        <is>
          <t>Actions Per Second</t>
        </is>
      </c>
      <c r="B983">
        <f>1+MIN(150,150*(1-(1-(Inputs!$B$11+((C968=TRUE)*(F968-Calc!F22)))/150)*(1-B982/150)))/100</f>
        <v/>
      </c>
    </row>
    <row r="984">
      <c r="A984" t="inlineStr">
        <is>
          <t>Skill + Buff Cast Rate</t>
        </is>
      </c>
      <c r="B984">
        <f>IF(AND(Inputs!$B$39&lt;&gt;"pvp",Inputs!$B$44&gt;0),SUMPRODUCT((Skills!E2:E30=TRUE)*(C948:C976=TRUE)*R948:R976*Skills!F2:F30)/Inputs!$B$44,SUMPRODUCT((Skills!E2:E30=TRUE)*(C948:C976=TRUE)*Q948:Q976*Skills!F2:F30))</f>
        <v/>
      </c>
    </row>
    <row r="985">
      <c r="A985" t="inlineStr">
        <is>
          <t>Cruel Stab Casts Per Second</t>
        </is>
      </c>
      <c r="B985">
        <f>MAX(0,B983-B984)</f>
        <v/>
      </c>
    </row>
    <row r="986">
      <c r="A986" t="inlineStr">
        <is>
          <t>Global Critical Damage Bonus % (Smokescreen Mastery Lv.113)</t>
        </is>
      </c>
      <c r="B986">
        <f>IF(Inputs!$B$3&gt;=113,30,0)*IF(AND(Inputs!$B$39&lt;&gt;"pvp",Inputs!$B$44&gt;0),(((R961-1)*(Skills!Y15*(1+Inputs!$B$34/100))+MIN((Skills!Y15*(1+Inputs!$B$34/100)),MAX(0,Inputs!$B$44-((R961-1)*Skills!D15))))/Inputs!$B$44),IF(Inputs!$B$39="pvp",MIN((Skills!Y15*(1+Inputs!$B$34/100)),15)/15,(Skills!Y15*(1+Inputs!$B$34/100))/Skills!D15))</f>
        <v/>
      </c>
    </row>
    <row r="987">
      <c r="A987" t="inlineStr">
        <is>
          <t>Meso Explosion average stack count</t>
        </is>
      </c>
      <c r="B987">
        <f>MIN(10,0.5*B983*Skills!D4)</f>
        <v/>
      </c>
    </row>
    <row r="988">
      <c r="A988" t="inlineStr">
        <is>
          <t>Blood Money average stack count</t>
        </is>
      </c>
      <c r="B988">
        <f>MIN(5,0.25*B983*Skills!D4)</f>
        <v/>
      </c>
    </row>
    <row r="989">
      <c r="A989" t="inlineStr">
        <is>
          <t>Assassinate Murderous Intent Multiplier</t>
        </is>
      </c>
      <c r="B989">
        <f>1+IFERROR(MIN(1,Q960*2/Q957),0)</f>
        <v/>
      </c>
    </row>
    <row r="990">
      <c r="A990" t="inlineStr">
        <is>
          <t>Buff-Casting Startup Delay (s, fixed-duration only)</t>
        </is>
      </c>
      <c r="B990">
        <f>IF(AND(Inputs!$B$39&lt;&gt;"pvp",Inputs!$B$44&gt;0),SUMPRODUCT((Skills!Y2:Y30&gt;0)*(Skills!E2:E30=TRUE)*(C948:C976=TRUE))/B983,0)</f>
        <v/>
      </c>
    </row>
    <row r="991">
      <c r="A991" s="5" t="inlineStr">
        <is>
          <t>TOTAL DPS</t>
        </is>
      </c>
      <c r="B991" s="5">
        <f>SUM(O948:O976)</f>
        <v/>
      </c>
    </row>
    <row r="994">
      <c r="A994" s="5" t="inlineStr">
        <is>
          <t>Stat: Skill Level Bonus — All Skills</t>
        </is>
      </c>
    </row>
    <row r="995">
      <c r="A995" s="9" t="inlineStr">
        <is>
          <t>Key</t>
        </is>
      </c>
      <c r="B995" s="9" t="inlineStr">
        <is>
          <t>Name</t>
        </is>
      </c>
      <c r="C995" s="9" t="inlineStr">
        <is>
          <t>Unlocked</t>
        </is>
      </c>
      <c r="D995" s="9" t="inlineStr">
        <is>
          <t>InputLevel</t>
        </is>
      </c>
      <c r="E995" s="9" t="inlineStr">
        <is>
          <t>Factor</t>
        </is>
      </c>
      <c r="F995" s="9" t="inlineStr">
        <is>
          <t>CoefficientPercent</t>
        </is>
      </c>
      <c r="G995" s="9" t="inlineStr">
        <is>
          <t>EffectiveHits</t>
        </is>
      </c>
      <c r="H995" s="9" t="inlineStr">
        <is>
          <t>ProcProbability</t>
        </is>
      </c>
      <c r="I995" s="9" t="inlineStr">
        <is>
          <t>MapleHeroMultiplier</t>
        </is>
      </c>
      <c r="J995" s="9" t="inlineStr">
        <is>
          <t>BaseDamage</t>
        </is>
      </c>
      <c r="K995" s="9" t="inlineStr">
        <is>
          <t>BaseHitDamage</t>
        </is>
      </c>
      <c r="L995" s="9" t="inlineStr">
        <is>
          <t>NonCritAvg</t>
        </is>
      </c>
      <c r="M995" s="9" t="inlineStr">
        <is>
          <t>CritAvg</t>
        </is>
      </c>
      <c r="N995" s="9" t="inlineStr">
        <is>
          <t>ExpectedDamage(perHit)</t>
        </is>
      </c>
      <c r="O995" s="9" t="inlineStr">
        <is>
          <t>DPS</t>
        </is>
      </c>
      <c r="P995" s="9" t="inlineStr">
        <is>
          <t>% of Total</t>
        </is>
      </c>
      <c r="Q995" s="9" t="inlineStr">
        <is>
          <t>InvCooldown</t>
        </is>
      </c>
      <c r="R995" s="9" t="inlineStr">
        <is>
          <t>CastsInFight</t>
        </is>
      </c>
      <c r="S995" s="9" t="inlineStr">
        <is>
          <t>HitRate(perSec)</t>
        </is>
      </c>
      <c r="U995" t="inlineStr">
        <is>
          <t>helpers</t>
        </is>
      </c>
    </row>
    <row r="996">
      <c r="A996">
        <f>Skills!A2</f>
        <v/>
      </c>
      <c r="B996">
        <f>Skills!B2</f>
        <v/>
      </c>
      <c r="C996">
        <f>Inputs!$B$3&gt;=100</f>
        <v/>
      </c>
      <c r="D996" t="inlineStr"/>
      <c r="E996" t="inlineStr"/>
      <c r="F996">
        <f>U998+Skills!O2</f>
        <v/>
      </c>
      <c r="G996">
        <f>Skills!G2*IF(Skills!H2&gt;0,Skills!I2/Skills!H2,1)</f>
        <v/>
      </c>
      <c r="H996">
        <f>1-(1-Skills!J2/100)^Skills!K2</f>
        <v/>
      </c>
      <c r="I996" t="inlineStr">
        <is>
          <t>1</t>
        </is>
      </c>
      <c r="J996">
        <f>((Inputs!$B$6*(1+Inputs!$B$7/100))+(((Inputs!$B$12*(1+Inputs!$B$13/100))-(Inputs!$B$12*(1+Inputs!$B$13/100)))+0.25*(Inputs!$B$14-Inputs!$B$14))*(1+Inputs!$B$7/100))*(F996/100)</f>
        <v/>
      </c>
      <c r="K996">
        <f>J996*(1+((Inputs!$B$12*(1+Inputs!$B$13/100))*0.01+Inputs!$B$14*0.0025)/100)*(1+Inputs!$B$15/100)*(1+IF(Inputs!$B$39="pvp",0,(1-Summary!$B$55)*(Inputs!$B$20+0+Skills!P2+B1028)+Summary!$B$55*(Inputs!$B$21+Skills!Q2+B1028))/100)*(1+Inputs!$B$16/100)*(5000/(6000+Inputs!$B$43*(1-Inputs!$B$19/100)))*(1+(Inputs!$B$24+((C1024=TRUE)*(F1024-Calc!F30)))/100)*(1+(IF(Skills!A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996)</f>
        <v/>
      </c>
      <c r="L996">
        <f>K996*(MIN(Inputs!$B$22+((C1018=TRUE)*(F1018-Calc!F24)),Inputs!$B$23+((C1023=TRUE)*(F1023-Calc!F29)))/100+(Inputs!$B$23+((C1023=TRUE)*(F1023-Calc!F29)))/100)/2</f>
        <v/>
      </c>
      <c r="M996">
        <f>L996*(1+(Inputs!$B$10+((C1020=TRUE)*(F1020-Calc!F26))+B1034)/100)</f>
        <v/>
      </c>
      <c r="N996">
        <f>L996*(1-MIN((Inputs!$B$9+((C1019=TRUE)*(F1019-Calc!F25))+B1027),100)/100)+M996*(MIN((Inputs!$B$9+((C1019=TRUE)*(F1019-Calc!F25))+B1027),100)/100)</f>
        <v/>
      </c>
      <c r="O996">
        <f>IF(C996,Skills!G2*N996*B1033*IF(Inputs!$B$39="pvp",1,(1-Summary!$B$55)*(1)+Summary!$B$55*(MIN((6+Inputs!$B$33),Inputs!$B$37))),0)</f>
        <v/>
      </c>
      <c r="P996">
        <f>IF(B1039=0,0,O996/B1039)</f>
        <v/>
      </c>
      <c r="Q996" t="n">
        <v>0</v>
      </c>
      <c r="R996" t="n">
        <v>0</v>
      </c>
      <c r="S996">
        <f>IFERROR(O996/N996,0)</f>
        <v/>
      </c>
      <c r="U996">
        <f>MAX(0,(Inputs!$B$3-100)*3)+Inputs!$B$28+(Inputs!$B$29+1)</f>
        <v/>
      </c>
    </row>
    <row r="997">
      <c r="A997">
        <f>Skills!A3</f>
        <v/>
      </c>
      <c r="B997">
        <f>Skills!B3</f>
        <v/>
      </c>
      <c r="C997">
        <f>Inputs!$B$3&gt;=35</f>
        <v/>
      </c>
      <c r="D997">
        <f>IF(Skills!C3=1,60+Inputs!$B$25+(Inputs!$B$29+1),IF(Skills!C3=2,90+Inputs!$B$26+(Inputs!$B$29+1),IF(Skills!C3=3,120+Inputs!$B$27+(Inputs!$B$29+1),MAX(0,(Inputs!$B$3-100)*3)+Inputs!$B$28+(Inputs!$B$29+1))))</f>
        <v/>
      </c>
      <c r="E997">
        <f>INDEX(FactorTable!$B$2:$Y$301, MATCH(ROUND(MIN(300,MAX(1,D997)),0), FactorTable!$A$2:$A$301,0), Skills!M3+1)</f>
        <v/>
      </c>
      <c r="F997">
        <f>IF(Skills!N3=TRUE,(Skills!L3/10)*(E997/1000),Skills!L3/10)+Skills!O3</f>
        <v/>
      </c>
      <c r="G997">
        <f>Skills!G3*IF(Skills!H3&gt;0,Skills!I3/Skills!H3,1)</f>
        <v/>
      </c>
      <c r="H997">
        <f>1-(1-Skills!J3/100)^Skills!K3</f>
        <v/>
      </c>
      <c r="I997" t="inlineStr">
        <is>
          <t>1</t>
        </is>
      </c>
      <c r="J997" t="inlineStr"/>
      <c r="K997" t="inlineStr"/>
      <c r="L997" t="inlineStr"/>
      <c r="M997" t="inlineStr"/>
      <c r="N997" t="inlineStr"/>
      <c r="O997" t="n">
        <v>0</v>
      </c>
      <c r="P997">
        <f>IF(B1039=0,0,O997/B1039)</f>
        <v/>
      </c>
      <c r="Q997" t="n">
        <v>0</v>
      </c>
      <c r="R997" t="n">
        <v>0</v>
      </c>
      <c r="S997">
        <f>IFERROR(O997/N997,0)</f>
        <v/>
      </c>
      <c r="U997">
        <f>INDEX(FactorTable!$B$2:$Y$301, MATCH(ROUND(MIN(300,MAX(1,U996)),0), FactorTable!$A$2:$A$301,0), 22)</f>
        <v/>
      </c>
    </row>
    <row r="998">
      <c r="A998">
        <f>Skills!A4</f>
        <v/>
      </c>
      <c r="B998">
        <f>Skills!B4</f>
        <v/>
      </c>
      <c r="C998">
        <f>Inputs!$B$3&gt;=66</f>
        <v/>
      </c>
      <c r="D998">
        <f>IF(Skills!C4=1,60+Inputs!$B$25+(Inputs!$B$29+1),IF(Skills!C4=2,90+Inputs!$B$26+(Inputs!$B$29+1),IF(Skills!C4=3,120+Inputs!$B$27+(Inputs!$B$29+1),MAX(0,(Inputs!$B$3-100)*3)+Inputs!$B$28+(Inputs!$B$29+1))))</f>
        <v/>
      </c>
      <c r="E998">
        <f>INDEX(FactorTable!$B$2:$Y$301, MATCH(ROUND(MIN(300,MAX(1,D998)),0), FactorTable!$A$2:$A$301,0), Skills!M4+1)</f>
        <v/>
      </c>
      <c r="F998">
        <f>IF(Skills!N4=TRUE,(Skills!L4/10)*(E998/1000),Skills!L4/10)+Skills!O4</f>
        <v/>
      </c>
      <c r="G998">
        <f>Skills!G4*IF(Skills!H4&gt;0,Skills!I4/Skills!H4,1)</f>
        <v/>
      </c>
      <c r="H998">
        <f>1-(1-Skills!J4/100)^Skills!K4</f>
        <v/>
      </c>
      <c r="I998" t="inlineStr">
        <is>
          <t>1</t>
        </is>
      </c>
      <c r="J998">
        <f>((Inputs!$B$6*(1+Inputs!$B$7/100))+(((Inputs!$B$12*(1+Inputs!$B$13/100))-(Inputs!$B$12*(1+Inputs!$B$13/100)))+0.25*(Inputs!$B$14-Inputs!$B$14))*(1+Inputs!$B$7/100))*(F998/100)</f>
        <v/>
      </c>
      <c r="K998">
        <f>J998*(1+((Inputs!$B$12*(1+Inputs!$B$13/100))*0.01+Inputs!$B$14*0.0025)/100)*(1+Inputs!$B$15/100)*(1+IF(Inputs!$B$39="pvp",0,(1-Summary!$B$55)*(Inputs!$B$20+0+Skills!P4+B1028)+Summary!$B$55*(Inputs!$B$21+Skills!Q4+B1028))/100)*(1+Inputs!$B$16/100)*(5000/(6000+Inputs!$B$43*(1-Inputs!$B$19/100)))*(1+(Inputs!$B$24+((C1024=TRUE)*(F1024-Calc!F30)))/100)*(1+(IF(Skills!A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998)</f>
        <v/>
      </c>
      <c r="L998">
        <f>K998*(MIN(Inputs!$B$22+((C1018=TRUE)*(F1018-Calc!F24)),Inputs!$B$23+((C1023=TRUE)*(F1023-Calc!F29)))/100+(Inputs!$B$23+((C1023=TRUE)*(F1023-Calc!F29)))/100)/2</f>
        <v/>
      </c>
      <c r="M998">
        <f>L998*(1+(Inputs!$B$10+((C1020=TRUE)*(F1020-Calc!F26))+B1034)/100)</f>
        <v/>
      </c>
      <c r="N998">
        <f>L998*(1-MIN((Inputs!$B$9+((C1019=TRUE)*(F1019-Calc!F25))+B1027),100)/100)+M998*(MIN((Inputs!$B$9+((C1019=TRUE)*(F1019-Calc!F25))+B1027),100)/100)</f>
        <v/>
      </c>
      <c r="O998">
        <f>IF(C998,H998*N998*IF(AND(Inputs!$B$39&lt;&gt;"pvp",Inputs!$B$44&gt;0),((Skills!G4*((R998-1)*IF(Skills!H4&gt;0,Skills!I4/Skills!H4,1)+IF(Skills!H4&gt;0,MIN(Skills!I4,MAX(0,MAX(0,Inputs!$B$44-B1038)-((R998-1)*IF(Inputs!$B$39="pvp",15,MAX(0.1,Skills!D4-IF(Skills!E4=TRUE,Inputs!$B$32,0))))))/Skills!H4,1)))/Inputs!$B$44),G998*Q998)*IF(Inputs!$B$39="pvp",1,(1-Summary!$B$55)*(1)+Summary!$B$55*(MIN(MIN(10,0.5*B1031*Skills!D4),Inputs!$B$37))),0)</f>
        <v/>
      </c>
      <c r="P998">
        <f>IF(B1039=0,0,O998/B1039)</f>
        <v/>
      </c>
      <c r="Q998">
        <f>IFERROR(1/IF(Inputs!$B$39="pvp",15,MAX(0.1,Skills!D4-IF(Skills!E4=TRUE,Inputs!$B$32,0))),0)</f>
        <v/>
      </c>
      <c r="R998">
        <f>IF(AND(Inputs!$B$39&lt;&gt;"pvp",Inputs!$B$44&gt;0),IF(MAX(0,Inputs!$B$44-B1038)&lt;=0,0,(INT(MAX(0,Inputs!$B$44-B1038)/IF(Inputs!$B$39="pvp",15,MAX(0.1,Skills!D4-IF(Skills!E4=TRUE,Inputs!$B$32,0))))+1)),0)</f>
        <v/>
      </c>
      <c r="S998">
        <f>IFERROR(O998/N998,0)</f>
        <v/>
      </c>
      <c r="U998">
        <f>290*U997/1000</f>
        <v/>
      </c>
    </row>
    <row r="999">
      <c r="A999">
        <f>Skills!A5</f>
        <v/>
      </c>
      <c r="B999">
        <f>Skills!B5</f>
        <v/>
      </c>
      <c r="C999">
        <f>Inputs!$B$3&gt;=63</f>
        <v/>
      </c>
      <c r="D999">
        <f>IF(Skills!C5=1,60+Inputs!$B$25+(Inputs!$B$29+1),IF(Skills!C5=2,90+Inputs!$B$26+(Inputs!$B$29+1),IF(Skills!C5=3,120+Inputs!$B$27+(Inputs!$B$29+1),MAX(0,(Inputs!$B$3-100)*3)+Inputs!$B$28+(Inputs!$B$29+1))))</f>
        <v/>
      </c>
      <c r="E999">
        <f>INDEX(FactorTable!$B$2:$Y$301, MATCH(ROUND(MIN(300,MAX(1,D999)),0), FactorTable!$A$2:$A$301,0), Skills!M5+1)</f>
        <v/>
      </c>
      <c r="F999">
        <f>IF(Skills!N5=TRUE,(Skills!L5/10)*(E999/1000),Skills!L5/10)+Skills!O5</f>
        <v/>
      </c>
      <c r="G999">
        <f>Skills!G5*IF(Skills!H5&gt;0,Skills!I5/Skills!H5,1)</f>
        <v/>
      </c>
      <c r="H999">
        <f>1-(1-Skills!J5/100)^Skills!K5</f>
        <v/>
      </c>
      <c r="I999" t="inlineStr">
        <is>
          <t>1</t>
        </is>
      </c>
      <c r="J999">
        <f>((Inputs!$B$6*(1+Inputs!$B$7/100))+(((Inputs!$B$12*(1+Inputs!$B$13/100))-(Inputs!$B$12*(1+Inputs!$B$13/100)))+0.25*(Inputs!$B$14-Inputs!$B$14))*(1+Inputs!$B$7/100))*(F999/100)</f>
        <v/>
      </c>
      <c r="K999">
        <f>J999*(1+((Inputs!$B$12*(1+Inputs!$B$13/100))*0.01+Inputs!$B$14*0.0025)/100)*(1+Inputs!$B$15/100)*(1+IF(Inputs!$B$39="pvp",0,(1-Summary!$B$55)*(Inputs!$B$20+0+Skills!P5+B1028)+Summary!$B$55*(Inputs!$B$21+Skills!Q5+B1028))/100)*(1+Inputs!$B$16/100)*(5000/(6000+Inputs!$B$43*(1-Inputs!$B$19/100)))*(1+(Inputs!$B$24+((C1024=TRUE)*(F1024-Calc!F30)))/100)*(1+2.6666666666666665*IF(C1012=TRUE,F1012,0)/100)*(1+(IF(Skills!A5="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999)</f>
        <v/>
      </c>
      <c r="L999">
        <f>K999*(MIN(Inputs!$B$22+((C1018=TRUE)*(F1018-Calc!F24)),Inputs!$B$23+((C1023=TRUE)*(F1023-Calc!F29)))/100+(Inputs!$B$23+((C1023=TRUE)*(F1023-Calc!F29)))/100)/2</f>
        <v/>
      </c>
      <c r="M999">
        <f>L999*(1+(Inputs!$B$10+((C1020=TRUE)*(F1020-Calc!F26))+B1034)/100)</f>
        <v/>
      </c>
      <c r="N999">
        <f>L999*(1-MIN((Inputs!$B$9+((C1019=TRUE)*(F1019-Calc!F25))+B1027),100)/100)+M999*(MIN((Inputs!$B$9+((C1019=TRUE)*(F1019-Calc!F25))+B1027),100)/100)</f>
        <v/>
      </c>
      <c r="O999">
        <f>IF(C999,H999*N999*IF(AND(Inputs!$B$39&lt;&gt;"pvp",Inputs!$B$44&gt;0),((Skills!G5*((R999-1)*IF(Skills!H5&gt;0,Skills!I5/Skills!H5,1)+IF(Skills!H5&gt;0,MIN(Skills!I5,MAX(0,MAX(0,Inputs!$B$44-B1038)-((R999-1)*IF(Inputs!$B$39="pvp",15,MAX(0.1,Skills!D5-IF(Skills!E5=TRUE,Inputs!$B$32,0))))))/Skills!H5,1)))/Inputs!$B$44),G999*Q999)*IF(Inputs!$B$39="pvp",1,(1-Summary!$B$55)*(1)+Summary!$B$55*(MIN(Skills!W5,Inputs!$B$37))),0)</f>
        <v/>
      </c>
      <c r="P999">
        <f>IF(B1039=0,0,O999/B1039)</f>
        <v/>
      </c>
      <c r="Q999">
        <f>IFERROR(1/IF(Inputs!$B$39="pvp",15,MAX(0.1,Skills!D5-IF(Skills!E5=TRUE,Inputs!$B$32,0))),0)</f>
        <v/>
      </c>
      <c r="R999">
        <f>IF(AND(Inputs!$B$39&lt;&gt;"pvp",Inputs!$B$44&gt;0),IF(MAX(0,Inputs!$B$44-B1038)&lt;=0,0,(INT(MAX(0,Inputs!$B$44-B1038)/IF(Inputs!$B$39="pvp",15,MAX(0.1,Skills!D5-IF(Skills!E5=TRUE,Inputs!$B$32,0))))+1)),0)</f>
        <v/>
      </c>
      <c r="S999">
        <f>IFERROR(O999/N999,0)</f>
        <v/>
      </c>
    </row>
    <row r="1000">
      <c r="A1000">
        <f>Skills!A6</f>
        <v/>
      </c>
      <c r="B1000">
        <f>Skills!B6</f>
        <v/>
      </c>
      <c r="C1000">
        <f>Inputs!$B$3&gt;=69</f>
        <v/>
      </c>
      <c r="D1000">
        <f>IF(Skills!C6=1,60+Inputs!$B$25+(Inputs!$B$29+1),IF(Skills!C6=2,90+Inputs!$B$26+(Inputs!$B$29+1),IF(Skills!C6=3,120+Inputs!$B$27+(Inputs!$B$29+1),MAX(0,(Inputs!$B$3-100)*3)+Inputs!$B$28+(Inputs!$B$29+1))))</f>
        <v/>
      </c>
      <c r="E1000">
        <f>INDEX(FactorTable!$B$2:$Y$301, MATCH(ROUND(MIN(300,MAX(1,D1000)),0), FactorTable!$A$2:$A$301,0), Skills!M6+1)</f>
        <v/>
      </c>
      <c r="F1000">
        <f>IF(Skills!N6=TRUE,(Skills!L6/10)*(E1000/1000),Skills!L6/10)+Skills!O6</f>
        <v/>
      </c>
      <c r="G1000">
        <f>Skills!G6*IF(Skills!H6&gt;0,Skills!I6/Skills!H6,1)</f>
        <v/>
      </c>
      <c r="H1000">
        <f>1-(1-Skills!J6/100)^Skills!K6</f>
        <v/>
      </c>
      <c r="I1000" t="inlineStr">
        <is>
          <t>1</t>
        </is>
      </c>
      <c r="J1000">
        <f>((Inputs!$B$6*(1+Inputs!$B$7/100))+(((Inputs!$B$12*(1+Inputs!$B$13/100))-(Inputs!$B$12*(1+Inputs!$B$13/100)))+0.25*(Inputs!$B$14-Inputs!$B$14))*(1+Inputs!$B$7/100))*(F1000/100)</f>
        <v/>
      </c>
      <c r="K1000">
        <f>J1000*(1+((Inputs!$B$12*(1+Inputs!$B$13/100))*0.01+Inputs!$B$14*0.0025)/100)*(1+Inputs!$B$15/100)*(1+IF(Inputs!$B$39="pvp",0,(1-Summary!$B$55)*(Inputs!$B$20+0+Skills!P6+B1028)+Summary!$B$55*(Inputs!$B$21+Skills!Q6+B1028))/100)*(1+Inputs!$B$16/100)*(5000/(6000+Inputs!$B$43*(1-Inputs!$B$19/100)))*(1+(Inputs!$B$24+((C1024=TRUE)*(F1024-Calc!F30)))/100)*(1+1.0*IF(C1012=TRUE,F1012,0)/100)*(1+(IF(Skills!A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1000)</f>
        <v/>
      </c>
      <c r="L1000">
        <f>K1000*(MIN(Inputs!$B$22+((C1018=TRUE)*(F1018-Calc!F24)),Inputs!$B$23+((C1023=TRUE)*(F1023-Calc!F29)))/100+(Inputs!$B$23+((C1023=TRUE)*(F1023-Calc!F29)))/100)/2</f>
        <v/>
      </c>
      <c r="M1000">
        <f>L1000*(1+(Inputs!$B$10+((C1020=TRUE)*(F1020-Calc!F26))+B1034)/100)</f>
        <v/>
      </c>
      <c r="N1000">
        <f>L1000*(1-MIN((Inputs!$B$9+((C1019=TRUE)*(F1019-Calc!F25))+B1027),100)/100)+M1000*(MIN((Inputs!$B$9+((C1019=TRUE)*(F1019-Calc!F25))+B1027),100)/100)</f>
        <v/>
      </c>
      <c r="O1000">
        <f>IF(C1000,H1000*N1000*IF(AND(Inputs!$B$39&lt;&gt;"pvp",Inputs!$B$44&gt;0),((Skills!G6*((R1000-1)*IF(Skills!H6&gt;0,Skills!I6/Skills!H6,1)+IF(Skills!H6&gt;0,MIN(Skills!I6,MAX(0,MAX(0,Inputs!$B$44-B1038)-((R1000-1)*IF(Inputs!$B$39="pvp",15,MAX(0.1,Skills!D6-IF(Skills!E6=TRUE,Inputs!$B$32,0))))))/Skills!H6,1)))/Inputs!$B$44),G1000*Q1000)*IF(Inputs!$B$39="pvp",1,(1-Summary!$B$55)*(1)+Summary!$B$55*(MIN(Skills!W6,Inputs!$B$37))),0)</f>
        <v/>
      </c>
      <c r="P1000">
        <f>IF(B1039=0,0,O1000/B1039)</f>
        <v/>
      </c>
      <c r="Q1000">
        <f>IFERROR(1/IF(Inputs!$B$39="pvp",15,MAX(0.1,Skills!D6-IF(Skills!E6=TRUE,Inputs!$B$32,0))),0)</f>
        <v/>
      </c>
      <c r="R1000">
        <f>IF(AND(Inputs!$B$39&lt;&gt;"pvp",Inputs!$B$44&gt;0),IF(MAX(0,Inputs!$B$44-B1038)&lt;=0,0,(INT(MAX(0,Inputs!$B$44-B1038)/IF(Inputs!$B$39="pvp",15,MAX(0.1,Skills!D6-IF(Skills!E6=TRUE,Inputs!$B$32,0))))+1)),0)</f>
        <v/>
      </c>
      <c r="S1000">
        <f>IFERROR(O1000/N1000,0)</f>
        <v/>
      </c>
    </row>
    <row r="1001">
      <c r="A1001">
        <f>Skills!A7</f>
        <v/>
      </c>
      <c r="B1001">
        <f>Skills!B7</f>
        <v/>
      </c>
      <c r="C1001">
        <f>Inputs!$B$3&gt;=60</f>
        <v/>
      </c>
      <c r="D1001">
        <f>IF(Skills!C7=1,60+Inputs!$B$25+(Inputs!$B$29+1),IF(Skills!C7=2,90+Inputs!$B$26+(Inputs!$B$29+1),IF(Skills!C7=3,120+Inputs!$B$27+(Inputs!$B$29+1),MAX(0,(Inputs!$B$3-100)*3)+Inputs!$B$28+(Inputs!$B$29+1))))</f>
        <v/>
      </c>
      <c r="E1001">
        <f>INDEX(FactorTable!$B$2:$Y$301, MATCH(ROUND(MIN(300,MAX(1,D1001)),0), FactorTable!$A$2:$A$301,0), Skills!M7+1)</f>
        <v/>
      </c>
      <c r="F1001">
        <f>IF(Skills!N7=TRUE,(Skills!L7/10)*(E1001/1000),Skills!L7/10)+Skills!O7</f>
        <v/>
      </c>
      <c r="G1001">
        <f>Skills!G7*IF(Skills!H7&gt;0,Skills!I7/Skills!H7,1)</f>
        <v/>
      </c>
      <c r="H1001">
        <f>1-(1-Skills!J7/100)^Skills!K7</f>
        <v/>
      </c>
      <c r="I1001" t="inlineStr">
        <is>
          <t>1</t>
        </is>
      </c>
      <c r="J1001" t="inlineStr"/>
      <c r="K1001" t="inlineStr"/>
      <c r="L1001" t="inlineStr"/>
      <c r="M1001" t="inlineStr"/>
      <c r="N1001" t="inlineStr"/>
      <c r="O1001" t="n">
        <v>0</v>
      </c>
      <c r="P1001">
        <f>IF(B1039=0,0,O1001/B1039)</f>
        <v/>
      </c>
      <c r="Q1001" t="n">
        <v>0</v>
      </c>
      <c r="R1001" t="n">
        <v>0</v>
      </c>
      <c r="S1001">
        <f>IFERROR(O1001/N1001,0)</f>
        <v/>
      </c>
    </row>
    <row r="1002">
      <c r="A1002">
        <f>Skills!A8</f>
        <v/>
      </c>
      <c r="B1002">
        <f>Skills!B8</f>
        <v/>
      </c>
      <c r="C1002">
        <f>Inputs!$B$3&gt;=72</f>
        <v/>
      </c>
      <c r="D1002">
        <f>IF(Skills!C8=1,60+Inputs!$B$25+(Inputs!$B$29+1),IF(Skills!C8=2,90+Inputs!$B$26+(Inputs!$B$29+1),IF(Skills!C8=3,120+Inputs!$B$27+(Inputs!$B$29+1),MAX(0,(Inputs!$B$3-100)*3)+Inputs!$B$28+(Inputs!$B$29+1))))</f>
        <v/>
      </c>
      <c r="E1002">
        <f>INDEX(FactorTable!$B$2:$Y$301, MATCH(ROUND(MIN(300,MAX(1,D1002)),0), FactorTable!$A$2:$A$301,0), Skills!M8+1)</f>
        <v/>
      </c>
      <c r="F1002">
        <f>IF(Skills!N8=TRUE,(Skills!L8/10)*(E1002/1000),Skills!L8/10)+Skills!O8</f>
        <v/>
      </c>
      <c r="G1002">
        <f>Skills!G8*IF(Skills!H8&gt;0,Skills!I8/Skills!H8,1)</f>
        <v/>
      </c>
      <c r="H1002">
        <f>1-(1-Skills!J8/100)^Skills!K8</f>
        <v/>
      </c>
      <c r="I1002" t="inlineStr">
        <is>
          <t>1</t>
        </is>
      </c>
      <c r="J1002">
        <f>((Inputs!$B$6*(1+Inputs!$B$7/100))+(((Inputs!$B$12*(1+Inputs!$B$13/100))-(Inputs!$B$12*(1+Inputs!$B$13/100)))+0.25*(Inputs!$B$14-Inputs!$B$14))*(1+Inputs!$B$7/100))*(F1002/100)</f>
        <v/>
      </c>
      <c r="K1002">
        <f>J1002*(1+((Inputs!$B$12*(1+Inputs!$B$13/100))*0.01+Inputs!$B$14*0.0025)/100)*(1+Inputs!$B$15/100)*(1+IF(Inputs!$B$39="pvp",0,(1-Summary!$B$55)*(Inputs!$B$20+0+Skills!P8+B1028)+Summary!$B$55*(Inputs!$B$21+Skills!Q8+B1028))/100)*(1+Inputs!$B$16/100)*(5000/(6000+Inputs!$B$43*(1-Inputs!$B$19/100)))*(1+(Inputs!$B$24+((C1024=TRUE)*(F1024-Calc!F30)))/100)*(1+3.3333333333333335*IF(C1012=TRUE,F1012,0)/100)*(1+(IF(Skills!A8="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1002)</f>
        <v/>
      </c>
      <c r="L1002">
        <f>K1002*(MIN(Inputs!$B$22+((C1018=TRUE)*(F1018-Calc!F24)),Inputs!$B$23+((C1023=TRUE)*(F1023-Calc!F29)))/100+(Inputs!$B$23+((C1023=TRUE)*(F1023-Calc!F29)))/100)/2</f>
        <v/>
      </c>
      <c r="M1002">
        <f>L1002*(1+(Inputs!$B$10+((C1020=TRUE)*(F1020-Calc!F26))+B1034)/100)</f>
        <v/>
      </c>
      <c r="N1002">
        <f>L1002*(1-MIN((Inputs!$B$9+((C1019=TRUE)*(F1019-Calc!F25))+B1027),100)/100)+M1002*(MIN((Inputs!$B$9+((C1019=TRUE)*(F1019-Calc!F25))+B1027),100)/100)</f>
        <v/>
      </c>
      <c r="O1002">
        <f>IF(C1002,H1002*N1002*IF(AND(Inputs!$B$39&lt;&gt;"pvp",Inputs!$B$44&gt;0),((Skills!G8*((R1002-1)*IF(Skills!H8&gt;0,Skills!I8/Skills!H8,1)+IF(Skills!H8&gt;0,MIN(Skills!I8,MAX(0,MAX(0,Inputs!$B$44-B1038)-((R1002-1)*IF(Inputs!$B$39="pvp",15,MAX(0.1,Skills!D8-IF(Skills!E8=TRUE,Inputs!$B$32,0))))))/Skills!H8,1)))/Inputs!$B$44),G1002*Q1002)*IF(Inputs!$B$39="pvp",1,(1-Summary!$B$55)*(1)+Summary!$B$55*(MIN(Skills!W8,Inputs!$B$37))),0)</f>
        <v/>
      </c>
      <c r="P1002">
        <f>IF(B1039=0,0,O1002/B1039)</f>
        <v/>
      </c>
      <c r="Q1002">
        <f>IFERROR(1/IF(Inputs!$B$39="pvp",15,MAX(0.1,Skills!D8-IF(Skills!E8=TRUE,Inputs!$B$32,0))),0)</f>
        <v/>
      </c>
      <c r="R1002">
        <f>IF(AND(Inputs!$B$39&lt;&gt;"pvp",Inputs!$B$44&gt;0),IF(MAX(0,Inputs!$B$44-B1038)&lt;=0,0,(INT(MAX(0,Inputs!$B$44-B1038)/IF(Inputs!$B$39="pvp",15,MAX(0.1,Skills!D8-IF(Skills!E8=TRUE,Inputs!$B$32,0))))+1)),0)</f>
        <v/>
      </c>
      <c r="S1002">
        <f>IFERROR(O1002/N1002,0)</f>
        <v/>
      </c>
    </row>
    <row r="1003">
      <c r="A1003">
        <f>Skills!A9</f>
        <v/>
      </c>
      <c r="B1003">
        <f>Skills!B9</f>
        <v/>
      </c>
      <c r="C1003">
        <f>Inputs!$B$3&gt;=117</f>
        <v/>
      </c>
      <c r="D1003">
        <f>IF(Skills!C9=1,60+Inputs!$B$25+(Inputs!$B$29+1),IF(Skills!C9=2,90+Inputs!$B$26+(Inputs!$B$29+1),IF(Skills!C9=3,120+Inputs!$B$27+(Inputs!$B$29+1),MAX(0,(Inputs!$B$3-100)*3)+Inputs!$B$28+(Inputs!$B$29+1))))</f>
        <v/>
      </c>
      <c r="E1003">
        <f>INDEX(FactorTable!$B$2:$Y$301, MATCH(ROUND(MIN(300,MAX(1,D1003)),0), FactorTable!$A$2:$A$301,0), Skills!M9+1)</f>
        <v/>
      </c>
      <c r="F1003">
        <f>IF(Skills!N9=TRUE,(Skills!L9/10)*(E1003/1000),Skills!L9/10)+Skills!O9</f>
        <v/>
      </c>
      <c r="G1003">
        <f>Skills!G9*IF(Skills!H9&gt;0,Skills!I9/Skills!H9,1)</f>
        <v/>
      </c>
      <c r="H1003">
        <f>1-(1-Skills!J9/100)^Skills!K9</f>
        <v/>
      </c>
      <c r="I1003" t="inlineStr">
        <is>
          <t>1</t>
        </is>
      </c>
      <c r="J1003">
        <f>((Inputs!$B$6*(1+Inputs!$B$7/100))+(((Inputs!$B$12*(1+Inputs!$B$13/100))-(Inputs!$B$12*(1+Inputs!$B$13/100)))+0.25*(Inputs!$B$14-Inputs!$B$14))*(1+Inputs!$B$7/100))*(F1003/100)</f>
        <v/>
      </c>
      <c r="K1003">
        <f>J1003*(1+((Inputs!$B$12*(1+Inputs!$B$13/100))*0.01+Inputs!$B$14*0.0025)/100)*(1+Inputs!$B$15/100)*(1+IF(Inputs!$B$39="pvp",0,(1-Summary!$B$55)*(Inputs!$B$20+0+Skills!P9+B1028)+Summary!$B$55*(Inputs!$B$21+Skills!Q9+B1028))/100)*(1+Inputs!$B$16/100)*(5000/(6000+Inputs!$B$43*(1-Inputs!$B$19/100)))*(1+(Inputs!$B$24+((C1024=TRUE)*(F1024-Calc!F30)))/100)*(1+(IF(Skills!A9="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1003)</f>
        <v/>
      </c>
      <c r="L1003">
        <f>K1003*(MIN(Inputs!$B$22+((C1018=TRUE)*(F1018-Calc!F24)),Inputs!$B$23+((C1023=TRUE)*(F1023-Calc!F29)))/100+(Inputs!$B$23+((C1023=TRUE)*(F1023-Calc!F29)))/100)/2</f>
        <v/>
      </c>
      <c r="M1003">
        <f>L1003*(1+(Inputs!$B$10+((C1020=TRUE)*(F1020-Calc!F26))+B1034)/100)</f>
        <v/>
      </c>
      <c r="N1003">
        <f>L1003*(1-MIN((Inputs!$B$9+((C1019=TRUE)*(F1019-Calc!F25))+B1027),100)/100)+M1003*(MIN((Inputs!$B$9+((C1019=TRUE)*(F1019-Calc!F25))+B1027),100)/100)</f>
        <v/>
      </c>
      <c r="O1003">
        <f>IF(C1003,0.2*SUMPRODUCT((Skills!Z2:Z30=TRUE)*(C996:C1024=TRUE)*S996:S1024)*N1003,0)</f>
        <v/>
      </c>
      <c r="P1003">
        <f>IF(B1039=0,0,O1003/B1039)</f>
        <v/>
      </c>
      <c r="Q1003" t="n">
        <v>0</v>
      </c>
      <c r="R1003" t="n">
        <v>0</v>
      </c>
      <c r="S1003" t="n">
        <v>0</v>
      </c>
    </row>
    <row r="1004">
      <c r="A1004">
        <f>Skills!A10</f>
        <v/>
      </c>
      <c r="B1004">
        <f>Skills!B10</f>
        <v/>
      </c>
      <c r="C1004">
        <f>Inputs!$B$3&gt;=74</f>
        <v/>
      </c>
      <c r="D1004">
        <f>IF(Skills!C10=1,60+Inputs!$B$25+(Inputs!$B$29+1),IF(Skills!C10=2,90+Inputs!$B$26+(Inputs!$B$29+1),IF(Skills!C10=3,120+Inputs!$B$27+(Inputs!$B$29+1),MAX(0,(Inputs!$B$3-100)*3)+Inputs!$B$28+(Inputs!$B$29+1))))</f>
        <v/>
      </c>
      <c r="E1004">
        <f>INDEX(FactorTable!$B$2:$Y$301, MATCH(ROUND(MIN(300,MAX(1,D1004)),0), FactorTable!$A$2:$A$301,0), Skills!M10+1)</f>
        <v/>
      </c>
      <c r="F1004">
        <f>IF(Skills!N10=TRUE,(Skills!L10/10)*(E1004/1000),Skills!L10/10)+Skills!O10</f>
        <v/>
      </c>
      <c r="G1004">
        <f>Skills!G10*IF(Skills!H10&gt;0,Skills!I10/Skills!H10,1)</f>
        <v/>
      </c>
      <c r="H1004">
        <f>1-(1-Skills!J10/100)^Skills!K10</f>
        <v/>
      </c>
      <c r="I1004" t="inlineStr">
        <is>
          <t>1</t>
        </is>
      </c>
      <c r="J1004" t="inlineStr"/>
      <c r="K1004" t="inlineStr"/>
      <c r="L1004" t="inlineStr"/>
      <c r="M1004" t="inlineStr"/>
      <c r="N1004" t="inlineStr"/>
      <c r="O1004" t="n">
        <v>0</v>
      </c>
      <c r="P1004">
        <f>IF(B1039=0,0,O1004/B1039)</f>
        <v/>
      </c>
      <c r="Q1004">
        <f>IFERROR(1/IF(Inputs!$B$39="pvp",15,MAX(0.1,Skills!D10-IF(Skills!E10=TRUE,Inputs!$B$32,0))),0)</f>
        <v/>
      </c>
      <c r="R1004">
        <f>IF(AND(Inputs!$B$39&lt;&gt;"pvp",Inputs!$B$44&gt;0),IF(Inputs!$B$44&lt;=0,0,(INT(Inputs!$B$44/IF(Inputs!$B$39="pvp",15,MAX(0.1,Skills!D10-IF(Skills!E10=TRUE,Inputs!$B$32,0))))+1)),0)</f>
        <v/>
      </c>
      <c r="S1004">
        <f>IFERROR(O1004/N1004,0)</f>
        <v/>
      </c>
    </row>
    <row r="1005">
      <c r="A1005">
        <f>Skills!A11</f>
        <v/>
      </c>
      <c r="B1005">
        <f>Skills!B11</f>
        <v/>
      </c>
      <c r="C1005">
        <f>Inputs!$B$3&gt;=103</f>
        <v/>
      </c>
      <c r="D1005">
        <f>IF(Skills!C11=1,60+Inputs!$B$25+(Inputs!$B$29+1),IF(Skills!C11=2,90+Inputs!$B$26+(Inputs!$B$29+1),IF(Skills!C11=3,120+Inputs!$B$27+(Inputs!$B$29+1),MAX(0,(Inputs!$B$3-100)*3)+Inputs!$B$28+(Inputs!$B$29+1))))</f>
        <v/>
      </c>
      <c r="E1005">
        <f>INDEX(FactorTable!$B$2:$Y$301, MATCH(ROUND(MIN(300,MAX(1,D1005)),0), FactorTable!$A$2:$A$301,0), Skills!M11+1)</f>
        <v/>
      </c>
      <c r="F1005">
        <f>(Skills!L11/10)*(E1005/1000)+IF(Inputs!$B$3&gt;=134,50,0)+0.5*(30000/10)*(INDEX(FactorTable!$B$2:$Y$301, MATCH(ROUND(MIN(300,MAX(1,D1005)),0), FactorTable!$A$2:$A$301,0), 13)/1000)*B1037</f>
        <v/>
      </c>
      <c r="G1005">
        <f>Skills!G11*IF(Skills!H11&gt;0,Skills!I11/Skills!H11,1)</f>
        <v/>
      </c>
      <c r="H1005">
        <f>1-(1-Skills!J11/100)^Skills!K11</f>
        <v/>
      </c>
      <c r="I1005" t="inlineStr">
        <is>
          <t>1</t>
        </is>
      </c>
      <c r="J1005">
        <f>((Inputs!$B$6*(1+Inputs!$B$7/100))+(((Inputs!$B$12*(1+Inputs!$B$13/100))-(Inputs!$B$12*(1+Inputs!$B$13/100)))+0.25*(Inputs!$B$14-Inputs!$B$14))*(1+Inputs!$B$7/100))*(F1005/100)</f>
        <v/>
      </c>
      <c r="K1005">
        <f>J1005*(1+((Inputs!$B$12*(1+Inputs!$B$13/100))*0.01+Inputs!$B$14*0.0025)/100)*(1+Inputs!$B$15/100)*(1+IF(Inputs!$B$39="pvp",0,(1-Summary!$B$55)*(Inputs!$B$20+0+Skills!P11+B1028)+Summary!$B$55*(Inputs!$B$21+Skills!Q11+B1028))/100)*(1+Inputs!$B$16/100)*(5000/(6000+Inputs!$B$43*(1-Inputs!$B$19/100)))*(1+(Inputs!$B$24+((C1024=TRUE)*(F1024-Calc!F30)))/100)*(1+(IF(Skills!A11="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1005)</f>
        <v/>
      </c>
      <c r="L1005">
        <f>K1005*(MIN(Inputs!$B$22+((C1018=TRUE)*(F1018-Calc!F24)),Inputs!$B$23+((C1023=TRUE)*(F1023-Calc!F29)))/100+(Inputs!$B$23+((C1023=TRUE)*(F1023-Calc!F29)))/100)/2</f>
        <v/>
      </c>
      <c r="M1005">
        <f>L1005*(1+(Inputs!$B$10+((C1020=TRUE)*(F1020-Calc!F26))+B1034)/100)</f>
        <v/>
      </c>
      <c r="N1005">
        <f>L1005*(1-MIN((Inputs!$B$9+((C1019=TRUE)*(F1019-Calc!F25))+B1027),100)/100)+M1005*(MIN((Inputs!$B$9+((C1019=TRUE)*(F1019-Calc!F25))+B1027),100)/100)</f>
        <v/>
      </c>
      <c r="O1005">
        <f>IF(C1005,H1005*N1005*IF(AND(Inputs!$B$39&lt;&gt;"pvp",Inputs!$B$44&gt;0),((Skills!G11*((R1005-1)*IF(Skills!H11&gt;0,Skills!I11/Skills!H11,1)+IF(Skills!H11&gt;0,MIN(Skills!I11,MAX(0,MAX(0,Inputs!$B$44-B1038)-((R1005-1)*IF(Inputs!$B$39="pvp",15,MAX(0.1,Skills!D11-IF(Skills!E11=TRUE,Inputs!$B$32,0))))))/Skills!H11,1)))/Inputs!$B$44),G1005*Q1005)*IF(Inputs!$B$39="pvp",1,(1-Summary!$B$55)*(1)+Summary!$B$55*(MIN(Skills!W11,Inputs!$B$37))),0)</f>
        <v/>
      </c>
      <c r="P1005">
        <f>IF(B1039=0,0,O1005/B1039)</f>
        <v/>
      </c>
      <c r="Q1005">
        <f>IFERROR(1/IF(Inputs!$B$39="pvp",15,MAX(0.1,Skills!D11-IF(Skills!E11=TRUE,Inputs!$B$32,0))),0)</f>
        <v/>
      </c>
      <c r="R1005">
        <f>IF(AND(Inputs!$B$39&lt;&gt;"pvp",Inputs!$B$44&gt;0),IF(MAX(0,Inputs!$B$44-B1038)&lt;=0,0,(INT(MAX(0,Inputs!$B$44-B1038)/IF(Inputs!$B$39="pvp",15,MAX(0.1,Skills!D11-IF(Skills!E11=TRUE,Inputs!$B$32,0))))+1)),0)</f>
        <v/>
      </c>
      <c r="S1005">
        <f>IFERROR(O1005/N1005,0)</f>
        <v/>
      </c>
    </row>
    <row r="1006">
      <c r="A1006">
        <f>Skills!A12</f>
        <v/>
      </c>
      <c r="B1006">
        <f>Skills!B12</f>
        <v/>
      </c>
      <c r="C1006">
        <f>Inputs!$B$3&gt;=105</f>
        <v/>
      </c>
      <c r="D1006">
        <f>IF(Skills!C12=1,60+Inputs!$B$25+(Inputs!$B$29+1),IF(Skills!C12=2,90+Inputs!$B$26+(Inputs!$B$29+1),IF(Skills!C12=3,120+Inputs!$B$27+(Inputs!$B$29+1),MAX(0,(Inputs!$B$3-100)*3)+Inputs!$B$28+(Inputs!$B$29+1))))</f>
        <v/>
      </c>
      <c r="E1006">
        <f>INDEX(FactorTable!$B$2:$Y$301, MATCH(ROUND(MIN(300,MAX(1,D1006)),0), FactorTable!$A$2:$A$301,0), Skills!M12+1)</f>
        <v/>
      </c>
      <c r="F1006">
        <f>IF(Skills!N12=TRUE,(Skills!L12/10)*(E1006/1000),Skills!L12/10)+Skills!O12</f>
        <v/>
      </c>
      <c r="G1006">
        <f>Skills!G12*IF(Skills!H12&gt;0,Skills!I12/Skills!H12,1)</f>
        <v/>
      </c>
      <c r="H1006">
        <f>1-(1-Skills!J12/100)^Skills!K12</f>
        <v/>
      </c>
      <c r="I1006" t="inlineStr">
        <is>
          <t>1</t>
        </is>
      </c>
      <c r="J1006">
        <f>((Inputs!$B$6*(1+Inputs!$B$7/100))+(((Inputs!$B$12*(1+Inputs!$B$13/100))-(Inputs!$B$12*(1+Inputs!$B$13/100)))+0.25*(Inputs!$B$14-Inputs!$B$14))*(1+Inputs!$B$7/100))*(F1006/100)</f>
        <v/>
      </c>
      <c r="K1006">
        <f>J1006*(1+((Inputs!$B$12*(1+Inputs!$B$13/100))*0.01+Inputs!$B$14*0.0025)/100)*(1+Inputs!$B$15/100)*(1+IF(Inputs!$B$39="pvp",0,(1-Summary!$B$55)*(Inputs!$B$20+0+Skills!P12+B1028)+Summary!$B$55*(Inputs!$B$21+Skills!Q12+B1028))/100)*(1+Inputs!$B$16/100)*(5000/(6000+Inputs!$B$43*(1-Inputs!$B$19/100)))*(1+(Inputs!$B$24+((C1024=TRUE)*(F1024-Calc!F30)))/100)*(1+(IF(Skills!A12="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1006)</f>
        <v/>
      </c>
      <c r="L1006">
        <f>K1006*(MIN(Inputs!$B$22+((C1018=TRUE)*(F1018-Calc!F24)),Inputs!$B$23+((C1023=TRUE)*(F1023-Calc!F29)))/100+(Inputs!$B$23+((C1023=TRUE)*(F1023-Calc!F29)))/100)/2</f>
        <v/>
      </c>
      <c r="M1006">
        <f>L1006*(1+(Inputs!$B$10+((C1020=TRUE)*(F1020-Calc!F26))+B1034)/100)</f>
        <v/>
      </c>
      <c r="N1006">
        <f>L1006*(1-MIN((Inputs!$B$9+((C1019=TRUE)*(F1019-Calc!F25))+B1027),100)/100)+M1006*(MIN((Inputs!$B$9+((C1019=TRUE)*(F1019-Calc!F25))+B1027),100)/100)</f>
        <v/>
      </c>
      <c r="O1006">
        <f>IF(C1006,H1006*N1006*IF(AND(Inputs!$B$39&lt;&gt;"pvp",Inputs!$B$44&gt;0),((Skills!G12*((R1006-1)*IF(Skills!H12&gt;0,Skills!I12/Skills!H12,1)+IF(Skills!H12&gt;0,MIN(Skills!I12,MAX(0,MAX(0,Inputs!$B$44-B1038)-((R1006-1)*IF(Inputs!$B$39="pvp",15,MAX(0.1,Skills!D12-IF(Skills!E12=TRUE,Inputs!$B$32,0))))))/Skills!H12,1)))/Inputs!$B$44),G1006*Q1006)*IF(Inputs!$B$39="pvp",1,(1-Summary!$B$55)*(1)+Summary!$B$55*(MIN(Skills!W12,Inputs!$B$37))),0)</f>
        <v/>
      </c>
      <c r="P1006">
        <f>IF(B1039=0,0,O1006/B1039)</f>
        <v/>
      </c>
      <c r="Q1006">
        <f>IFERROR(1/IF(Inputs!$B$39="pvp",15,MAX(0.1,Skills!D12-IF(Skills!E12=TRUE,Inputs!$B$32,0))),0)</f>
        <v/>
      </c>
      <c r="R1006">
        <f>IF(AND(Inputs!$B$39&lt;&gt;"pvp",Inputs!$B$44&gt;0),IF(MAX(0,Inputs!$B$44-B1038)&lt;=0,0,(INT(MAX(0,Inputs!$B$44-B1038)/IF(Inputs!$B$39="pvp",15,MAX(0.1,Skills!D12-IF(Skills!E12=TRUE,Inputs!$B$32,0))))+1)),0)</f>
        <v/>
      </c>
      <c r="S1006">
        <f>IFERROR(O1006/N1006,0)</f>
        <v/>
      </c>
    </row>
    <row r="1007">
      <c r="A1007">
        <f>Skills!A13</f>
        <v/>
      </c>
      <c r="B1007">
        <f>Skills!B13</f>
        <v/>
      </c>
      <c r="C1007">
        <f>Inputs!$B$3&gt;=105</f>
        <v/>
      </c>
      <c r="D1007">
        <f>IF(Skills!C13=1,60+Inputs!$B$25+(Inputs!$B$29+1),IF(Skills!C13=2,90+Inputs!$B$26+(Inputs!$B$29+1),IF(Skills!C13=3,120+Inputs!$B$27+(Inputs!$B$29+1),MAX(0,(Inputs!$B$3-100)*3)+Inputs!$B$28+(Inputs!$B$29+1))))</f>
        <v/>
      </c>
      <c r="E1007">
        <f>INDEX(FactorTable!$B$2:$Y$301, MATCH(ROUND(MIN(300,MAX(1,D1007)),0), FactorTable!$A$2:$A$301,0), Skills!M13+1)</f>
        <v/>
      </c>
      <c r="F1007">
        <f>IF(Skills!N13=TRUE,(Skills!L13/10)*(E1007/1000),Skills!L13/10)+Skills!O13</f>
        <v/>
      </c>
      <c r="G1007">
        <f>Skills!G13*IF(Skills!H13&gt;0,Skills!I13/Skills!H13,1)</f>
        <v/>
      </c>
      <c r="H1007">
        <f>1-(1-Skills!J13/100)^Skills!K13</f>
        <v/>
      </c>
      <c r="I1007" t="inlineStr">
        <is>
          <t>1</t>
        </is>
      </c>
      <c r="J1007">
        <f>((Inputs!$B$6*(1+Inputs!$B$7/100))+(((Inputs!$B$12*(1+Inputs!$B$13/100))-(Inputs!$B$12*(1+Inputs!$B$13/100)))+0.25*(Inputs!$B$14-Inputs!$B$14))*(1+Inputs!$B$7/100))*(F1007/100)</f>
        <v/>
      </c>
      <c r="K1007">
        <f>J1007*(1+((Inputs!$B$12*(1+Inputs!$B$13/100))*0.01+Inputs!$B$14*0.0025)/100)*(1+Inputs!$B$15/100)*(1+IF(Inputs!$B$39="pvp",0,(1-Summary!$B$55)*(Inputs!$B$20+0+Skills!P13+B1028)+Summary!$B$55*(Inputs!$B$21+Skills!Q13+B1028))/100)*(1+Inputs!$B$16/100)*(5000/(6000+Inputs!$B$43*(1-Inputs!$B$19/100)))*(1+(Inputs!$B$24+((C1024=TRUE)*(F1024-Calc!F30)))/100)*(1+(IF(Skills!A13="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1007)</f>
        <v/>
      </c>
      <c r="L1007">
        <f>K1007*(MIN(Inputs!$B$22+((C1018=TRUE)*(F1018-Calc!F24)),Inputs!$B$23+((C1023=TRUE)*(F1023-Calc!F29)))/100+(Inputs!$B$23+((C1023=TRUE)*(F1023-Calc!F29)))/100)/2</f>
        <v/>
      </c>
      <c r="M1007">
        <f>L1007*(1+(Inputs!$B$10+((C1020=TRUE)*(F1020-Calc!F26))+B1034)/100)</f>
        <v/>
      </c>
      <c r="N1007">
        <f>L1007*(1-MIN((Inputs!$B$9+((C1019=TRUE)*(F1019-Calc!F25))+B1027),100)/100)+M1007*(MIN((Inputs!$B$9+((C1019=TRUE)*(F1019-Calc!F25))+B1027),100)/100)</f>
        <v/>
      </c>
      <c r="O1007">
        <f>IF(C1007,H1007*N1007*IF(AND(Inputs!$B$39&lt;&gt;"pvp",Inputs!$B$44&gt;0),((Skills!G13*((R1007-1)*IF(Skills!H13&gt;0,Skills!I13/Skills!H13,1)+IF(Skills!H13&gt;0,MIN(Skills!I13,MAX(0,MAX(0,Inputs!$B$44-B1038)-((R1007-1)*IF(Inputs!$B$39="pvp",15,MAX(0.1,Skills!D13-IF(Skills!E13=TRUE,Inputs!$B$32,0))))))/Skills!H13,1)))/Inputs!$B$44),G1007*Q1007)*IF(Inputs!$B$39="pvp",1,(1-Summary!$B$55)*(1)+Summary!$B$55*(MIN(Skills!W13,Inputs!$B$37))),0)</f>
        <v/>
      </c>
      <c r="P1007">
        <f>IF(B1039=0,0,O1007/B1039)</f>
        <v/>
      </c>
      <c r="Q1007">
        <f>IFERROR(1/IF(Inputs!$B$39="pvp",15,MAX(0.1,Skills!D13-IF(Skills!E13=TRUE,Inputs!$B$32,0))),0)</f>
        <v/>
      </c>
      <c r="R1007">
        <f>IF(AND(Inputs!$B$39&lt;&gt;"pvp",Inputs!$B$44&gt;0),IF(MAX(0,Inputs!$B$44-B1038)&lt;=0,0,(INT(MAX(0,Inputs!$B$44-B1038)/IF(Inputs!$B$39="pvp",15,MAX(0.1,Skills!D13-IF(Skills!E13=TRUE,Inputs!$B$32,0))))+1)),0)</f>
        <v/>
      </c>
      <c r="S1007">
        <f>IFERROR(O1007/N1007,0)</f>
        <v/>
      </c>
    </row>
    <row r="1008">
      <c r="A1008">
        <f>Skills!A14</f>
        <v/>
      </c>
      <c r="B1008">
        <f>Skills!B14</f>
        <v/>
      </c>
      <c r="C1008">
        <f>Inputs!$B$3&gt;=107</f>
        <v/>
      </c>
      <c r="D1008">
        <f>IF(Skills!C14=1,60+Inputs!$B$25+(Inputs!$B$29+1),IF(Skills!C14=2,90+Inputs!$B$26+(Inputs!$B$29+1),IF(Skills!C14=3,120+Inputs!$B$27+(Inputs!$B$29+1),MAX(0,(Inputs!$B$3-100)*3)+Inputs!$B$28+(Inputs!$B$29+1))))</f>
        <v/>
      </c>
      <c r="E1008">
        <f>INDEX(FactorTable!$B$2:$Y$301, MATCH(ROUND(MIN(300,MAX(1,D1008)),0), FactorTable!$A$2:$A$301,0), Skills!M14+1)</f>
        <v/>
      </c>
      <c r="F1008">
        <f>IF(Skills!N14=TRUE,(Skills!L14/10)*(E1008/1000),Skills!L14/10)+Skills!O14</f>
        <v/>
      </c>
      <c r="G1008">
        <f>Skills!G14*IF(Skills!H14&gt;0,Skills!I14/Skills!H14,1)</f>
        <v/>
      </c>
      <c r="H1008">
        <f>1-(1-Skills!J14/100)^Skills!K14</f>
        <v/>
      </c>
      <c r="I1008" t="inlineStr">
        <is>
          <t>1</t>
        </is>
      </c>
      <c r="J1008">
        <f>((Inputs!$B$6*(1+Inputs!$B$7/100))+(((Inputs!$B$12*(1+Inputs!$B$13/100))-(Inputs!$B$12*(1+Inputs!$B$13/100)))+0.25*(Inputs!$B$14-Inputs!$B$14))*(1+Inputs!$B$7/100))*(F1008/100)</f>
        <v/>
      </c>
      <c r="K1008">
        <f>J1008*(1+((Inputs!$B$12*(1+Inputs!$B$13/100))*0.01+Inputs!$B$14*0.0025)/100)*(1+Inputs!$B$15/100)*(1+IF(Inputs!$B$39="pvp",0,(1-Summary!$B$55)*(Inputs!$B$20+0+Skills!P14+B1028)+Summary!$B$55*(Inputs!$B$21+Skills!Q14+B1028))/100)*(1+Inputs!$B$16/100)*(5000/(6000+Inputs!$B$43*(1-Inputs!$B$19/100)))*(1+(Inputs!$B$24+((C1024=TRUE)*(F1024-Calc!F30)))/100)*(1+(IF(Skills!A14="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1008)</f>
        <v/>
      </c>
      <c r="L1008">
        <f>K1008*(MIN(Inputs!$B$22+((C1018=TRUE)*(F1018-Calc!F24)),Inputs!$B$23+((C1023=TRUE)*(F1023-Calc!F29)))/100+(Inputs!$B$23+((C1023=TRUE)*(F1023-Calc!F29)))/100)/2</f>
        <v/>
      </c>
      <c r="M1008">
        <f>L1008*(1+(Inputs!$B$10+((C1020=TRUE)*(F1020-Calc!F26))+B1034)/100)</f>
        <v/>
      </c>
      <c r="N1008">
        <f>L1008*(1-MIN((Inputs!$B$9+((C1019=TRUE)*(F1019-Calc!F25))+B1027),100)/100)+M1008*(MIN((Inputs!$B$9+((C1019=TRUE)*(F1019-Calc!F25))+B1027),100)/100)</f>
        <v/>
      </c>
      <c r="O1008">
        <f>IF(C1008,H1008*N1008*IF(AND(Inputs!$B$39&lt;&gt;"pvp",Inputs!$B$44&gt;0),((Skills!G14*((R1008-1)*IF(Skills!H14&gt;0,Skills!I14/Skills!H14,1)+IF(Skills!H14&gt;0,MIN(Skills!I14,MAX(0,MAX(0,Inputs!$B$44-B1038)-((R1008-1)*IF(Inputs!$B$39="pvp",15,MAX(0.1,Skills!D14-IF(Skills!E14=TRUE,Inputs!$B$32,0))))))/Skills!H14,1)))/Inputs!$B$44),G1008*Q1008)*IF(Inputs!$B$39="pvp",1,(1-Summary!$B$55)*(1)+Summary!$B$55*(MIN(MIN(5,0.25*B1031*Skills!D4)*Skills!V14,Inputs!$B$37))),0)</f>
        <v/>
      </c>
      <c r="P1008">
        <f>IF(B1039=0,0,O1008/B1039)</f>
        <v/>
      </c>
      <c r="Q1008">
        <f>IFERROR(1/IF(Inputs!$B$39="pvp",15,MAX(0.1,Skills!D14-IF(Skills!E14=TRUE,Inputs!$B$32,0))),0)</f>
        <v/>
      </c>
      <c r="R1008">
        <f>IF(AND(Inputs!$B$39&lt;&gt;"pvp",Inputs!$B$44&gt;0),IF(MAX(0,Inputs!$B$44-B1038)&lt;=0,0,(INT(MAX(0,Inputs!$B$44-B1038)/IF(Inputs!$B$39="pvp",15,MAX(0.1,Skills!D14-IF(Skills!E14=TRUE,Inputs!$B$32,0))))+1)),0)</f>
        <v/>
      </c>
      <c r="S1008">
        <f>IFERROR(O1008/N1008,0)</f>
        <v/>
      </c>
    </row>
    <row r="1009">
      <c r="A1009">
        <f>Skills!A15</f>
        <v/>
      </c>
      <c r="B1009">
        <f>Skills!B15</f>
        <v/>
      </c>
      <c r="C1009">
        <f>Inputs!$B$3&gt;=110</f>
        <v/>
      </c>
      <c r="D1009">
        <f>IF(Skills!C15=1,60+Inputs!$B$25+(Inputs!$B$29+1),IF(Skills!C15=2,90+Inputs!$B$26+(Inputs!$B$29+1),IF(Skills!C15=3,120+Inputs!$B$27+(Inputs!$B$29+1),MAX(0,(Inputs!$B$3-100)*3)+Inputs!$B$28+(Inputs!$B$29+1))))</f>
        <v/>
      </c>
      <c r="E1009">
        <f>INDEX(FactorTable!$B$2:$Y$301, MATCH(ROUND(MIN(300,MAX(1,D1009)),0), FactorTable!$A$2:$A$301,0), Skills!M15+1)</f>
        <v/>
      </c>
      <c r="F1009">
        <f>IF(Skills!N15=TRUE,(Skills!L15/10)*(E1009/1000),Skills!L15/10)+Skills!O15</f>
        <v/>
      </c>
      <c r="G1009">
        <f>Skills!G15*IF(Skills!H15&gt;0,Skills!I15/Skills!H15,1)</f>
        <v/>
      </c>
      <c r="H1009">
        <f>1-(1-Skills!J15/100)^Skills!K15</f>
        <v/>
      </c>
      <c r="I1009" t="inlineStr">
        <is>
          <t>1</t>
        </is>
      </c>
      <c r="J1009" t="inlineStr"/>
      <c r="K1009" t="inlineStr"/>
      <c r="L1009" t="inlineStr"/>
      <c r="M1009" t="inlineStr"/>
      <c r="N1009" t="inlineStr"/>
      <c r="O1009" t="n">
        <v>0</v>
      </c>
      <c r="P1009">
        <f>IF(B1039=0,0,O1009/B1039)</f>
        <v/>
      </c>
      <c r="Q1009">
        <f>IFERROR(1/IF(Inputs!$B$39="pvp",15,MAX(0.1,Skills!D15-IF(Skills!E15=TRUE,Inputs!$B$32,0))),0)</f>
        <v/>
      </c>
      <c r="R1009">
        <f>IF(AND(Inputs!$B$39&lt;&gt;"pvp",Inputs!$B$44&gt;0),IF(Inputs!$B$44&lt;=0,0,(INT(Inputs!$B$44/IF(Inputs!$B$39="pvp",15,MAX(0.1,Skills!D15-IF(Skills!E15=TRUE,Inputs!$B$32,0))))+1)),0)</f>
        <v/>
      </c>
      <c r="S1009">
        <f>IFERROR(O1009/N1009,0)</f>
        <v/>
      </c>
    </row>
    <row r="1010">
      <c r="A1010">
        <f>Skills!A16</f>
        <v/>
      </c>
      <c r="B1010">
        <f>Skills!B16</f>
        <v/>
      </c>
      <c r="C1010">
        <f>Inputs!$B$3&gt;=115</f>
        <v/>
      </c>
      <c r="D1010">
        <f>IF(Skills!C16=1,60+Inputs!$B$25+(Inputs!$B$29+1),IF(Skills!C16=2,90+Inputs!$B$26+(Inputs!$B$29+1),IF(Skills!C16=3,120+Inputs!$B$27+(Inputs!$B$29+1),MAX(0,(Inputs!$B$3-100)*3)+Inputs!$B$28+(Inputs!$B$29+1))))</f>
        <v/>
      </c>
      <c r="E1010">
        <f>INDEX(FactorTable!$B$2:$Y$301, MATCH(ROUND(MIN(300,MAX(1,D1010)),0), FactorTable!$A$2:$A$301,0), Skills!M16+1)</f>
        <v/>
      </c>
      <c r="F1010">
        <f>IF(Skills!N16=TRUE,(Skills!L16/10)*(E1010/1000),Skills!L16/10)+Skills!O16</f>
        <v/>
      </c>
      <c r="G1010">
        <f>Skills!G16*IF(Skills!H16&gt;0,Skills!I16/Skills!H16,1)</f>
        <v/>
      </c>
      <c r="H1010">
        <f>1-(1-Skills!J16/100)^Skills!K16</f>
        <v/>
      </c>
      <c r="I1010" t="inlineStr">
        <is>
          <t>1</t>
        </is>
      </c>
      <c r="J1010">
        <f>((Inputs!$B$6*(1+Inputs!$B$7/100))+(((Inputs!$B$12*(1+Inputs!$B$13/100))-(Inputs!$B$12*(1+Inputs!$B$13/100)))+0.25*(Inputs!$B$14-Inputs!$B$14))*(1+Inputs!$B$7/100))*(F1010/100)</f>
        <v/>
      </c>
      <c r="K1010">
        <f>J1010*(1+((Inputs!$B$12*(1+Inputs!$B$13/100))*0.01+Inputs!$B$14*0.0025)/100)*(1+Inputs!$B$15/100)*(1+IF(Inputs!$B$39="pvp",0,(1-Summary!$B$55)*(Inputs!$B$20+0+Skills!P16+B1028)+Summary!$B$55*(Inputs!$B$21+Skills!Q16+B1028))/100)*(1+Inputs!$B$16/100)*(5000/(6000+Inputs!$B$43*(1-Inputs!$B$19/100)))*(1+(Inputs!$B$24+((C1024=TRUE)*(F1024-Calc!F30)))/100)*(1+(IF(Skills!A16="CRUEL_STAB",Inputs!$B$17+((C1021=TRUE)*(F1021-Calc!F27)),Inputs!$B$18+((C1022=TRUE)*(F1022-Calc!F28))))/100)*(((1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B1029*I1010)</f>
        <v/>
      </c>
      <c r="L1010">
        <f>K1010*(MIN(Inputs!$B$22+((C1018=TRUE)*(F1018-Calc!F24)),Inputs!$B$23+((C1023=TRUE)*(F1023-Calc!F29)))/100+(Inputs!$B$23+((C1023=TRUE)*(F1023-Calc!F29)))/100)/2</f>
        <v/>
      </c>
      <c r="M1010">
        <f>L1010*(1+(Inputs!$B$10+((C1020=TRUE)*(F1020-Calc!F26))+B1034)/100)</f>
        <v/>
      </c>
      <c r="N1010">
        <f>L1010*(1-MIN((Inputs!$B$9+((C1019=TRUE)*(F1019-Calc!F25))+B1027),100)/100)+M1010*(MIN((Inputs!$B$9+((C1019=TRUE)*(F1019-Calc!F25))+B1027),100)/100)</f>
        <v/>
      </c>
      <c r="O1010">
        <f>IF(C1010,Inputs!$B$38*0.2*N1010,0)</f>
        <v/>
      </c>
      <c r="P1010">
        <f>IF(B1039=0,0,O1010/B1039)</f>
        <v/>
      </c>
      <c r="Q1010" t="n">
        <v>0</v>
      </c>
      <c r="R1010" t="n">
        <v>0</v>
      </c>
      <c r="S1010">
        <f>IFERROR(O1010/N1010,0)</f>
        <v/>
      </c>
    </row>
    <row r="1011">
      <c r="A1011">
        <f>Skills!A17</f>
        <v/>
      </c>
      <c r="B1011">
        <f>Skills!B17</f>
        <v/>
      </c>
      <c r="C1011">
        <f>Inputs!$B$3&gt;=115</f>
        <v/>
      </c>
      <c r="D1011">
        <f>IF(Skills!C17=1,60+Inputs!$B$25+(Inputs!$B$29+1),IF(Skills!C17=2,90+Inputs!$B$26+(Inputs!$B$29+1),IF(Skills!C17=3,120+Inputs!$B$27+(Inputs!$B$29+1),MAX(0,(Inputs!$B$3-100)*3)+Inputs!$B$28+(Inputs!$B$29+1))))</f>
        <v/>
      </c>
      <c r="E1011">
        <f>INDEX(FactorTable!$B$2:$Y$301, MATCH(ROUND(MIN(300,MAX(1,D1011)),0), FactorTable!$A$2:$A$301,0), Skills!M17+1)</f>
        <v/>
      </c>
      <c r="F1011">
        <f>IF(Skills!N17=TRUE,(Skills!L17/10)*(E1011/1000),Skills!L17/10)+Skills!O17</f>
        <v/>
      </c>
      <c r="G1011">
        <f>Skills!G17*IF(Skills!H17&gt;0,Skills!I17/Skills!H17,1)</f>
        <v/>
      </c>
      <c r="H1011">
        <f>1-(1-Skills!J17/100)^Skills!K17</f>
        <v/>
      </c>
      <c r="I1011" t="inlineStr">
        <is>
          <t>1</t>
        </is>
      </c>
      <c r="J1011" t="inlineStr"/>
      <c r="K1011" t="inlineStr"/>
      <c r="L1011" t="inlineStr"/>
      <c r="M1011" t="inlineStr"/>
      <c r="N1011" t="inlineStr"/>
      <c r="O1011" t="n">
        <v>0</v>
      </c>
      <c r="P1011">
        <f>IF(B1039=0,0,O1011/B1039)</f>
        <v/>
      </c>
      <c r="Q1011" t="n">
        <v>0</v>
      </c>
      <c r="R1011" t="n">
        <v>0</v>
      </c>
      <c r="S1011">
        <f>IFERROR(O1011/N1011,0)</f>
        <v/>
      </c>
    </row>
    <row r="1012">
      <c r="A1012">
        <f>Skills!A18</f>
        <v/>
      </c>
      <c r="B1012">
        <f>Skills!B18</f>
        <v/>
      </c>
      <c r="C1012">
        <f>Inputs!$B$3&gt;=100</f>
        <v/>
      </c>
      <c r="D1012">
        <f>IF(Skills!C18=1,60+Inputs!$B$25+(Inputs!$B$29+1),IF(Skills!C18=2,90+Inputs!$B$26+(Inputs!$B$29+1),IF(Skills!C18=3,120+Inputs!$B$27+(Inputs!$B$29+1),MAX(0,(Inputs!$B$3-100)*3)+Inputs!$B$28+(Inputs!$B$29+1))))</f>
        <v/>
      </c>
      <c r="E1012">
        <f>INDEX(FactorTable!$B$2:$Y$301, MATCH(ROUND(MIN(300,MAX(1,D1012)),0), FactorTable!$A$2:$A$301,0), Skills!M18+1)</f>
        <v/>
      </c>
      <c r="F1012">
        <f>IF(Skills!N18=TRUE,(Skills!L18/10)*(E1012/1000),Skills!L18/10)+Skills!O18</f>
        <v/>
      </c>
      <c r="G1012">
        <f>Skills!G18*IF(Skills!H18&gt;0,Skills!I18/Skills!H18,1)</f>
        <v/>
      </c>
      <c r="H1012">
        <f>1-(1-Skills!J18/100)^Skills!K18</f>
        <v/>
      </c>
      <c r="I1012" t="inlineStr">
        <is>
          <t>1</t>
        </is>
      </c>
      <c r="J1012" t="inlineStr"/>
      <c r="K1012" t="inlineStr"/>
      <c r="L1012" t="inlineStr"/>
      <c r="M1012" t="inlineStr"/>
      <c r="N1012" t="inlineStr"/>
      <c r="O1012" t="n">
        <v>0</v>
      </c>
      <c r="P1012">
        <f>IF(B1039=0,0,O1012/B1039)</f>
        <v/>
      </c>
      <c r="Q1012" t="n">
        <v>0</v>
      </c>
      <c r="R1012" t="n">
        <v>0</v>
      </c>
      <c r="S1012">
        <f>IFERROR(O1012/N1012,0)</f>
        <v/>
      </c>
    </row>
    <row r="1013">
      <c r="A1013">
        <f>Skills!A19</f>
        <v/>
      </c>
      <c r="B1013">
        <f>Skills!B19</f>
        <v/>
      </c>
      <c r="C1013">
        <f>TRUE</f>
        <v/>
      </c>
      <c r="D1013">
        <f>IF(Skills!C19=1,60+Inputs!$B$25+(Inputs!$B$29+1),IF(Skills!C19=2,90+Inputs!$B$26+(Inputs!$B$29+1),IF(Skills!C19=3,120+Inputs!$B$27+(Inputs!$B$29+1),MAX(0,(Inputs!$B$3-100)*3)+Inputs!$B$28+(Inputs!$B$29+1))))</f>
        <v/>
      </c>
      <c r="E1013">
        <f>INDEX(FactorTable!$B$2:$Y$301, MATCH(ROUND(MIN(300,MAX(1,D1013)),0), FactorTable!$A$2:$A$301,0), Skills!M19+1)</f>
        <v/>
      </c>
      <c r="F1013">
        <f>IF(Skills!N19=TRUE,(Skills!L19/10)*(E1013/1000),Skills!L19/10)+Skills!O19</f>
        <v/>
      </c>
      <c r="G1013">
        <f>Skills!G19*IF(Skills!H19&gt;0,Skills!I19/Skills!H19,1)</f>
        <v/>
      </c>
      <c r="H1013">
        <f>1-(1-Skills!J19/100)^Skills!K19</f>
        <v/>
      </c>
      <c r="I1013" t="inlineStr">
        <is>
          <t>1</t>
        </is>
      </c>
      <c r="J1013" t="inlineStr"/>
      <c r="K1013" t="inlineStr"/>
      <c r="L1013" t="inlineStr"/>
      <c r="M1013" t="inlineStr"/>
      <c r="N1013" t="inlineStr"/>
      <c r="O1013" t="n">
        <v>0</v>
      </c>
      <c r="P1013">
        <f>IF(B1039=0,0,O1013/B1039)</f>
        <v/>
      </c>
      <c r="Q1013">
        <f>IFERROR(1/IF(Inputs!$B$39="pvp",15,MAX(0.1,Skills!D19-IF(Skills!E19=TRUE,Inputs!$B$32,0))),0)</f>
        <v/>
      </c>
      <c r="R1013">
        <f>IF(AND(Inputs!$B$39&lt;&gt;"pvp",Inputs!$B$44&gt;0),IF(Inputs!$B$44&lt;=0,0,(INT(Inputs!$B$44/IF(Inputs!$B$39="pvp",15,MAX(0.1,Skills!D19-IF(Skills!E19=TRUE,Inputs!$B$32,0))))+1)),0)</f>
        <v/>
      </c>
      <c r="S1013">
        <f>IFERROR(O1013/N1013,0)</f>
        <v/>
      </c>
    </row>
    <row r="1014">
      <c r="A1014">
        <f>Skills!A20</f>
        <v/>
      </c>
      <c r="B1014">
        <f>Skills!B20</f>
        <v/>
      </c>
      <c r="C1014">
        <f>Inputs!$B$3&gt;=15</f>
        <v/>
      </c>
      <c r="D1014">
        <f>IF(Skills!C20=1,60+Inputs!$B$25+(Inputs!$B$29+1),IF(Skills!C20=2,90+Inputs!$B$26+(Inputs!$B$29+1),IF(Skills!C20=3,120+Inputs!$B$27+(Inputs!$B$29+1),MAX(0,(Inputs!$B$3-100)*3)+Inputs!$B$28+(Inputs!$B$29+1))))</f>
        <v/>
      </c>
      <c r="E1014">
        <f>INDEX(FactorTable!$B$2:$Y$301, MATCH(ROUND(MIN(300,MAX(1,D1014)),0), FactorTable!$A$2:$A$301,0), Skills!M20+1)</f>
        <v/>
      </c>
      <c r="F1014">
        <f>IF(Skills!N20=TRUE,(Skills!L20/10)*(E1014/1000),Skills!L20/10)+Skills!O20</f>
        <v/>
      </c>
      <c r="G1014">
        <f>Skills!G20*IF(Skills!H20&gt;0,Skills!I20/Skills!H20,1)</f>
        <v/>
      </c>
      <c r="H1014">
        <f>1-(1-Skills!J20/100)^Skills!K20</f>
        <v/>
      </c>
      <c r="I1014" t="inlineStr">
        <is>
          <t>1</t>
        </is>
      </c>
      <c r="J1014" t="inlineStr"/>
      <c r="K1014" t="inlineStr"/>
      <c r="L1014" t="inlineStr"/>
      <c r="M1014" t="inlineStr"/>
      <c r="N1014" t="inlineStr"/>
      <c r="O1014" t="n">
        <v>0</v>
      </c>
      <c r="P1014">
        <f>IF(B1039=0,0,O1014/B1039)</f>
        <v/>
      </c>
      <c r="Q1014">
        <f>IFERROR(1/IF(Inputs!$B$39="pvp",15,MAX(0.1,Skills!D20-IF(Skills!E20=TRUE,Inputs!$B$32,0))),0)</f>
        <v/>
      </c>
      <c r="R1014">
        <f>IF(AND(Inputs!$B$39&lt;&gt;"pvp",Inputs!$B$44&gt;0),IF(Inputs!$B$44&lt;=0,0,(INT(Inputs!$B$44/IF(Inputs!$B$39="pvp",15,MAX(0.1,Skills!D20-IF(Skills!E20=TRUE,Inputs!$B$32,0))))+1)),0)</f>
        <v/>
      </c>
      <c r="S1014">
        <f>IFERROR(O1014/N1014,0)</f>
        <v/>
      </c>
    </row>
    <row r="1015">
      <c r="A1015">
        <f>Skills!A21</f>
        <v/>
      </c>
      <c r="B1015">
        <f>Skills!B21</f>
        <v/>
      </c>
      <c r="C1015">
        <f>Inputs!$B$3&gt;=15</f>
        <v/>
      </c>
      <c r="D1015">
        <f>IF(Skills!C21=1,60+Inputs!$B$25+(Inputs!$B$29+1),IF(Skills!C21=2,90+Inputs!$B$26+(Inputs!$B$29+1),IF(Skills!C21=3,120+Inputs!$B$27+(Inputs!$B$29+1),MAX(0,(Inputs!$B$3-100)*3)+Inputs!$B$28+(Inputs!$B$29+1))))</f>
        <v/>
      </c>
      <c r="E1015">
        <f>INDEX(FactorTable!$B$2:$Y$301, MATCH(ROUND(MIN(300,MAX(1,D1015)),0), FactorTable!$A$2:$A$301,0), Skills!M21+1)</f>
        <v/>
      </c>
      <c r="F1015">
        <f>IF(Skills!N21=TRUE,(Skills!L21/10)*(E1015/1000),Skills!L21/10)+Skills!O21</f>
        <v/>
      </c>
      <c r="G1015">
        <f>Skills!G21*IF(Skills!H21&gt;0,Skills!I21/Skills!H21,1)</f>
        <v/>
      </c>
      <c r="H1015">
        <f>1-(1-Skills!J21/100)^Skills!K21</f>
        <v/>
      </c>
      <c r="I1015" t="inlineStr">
        <is>
          <t>1</t>
        </is>
      </c>
      <c r="J1015" t="inlineStr"/>
      <c r="K1015" t="inlineStr"/>
      <c r="L1015" t="inlineStr"/>
      <c r="M1015" t="inlineStr"/>
      <c r="N1015" t="inlineStr"/>
      <c r="O1015" t="n">
        <v>0</v>
      </c>
      <c r="P1015">
        <f>IF(B1039=0,0,O1015/B1039)</f>
        <v/>
      </c>
      <c r="Q1015">
        <f>IFERROR(1/IF(Inputs!$B$39="pvp",15,MAX(0.1,Skills!D21-IF(Skills!E21=TRUE,Inputs!$B$32,0))),0)</f>
        <v/>
      </c>
      <c r="R1015">
        <f>IF(AND(Inputs!$B$39&lt;&gt;"pvp",Inputs!$B$44&gt;0),IF(Inputs!$B$44&lt;=0,0,(INT(Inputs!$B$44/IF(Inputs!$B$39="pvp",15,MAX(0.1,Skills!D21-IF(Skills!E21=TRUE,Inputs!$B$32,0))))+1)),0)</f>
        <v/>
      </c>
      <c r="S1015">
        <f>IFERROR(O1015/N1015,0)</f>
        <v/>
      </c>
    </row>
    <row r="1016">
      <c r="A1016">
        <f>Skills!A22</f>
        <v/>
      </c>
      <c r="B1016">
        <f>Skills!B22</f>
        <v/>
      </c>
      <c r="C1016">
        <f>Inputs!$B$3&gt;=33</f>
        <v/>
      </c>
      <c r="D1016">
        <f>IF(Skills!C22=1,60+Inputs!$B$25+(Inputs!$B$29+1),IF(Skills!C22=2,90+Inputs!$B$26+(Inputs!$B$29+1),IF(Skills!C22=3,120+Inputs!$B$27+(Inputs!$B$29+1),MAX(0,(Inputs!$B$3-100)*3)+Inputs!$B$28+(Inputs!$B$29+1))))</f>
        <v/>
      </c>
      <c r="E1016">
        <f>INDEX(FactorTable!$B$2:$Y$301, MATCH(ROUND(MIN(300,MAX(1,D1016)),0), FactorTable!$A$2:$A$301,0), Skills!M22+1)</f>
        <v/>
      </c>
      <c r="F1016">
        <f>IF(Skills!N22=TRUE,(Skills!L22/10)*(E1016/1000),Skills!L22/10)+Skills!O22</f>
        <v/>
      </c>
      <c r="G1016">
        <f>Skills!G22*IF(Skills!H22&gt;0,Skills!I22/Skills!H22,1)</f>
        <v/>
      </c>
      <c r="H1016">
        <f>1-(1-Skills!J22/100)^Skills!K22</f>
        <v/>
      </c>
      <c r="I1016" t="inlineStr">
        <is>
          <t>1</t>
        </is>
      </c>
      <c r="J1016" t="inlineStr"/>
      <c r="K1016" t="inlineStr"/>
      <c r="L1016" t="inlineStr"/>
      <c r="M1016" t="inlineStr"/>
      <c r="N1016" t="inlineStr"/>
      <c r="O1016" t="n">
        <v>0</v>
      </c>
      <c r="P1016">
        <f>IF(B1039=0,0,O1016/B1039)</f>
        <v/>
      </c>
      <c r="Q1016" t="n">
        <v>0</v>
      </c>
      <c r="R1016" t="n">
        <v>0</v>
      </c>
      <c r="S1016">
        <f>IFERROR(O1016/N1016,0)</f>
        <v/>
      </c>
    </row>
    <row r="1017">
      <c r="A1017">
        <f>Skills!A23</f>
        <v/>
      </c>
      <c r="B1017">
        <f>Skills!B23</f>
        <v/>
      </c>
      <c r="C1017">
        <f>Inputs!$B$3&gt;=40</f>
        <v/>
      </c>
      <c r="D1017">
        <f>IF(Skills!C23=1,60+Inputs!$B$25+(Inputs!$B$29+1),IF(Skills!C23=2,90+Inputs!$B$26+(Inputs!$B$29+1),IF(Skills!C23=3,120+Inputs!$B$27+(Inputs!$B$29+1),MAX(0,(Inputs!$B$3-100)*3)+Inputs!$B$28+(Inputs!$B$29+1))))</f>
        <v/>
      </c>
      <c r="E1017">
        <f>INDEX(FactorTable!$B$2:$Y$301, MATCH(ROUND(MIN(300,MAX(1,D1017)),0), FactorTable!$A$2:$A$301,0), Skills!M23+1)</f>
        <v/>
      </c>
      <c r="F1017">
        <f>IF(Skills!N23=TRUE,(Skills!L23/10)*(E1017/1000),Skills!L23/10)+Skills!O23</f>
        <v/>
      </c>
      <c r="G1017">
        <f>Skills!G23*IF(Skills!H23&gt;0,Skills!I23/Skills!H23,1)</f>
        <v/>
      </c>
      <c r="H1017">
        <f>1-(1-Skills!J23/100)^Skills!K23</f>
        <v/>
      </c>
      <c r="I1017" t="inlineStr">
        <is>
          <t>1</t>
        </is>
      </c>
      <c r="J1017" t="inlineStr"/>
      <c r="K1017" t="inlineStr"/>
      <c r="L1017" t="inlineStr"/>
      <c r="M1017" t="inlineStr"/>
      <c r="N1017" t="inlineStr"/>
      <c r="O1017" t="n">
        <v>0</v>
      </c>
      <c r="P1017">
        <f>IF(B1039=0,0,O1017/B1039)</f>
        <v/>
      </c>
      <c r="Q1017" t="n">
        <v>0</v>
      </c>
      <c r="R1017" t="n">
        <v>0</v>
      </c>
      <c r="S1017">
        <f>IFERROR(O1017/N1017,0)</f>
        <v/>
      </c>
    </row>
    <row r="1018">
      <c r="A1018">
        <f>Skills!A24</f>
        <v/>
      </c>
      <c r="B1018">
        <f>Skills!B24</f>
        <v/>
      </c>
      <c r="C1018">
        <f>Inputs!$B$3&gt;=43</f>
        <v/>
      </c>
      <c r="D1018">
        <f>IF(Skills!C24=1,60+Inputs!$B$25+(Inputs!$B$29+1),IF(Skills!C24=2,90+Inputs!$B$26+(Inputs!$B$29+1),IF(Skills!C24=3,120+Inputs!$B$27+(Inputs!$B$29+1),MAX(0,(Inputs!$B$3-100)*3)+Inputs!$B$28+(Inputs!$B$29+1))))</f>
        <v/>
      </c>
      <c r="E1018">
        <f>INDEX(FactorTable!$B$2:$Y$301, MATCH(ROUND(MIN(300,MAX(1,D1018)),0), FactorTable!$A$2:$A$301,0), Skills!M24+1)</f>
        <v/>
      </c>
      <c r="F1018">
        <f>IF(Skills!N24=TRUE,(Skills!L24/10)*(E1018/1000),Skills!L24/10)+Skills!O24</f>
        <v/>
      </c>
      <c r="G1018">
        <f>Skills!G24*IF(Skills!H24&gt;0,Skills!I24/Skills!H24,1)</f>
        <v/>
      </c>
      <c r="H1018">
        <f>1-(1-Skills!J24/100)^Skills!K24</f>
        <v/>
      </c>
      <c r="I1018" t="inlineStr">
        <is>
          <t>1</t>
        </is>
      </c>
      <c r="J1018" t="inlineStr"/>
      <c r="K1018" t="inlineStr"/>
      <c r="L1018" t="inlineStr"/>
      <c r="M1018" t="inlineStr"/>
      <c r="N1018" t="inlineStr"/>
      <c r="O1018" t="n">
        <v>0</v>
      </c>
      <c r="P1018">
        <f>IF(B1039=0,0,O1018/B1039)</f>
        <v/>
      </c>
      <c r="Q1018" t="n">
        <v>0</v>
      </c>
      <c r="R1018" t="n">
        <v>0</v>
      </c>
      <c r="S1018">
        <f>IFERROR(O1018/N1018,0)</f>
        <v/>
      </c>
    </row>
    <row r="1019">
      <c r="A1019">
        <f>Skills!A25</f>
        <v/>
      </c>
      <c r="B1019">
        <f>Skills!B25</f>
        <v/>
      </c>
      <c r="C1019">
        <f>Inputs!$B$3&gt;=50</f>
        <v/>
      </c>
      <c r="D1019">
        <f>IF(Skills!C25=1,60+Inputs!$B$25+(Inputs!$B$29+1),IF(Skills!C25=2,90+Inputs!$B$26+(Inputs!$B$29+1),IF(Skills!C25=3,120+Inputs!$B$27+(Inputs!$B$29+1),MAX(0,(Inputs!$B$3-100)*3)+Inputs!$B$28+(Inputs!$B$29+1))))</f>
        <v/>
      </c>
      <c r="E1019">
        <f>INDEX(FactorTable!$B$2:$Y$301, MATCH(ROUND(MIN(300,MAX(1,D1019)),0), FactorTable!$A$2:$A$301,0), Skills!M25+1)</f>
        <v/>
      </c>
      <c r="F1019">
        <f>IF(Skills!N25=TRUE,(Skills!L25/10)*(E1019/1000),Skills!L25/10)+Skills!O25</f>
        <v/>
      </c>
      <c r="G1019">
        <f>Skills!G25*IF(Skills!H25&gt;0,Skills!I25/Skills!H25,1)</f>
        <v/>
      </c>
      <c r="H1019">
        <f>1-(1-Skills!J25/100)^Skills!K25</f>
        <v/>
      </c>
      <c r="I1019" t="inlineStr">
        <is>
          <t>1</t>
        </is>
      </c>
      <c r="J1019" t="inlineStr"/>
      <c r="K1019" t="inlineStr"/>
      <c r="L1019" t="inlineStr"/>
      <c r="M1019" t="inlineStr"/>
      <c r="N1019" t="inlineStr"/>
      <c r="O1019" t="n">
        <v>0</v>
      </c>
      <c r="P1019">
        <f>IF(B1039=0,0,O1019/B1039)</f>
        <v/>
      </c>
      <c r="Q1019" t="n">
        <v>0</v>
      </c>
      <c r="R1019" t="n">
        <v>0</v>
      </c>
      <c r="S1019">
        <f>IFERROR(O1019/N1019,0)</f>
        <v/>
      </c>
    </row>
    <row r="1020">
      <c r="A1020">
        <f>Skills!A26</f>
        <v/>
      </c>
      <c r="B1020">
        <f>Skills!B26</f>
        <v/>
      </c>
      <c r="C1020">
        <f>Inputs!$B$3&gt;=50</f>
        <v/>
      </c>
      <c r="D1020">
        <f>IF(Skills!C26=1,60+Inputs!$B$25+(Inputs!$B$29+1),IF(Skills!C26=2,90+Inputs!$B$26+(Inputs!$B$29+1),IF(Skills!C26=3,120+Inputs!$B$27+(Inputs!$B$29+1),MAX(0,(Inputs!$B$3-100)*3)+Inputs!$B$28+(Inputs!$B$29+1))))</f>
        <v/>
      </c>
      <c r="E1020">
        <f>INDEX(FactorTable!$B$2:$Y$301, MATCH(ROUND(MIN(300,MAX(1,D1020)),0), FactorTable!$A$2:$A$301,0), Skills!M26+1)</f>
        <v/>
      </c>
      <c r="F1020">
        <f>IF(Skills!N26=TRUE,(Skills!L26/10)*(E1020/1000),Skills!L26/10)+Skills!O26</f>
        <v/>
      </c>
      <c r="G1020">
        <f>Skills!G26*IF(Skills!H26&gt;0,Skills!I26/Skills!H26,1)</f>
        <v/>
      </c>
      <c r="H1020">
        <f>1-(1-Skills!J26/100)^Skills!K26</f>
        <v/>
      </c>
      <c r="I1020" t="inlineStr">
        <is>
          <t>1</t>
        </is>
      </c>
      <c r="J1020" t="inlineStr"/>
      <c r="K1020" t="inlineStr"/>
      <c r="L1020" t="inlineStr"/>
      <c r="M1020" t="inlineStr"/>
      <c r="N1020" t="inlineStr"/>
      <c r="O1020" t="n">
        <v>0</v>
      </c>
      <c r="P1020">
        <f>IF(B1039=0,0,O1020/B1039)</f>
        <v/>
      </c>
      <c r="Q1020" t="n">
        <v>0</v>
      </c>
      <c r="R1020" t="n">
        <v>0</v>
      </c>
      <c r="S1020">
        <f>IFERROR(O1020/N1020,0)</f>
        <v/>
      </c>
    </row>
    <row r="1021">
      <c r="A1021">
        <f>Skills!A27</f>
        <v/>
      </c>
      <c r="B1021">
        <f>Skills!B27</f>
        <v/>
      </c>
      <c r="C1021">
        <f>Inputs!$B$3&gt;=38</f>
        <v/>
      </c>
      <c r="D1021">
        <f>IF(Skills!C27=1,60+Inputs!$B$25+(Inputs!$B$29+1),IF(Skills!C27=2,90+Inputs!$B$26+(Inputs!$B$29+1),IF(Skills!C27=3,120+Inputs!$B$27+(Inputs!$B$29+1),MAX(0,(Inputs!$B$3-100)*3)+Inputs!$B$28+(Inputs!$B$29+1))))</f>
        <v/>
      </c>
      <c r="E1021">
        <f>INDEX(FactorTable!$B$2:$Y$301, MATCH(ROUND(MIN(300,MAX(1,D1021)),0), FactorTable!$A$2:$A$301,0), Skills!M27+1)</f>
        <v/>
      </c>
      <c r="F1021">
        <f>IF(Skills!N27=TRUE,(Skills!L27/10)*(E1021/1000),Skills!L27/10)+Skills!O27</f>
        <v/>
      </c>
      <c r="G1021">
        <f>Skills!G27*IF(Skills!H27&gt;0,Skills!I27/Skills!H27,1)</f>
        <v/>
      </c>
      <c r="H1021">
        <f>1-(1-Skills!J27/100)^Skills!K27</f>
        <v/>
      </c>
      <c r="I1021" t="inlineStr">
        <is>
          <t>1</t>
        </is>
      </c>
      <c r="J1021" t="inlineStr"/>
      <c r="K1021" t="inlineStr"/>
      <c r="L1021" t="inlineStr"/>
      <c r="M1021" t="inlineStr"/>
      <c r="N1021" t="inlineStr"/>
      <c r="O1021" t="n">
        <v>0</v>
      </c>
      <c r="P1021">
        <f>IF(B1039=0,0,O1021/B1039)</f>
        <v/>
      </c>
      <c r="Q1021" t="n">
        <v>0</v>
      </c>
      <c r="R1021" t="n">
        <v>0</v>
      </c>
      <c r="S1021">
        <f>IFERROR(O1021/N1021,0)</f>
        <v/>
      </c>
    </row>
    <row r="1022">
      <c r="A1022">
        <f>Skills!A28</f>
        <v/>
      </c>
      <c r="B1022">
        <f>Skills!B28</f>
        <v/>
      </c>
      <c r="C1022">
        <f>Inputs!$B$3&gt;=120</f>
        <v/>
      </c>
      <c r="D1022">
        <f>IF(Skills!C28=1,60+Inputs!$B$25+(Inputs!$B$29+1),IF(Skills!C28=2,90+Inputs!$B$26+(Inputs!$B$29+1),IF(Skills!C28=3,120+Inputs!$B$27+(Inputs!$B$29+1),MAX(0,(Inputs!$B$3-100)*3)+Inputs!$B$28+(Inputs!$B$29+1))))</f>
        <v/>
      </c>
      <c r="E1022">
        <f>INDEX(FactorTable!$B$2:$Y$301, MATCH(ROUND(MIN(300,MAX(1,D1022)),0), FactorTable!$A$2:$A$301,0), Skills!M28+1)</f>
        <v/>
      </c>
      <c r="F1022">
        <f>IF(Skills!N28=TRUE,(Skills!L28/10)*(E1022/1000),Skills!L28/10)+Skills!O28</f>
        <v/>
      </c>
      <c r="G1022">
        <f>Skills!G28*IF(Skills!H28&gt;0,Skills!I28/Skills!H28,1)</f>
        <v/>
      </c>
      <c r="H1022">
        <f>1-(1-Skills!J28/100)^Skills!K28</f>
        <v/>
      </c>
      <c r="I1022" t="inlineStr">
        <is>
          <t>1</t>
        </is>
      </c>
      <c r="J1022" t="inlineStr"/>
      <c r="K1022" t="inlineStr"/>
      <c r="L1022" t="inlineStr"/>
      <c r="M1022" t="inlineStr"/>
      <c r="N1022" t="inlineStr"/>
      <c r="O1022" t="n">
        <v>0</v>
      </c>
      <c r="P1022">
        <f>IF(B1039=0,0,O1022/B1039)</f>
        <v/>
      </c>
      <c r="Q1022" t="n">
        <v>0</v>
      </c>
      <c r="R1022" t="n">
        <v>0</v>
      </c>
      <c r="S1022">
        <f>IFERROR(O1022/N1022,0)</f>
        <v/>
      </c>
    </row>
    <row r="1023">
      <c r="A1023">
        <f>Skills!A29</f>
        <v/>
      </c>
      <c r="B1023">
        <f>Skills!B29</f>
        <v/>
      </c>
      <c r="C1023">
        <f>Inputs!$B$3&gt;=120</f>
        <v/>
      </c>
      <c r="D1023">
        <f>IF(Skills!C29=1,60+Inputs!$B$25+(Inputs!$B$29+1),IF(Skills!C29=2,90+Inputs!$B$26+(Inputs!$B$29+1),IF(Skills!C29=3,120+Inputs!$B$27+(Inputs!$B$29+1),MAX(0,(Inputs!$B$3-100)*3)+Inputs!$B$28+(Inputs!$B$29+1))))</f>
        <v/>
      </c>
      <c r="E1023">
        <f>INDEX(FactorTable!$B$2:$Y$301, MATCH(ROUND(MIN(300,MAX(1,D1023)),0), FactorTable!$A$2:$A$301,0), Skills!M29+1)</f>
        <v/>
      </c>
      <c r="F1023">
        <f>IF(Skills!N29=TRUE,(Skills!L29/10)*(E1023/1000),Skills!L29/10)+Skills!O29</f>
        <v/>
      </c>
      <c r="G1023">
        <f>Skills!G29*IF(Skills!H29&gt;0,Skills!I29/Skills!H29,1)</f>
        <v/>
      </c>
      <c r="H1023">
        <f>1-(1-Skills!J29/100)^Skills!K29</f>
        <v/>
      </c>
      <c r="I1023" t="inlineStr">
        <is>
          <t>1</t>
        </is>
      </c>
      <c r="J1023" t="inlineStr"/>
      <c r="K1023" t="inlineStr"/>
      <c r="L1023" t="inlineStr"/>
      <c r="M1023" t="inlineStr"/>
      <c r="N1023" t="inlineStr"/>
      <c r="O1023" t="n">
        <v>0</v>
      </c>
      <c r="P1023">
        <f>IF(B1039=0,0,O1023/B1039)</f>
        <v/>
      </c>
      <c r="Q1023" t="n">
        <v>0</v>
      </c>
      <c r="R1023" t="n">
        <v>0</v>
      </c>
      <c r="S1023">
        <f>IFERROR(O1023/N1023,0)</f>
        <v/>
      </c>
    </row>
    <row r="1024">
      <c r="A1024">
        <f>Skills!A30</f>
        <v/>
      </c>
      <c r="B1024">
        <f>Skills!B30</f>
        <v/>
      </c>
      <c r="C1024">
        <f>Inputs!$B$3&gt;=125</f>
        <v/>
      </c>
      <c r="D1024">
        <f>IF(Skills!C30=1,60+Inputs!$B$25+(Inputs!$B$29+1),IF(Skills!C30=2,90+Inputs!$B$26+(Inputs!$B$29+1),IF(Skills!C30=3,120+Inputs!$B$27+(Inputs!$B$29+1),MAX(0,(Inputs!$B$3-100)*3)+Inputs!$B$28+(Inputs!$B$29+1))))</f>
        <v/>
      </c>
      <c r="E1024">
        <f>INDEX(FactorTable!$B$2:$Y$301, MATCH(ROUND(MIN(300,MAX(1,D1024)),0), FactorTable!$A$2:$A$301,0), Skills!M30+1)</f>
        <v/>
      </c>
      <c r="F1024">
        <f>IF(Skills!N30=TRUE,(Skills!L30/10)*(E1024/1000),Skills!L30/10)+Skills!O30</f>
        <v/>
      </c>
      <c r="G1024">
        <f>Skills!G30*IF(Skills!H30&gt;0,Skills!I30/Skills!H30,1)</f>
        <v/>
      </c>
      <c r="H1024">
        <f>1-(1-Skills!J30/100)^Skills!K30</f>
        <v/>
      </c>
      <c r="I1024" t="inlineStr">
        <is>
          <t>1</t>
        </is>
      </c>
      <c r="J1024" t="inlineStr"/>
      <c r="K1024" t="inlineStr"/>
      <c r="L1024" t="inlineStr"/>
      <c r="M1024" t="inlineStr"/>
      <c r="N1024" t="inlineStr"/>
      <c r="O1024" t="n">
        <v>0</v>
      </c>
      <c r="P1024">
        <f>IF(B1039=0,0,O1024/B1039)</f>
        <v/>
      </c>
      <c r="Q1024" t="n">
        <v>0</v>
      </c>
      <c r="R1024" t="n">
        <v>0</v>
      </c>
      <c r="S1024">
        <f>IFERROR(O1024/N1024,0)</f>
        <v/>
      </c>
    </row>
    <row r="1026">
      <c r="A1026" t="inlineStr">
        <is>
          <t>Average Buff Multiplier</t>
        </is>
      </c>
      <c r="B1026">
        <f>(1+(((C1015=TRUE)*F1015*IF(AND(Inputs!$B$39&lt;&gt;"pvp",Inputs!$B$44&gt;0),(((R1015-1)*(Skills!Y21*(1+Inputs!$B$34/100))+MIN((Skills!Y21*(1+Inputs!$B$34/100)),MAX(0,Inputs!$B$44-((R1015-1)*Skills!D21))))/Inputs!$B$44),IF(Inputs!$B$39="pvp",MIN((Skills!Y21*(1+Inputs!$B$34/100)),15)/15,(Skills!Y21*(1+Inputs!$B$34/100))/Skills!D21)))+((C1017=TRUE)*(F1017-Calc!F23))+((C1011=TRUE)*(F1011-Calc!F17)))/100)*(1+((C1004=TRUE)*F1004*IF(AND(Inputs!$B$39&lt;&gt;"pvp",Inputs!$B$44&gt;0),(((R1004-1)*(Skills!Y10*(1+Inputs!$B$34/100))+MIN((Skills!Y10*(1+Inputs!$B$34/100)),MAX(0,Inputs!$B$44-((R1004-1)*Skills!D10))))/Inputs!$B$44),IF(Inputs!$B$39="pvp",MIN((Skills!Y10*(1+Inputs!$B$34/100)),15)/15,(Skills!Y10*(1+Inputs!$B$34/100))/Skills!D10)))/100)*(1+((C1009=TRUE)*F1009*IF(AND(Inputs!$B$39&lt;&gt;"pvp",Inputs!$B$44&gt;0),(((R1009-1)*(Skills!Y15*(1+Inputs!$B$34/100))+MIN((Skills!Y15*(1+Inputs!$B$34/100)),MAX(0,Inputs!$B$44-((R1009-1)*Skills!D15))))/Inputs!$B$44),IF(Inputs!$B$39="pvp",MIN((Skills!Y15*(1+Inputs!$B$34/100)),15)/15,(Skills!Y15*(1+Inputs!$B$34/100))/Skills!D15)))/100)</f>
        <v/>
      </c>
    </row>
    <row r="1027">
      <c r="A1027" t="inlineStr">
        <is>
          <t>Global Crit Rate Bonus %</t>
        </is>
      </c>
      <c r="B1027">
        <f>((C1014=TRUE)*F1014*IF(AND(Inputs!$B$39&lt;&gt;"pvp",Inputs!$B$44&gt;0),(((R1014-1)*(Skills!Y20*(1+Inputs!$B$34/100))+MIN((Skills!Y20*(1+Inputs!$B$34/100)),MAX(0,Inputs!$B$44-((R1014-1)*Skills!D20))))/Inputs!$B$44),IF(Inputs!$B$39="pvp",MIN((Skills!Y20*(1+Inputs!$B$34/100)),15)/15,(Skills!Y20*(1+Inputs!$B$34/100))/Skills!D20)))</f>
        <v/>
      </c>
    </row>
    <row r="1028">
      <c r="A1028" t="inlineStr">
        <is>
          <t>Global Monster Damage-Taken Bonus %</t>
        </is>
      </c>
      <c r="B1028">
        <f>IF(Inputs!$B$3&gt;=82,15,0)</f>
        <v/>
      </c>
    </row>
    <row r="1029">
      <c r="A1029" t="inlineStr">
        <is>
          <t>Shadow Partner Average Multiplier</t>
        </is>
      </c>
      <c r="B1029">
        <f>1+((C1001=TRUE)*F1001*(1+3.3333333333333335*IF(C1012=TRUE,F1012,0)/100)*I1001*Skills!J7/100)/100</f>
        <v/>
      </c>
    </row>
    <row r="1030">
      <c r="A1030" t="inlineStr">
        <is>
          <t>Attack Speed Buff Bonus %</t>
        </is>
      </c>
      <c r="B1030">
        <f>((C1013=TRUE)*F1013*IF(AND(Inputs!$B$39&lt;&gt;"pvp",Inputs!$B$44&gt;0),(((R1013-1)*(Skills!Y19*(1+Inputs!$B$34/100))+MIN((Skills!Y19*(1+Inputs!$B$34/100)),MAX(0,Inputs!$B$44-((R1013-1)*Skills!D19))))/Inputs!$B$44),IF(Inputs!$B$39="pvp",MIN((Skills!Y19*(1+Inputs!$B$34/100)),15)/15,(Skills!Y19*(1+Inputs!$B$34/100))/Skills!D19)))+((C997=TRUE)*F997*3)</f>
        <v/>
      </c>
    </row>
    <row r="1031">
      <c r="A1031" t="inlineStr">
        <is>
          <t>Actions Per Second</t>
        </is>
      </c>
      <c r="B1031">
        <f>1+MIN(150,150*(1-(1-(Inputs!$B$11+((C1016=TRUE)*(F1016-Calc!F22)))/150)*(1-B1030/150)))/100</f>
        <v/>
      </c>
    </row>
    <row r="1032">
      <c r="A1032" t="inlineStr">
        <is>
          <t>Skill + Buff Cast Rate</t>
        </is>
      </c>
      <c r="B1032">
        <f>IF(AND(Inputs!$B$39&lt;&gt;"pvp",Inputs!$B$44&gt;0),SUMPRODUCT((Skills!E2:E30=TRUE)*(C996:C1024=TRUE)*R996:R1024*Skills!F2:F30)/Inputs!$B$44,SUMPRODUCT((Skills!E2:E30=TRUE)*(C996:C1024=TRUE)*Q996:Q1024*Skills!F2:F30))</f>
        <v/>
      </c>
    </row>
    <row r="1033">
      <c r="A1033" t="inlineStr">
        <is>
          <t>Cruel Stab Casts Per Second</t>
        </is>
      </c>
      <c r="B1033">
        <f>MAX(0,B1031-B1032)</f>
        <v/>
      </c>
    </row>
    <row r="1034">
      <c r="A1034" t="inlineStr">
        <is>
          <t>Global Critical Damage Bonus % (Smokescreen Mastery Lv.113)</t>
        </is>
      </c>
      <c r="B1034">
        <f>IF(Inputs!$B$3&gt;=113,30,0)*IF(AND(Inputs!$B$39&lt;&gt;"pvp",Inputs!$B$44&gt;0),(((R1009-1)*(Skills!Y15*(1+Inputs!$B$34/100))+MIN((Skills!Y15*(1+Inputs!$B$34/100)),MAX(0,Inputs!$B$44-((R1009-1)*Skills!D15))))/Inputs!$B$44),IF(Inputs!$B$39="pvp",MIN((Skills!Y15*(1+Inputs!$B$34/100)),15)/15,(Skills!Y15*(1+Inputs!$B$34/100))/Skills!D15))</f>
        <v/>
      </c>
    </row>
    <row r="1035">
      <c r="A1035" t="inlineStr">
        <is>
          <t>Meso Explosion average stack count</t>
        </is>
      </c>
      <c r="B1035">
        <f>MIN(10,0.5*B1031*Skills!D4)</f>
        <v/>
      </c>
    </row>
    <row r="1036">
      <c r="A1036" t="inlineStr">
        <is>
          <t>Blood Money average stack count</t>
        </is>
      </c>
      <c r="B1036">
        <f>MIN(5,0.25*B1031*Skills!D4)</f>
        <v/>
      </c>
    </row>
    <row r="1037">
      <c r="A1037" t="inlineStr">
        <is>
          <t>Assassinate Murderous Intent Multiplier</t>
        </is>
      </c>
      <c r="B1037">
        <f>1+IFERROR(MIN(1,Q1008*2/Q1005),0)</f>
        <v/>
      </c>
    </row>
    <row r="1038">
      <c r="A1038" t="inlineStr">
        <is>
          <t>Buff-Casting Startup Delay (s, fixed-duration only)</t>
        </is>
      </c>
      <c r="B1038">
        <f>IF(AND(Inputs!$B$39&lt;&gt;"pvp",Inputs!$B$44&gt;0),SUMPRODUCT((Skills!Y2:Y30&gt;0)*(Skills!E2:E30=TRUE)*(C996:C1024=TRUE))/B1031,0)</f>
        <v/>
      </c>
    </row>
    <row r="1039">
      <c r="A1039" s="5" t="inlineStr">
        <is>
          <t>TOTAL DPS</t>
        </is>
      </c>
      <c r="B1039" s="5">
        <f>SUM(O996:O1024)</f>
        <v/>
      </c>
    </row>
    <row r="1042">
      <c r="A1042" s="5" t="inlineStr">
        <is>
          <t>Stat: Flat ATTACK</t>
        </is>
      </c>
    </row>
    <row r="1043">
      <c r="A1043" s="9" t="inlineStr">
        <is>
          <t>Key</t>
        </is>
      </c>
      <c r="B1043" s="9" t="inlineStr">
        <is>
          <t>Name</t>
        </is>
      </c>
      <c r="C1043" s="9" t="inlineStr">
        <is>
          <t>Unlocked</t>
        </is>
      </c>
      <c r="D1043" s="9" t="inlineStr">
        <is>
          <t>InputLevel</t>
        </is>
      </c>
      <c r="E1043" s="9" t="inlineStr">
        <is>
          <t>Factor</t>
        </is>
      </c>
      <c r="F1043" s="9" t="inlineStr">
        <is>
          <t>CoefficientPercent</t>
        </is>
      </c>
      <c r="G1043" s="9" t="inlineStr">
        <is>
          <t>EffectiveHits</t>
        </is>
      </c>
      <c r="H1043" s="9" t="inlineStr">
        <is>
          <t>ProcProbability</t>
        </is>
      </c>
      <c r="I1043" s="9" t="inlineStr">
        <is>
          <t>MapleHeroMultiplier</t>
        </is>
      </c>
      <c r="J1043" s="9" t="inlineStr">
        <is>
          <t>BaseDamage</t>
        </is>
      </c>
      <c r="K1043" s="9" t="inlineStr">
        <is>
          <t>BaseHitDamage</t>
        </is>
      </c>
      <c r="L1043" s="9" t="inlineStr">
        <is>
          <t>NonCritAvg</t>
        </is>
      </c>
      <c r="M1043" s="9" t="inlineStr">
        <is>
          <t>CritAvg</t>
        </is>
      </c>
      <c r="N1043" s="9" t="inlineStr">
        <is>
          <t>ExpectedDamage(perHit)</t>
        </is>
      </c>
      <c r="O1043" s="9" t="inlineStr">
        <is>
          <t>DPS</t>
        </is>
      </c>
      <c r="P1043" s="9" t="inlineStr">
        <is>
          <t>% of Total</t>
        </is>
      </c>
      <c r="Q1043" s="9" t="inlineStr">
        <is>
          <t>InvCooldown</t>
        </is>
      </c>
      <c r="R1043" s="9" t="inlineStr">
        <is>
          <t>CastsInFight</t>
        </is>
      </c>
      <c r="S1043" s="9" t="inlineStr">
        <is>
          <t>HitRate(perSec)</t>
        </is>
      </c>
      <c r="U1043" t="inlineStr">
        <is>
          <t>helpers</t>
        </is>
      </c>
    </row>
    <row r="1044">
      <c r="A1044">
        <f>Skills!A2</f>
        <v/>
      </c>
      <c r="B1044">
        <f>Skills!B2</f>
        <v/>
      </c>
      <c r="C1044">
        <f>Inputs!$B$3&gt;=100</f>
        <v/>
      </c>
      <c r="D1044" t="inlineStr"/>
      <c r="E1044" t="inlineStr"/>
      <c r="F1044">
        <f>U1046+Skills!O2</f>
        <v/>
      </c>
      <c r="G1044">
        <f>Skills!G2*IF(Skills!H2&gt;0,Skills!I2/Skills!H2,1)</f>
        <v/>
      </c>
      <c r="H1044">
        <f>1-(1-Skills!J2/100)^Skills!K2</f>
        <v/>
      </c>
      <c r="I1044" t="inlineStr">
        <is>
          <t>1</t>
        </is>
      </c>
      <c r="J1044">
        <f>(((Inputs!$B$6+1)*(1+Inputs!$B$7/100))+(((Inputs!$B$12*(1+Inputs!$B$13/100))-(Inputs!$B$12*(1+Inputs!$B$13/100)))+0.25*(Inputs!$B$14-Inputs!$B$14))*(1+Inputs!$B$7/100))*(F1044/100)</f>
        <v/>
      </c>
      <c r="K1044">
        <f>J1044*(1+((Inputs!$B$12*(1+Inputs!$B$13/100))*0.01+Inputs!$B$14*0.0025)/100)*(1+Inputs!$B$15/100)*(1+IF(Inputs!$B$39="pvp",0,(1-Summary!$B$55)*(Inputs!$B$20+0+Skills!P2+B1076)+Summary!$B$55*(Inputs!$B$21+Skills!Q2+B1076))/100)*(1+Inputs!$B$16/100)*(5000/(6000+Inputs!$B$43*(1-Inputs!$B$19/100)))*(1+(Inputs!$B$24+((C1072=TRUE)*(F1072-Calc!F30)))/100)*(1+(IF(Skills!A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1044)</f>
        <v/>
      </c>
      <c r="L1044">
        <f>K1044*(MIN(Inputs!$B$22+((C1066=TRUE)*(F1066-Calc!F24)),Inputs!$B$23+((C1071=TRUE)*(F1071-Calc!F29)))/100+(Inputs!$B$23+((C1071=TRUE)*(F1071-Calc!F29)))/100)/2</f>
        <v/>
      </c>
      <c r="M1044">
        <f>L1044*(1+(Inputs!$B$10+((C1068=TRUE)*(F1068-Calc!F26))+B1082)/100)</f>
        <v/>
      </c>
      <c r="N1044">
        <f>L1044*(1-MIN((Inputs!$B$9+((C1067=TRUE)*(F1067-Calc!F25))+B1075),100)/100)+M1044*(MIN((Inputs!$B$9+((C1067=TRUE)*(F1067-Calc!F25))+B1075),100)/100)</f>
        <v/>
      </c>
      <c r="O1044">
        <f>IF(C1044,Skills!G2*N1044*B1081*IF(Inputs!$B$39="pvp",1,(1-Summary!$B$55)*(1)+Summary!$B$55*(MIN((6+Inputs!$B$33),Inputs!$B$37))),0)</f>
        <v/>
      </c>
      <c r="P1044">
        <f>IF(B1087=0,0,O1044/B1087)</f>
        <v/>
      </c>
      <c r="Q1044" t="n">
        <v>0</v>
      </c>
      <c r="R1044" t="n">
        <v>0</v>
      </c>
      <c r="S1044">
        <f>IFERROR(O1044/N1044,0)</f>
        <v/>
      </c>
      <c r="U1044">
        <f>MAX(0,(Inputs!$B$3-100)*3)+Inputs!$B$28+Inputs!$B$29</f>
        <v/>
      </c>
    </row>
    <row r="1045">
      <c r="A1045">
        <f>Skills!A3</f>
        <v/>
      </c>
      <c r="B1045">
        <f>Skills!B3</f>
        <v/>
      </c>
      <c r="C1045">
        <f>Inputs!$B$3&gt;=35</f>
        <v/>
      </c>
      <c r="D1045">
        <f>IF(Skills!C3=1,60+Inputs!$B$25+Inputs!$B$29,IF(Skills!C3=2,90+Inputs!$B$26+Inputs!$B$29,IF(Skills!C3=3,120+Inputs!$B$27+Inputs!$B$29,MAX(0,(Inputs!$B$3-100)*3)+Inputs!$B$28+Inputs!$B$29)))</f>
        <v/>
      </c>
      <c r="E1045">
        <f>INDEX(FactorTable!$B$2:$Y$301, MATCH(ROUND(MIN(300,MAX(1,D1045)),0), FactorTable!$A$2:$A$301,0), Skills!M3+1)</f>
        <v/>
      </c>
      <c r="F1045">
        <f>IF(Skills!N3=TRUE,(Skills!L3/10)*(E1045/1000),Skills!L3/10)+Skills!O3</f>
        <v/>
      </c>
      <c r="G1045">
        <f>Skills!G3*IF(Skills!H3&gt;0,Skills!I3/Skills!H3,1)</f>
        <v/>
      </c>
      <c r="H1045">
        <f>1-(1-Skills!J3/100)^Skills!K3</f>
        <v/>
      </c>
      <c r="I1045" t="inlineStr">
        <is>
          <t>1</t>
        </is>
      </c>
      <c r="J1045" t="inlineStr"/>
      <c r="K1045" t="inlineStr"/>
      <c r="L1045" t="inlineStr"/>
      <c r="M1045" t="inlineStr"/>
      <c r="N1045" t="inlineStr"/>
      <c r="O1045" t="n">
        <v>0</v>
      </c>
      <c r="P1045">
        <f>IF(B1087=0,0,O1045/B1087)</f>
        <v/>
      </c>
      <c r="Q1045" t="n">
        <v>0</v>
      </c>
      <c r="R1045" t="n">
        <v>0</v>
      </c>
      <c r="S1045">
        <f>IFERROR(O1045/N1045,0)</f>
        <v/>
      </c>
      <c r="U1045">
        <f>INDEX(FactorTable!$B$2:$Y$301, MATCH(ROUND(MIN(300,MAX(1,U1044)),0), FactorTable!$A$2:$A$301,0), 22)</f>
        <v/>
      </c>
    </row>
    <row r="1046">
      <c r="A1046">
        <f>Skills!A4</f>
        <v/>
      </c>
      <c r="B1046">
        <f>Skills!B4</f>
        <v/>
      </c>
      <c r="C1046">
        <f>Inputs!$B$3&gt;=66</f>
        <v/>
      </c>
      <c r="D1046">
        <f>IF(Skills!C4=1,60+Inputs!$B$25+Inputs!$B$29,IF(Skills!C4=2,90+Inputs!$B$26+Inputs!$B$29,IF(Skills!C4=3,120+Inputs!$B$27+Inputs!$B$29,MAX(0,(Inputs!$B$3-100)*3)+Inputs!$B$28+Inputs!$B$29)))</f>
        <v/>
      </c>
      <c r="E1046">
        <f>INDEX(FactorTable!$B$2:$Y$301, MATCH(ROUND(MIN(300,MAX(1,D1046)),0), FactorTable!$A$2:$A$301,0), Skills!M4+1)</f>
        <v/>
      </c>
      <c r="F1046">
        <f>IF(Skills!N4=TRUE,(Skills!L4/10)*(E1046/1000),Skills!L4/10)+Skills!O4</f>
        <v/>
      </c>
      <c r="G1046">
        <f>Skills!G4*IF(Skills!H4&gt;0,Skills!I4/Skills!H4,1)</f>
        <v/>
      </c>
      <c r="H1046">
        <f>1-(1-Skills!J4/100)^Skills!K4</f>
        <v/>
      </c>
      <c r="I1046" t="inlineStr">
        <is>
          <t>1</t>
        </is>
      </c>
      <c r="J1046">
        <f>(((Inputs!$B$6+1)*(1+Inputs!$B$7/100))+(((Inputs!$B$12*(1+Inputs!$B$13/100))-(Inputs!$B$12*(1+Inputs!$B$13/100)))+0.25*(Inputs!$B$14-Inputs!$B$14))*(1+Inputs!$B$7/100))*(F1046/100)</f>
        <v/>
      </c>
      <c r="K1046">
        <f>J1046*(1+((Inputs!$B$12*(1+Inputs!$B$13/100))*0.01+Inputs!$B$14*0.0025)/100)*(1+Inputs!$B$15/100)*(1+IF(Inputs!$B$39="pvp",0,(1-Summary!$B$55)*(Inputs!$B$20+0+Skills!P4+B1076)+Summary!$B$55*(Inputs!$B$21+Skills!Q4+B1076))/100)*(1+Inputs!$B$16/100)*(5000/(6000+Inputs!$B$43*(1-Inputs!$B$19/100)))*(1+(Inputs!$B$24+((C1072=TRUE)*(F1072-Calc!F30)))/100)*(1+(IF(Skills!A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1046)</f>
        <v/>
      </c>
      <c r="L1046">
        <f>K1046*(MIN(Inputs!$B$22+((C1066=TRUE)*(F1066-Calc!F24)),Inputs!$B$23+((C1071=TRUE)*(F1071-Calc!F29)))/100+(Inputs!$B$23+((C1071=TRUE)*(F1071-Calc!F29)))/100)/2</f>
        <v/>
      </c>
      <c r="M1046">
        <f>L1046*(1+(Inputs!$B$10+((C1068=TRUE)*(F1068-Calc!F26))+B1082)/100)</f>
        <v/>
      </c>
      <c r="N1046">
        <f>L1046*(1-MIN((Inputs!$B$9+((C1067=TRUE)*(F1067-Calc!F25))+B1075),100)/100)+M1046*(MIN((Inputs!$B$9+((C1067=TRUE)*(F1067-Calc!F25))+B1075),100)/100)</f>
        <v/>
      </c>
      <c r="O1046">
        <f>IF(C1046,H1046*N1046*IF(AND(Inputs!$B$39&lt;&gt;"pvp",Inputs!$B$44&gt;0),((Skills!G4*((R1046-1)*IF(Skills!H4&gt;0,Skills!I4/Skills!H4,1)+IF(Skills!H4&gt;0,MIN(Skills!I4,MAX(0,MAX(0,Inputs!$B$44-B1086)-((R1046-1)*IF(Inputs!$B$39="pvp",15,MAX(0.1,Skills!D4-IF(Skills!E4=TRUE,Inputs!$B$32,0))))))/Skills!H4,1)))/Inputs!$B$44),G1046*Q1046)*IF(Inputs!$B$39="pvp",1,(1-Summary!$B$55)*(1)+Summary!$B$55*(MIN(MIN(10,0.5*B1079*Skills!D4),Inputs!$B$37))),0)</f>
        <v/>
      </c>
      <c r="P1046">
        <f>IF(B1087=0,0,O1046/B1087)</f>
        <v/>
      </c>
      <c r="Q1046">
        <f>IFERROR(1/IF(Inputs!$B$39="pvp",15,MAX(0.1,Skills!D4-IF(Skills!E4=TRUE,Inputs!$B$32,0))),0)</f>
        <v/>
      </c>
      <c r="R1046">
        <f>IF(AND(Inputs!$B$39&lt;&gt;"pvp",Inputs!$B$44&gt;0),IF(MAX(0,Inputs!$B$44-B1086)&lt;=0,0,(INT(MAX(0,Inputs!$B$44-B1086)/IF(Inputs!$B$39="pvp",15,MAX(0.1,Skills!D4-IF(Skills!E4=TRUE,Inputs!$B$32,0))))+1)),0)</f>
        <v/>
      </c>
      <c r="S1046">
        <f>IFERROR(O1046/N1046,0)</f>
        <v/>
      </c>
      <c r="U1046">
        <f>290*U1045/1000</f>
        <v/>
      </c>
    </row>
    <row r="1047">
      <c r="A1047">
        <f>Skills!A5</f>
        <v/>
      </c>
      <c r="B1047">
        <f>Skills!B5</f>
        <v/>
      </c>
      <c r="C1047">
        <f>Inputs!$B$3&gt;=63</f>
        <v/>
      </c>
      <c r="D1047">
        <f>IF(Skills!C5=1,60+Inputs!$B$25+Inputs!$B$29,IF(Skills!C5=2,90+Inputs!$B$26+Inputs!$B$29,IF(Skills!C5=3,120+Inputs!$B$27+Inputs!$B$29,MAX(0,(Inputs!$B$3-100)*3)+Inputs!$B$28+Inputs!$B$29)))</f>
        <v/>
      </c>
      <c r="E1047">
        <f>INDEX(FactorTable!$B$2:$Y$301, MATCH(ROUND(MIN(300,MAX(1,D1047)),0), FactorTable!$A$2:$A$301,0), Skills!M5+1)</f>
        <v/>
      </c>
      <c r="F1047">
        <f>IF(Skills!N5=TRUE,(Skills!L5/10)*(E1047/1000),Skills!L5/10)+Skills!O5</f>
        <v/>
      </c>
      <c r="G1047">
        <f>Skills!G5*IF(Skills!H5&gt;0,Skills!I5/Skills!H5,1)</f>
        <v/>
      </c>
      <c r="H1047">
        <f>1-(1-Skills!J5/100)^Skills!K5</f>
        <v/>
      </c>
      <c r="I1047" t="inlineStr">
        <is>
          <t>1</t>
        </is>
      </c>
      <c r="J1047">
        <f>(((Inputs!$B$6+1)*(1+Inputs!$B$7/100))+(((Inputs!$B$12*(1+Inputs!$B$13/100))-(Inputs!$B$12*(1+Inputs!$B$13/100)))+0.25*(Inputs!$B$14-Inputs!$B$14))*(1+Inputs!$B$7/100))*(F1047/100)</f>
        <v/>
      </c>
      <c r="K1047">
        <f>J1047*(1+((Inputs!$B$12*(1+Inputs!$B$13/100))*0.01+Inputs!$B$14*0.0025)/100)*(1+Inputs!$B$15/100)*(1+IF(Inputs!$B$39="pvp",0,(1-Summary!$B$55)*(Inputs!$B$20+0+Skills!P5+B1076)+Summary!$B$55*(Inputs!$B$21+Skills!Q5+B1076))/100)*(1+Inputs!$B$16/100)*(5000/(6000+Inputs!$B$43*(1-Inputs!$B$19/100)))*(1+(Inputs!$B$24+((C1072=TRUE)*(F1072-Calc!F30)))/100)*(1+2.6666666666666665*IF(C1060=TRUE,F1060,0)/100)*(1+(IF(Skills!A5="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1047)</f>
        <v/>
      </c>
      <c r="L1047">
        <f>K1047*(MIN(Inputs!$B$22+((C1066=TRUE)*(F1066-Calc!F24)),Inputs!$B$23+((C1071=TRUE)*(F1071-Calc!F29)))/100+(Inputs!$B$23+((C1071=TRUE)*(F1071-Calc!F29)))/100)/2</f>
        <v/>
      </c>
      <c r="M1047">
        <f>L1047*(1+(Inputs!$B$10+((C1068=TRUE)*(F1068-Calc!F26))+B1082)/100)</f>
        <v/>
      </c>
      <c r="N1047">
        <f>L1047*(1-MIN((Inputs!$B$9+((C1067=TRUE)*(F1067-Calc!F25))+B1075),100)/100)+M1047*(MIN((Inputs!$B$9+((C1067=TRUE)*(F1067-Calc!F25))+B1075),100)/100)</f>
        <v/>
      </c>
      <c r="O1047">
        <f>IF(C1047,H1047*N1047*IF(AND(Inputs!$B$39&lt;&gt;"pvp",Inputs!$B$44&gt;0),((Skills!G5*((R1047-1)*IF(Skills!H5&gt;0,Skills!I5/Skills!H5,1)+IF(Skills!H5&gt;0,MIN(Skills!I5,MAX(0,MAX(0,Inputs!$B$44-B1086)-((R1047-1)*IF(Inputs!$B$39="pvp",15,MAX(0.1,Skills!D5-IF(Skills!E5=TRUE,Inputs!$B$32,0))))))/Skills!H5,1)))/Inputs!$B$44),G1047*Q1047)*IF(Inputs!$B$39="pvp",1,(1-Summary!$B$55)*(1)+Summary!$B$55*(MIN(Skills!W5,Inputs!$B$37))),0)</f>
        <v/>
      </c>
      <c r="P1047">
        <f>IF(B1087=0,0,O1047/B1087)</f>
        <v/>
      </c>
      <c r="Q1047">
        <f>IFERROR(1/IF(Inputs!$B$39="pvp",15,MAX(0.1,Skills!D5-IF(Skills!E5=TRUE,Inputs!$B$32,0))),0)</f>
        <v/>
      </c>
      <c r="R1047">
        <f>IF(AND(Inputs!$B$39&lt;&gt;"pvp",Inputs!$B$44&gt;0),IF(MAX(0,Inputs!$B$44-B1086)&lt;=0,0,(INT(MAX(0,Inputs!$B$44-B1086)/IF(Inputs!$B$39="pvp",15,MAX(0.1,Skills!D5-IF(Skills!E5=TRUE,Inputs!$B$32,0))))+1)),0)</f>
        <v/>
      </c>
      <c r="S1047">
        <f>IFERROR(O1047/N1047,0)</f>
        <v/>
      </c>
    </row>
    <row r="1048">
      <c r="A1048">
        <f>Skills!A6</f>
        <v/>
      </c>
      <c r="B1048">
        <f>Skills!B6</f>
        <v/>
      </c>
      <c r="C1048">
        <f>Inputs!$B$3&gt;=69</f>
        <v/>
      </c>
      <c r="D1048">
        <f>IF(Skills!C6=1,60+Inputs!$B$25+Inputs!$B$29,IF(Skills!C6=2,90+Inputs!$B$26+Inputs!$B$29,IF(Skills!C6=3,120+Inputs!$B$27+Inputs!$B$29,MAX(0,(Inputs!$B$3-100)*3)+Inputs!$B$28+Inputs!$B$29)))</f>
        <v/>
      </c>
      <c r="E1048">
        <f>INDEX(FactorTable!$B$2:$Y$301, MATCH(ROUND(MIN(300,MAX(1,D1048)),0), FactorTable!$A$2:$A$301,0), Skills!M6+1)</f>
        <v/>
      </c>
      <c r="F1048">
        <f>IF(Skills!N6=TRUE,(Skills!L6/10)*(E1048/1000),Skills!L6/10)+Skills!O6</f>
        <v/>
      </c>
      <c r="G1048">
        <f>Skills!G6*IF(Skills!H6&gt;0,Skills!I6/Skills!H6,1)</f>
        <v/>
      </c>
      <c r="H1048">
        <f>1-(1-Skills!J6/100)^Skills!K6</f>
        <v/>
      </c>
      <c r="I1048" t="inlineStr">
        <is>
          <t>1</t>
        </is>
      </c>
      <c r="J1048">
        <f>(((Inputs!$B$6+1)*(1+Inputs!$B$7/100))+(((Inputs!$B$12*(1+Inputs!$B$13/100))-(Inputs!$B$12*(1+Inputs!$B$13/100)))+0.25*(Inputs!$B$14-Inputs!$B$14))*(1+Inputs!$B$7/100))*(F1048/100)</f>
        <v/>
      </c>
      <c r="K1048">
        <f>J1048*(1+((Inputs!$B$12*(1+Inputs!$B$13/100))*0.01+Inputs!$B$14*0.0025)/100)*(1+Inputs!$B$15/100)*(1+IF(Inputs!$B$39="pvp",0,(1-Summary!$B$55)*(Inputs!$B$20+0+Skills!P6+B1076)+Summary!$B$55*(Inputs!$B$21+Skills!Q6+B1076))/100)*(1+Inputs!$B$16/100)*(5000/(6000+Inputs!$B$43*(1-Inputs!$B$19/100)))*(1+(Inputs!$B$24+((C1072=TRUE)*(F1072-Calc!F30)))/100)*(1+1.0*IF(C1060=TRUE,F1060,0)/100)*(1+(IF(Skills!A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1048)</f>
        <v/>
      </c>
      <c r="L1048">
        <f>K1048*(MIN(Inputs!$B$22+((C1066=TRUE)*(F1066-Calc!F24)),Inputs!$B$23+((C1071=TRUE)*(F1071-Calc!F29)))/100+(Inputs!$B$23+((C1071=TRUE)*(F1071-Calc!F29)))/100)/2</f>
        <v/>
      </c>
      <c r="M1048">
        <f>L1048*(1+(Inputs!$B$10+((C1068=TRUE)*(F1068-Calc!F26))+B1082)/100)</f>
        <v/>
      </c>
      <c r="N1048">
        <f>L1048*(1-MIN((Inputs!$B$9+((C1067=TRUE)*(F1067-Calc!F25))+B1075),100)/100)+M1048*(MIN((Inputs!$B$9+((C1067=TRUE)*(F1067-Calc!F25))+B1075),100)/100)</f>
        <v/>
      </c>
      <c r="O1048">
        <f>IF(C1048,H1048*N1048*IF(AND(Inputs!$B$39&lt;&gt;"pvp",Inputs!$B$44&gt;0),((Skills!G6*((R1048-1)*IF(Skills!H6&gt;0,Skills!I6/Skills!H6,1)+IF(Skills!H6&gt;0,MIN(Skills!I6,MAX(0,MAX(0,Inputs!$B$44-B1086)-((R1048-1)*IF(Inputs!$B$39="pvp",15,MAX(0.1,Skills!D6-IF(Skills!E6=TRUE,Inputs!$B$32,0))))))/Skills!H6,1)))/Inputs!$B$44),G1048*Q1048)*IF(Inputs!$B$39="pvp",1,(1-Summary!$B$55)*(1)+Summary!$B$55*(MIN(Skills!W6,Inputs!$B$37))),0)</f>
        <v/>
      </c>
      <c r="P1048">
        <f>IF(B1087=0,0,O1048/B1087)</f>
        <v/>
      </c>
      <c r="Q1048">
        <f>IFERROR(1/IF(Inputs!$B$39="pvp",15,MAX(0.1,Skills!D6-IF(Skills!E6=TRUE,Inputs!$B$32,0))),0)</f>
        <v/>
      </c>
      <c r="R1048">
        <f>IF(AND(Inputs!$B$39&lt;&gt;"pvp",Inputs!$B$44&gt;0),IF(MAX(0,Inputs!$B$44-B1086)&lt;=0,0,(INT(MAX(0,Inputs!$B$44-B1086)/IF(Inputs!$B$39="pvp",15,MAX(0.1,Skills!D6-IF(Skills!E6=TRUE,Inputs!$B$32,0))))+1)),0)</f>
        <v/>
      </c>
      <c r="S1048">
        <f>IFERROR(O1048/N1048,0)</f>
        <v/>
      </c>
    </row>
    <row r="1049">
      <c r="A1049">
        <f>Skills!A7</f>
        <v/>
      </c>
      <c r="B1049">
        <f>Skills!B7</f>
        <v/>
      </c>
      <c r="C1049">
        <f>Inputs!$B$3&gt;=60</f>
        <v/>
      </c>
      <c r="D1049">
        <f>IF(Skills!C7=1,60+Inputs!$B$25+Inputs!$B$29,IF(Skills!C7=2,90+Inputs!$B$26+Inputs!$B$29,IF(Skills!C7=3,120+Inputs!$B$27+Inputs!$B$29,MAX(0,(Inputs!$B$3-100)*3)+Inputs!$B$28+Inputs!$B$29)))</f>
        <v/>
      </c>
      <c r="E1049">
        <f>INDEX(FactorTable!$B$2:$Y$301, MATCH(ROUND(MIN(300,MAX(1,D1049)),0), FactorTable!$A$2:$A$301,0), Skills!M7+1)</f>
        <v/>
      </c>
      <c r="F1049">
        <f>IF(Skills!N7=TRUE,(Skills!L7/10)*(E1049/1000),Skills!L7/10)+Skills!O7</f>
        <v/>
      </c>
      <c r="G1049">
        <f>Skills!G7*IF(Skills!H7&gt;0,Skills!I7/Skills!H7,1)</f>
        <v/>
      </c>
      <c r="H1049">
        <f>1-(1-Skills!J7/100)^Skills!K7</f>
        <v/>
      </c>
      <c r="I1049" t="inlineStr">
        <is>
          <t>1</t>
        </is>
      </c>
      <c r="J1049" t="inlineStr"/>
      <c r="K1049" t="inlineStr"/>
      <c r="L1049" t="inlineStr"/>
      <c r="M1049" t="inlineStr"/>
      <c r="N1049" t="inlineStr"/>
      <c r="O1049" t="n">
        <v>0</v>
      </c>
      <c r="P1049">
        <f>IF(B1087=0,0,O1049/B1087)</f>
        <v/>
      </c>
      <c r="Q1049" t="n">
        <v>0</v>
      </c>
      <c r="R1049" t="n">
        <v>0</v>
      </c>
      <c r="S1049">
        <f>IFERROR(O1049/N1049,0)</f>
        <v/>
      </c>
    </row>
    <row r="1050">
      <c r="A1050">
        <f>Skills!A8</f>
        <v/>
      </c>
      <c r="B1050">
        <f>Skills!B8</f>
        <v/>
      </c>
      <c r="C1050">
        <f>Inputs!$B$3&gt;=72</f>
        <v/>
      </c>
      <c r="D1050">
        <f>IF(Skills!C8=1,60+Inputs!$B$25+Inputs!$B$29,IF(Skills!C8=2,90+Inputs!$B$26+Inputs!$B$29,IF(Skills!C8=3,120+Inputs!$B$27+Inputs!$B$29,MAX(0,(Inputs!$B$3-100)*3)+Inputs!$B$28+Inputs!$B$29)))</f>
        <v/>
      </c>
      <c r="E1050">
        <f>INDEX(FactorTable!$B$2:$Y$301, MATCH(ROUND(MIN(300,MAX(1,D1050)),0), FactorTable!$A$2:$A$301,0), Skills!M8+1)</f>
        <v/>
      </c>
      <c r="F1050">
        <f>IF(Skills!N8=TRUE,(Skills!L8/10)*(E1050/1000),Skills!L8/10)+Skills!O8</f>
        <v/>
      </c>
      <c r="G1050">
        <f>Skills!G8*IF(Skills!H8&gt;0,Skills!I8/Skills!H8,1)</f>
        <v/>
      </c>
      <c r="H1050">
        <f>1-(1-Skills!J8/100)^Skills!K8</f>
        <v/>
      </c>
      <c r="I1050" t="inlineStr">
        <is>
          <t>1</t>
        </is>
      </c>
      <c r="J1050">
        <f>(((Inputs!$B$6+1)*(1+Inputs!$B$7/100))+(((Inputs!$B$12*(1+Inputs!$B$13/100))-(Inputs!$B$12*(1+Inputs!$B$13/100)))+0.25*(Inputs!$B$14-Inputs!$B$14))*(1+Inputs!$B$7/100))*(F1050/100)</f>
        <v/>
      </c>
      <c r="K1050">
        <f>J1050*(1+((Inputs!$B$12*(1+Inputs!$B$13/100))*0.01+Inputs!$B$14*0.0025)/100)*(1+Inputs!$B$15/100)*(1+IF(Inputs!$B$39="pvp",0,(1-Summary!$B$55)*(Inputs!$B$20+0+Skills!P8+B1076)+Summary!$B$55*(Inputs!$B$21+Skills!Q8+B1076))/100)*(1+Inputs!$B$16/100)*(5000/(6000+Inputs!$B$43*(1-Inputs!$B$19/100)))*(1+(Inputs!$B$24+((C1072=TRUE)*(F1072-Calc!F30)))/100)*(1+3.3333333333333335*IF(C1060=TRUE,F1060,0)/100)*(1+(IF(Skills!A8="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1050)</f>
        <v/>
      </c>
      <c r="L1050">
        <f>K1050*(MIN(Inputs!$B$22+((C1066=TRUE)*(F1066-Calc!F24)),Inputs!$B$23+((C1071=TRUE)*(F1071-Calc!F29)))/100+(Inputs!$B$23+((C1071=TRUE)*(F1071-Calc!F29)))/100)/2</f>
        <v/>
      </c>
      <c r="M1050">
        <f>L1050*(1+(Inputs!$B$10+((C1068=TRUE)*(F1068-Calc!F26))+B1082)/100)</f>
        <v/>
      </c>
      <c r="N1050">
        <f>L1050*(1-MIN((Inputs!$B$9+((C1067=TRUE)*(F1067-Calc!F25))+B1075),100)/100)+M1050*(MIN((Inputs!$B$9+((C1067=TRUE)*(F1067-Calc!F25))+B1075),100)/100)</f>
        <v/>
      </c>
      <c r="O1050">
        <f>IF(C1050,H1050*N1050*IF(AND(Inputs!$B$39&lt;&gt;"pvp",Inputs!$B$44&gt;0),((Skills!G8*((R1050-1)*IF(Skills!H8&gt;0,Skills!I8/Skills!H8,1)+IF(Skills!H8&gt;0,MIN(Skills!I8,MAX(0,MAX(0,Inputs!$B$44-B1086)-((R1050-1)*IF(Inputs!$B$39="pvp",15,MAX(0.1,Skills!D8-IF(Skills!E8=TRUE,Inputs!$B$32,0))))))/Skills!H8,1)))/Inputs!$B$44),G1050*Q1050)*IF(Inputs!$B$39="pvp",1,(1-Summary!$B$55)*(1)+Summary!$B$55*(MIN(Skills!W8,Inputs!$B$37))),0)</f>
        <v/>
      </c>
      <c r="P1050">
        <f>IF(B1087=0,0,O1050/B1087)</f>
        <v/>
      </c>
      <c r="Q1050">
        <f>IFERROR(1/IF(Inputs!$B$39="pvp",15,MAX(0.1,Skills!D8-IF(Skills!E8=TRUE,Inputs!$B$32,0))),0)</f>
        <v/>
      </c>
      <c r="R1050">
        <f>IF(AND(Inputs!$B$39&lt;&gt;"pvp",Inputs!$B$44&gt;0),IF(MAX(0,Inputs!$B$44-B1086)&lt;=0,0,(INT(MAX(0,Inputs!$B$44-B1086)/IF(Inputs!$B$39="pvp",15,MAX(0.1,Skills!D8-IF(Skills!E8=TRUE,Inputs!$B$32,0))))+1)),0)</f>
        <v/>
      </c>
      <c r="S1050">
        <f>IFERROR(O1050/N1050,0)</f>
        <v/>
      </c>
    </row>
    <row r="1051">
      <c r="A1051">
        <f>Skills!A9</f>
        <v/>
      </c>
      <c r="B1051">
        <f>Skills!B9</f>
        <v/>
      </c>
      <c r="C1051">
        <f>Inputs!$B$3&gt;=117</f>
        <v/>
      </c>
      <c r="D1051">
        <f>IF(Skills!C9=1,60+Inputs!$B$25+Inputs!$B$29,IF(Skills!C9=2,90+Inputs!$B$26+Inputs!$B$29,IF(Skills!C9=3,120+Inputs!$B$27+Inputs!$B$29,MAX(0,(Inputs!$B$3-100)*3)+Inputs!$B$28+Inputs!$B$29)))</f>
        <v/>
      </c>
      <c r="E1051">
        <f>INDEX(FactorTable!$B$2:$Y$301, MATCH(ROUND(MIN(300,MAX(1,D1051)),0), FactorTable!$A$2:$A$301,0), Skills!M9+1)</f>
        <v/>
      </c>
      <c r="F1051">
        <f>IF(Skills!N9=TRUE,(Skills!L9/10)*(E1051/1000),Skills!L9/10)+Skills!O9</f>
        <v/>
      </c>
      <c r="G1051">
        <f>Skills!G9*IF(Skills!H9&gt;0,Skills!I9/Skills!H9,1)</f>
        <v/>
      </c>
      <c r="H1051">
        <f>1-(1-Skills!J9/100)^Skills!K9</f>
        <v/>
      </c>
      <c r="I1051" t="inlineStr">
        <is>
          <t>1</t>
        </is>
      </c>
      <c r="J1051">
        <f>(((Inputs!$B$6+1)*(1+Inputs!$B$7/100))+(((Inputs!$B$12*(1+Inputs!$B$13/100))-(Inputs!$B$12*(1+Inputs!$B$13/100)))+0.25*(Inputs!$B$14-Inputs!$B$14))*(1+Inputs!$B$7/100))*(F1051/100)</f>
        <v/>
      </c>
      <c r="K1051">
        <f>J1051*(1+((Inputs!$B$12*(1+Inputs!$B$13/100))*0.01+Inputs!$B$14*0.0025)/100)*(1+Inputs!$B$15/100)*(1+IF(Inputs!$B$39="pvp",0,(1-Summary!$B$55)*(Inputs!$B$20+0+Skills!P9+B1076)+Summary!$B$55*(Inputs!$B$21+Skills!Q9+B1076))/100)*(1+Inputs!$B$16/100)*(5000/(6000+Inputs!$B$43*(1-Inputs!$B$19/100)))*(1+(Inputs!$B$24+((C1072=TRUE)*(F1072-Calc!F30)))/100)*(1+(IF(Skills!A9="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1051)</f>
        <v/>
      </c>
      <c r="L1051">
        <f>K1051*(MIN(Inputs!$B$22+((C1066=TRUE)*(F1066-Calc!F24)),Inputs!$B$23+((C1071=TRUE)*(F1071-Calc!F29)))/100+(Inputs!$B$23+((C1071=TRUE)*(F1071-Calc!F29)))/100)/2</f>
        <v/>
      </c>
      <c r="M1051">
        <f>L1051*(1+(Inputs!$B$10+((C1068=TRUE)*(F1068-Calc!F26))+B1082)/100)</f>
        <v/>
      </c>
      <c r="N1051">
        <f>L1051*(1-MIN((Inputs!$B$9+((C1067=TRUE)*(F1067-Calc!F25))+B1075),100)/100)+M1051*(MIN((Inputs!$B$9+((C1067=TRUE)*(F1067-Calc!F25))+B1075),100)/100)</f>
        <v/>
      </c>
      <c r="O1051">
        <f>IF(C1051,0.2*SUMPRODUCT((Skills!Z2:Z30=TRUE)*(C1044:C1072=TRUE)*S1044:S1072)*N1051,0)</f>
        <v/>
      </c>
      <c r="P1051">
        <f>IF(B1087=0,0,O1051/B1087)</f>
        <v/>
      </c>
      <c r="Q1051" t="n">
        <v>0</v>
      </c>
      <c r="R1051" t="n">
        <v>0</v>
      </c>
      <c r="S1051" t="n">
        <v>0</v>
      </c>
    </row>
    <row r="1052">
      <c r="A1052">
        <f>Skills!A10</f>
        <v/>
      </c>
      <c r="B1052">
        <f>Skills!B10</f>
        <v/>
      </c>
      <c r="C1052">
        <f>Inputs!$B$3&gt;=74</f>
        <v/>
      </c>
      <c r="D1052">
        <f>IF(Skills!C10=1,60+Inputs!$B$25+Inputs!$B$29,IF(Skills!C10=2,90+Inputs!$B$26+Inputs!$B$29,IF(Skills!C10=3,120+Inputs!$B$27+Inputs!$B$29,MAX(0,(Inputs!$B$3-100)*3)+Inputs!$B$28+Inputs!$B$29)))</f>
        <v/>
      </c>
      <c r="E1052">
        <f>INDEX(FactorTable!$B$2:$Y$301, MATCH(ROUND(MIN(300,MAX(1,D1052)),0), FactorTable!$A$2:$A$301,0), Skills!M10+1)</f>
        <v/>
      </c>
      <c r="F1052">
        <f>IF(Skills!N10=TRUE,(Skills!L10/10)*(E1052/1000),Skills!L10/10)+Skills!O10</f>
        <v/>
      </c>
      <c r="G1052">
        <f>Skills!G10*IF(Skills!H10&gt;0,Skills!I10/Skills!H10,1)</f>
        <v/>
      </c>
      <c r="H1052">
        <f>1-(1-Skills!J10/100)^Skills!K10</f>
        <v/>
      </c>
      <c r="I1052" t="inlineStr">
        <is>
          <t>1</t>
        </is>
      </c>
      <c r="J1052" t="inlineStr"/>
      <c r="K1052" t="inlineStr"/>
      <c r="L1052" t="inlineStr"/>
      <c r="M1052" t="inlineStr"/>
      <c r="N1052" t="inlineStr"/>
      <c r="O1052" t="n">
        <v>0</v>
      </c>
      <c r="P1052">
        <f>IF(B1087=0,0,O1052/B1087)</f>
        <v/>
      </c>
      <c r="Q1052">
        <f>IFERROR(1/IF(Inputs!$B$39="pvp",15,MAX(0.1,Skills!D10-IF(Skills!E10=TRUE,Inputs!$B$32,0))),0)</f>
        <v/>
      </c>
      <c r="R1052">
        <f>IF(AND(Inputs!$B$39&lt;&gt;"pvp",Inputs!$B$44&gt;0),IF(Inputs!$B$44&lt;=0,0,(INT(Inputs!$B$44/IF(Inputs!$B$39="pvp",15,MAX(0.1,Skills!D10-IF(Skills!E10=TRUE,Inputs!$B$32,0))))+1)),0)</f>
        <v/>
      </c>
      <c r="S1052">
        <f>IFERROR(O1052/N1052,0)</f>
        <v/>
      </c>
    </row>
    <row r="1053">
      <c r="A1053">
        <f>Skills!A11</f>
        <v/>
      </c>
      <c r="B1053">
        <f>Skills!B11</f>
        <v/>
      </c>
      <c r="C1053">
        <f>Inputs!$B$3&gt;=103</f>
        <v/>
      </c>
      <c r="D1053">
        <f>IF(Skills!C11=1,60+Inputs!$B$25+Inputs!$B$29,IF(Skills!C11=2,90+Inputs!$B$26+Inputs!$B$29,IF(Skills!C11=3,120+Inputs!$B$27+Inputs!$B$29,MAX(0,(Inputs!$B$3-100)*3)+Inputs!$B$28+Inputs!$B$29)))</f>
        <v/>
      </c>
      <c r="E1053">
        <f>INDEX(FactorTable!$B$2:$Y$301, MATCH(ROUND(MIN(300,MAX(1,D1053)),0), FactorTable!$A$2:$A$301,0), Skills!M11+1)</f>
        <v/>
      </c>
      <c r="F1053">
        <f>(Skills!L11/10)*(E1053/1000)+IF(Inputs!$B$3&gt;=134,50,0)+0.5*(30000/10)*(INDEX(FactorTable!$B$2:$Y$301, MATCH(ROUND(MIN(300,MAX(1,D1053)),0), FactorTable!$A$2:$A$301,0), 13)/1000)*B1085</f>
        <v/>
      </c>
      <c r="G1053">
        <f>Skills!G11*IF(Skills!H11&gt;0,Skills!I11/Skills!H11,1)</f>
        <v/>
      </c>
      <c r="H1053">
        <f>1-(1-Skills!J11/100)^Skills!K11</f>
        <v/>
      </c>
      <c r="I1053" t="inlineStr">
        <is>
          <t>1</t>
        </is>
      </c>
      <c r="J1053">
        <f>(((Inputs!$B$6+1)*(1+Inputs!$B$7/100))+(((Inputs!$B$12*(1+Inputs!$B$13/100))-(Inputs!$B$12*(1+Inputs!$B$13/100)))+0.25*(Inputs!$B$14-Inputs!$B$14))*(1+Inputs!$B$7/100))*(F1053/100)</f>
        <v/>
      </c>
      <c r="K1053">
        <f>J1053*(1+((Inputs!$B$12*(1+Inputs!$B$13/100))*0.01+Inputs!$B$14*0.0025)/100)*(1+Inputs!$B$15/100)*(1+IF(Inputs!$B$39="pvp",0,(1-Summary!$B$55)*(Inputs!$B$20+0+Skills!P11+B1076)+Summary!$B$55*(Inputs!$B$21+Skills!Q11+B1076))/100)*(1+Inputs!$B$16/100)*(5000/(6000+Inputs!$B$43*(1-Inputs!$B$19/100)))*(1+(Inputs!$B$24+((C1072=TRUE)*(F1072-Calc!F30)))/100)*(1+(IF(Skills!A11="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1053)</f>
        <v/>
      </c>
      <c r="L1053">
        <f>K1053*(MIN(Inputs!$B$22+((C1066=TRUE)*(F1066-Calc!F24)),Inputs!$B$23+((C1071=TRUE)*(F1071-Calc!F29)))/100+(Inputs!$B$23+((C1071=TRUE)*(F1071-Calc!F29)))/100)/2</f>
        <v/>
      </c>
      <c r="M1053">
        <f>L1053*(1+(Inputs!$B$10+((C1068=TRUE)*(F1068-Calc!F26))+B1082)/100)</f>
        <v/>
      </c>
      <c r="N1053">
        <f>L1053*(1-MIN((Inputs!$B$9+((C1067=TRUE)*(F1067-Calc!F25))+B1075),100)/100)+M1053*(MIN((Inputs!$B$9+((C1067=TRUE)*(F1067-Calc!F25))+B1075),100)/100)</f>
        <v/>
      </c>
      <c r="O1053">
        <f>IF(C1053,H1053*N1053*IF(AND(Inputs!$B$39&lt;&gt;"pvp",Inputs!$B$44&gt;0),((Skills!G11*((R1053-1)*IF(Skills!H11&gt;0,Skills!I11/Skills!H11,1)+IF(Skills!H11&gt;0,MIN(Skills!I11,MAX(0,MAX(0,Inputs!$B$44-B1086)-((R1053-1)*IF(Inputs!$B$39="pvp",15,MAX(0.1,Skills!D11-IF(Skills!E11=TRUE,Inputs!$B$32,0))))))/Skills!H11,1)))/Inputs!$B$44),G1053*Q1053)*IF(Inputs!$B$39="pvp",1,(1-Summary!$B$55)*(1)+Summary!$B$55*(MIN(Skills!W11,Inputs!$B$37))),0)</f>
        <v/>
      </c>
      <c r="P1053">
        <f>IF(B1087=0,0,O1053/B1087)</f>
        <v/>
      </c>
      <c r="Q1053">
        <f>IFERROR(1/IF(Inputs!$B$39="pvp",15,MAX(0.1,Skills!D11-IF(Skills!E11=TRUE,Inputs!$B$32,0))),0)</f>
        <v/>
      </c>
      <c r="R1053">
        <f>IF(AND(Inputs!$B$39&lt;&gt;"pvp",Inputs!$B$44&gt;0),IF(MAX(0,Inputs!$B$44-B1086)&lt;=0,0,(INT(MAX(0,Inputs!$B$44-B1086)/IF(Inputs!$B$39="pvp",15,MAX(0.1,Skills!D11-IF(Skills!E11=TRUE,Inputs!$B$32,0))))+1)),0)</f>
        <v/>
      </c>
      <c r="S1053">
        <f>IFERROR(O1053/N1053,0)</f>
        <v/>
      </c>
    </row>
    <row r="1054">
      <c r="A1054">
        <f>Skills!A12</f>
        <v/>
      </c>
      <c r="B1054">
        <f>Skills!B12</f>
        <v/>
      </c>
      <c r="C1054">
        <f>Inputs!$B$3&gt;=105</f>
        <v/>
      </c>
      <c r="D1054">
        <f>IF(Skills!C12=1,60+Inputs!$B$25+Inputs!$B$29,IF(Skills!C12=2,90+Inputs!$B$26+Inputs!$B$29,IF(Skills!C12=3,120+Inputs!$B$27+Inputs!$B$29,MAX(0,(Inputs!$B$3-100)*3)+Inputs!$B$28+Inputs!$B$29)))</f>
        <v/>
      </c>
      <c r="E1054">
        <f>INDEX(FactorTable!$B$2:$Y$301, MATCH(ROUND(MIN(300,MAX(1,D1054)),0), FactorTable!$A$2:$A$301,0), Skills!M12+1)</f>
        <v/>
      </c>
      <c r="F1054">
        <f>IF(Skills!N12=TRUE,(Skills!L12/10)*(E1054/1000),Skills!L12/10)+Skills!O12</f>
        <v/>
      </c>
      <c r="G1054">
        <f>Skills!G12*IF(Skills!H12&gt;0,Skills!I12/Skills!H12,1)</f>
        <v/>
      </c>
      <c r="H1054">
        <f>1-(1-Skills!J12/100)^Skills!K12</f>
        <v/>
      </c>
      <c r="I1054" t="inlineStr">
        <is>
          <t>1</t>
        </is>
      </c>
      <c r="J1054">
        <f>(((Inputs!$B$6+1)*(1+Inputs!$B$7/100))+(((Inputs!$B$12*(1+Inputs!$B$13/100))-(Inputs!$B$12*(1+Inputs!$B$13/100)))+0.25*(Inputs!$B$14-Inputs!$B$14))*(1+Inputs!$B$7/100))*(F1054/100)</f>
        <v/>
      </c>
      <c r="K1054">
        <f>J1054*(1+((Inputs!$B$12*(1+Inputs!$B$13/100))*0.01+Inputs!$B$14*0.0025)/100)*(1+Inputs!$B$15/100)*(1+IF(Inputs!$B$39="pvp",0,(1-Summary!$B$55)*(Inputs!$B$20+0+Skills!P12+B1076)+Summary!$B$55*(Inputs!$B$21+Skills!Q12+B1076))/100)*(1+Inputs!$B$16/100)*(5000/(6000+Inputs!$B$43*(1-Inputs!$B$19/100)))*(1+(Inputs!$B$24+((C1072=TRUE)*(F1072-Calc!F30)))/100)*(1+(IF(Skills!A12="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1054)</f>
        <v/>
      </c>
      <c r="L1054">
        <f>K1054*(MIN(Inputs!$B$22+((C1066=TRUE)*(F1066-Calc!F24)),Inputs!$B$23+((C1071=TRUE)*(F1071-Calc!F29)))/100+(Inputs!$B$23+((C1071=TRUE)*(F1071-Calc!F29)))/100)/2</f>
        <v/>
      </c>
      <c r="M1054">
        <f>L1054*(1+(Inputs!$B$10+((C1068=TRUE)*(F1068-Calc!F26))+B1082)/100)</f>
        <v/>
      </c>
      <c r="N1054">
        <f>L1054*(1-MIN((Inputs!$B$9+((C1067=TRUE)*(F1067-Calc!F25))+B1075),100)/100)+M1054*(MIN((Inputs!$B$9+((C1067=TRUE)*(F1067-Calc!F25))+B1075),100)/100)</f>
        <v/>
      </c>
      <c r="O1054">
        <f>IF(C1054,H1054*N1054*IF(AND(Inputs!$B$39&lt;&gt;"pvp",Inputs!$B$44&gt;0),((Skills!G12*((R1054-1)*IF(Skills!H12&gt;0,Skills!I12/Skills!H12,1)+IF(Skills!H12&gt;0,MIN(Skills!I12,MAX(0,MAX(0,Inputs!$B$44-B1086)-((R1054-1)*IF(Inputs!$B$39="pvp",15,MAX(0.1,Skills!D12-IF(Skills!E12=TRUE,Inputs!$B$32,0))))))/Skills!H12,1)))/Inputs!$B$44),G1054*Q1054)*IF(Inputs!$B$39="pvp",1,(1-Summary!$B$55)*(1)+Summary!$B$55*(MIN(Skills!W12,Inputs!$B$37))),0)</f>
        <v/>
      </c>
      <c r="P1054">
        <f>IF(B1087=0,0,O1054/B1087)</f>
        <v/>
      </c>
      <c r="Q1054">
        <f>IFERROR(1/IF(Inputs!$B$39="pvp",15,MAX(0.1,Skills!D12-IF(Skills!E12=TRUE,Inputs!$B$32,0))),0)</f>
        <v/>
      </c>
      <c r="R1054">
        <f>IF(AND(Inputs!$B$39&lt;&gt;"pvp",Inputs!$B$44&gt;0),IF(MAX(0,Inputs!$B$44-B1086)&lt;=0,0,(INT(MAX(0,Inputs!$B$44-B1086)/IF(Inputs!$B$39="pvp",15,MAX(0.1,Skills!D12-IF(Skills!E12=TRUE,Inputs!$B$32,0))))+1)),0)</f>
        <v/>
      </c>
      <c r="S1054">
        <f>IFERROR(O1054/N1054,0)</f>
        <v/>
      </c>
    </row>
    <row r="1055">
      <c r="A1055">
        <f>Skills!A13</f>
        <v/>
      </c>
      <c r="B1055">
        <f>Skills!B13</f>
        <v/>
      </c>
      <c r="C1055">
        <f>Inputs!$B$3&gt;=105</f>
        <v/>
      </c>
      <c r="D1055">
        <f>IF(Skills!C13=1,60+Inputs!$B$25+Inputs!$B$29,IF(Skills!C13=2,90+Inputs!$B$26+Inputs!$B$29,IF(Skills!C13=3,120+Inputs!$B$27+Inputs!$B$29,MAX(0,(Inputs!$B$3-100)*3)+Inputs!$B$28+Inputs!$B$29)))</f>
        <v/>
      </c>
      <c r="E1055">
        <f>INDEX(FactorTable!$B$2:$Y$301, MATCH(ROUND(MIN(300,MAX(1,D1055)),0), FactorTable!$A$2:$A$301,0), Skills!M13+1)</f>
        <v/>
      </c>
      <c r="F1055">
        <f>IF(Skills!N13=TRUE,(Skills!L13/10)*(E1055/1000),Skills!L13/10)+Skills!O13</f>
        <v/>
      </c>
      <c r="G1055">
        <f>Skills!G13*IF(Skills!H13&gt;0,Skills!I13/Skills!H13,1)</f>
        <v/>
      </c>
      <c r="H1055">
        <f>1-(1-Skills!J13/100)^Skills!K13</f>
        <v/>
      </c>
      <c r="I1055" t="inlineStr">
        <is>
          <t>1</t>
        </is>
      </c>
      <c r="J1055">
        <f>(((Inputs!$B$6+1)*(1+Inputs!$B$7/100))+(((Inputs!$B$12*(1+Inputs!$B$13/100))-(Inputs!$B$12*(1+Inputs!$B$13/100)))+0.25*(Inputs!$B$14-Inputs!$B$14))*(1+Inputs!$B$7/100))*(F1055/100)</f>
        <v/>
      </c>
      <c r="K1055">
        <f>J1055*(1+((Inputs!$B$12*(1+Inputs!$B$13/100))*0.01+Inputs!$B$14*0.0025)/100)*(1+Inputs!$B$15/100)*(1+IF(Inputs!$B$39="pvp",0,(1-Summary!$B$55)*(Inputs!$B$20+0+Skills!P13+B1076)+Summary!$B$55*(Inputs!$B$21+Skills!Q13+B1076))/100)*(1+Inputs!$B$16/100)*(5000/(6000+Inputs!$B$43*(1-Inputs!$B$19/100)))*(1+(Inputs!$B$24+((C1072=TRUE)*(F1072-Calc!F30)))/100)*(1+(IF(Skills!A13="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1055)</f>
        <v/>
      </c>
      <c r="L1055">
        <f>K1055*(MIN(Inputs!$B$22+((C1066=TRUE)*(F1066-Calc!F24)),Inputs!$B$23+((C1071=TRUE)*(F1071-Calc!F29)))/100+(Inputs!$B$23+((C1071=TRUE)*(F1071-Calc!F29)))/100)/2</f>
        <v/>
      </c>
      <c r="M1055">
        <f>L1055*(1+(Inputs!$B$10+((C1068=TRUE)*(F1068-Calc!F26))+B1082)/100)</f>
        <v/>
      </c>
      <c r="N1055">
        <f>L1055*(1-MIN((Inputs!$B$9+((C1067=TRUE)*(F1067-Calc!F25))+B1075),100)/100)+M1055*(MIN((Inputs!$B$9+((C1067=TRUE)*(F1067-Calc!F25))+B1075),100)/100)</f>
        <v/>
      </c>
      <c r="O1055">
        <f>IF(C1055,H1055*N1055*IF(AND(Inputs!$B$39&lt;&gt;"pvp",Inputs!$B$44&gt;0),((Skills!G13*((R1055-1)*IF(Skills!H13&gt;0,Skills!I13/Skills!H13,1)+IF(Skills!H13&gt;0,MIN(Skills!I13,MAX(0,MAX(0,Inputs!$B$44-B1086)-((R1055-1)*IF(Inputs!$B$39="pvp",15,MAX(0.1,Skills!D13-IF(Skills!E13=TRUE,Inputs!$B$32,0))))))/Skills!H13,1)))/Inputs!$B$44),G1055*Q1055)*IF(Inputs!$B$39="pvp",1,(1-Summary!$B$55)*(1)+Summary!$B$55*(MIN(Skills!W13,Inputs!$B$37))),0)</f>
        <v/>
      </c>
      <c r="P1055">
        <f>IF(B1087=0,0,O1055/B1087)</f>
        <v/>
      </c>
      <c r="Q1055">
        <f>IFERROR(1/IF(Inputs!$B$39="pvp",15,MAX(0.1,Skills!D13-IF(Skills!E13=TRUE,Inputs!$B$32,0))),0)</f>
        <v/>
      </c>
      <c r="R1055">
        <f>IF(AND(Inputs!$B$39&lt;&gt;"pvp",Inputs!$B$44&gt;0),IF(MAX(0,Inputs!$B$44-B1086)&lt;=0,0,(INT(MAX(0,Inputs!$B$44-B1086)/IF(Inputs!$B$39="pvp",15,MAX(0.1,Skills!D13-IF(Skills!E13=TRUE,Inputs!$B$32,0))))+1)),0)</f>
        <v/>
      </c>
      <c r="S1055">
        <f>IFERROR(O1055/N1055,0)</f>
        <v/>
      </c>
    </row>
    <row r="1056">
      <c r="A1056">
        <f>Skills!A14</f>
        <v/>
      </c>
      <c r="B1056">
        <f>Skills!B14</f>
        <v/>
      </c>
      <c r="C1056">
        <f>Inputs!$B$3&gt;=107</f>
        <v/>
      </c>
      <c r="D1056">
        <f>IF(Skills!C14=1,60+Inputs!$B$25+Inputs!$B$29,IF(Skills!C14=2,90+Inputs!$B$26+Inputs!$B$29,IF(Skills!C14=3,120+Inputs!$B$27+Inputs!$B$29,MAX(0,(Inputs!$B$3-100)*3)+Inputs!$B$28+Inputs!$B$29)))</f>
        <v/>
      </c>
      <c r="E1056">
        <f>INDEX(FactorTable!$B$2:$Y$301, MATCH(ROUND(MIN(300,MAX(1,D1056)),0), FactorTable!$A$2:$A$301,0), Skills!M14+1)</f>
        <v/>
      </c>
      <c r="F1056">
        <f>IF(Skills!N14=TRUE,(Skills!L14/10)*(E1056/1000),Skills!L14/10)+Skills!O14</f>
        <v/>
      </c>
      <c r="G1056">
        <f>Skills!G14*IF(Skills!H14&gt;0,Skills!I14/Skills!H14,1)</f>
        <v/>
      </c>
      <c r="H1056">
        <f>1-(1-Skills!J14/100)^Skills!K14</f>
        <v/>
      </c>
      <c r="I1056" t="inlineStr">
        <is>
          <t>1</t>
        </is>
      </c>
      <c r="J1056">
        <f>(((Inputs!$B$6+1)*(1+Inputs!$B$7/100))+(((Inputs!$B$12*(1+Inputs!$B$13/100))-(Inputs!$B$12*(1+Inputs!$B$13/100)))+0.25*(Inputs!$B$14-Inputs!$B$14))*(1+Inputs!$B$7/100))*(F1056/100)</f>
        <v/>
      </c>
      <c r="K1056">
        <f>J1056*(1+((Inputs!$B$12*(1+Inputs!$B$13/100))*0.01+Inputs!$B$14*0.0025)/100)*(1+Inputs!$B$15/100)*(1+IF(Inputs!$B$39="pvp",0,(1-Summary!$B$55)*(Inputs!$B$20+0+Skills!P14+B1076)+Summary!$B$55*(Inputs!$B$21+Skills!Q14+B1076))/100)*(1+Inputs!$B$16/100)*(5000/(6000+Inputs!$B$43*(1-Inputs!$B$19/100)))*(1+(Inputs!$B$24+((C1072=TRUE)*(F1072-Calc!F30)))/100)*(1+(IF(Skills!A14="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1056)</f>
        <v/>
      </c>
      <c r="L1056">
        <f>K1056*(MIN(Inputs!$B$22+((C1066=TRUE)*(F1066-Calc!F24)),Inputs!$B$23+((C1071=TRUE)*(F1071-Calc!F29)))/100+(Inputs!$B$23+((C1071=TRUE)*(F1071-Calc!F29)))/100)/2</f>
        <v/>
      </c>
      <c r="M1056">
        <f>L1056*(1+(Inputs!$B$10+((C1068=TRUE)*(F1068-Calc!F26))+B1082)/100)</f>
        <v/>
      </c>
      <c r="N1056">
        <f>L1056*(1-MIN((Inputs!$B$9+((C1067=TRUE)*(F1067-Calc!F25))+B1075),100)/100)+M1056*(MIN((Inputs!$B$9+((C1067=TRUE)*(F1067-Calc!F25))+B1075),100)/100)</f>
        <v/>
      </c>
      <c r="O1056">
        <f>IF(C1056,H1056*N1056*IF(AND(Inputs!$B$39&lt;&gt;"pvp",Inputs!$B$44&gt;0),((Skills!G14*((R1056-1)*IF(Skills!H14&gt;0,Skills!I14/Skills!H14,1)+IF(Skills!H14&gt;0,MIN(Skills!I14,MAX(0,MAX(0,Inputs!$B$44-B1086)-((R1056-1)*IF(Inputs!$B$39="pvp",15,MAX(0.1,Skills!D14-IF(Skills!E14=TRUE,Inputs!$B$32,0))))))/Skills!H14,1)))/Inputs!$B$44),G1056*Q1056)*IF(Inputs!$B$39="pvp",1,(1-Summary!$B$55)*(1)+Summary!$B$55*(MIN(MIN(5,0.25*B1079*Skills!D4)*Skills!V14,Inputs!$B$37))),0)</f>
        <v/>
      </c>
      <c r="P1056">
        <f>IF(B1087=0,0,O1056/B1087)</f>
        <v/>
      </c>
      <c r="Q1056">
        <f>IFERROR(1/IF(Inputs!$B$39="pvp",15,MAX(0.1,Skills!D14-IF(Skills!E14=TRUE,Inputs!$B$32,0))),0)</f>
        <v/>
      </c>
      <c r="R1056">
        <f>IF(AND(Inputs!$B$39&lt;&gt;"pvp",Inputs!$B$44&gt;0),IF(MAX(0,Inputs!$B$44-B1086)&lt;=0,0,(INT(MAX(0,Inputs!$B$44-B1086)/IF(Inputs!$B$39="pvp",15,MAX(0.1,Skills!D14-IF(Skills!E14=TRUE,Inputs!$B$32,0))))+1)),0)</f>
        <v/>
      </c>
      <c r="S1056">
        <f>IFERROR(O1056/N1056,0)</f>
        <v/>
      </c>
    </row>
    <row r="1057">
      <c r="A1057">
        <f>Skills!A15</f>
        <v/>
      </c>
      <c r="B1057">
        <f>Skills!B15</f>
        <v/>
      </c>
      <c r="C1057">
        <f>Inputs!$B$3&gt;=110</f>
        <v/>
      </c>
      <c r="D1057">
        <f>IF(Skills!C15=1,60+Inputs!$B$25+Inputs!$B$29,IF(Skills!C15=2,90+Inputs!$B$26+Inputs!$B$29,IF(Skills!C15=3,120+Inputs!$B$27+Inputs!$B$29,MAX(0,(Inputs!$B$3-100)*3)+Inputs!$B$28+Inputs!$B$29)))</f>
        <v/>
      </c>
      <c r="E1057">
        <f>INDEX(FactorTable!$B$2:$Y$301, MATCH(ROUND(MIN(300,MAX(1,D1057)),0), FactorTable!$A$2:$A$301,0), Skills!M15+1)</f>
        <v/>
      </c>
      <c r="F1057">
        <f>IF(Skills!N15=TRUE,(Skills!L15/10)*(E1057/1000),Skills!L15/10)+Skills!O15</f>
        <v/>
      </c>
      <c r="G1057">
        <f>Skills!G15*IF(Skills!H15&gt;0,Skills!I15/Skills!H15,1)</f>
        <v/>
      </c>
      <c r="H1057">
        <f>1-(1-Skills!J15/100)^Skills!K15</f>
        <v/>
      </c>
      <c r="I1057" t="inlineStr">
        <is>
          <t>1</t>
        </is>
      </c>
      <c r="J1057" t="inlineStr"/>
      <c r="K1057" t="inlineStr"/>
      <c r="L1057" t="inlineStr"/>
      <c r="M1057" t="inlineStr"/>
      <c r="N1057" t="inlineStr"/>
      <c r="O1057" t="n">
        <v>0</v>
      </c>
      <c r="P1057">
        <f>IF(B1087=0,0,O1057/B1087)</f>
        <v/>
      </c>
      <c r="Q1057">
        <f>IFERROR(1/IF(Inputs!$B$39="pvp",15,MAX(0.1,Skills!D15-IF(Skills!E15=TRUE,Inputs!$B$32,0))),0)</f>
        <v/>
      </c>
      <c r="R1057">
        <f>IF(AND(Inputs!$B$39&lt;&gt;"pvp",Inputs!$B$44&gt;0),IF(Inputs!$B$44&lt;=0,0,(INT(Inputs!$B$44/IF(Inputs!$B$39="pvp",15,MAX(0.1,Skills!D15-IF(Skills!E15=TRUE,Inputs!$B$32,0))))+1)),0)</f>
        <v/>
      </c>
      <c r="S1057">
        <f>IFERROR(O1057/N1057,0)</f>
        <v/>
      </c>
    </row>
    <row r="1058">
      <c r="A1058">
        <f>Skills!A16</f>
        <v/>
      </c>
      <c r="B1058">
        <f>Skills!B16</f>
        <v/>
      </c>
      <c r="C1058">
        <f>Inputs!$B$3&gt;=115</f>
        <v/>
      </c>
      <c r="D1058">
        <f>IF(Skills!C16=1,60+Inputs!$B$25+Inputs!$B$29,IF(Skills!C16=2,90+Inputs!$B$26+Inputs!$B$29,IF(Skills!C16=3,120+Inputs!$B$27+Inputs!$B$29,MAX(0,(Inputs!$B$3-100)*3)+Inputs!$B$28+Inputs!$B$29)))</f>
        <v/>
      </c>
      <c r="E1058">
        <f>INDEX(FactorTable!$B$2:$Y$301, MATCH(ROUND(MIN(300,MAX(1,D1058)),0), FactorTable!$A$2:$A$301,0), Skills!M16+1)</f>
        <v/>
      </c>
      <c r="F1058">
        <f>IF(Skills!N16=TRUE,(Skills!L16/10)*(E1058/1000),Skills!L16/10)+Skills!O16</f>
        <v/>
      </c>
      <c r="G1058">
        <f>Skills!G16*IF(Skills!H16&gt;0,Skills!I16/Skills!H16,1)</f>
        <v/>
      </c>
      <c r="H1058">
        <f>1-(1-Skills!J16/100)^Skills!K16</f>
        <v/>
      </c>
      <c r="I1058" t="inlineStr">
        <is>
          <t>1</t>
        </is>
      </c>
      <c r="J1058">
        <f>(((Inputs!$B$6+1)*(1+Inputs!$B$7/100))+(((Inputs!$B$12*(1+Inputs!$B$13/100))-(Inputs!$B$12*(1+Inputs!$B$13/100)))+0.25*(Inputs!$B$14-Inputs!$B$14))*(1+Inputs!$B$7/100))*(F1058/100)</f>
        <v/>
      </c>
      <c r="K1058">
        <f>J1058*(1+((Inputs!$B$12*(1+Inputs!$B$13/100))*0.01+Inputs!$B$14*0.0025)/100)*(1+Inputs!$B$15/100)*(1+IF(Inputs!$B$39="pvp",0,(1-Summary!$B$55)*(Inputs!$B$20+0+Skills!P16+B1076)+Summary!$B$55*(Inputs!$B$21+Skills!Q16+B1076))/100)*(1+Inputs!$B$16/100)*(5000/(6000+Inputs!$B$43*(1-Inputs!$B$19/100)))*(1+(Inputs!$B$24+((C1072=TRUE)*(F1072-Calc!F30)))/100)*(1+(IF(Skills!A16="CRUEL_STAB",Inputs!$B$17+((C1069=TRUE)*(F1069-Calc!F27)),Inputs!$B$18+((C1070=TRUE)*(F1070-Calc!F28))))/100)*(((1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B1077*I1058)</f>
        <v/>
      </c>
      <c r="L1058">
        <f>K1058*(MIN(Inputs!$B$22+((C1066=TRUE)*(F1066-Calc!F24)),Inputs!$B$23+((C1071=TRUE)*(F1071-Calc!F29)))/100+(Inputs!$B$23+((C1071=TRUE)*(F1071-Calc!F29)))/100)/2</f>
        <v/>
      </c>
      <c r="M1058">
        <f>L1058*(1+(Inputs!$B$10+((C1068=TRUE)*(F1068-Calc!F26))+B1082)/100)</f>
        <v/>
      </c>
      <c r="N1058">
        <f>L1058*(1-MIN((Inputs!$B$9+((C1067=TRUE)*(F1067-Calc!F25))+B1075),100)/100)+M1058*(MIN((Inputs!$B$9+((C1067=TRUE)*(F1067-Calc!F25))+B1075),100)/100)</f>
        <v/>
      </c>
      <c r="O1058">
        <f>IF(C1058,Inputs!$B$38*0.2*N1058,0)</f>
        <v/>
      </c>
      <c r="P1058">
        <f>IF(B1087=0,0,O1058/B1087)</f>
        <v/>
      </c>
      <c r="Q1058" t="n">
        <v>0</v>
      </c>
      <c r="R1058" t="n">
        <v>0</v>
      </c>
      <c r="S1058">
        <f>IFERROR(O1058/N1058,0)</f>
        <v/>
      </c>
    </row>
    <row r="1059">
      <c r="A1059">
        <f>Skills!A17</f>
        <v/>
      </c>
      <c r="B1059">
        <f>Skills!B17</f>
        <v/>
      </c>
      <c r="C1059">
        <f>Inputs!$B$3&gt;=115</f>
        <v/>
      </c>
      <c r="D1059">
        <f>IF(Skills!C17=1,60+Inputs!$B$25+Inputs!$B$29,IF(Skills!C17=2,90+Inputs!$B$26+Inputs!$B$29,IF(Skills!C17=3,120+Inputs!$B$27+Inputs!$B$29,MAX(0,(Inputs!$B$3-100)*3)+Inputs!$B$28+Inputs!$B$29)))</f>
        <v/>
      </c>
      <c r="E1059">
        <f>INDEX(FactorTable!$B$2:$Y$301, MATCH(ROUND(MIN(300,MAX(1,D1059)),0), FactorTable!$A$2:$A$301,0), Skills!M17+1)</f>
        <v/>
      </c>
      <c r="F1059">
        <f>IF(Skills!N17=TRUE,(Skills!L17/10)*(E1059/1000),Skills!L17/10)+Skills!O17</f>
        <v/>
      </c>
      <c r="G1059">
        <f>Skills!G17*IF(Skills!H17&gt;0,Skills!I17/Skills!H17,1)</f>
        <v/>
      </c>
      <c r="H1059">
        <f>1-(1-Skills!J17/100)^Skills!K17</f>
        <v/>
      </c>
      <c r="I1059" t="inlineStr">
        <is>
          <t>1</t>
        </is>
      </c>
      <c r="J1059" t="inlineStr"/>
      <c r="K1059" t="inlineStr"/>
      <c r="L1059" t="inlineStr"/>
      <c r="M1059" t="inlineStr"/>
      <c r="N1059" t="inlineStr"/>
      <c r="O1059" t="n">
        <v>0</v>
      </c>
      <c r="P1059">
        <f>IF(B1087=0,0,O1059/B1087)</f>
        <v/>
      </c>
      <c r="Q1059" t="n">
        <v>0</v>
      </c>
      <c r="R1059" t="n">
        <v>0</v>
      </c>
      <c r="S1059">
        <f>IFERROR(O1059/N1059,0)</f>
        <v/>
      </c>
    </row>
    <row r="1060">
      <c r="A1060">
        <f>Skills!A18</f>
        <v/>
      </c>
      <c r="B1060">
        <f>Skills!B18</f>
        <v/>
      </c>
      <c r="C1060">
        <f>Inputs!$B$3&gt;=100</f>
        <v/>
      </c>
      <c r="D1060">
        <f>IF(Skills!C18=1,60+Inputs!$B$25+Inputs!$B$29,IF(Skills!C18=2,90+Inputs!$B$26+Inputs!$B$29,IF(Skills!C18=3,120+Inputs!$B$27+Inputs!$B$29,MAX(0,(Inputs!$B$3-100)*3)+Inputs!$B$28+Inputs!$B$29)))</f>
        <v/>
      </c>
      <c r="E1060">
        <f>INDEX(FactorTable!$B$2:$Y$301, MATCH(ROUND(MIN(300,MAX(1,D1060)),0), FactorTable!$A$2:$A$301,0), Skills!M18+1)</f>
        <v/>
      </c>
      <c r="F1060">
        <f>IF(Skills!N18=TRUE,(Skills!L18/10)*(E1060/1000),Skills!L18/10)+Skills!O18</f>
        <v/>
      </c>
      <c r="G1060">
        <f>Skills!G18*IF(Skills!H18&gt;0,Skills!I18/Skills!H18,1)</f>
        <v/>
      </c>
      <c r="H1060">
        <f>1-(1-Skills!J18/100)^Skills!K18</f>
        <v/>
      </c>
      <c r="I1060" t="inlineStr">
        <is>
          <t>1</t>
        </is>
      </c>
      <c r="J1060" t="inlineStr"/>
      <c r="K1060" t="inlineStr"/>
      <c r="L1060" t="inlineStr"/>
      <c r="M1060" t="inlineStr"/>
      <c r="N1060" t="inlineStr"/>
      <c r="O1060" t="n">
        <v>0</v>
      </c>
      <c r="P1060">
        <f>IF(B1087=0,0,O1060/B1087)</f>
        <v/>
      </c>
      <c r="Q1060" t="n">
        <v>0</v>
      </c>
      <c r="R1060" t="n">
        <v>0</v>
      </c>
      <c r="S1060">
        <f>IFERROR(O1060/N1060,0)</f>
        <v/>
      </c>
    </row>
    <row r="1061">
      <c r="A1061">
        <f>Skills!A19</f>
        <v/>
      </c>
      <c r="B1061">
        <f>Skills!B19</f>
        <v/>
      </c>
      <c r="C1061">
        <f>TRUE</f>
        <v/>
      </c>
      <c r="D1061">
        <f>IF(Skills!C19=1,60+Inputs!$B$25+Inputs!$B$29,IF(Skills!C19=2,90+Inputs!$B$26+Inputs!$B$29,IF(Skills!C19=3,120+Inputs!$B$27+Inputs!$B$29,MAX(0,(Inputs!$B$3-100)*3)+Inputs!$B$28+Inputs!$B$29)))</f>
        <v/>
      </c>
      <c r="E1061">
        <f>INDEX(FactorTable!$B$2:$Y$301, MATCH(ROUND(MIN(300,MAX(1,D1061)),0), FactorTable!$A$2:$A$301,0), Skills!M19+1)</f>
        <v/>
      </c>
      <c r="F1061">
        <f>IF(Skills!N19=TRUE,(Skills!L19/10)*(E1061/1000),Skills!L19/10)+Skills!O19</f>
        <v/>
      </c>
      <c r="G1061">
        <f>Skills!G19*IF(Skills!H19&gt;0,Skills!I19/Skills!H19,1)</f>
        <v/>
      </c>
      <c r="H1061">
        <f>1-(1-Skills!J19/100)^Skills!K19</f>
        <v/>
      </c>
      <c r="I1061" t="inlineStr">
        <is>
          <t>1</t>
        </is>
      </c>
      <c r="J1061" t="inlineStr"/>
      <c r="K1061" t="inlineStr"/>
      <c r="L1061" t="inlineStr"/>
      <c r="M1061" t="inlineStr"/>
      <c r="N1061" t="inlineStr"/>
      <c r="O1061" t="n">
        <v>0</v>
      </c>
      <c r="P1061">
        <f>IF(B1087=0,0,O1061/B1087)</f>
        <v/>
      </c>
      <c r="Q1061">
        <f>IFERROR(1/IF(Inputs!$B$39="pvp",15,MAX(0.1,Skills!D19-IF(Skills!E19=TRUE,Inputs!$B$32,0))),0)</f>
        <v/>
      </c>
      <c r="R1061">
        <f>IF(AND(Inputs!$B$39&lt;&gt;"pvp",Inputs!$B$44&gt;0),IF(Inputs!$B$44&lt;=0,0,(INT(Inputs!$B$44/IF(Inputs!$B$39="pvp",15,MAX(0.1,Skills!D19-IF(Skills!E19=TRUE,Inputs!$B$32,0))))+1)),0)</f>
        <v/>
      </c>
      <c r="S1061">
        <f>IFERROR(O1061/N1061,0)</f>
        <v/>
      </c>
    </row>
    <row r="1062">
      <c r="A1062">
        <f>Skills!A20</f>
        <v/>
      </c>
      <c r="B1062">
        <f>Skills!B20</f>
        <v/>
      </c>
      <c r="C1062">
        <f>Inputs!$B$3&gt;=15</f>
        <v/>
      </c>
      <c r="D1062">
        <f>IF(Skills!C20=1,60+Inputs!$B$25+Inputs!$B$29,IF(Skills!C20=2,90+Inputs!$B$26+Inputs!$B$29,IF(Skills!C20=3,120+Inputs!$B$27+Inputs!$B$29,MAX(0,(Inputs!$B$3-100)*3)+Inputs!$B$28+Inputs!$B$29)))</f>
        <v/>
      </c>
      <c r="E1062">
        <f>INDEX(FactorTable!$B$2:$Y$301, MATCH(ROUND(MIN(300,MAX(1,D1062)),0), FactorTable!$A$2:$A$301,0), Skills!M20+1)</f>
        <v/>
      </c>
      <c r="F1062">
        <f>IF(Skills!N20=TRUE,(Skills!L20/10)*(E1062/1000),Skills!L20/10)+Skills!O20</f>
        <v/>
      </c>
      <c r="G1062">
        <f>Skills!G20*IF(Skills!H20&gt;0,Skills!I20/Skills!H20,1)</f>
        <v/>
      </c>
      <c r="H1062">
        <f>1-(1-Skills!J20/100)^Skills!K20</f>
        <v/>
      </c>
      <c r="I1062" t="inlineStr">
        <is>
          <t>1</t>
        </is>
      </c>
      <c r="J1062" t="inlineStr"/>
      <c r="K1062" t="inlineStr"/>
      <c r="L1062" t="inlineStr"/>
      <c r="M1062" t="inlineStr"/>
      <c r="N1062" t="inlineStr"/>
      <c r="O1062" t="n">
        <v>0</v>
      </c>
      <c r="P1062">
        <f>IF(B1087=0,0,O1062/B1087)</f>
        <v/>
      </c>
      <c r="Q1062">
        <f>IFERROR(1/IF(Inputs!$B$39="pvp",15,MAX(0.1,Skills!D20-IF(Skills!E20=TRUE,Inputs!$B$32,0))),0)</f>
        <v/>
      </c>
      <c r="R1062">
        <f>IF(AND(Inputs!$B$39&lt;&gt;"pvp",Inputs!$B$44&gt;0),IF(Inputs!$B$44&lt;=0,0,(INT(Inputs!$B$44/IF(Inputs!$B$39="pvp",15,MAX(0.1,Skills!D20-IF(Skills!E20=TRUE,Inputs!$B$32,0))))+1)),0)</f>
        <v/>
      </c>
      <c r="S1062">
        <f>IFERROR(O1062/N1062,0)</f>
        <v/>
      </c>
    </row>
    <row r="1063">
      <c r="A1063">
        <f>Skills!A21</f>
        <v/>
      </c>
      <c r="B1063">
        <f>Skills!B21</f>
        <v/>
      </c>
      <c r="C1063">
        <f>Inputs!$B$3&gt;=15</f>
        <v/>
      </c>
      <c r="D1063">
        <f>IF(Skills!C21=1,60+Inputs!$B$25+Inputs!$B$29,IF(Skills!C21=2,90+Inputs!$B$26+Inputs!$B$29,IF(Skills!C21=3,120+Inputs!$B$27+Inputs!$B$29,MAX(0,(Inputs!$B$3-100)*3)+Inputs!$B$28+Inputs!$B$29)))</f>
        <v/>
      </c>
      <c r="E1063">
        <f>INDEX(FactorTable!$B$2:$Y$301, MATCH(ROUND(MIN(300,MAX(1,D1063)),0), FactorTable!$A$2:$A$301,0), Skills!M21+1)</f>
        <v/>
      </c>
      <c r="F1063">
        <f>IF(Skills!N21=TRUE,(Skills!L21/10)*(E1063/1000),Skills!L21/10)+Skills!O21</f>
        <v/>
      </c>
      <c r="G1063">
        <f>Skills!G21*IF(Skills!H21&gt;0,Skills!I21/Skills!H21,1)</f>
        <v/>
      </c>
      <c r="H1063">
        <f>1-(1-Skills!J21/100)^Skills!K21</f>
        <v/>
      </c>
      <c r="I1063" t="inlineStr">
        <is>
          <t>1</t>
        </is>
      </c>
      <c r="J1063" t="inlineStr"/>
      <c r="K1063" t="inlineStr"/>
      <c r="L1063" t="inlineStr"/>
      <c r="M1063" t="inlineStr"/>
      <c r="N1063" t="inlineStr"/>
      <c r="O1063" t="n">
        <v>0</v>
      </c>
      <c r="P1063">
        <f>IF(B1087=0,0,O1063/B1087)</f>
        <v/>
      </c>
      <c r="Q1063">
        <f>IFERROR(1/IF(Inputs!$B$39="pvp",15,MAX(0.1,Skills!D21-IF(Skills!E21=TRUE,Inputs!$B$32,0))),0)</f>
        <v/>
      </c>
      <c r="R1063">
        <f>IF(AND(Inputs!$B$39&lt;&gt;"pvp",Inputs!$B$44&gt;0),IF(Inputs!$B$44&lt;=0,0,(INT(Inputs!$B$44/IF(Inputs!$B$39="pvp",15,MAX(0.1,Skills!D21-IF(Skills!E21=TRUE,Inputs!$B$32,0))))+1)),0)</f>
        <v/>
      </c>
      <c r="S1063">
        <f>IFERROR(O1063/N1063,0)</f>
        <v/>
      </c>
    </row>
    <row r="1064">
      <c r="A1064">
        <f>Skills!A22</f>
        <v/>
      </c>
      <c r="B1064">
        <f>Skills!B22</f>
        <v/>
      </c>
      <c r="C1064">
        <f>Inputs!$B$3&gt;=33</f>
        <v/>
      </c>
      <c r="D1064">
        <f>IF(Skills!C22=1,60+Inputs!$B$25+Inputs!$B$29,IF(Skills!C22=2,90+Inputs!$B$26+Inputs!$B$29,IF(Skills!C22=3,120+Inputs!$B$27+Inputs!$B$29,MAX(0,(Inputs!$B$3-100)*3)+Inputs!$B$28+Inputs!$B$29)))</f>
        <v/>
      </c>
      <c r="E1064">
        <f>INDEX(FactorTable!$B$2:$Y$301, MATCH(ROUND(MIN(300,MAX(1,D1064)),0), FactorTable!$A$2:$A$301,0), Skills!M22+1)</f>
        <v/>
      </c>
      <c r="F1064">
        <f>IF(Skills!N22=TRUE,(Skills!L22/10)*(E1064/1000),Skills!L22/10)+Skills!O22</f>
        <v/>
      </c>
      <c r="G1064">
        <f>Skills!G22*IF(Skills!H22&gt;0,Skills!I22/Skills!H22,1)</f>
        <v/>
      </c>
      <c r="H1064">
        <f>1-(1-Skills!J22/100)^Skills!K22</f>
        <v/>
      </c>
      <c r="I1064" t="inlineStr">
        <is>
          <t>1</t>
        </is>
      </c>
      <c r="J1064" t="inlineStr"/>
      <c r="K1064" t="inlineStr"/>
      <c r="L1064" t="inlineStr"/>
      <c r="M1064" t="inlineStr"/>
      <c r="N1064" t="inlineStr"/>
      <c r="O1064" t="n">
        <v>0</v>
      </c>
      <c r="P1064">
        <f>IF(B1087=0,0,O1064/B1087)</f>
        <v/>
      </c>
      <c r="Q1064" t="n">
        <v>0</v>
      </c>
      <c r="R1064" t="n">
        <v>0</v>
      </c>
      <c r="S1064">
        <f>IFERROR(O1064/N1064,0)</f>
        <v/>
      </c>
    </row>
    <row r="1065">
      <c r="A1065">
        <f>Skills!A23</f>
        <v/>
      </c>
      <c r="B1065">
        <f>Skills!B23</f>
        <v/>
      </c>
      <c r="C1065">
        <f>Inputs!$B$3&gt;=40</f>
        <v/>
      </c>
      <c r="D1065">
        <f>IF(Skills!C23=1,60+Inputs!$B$25+Inputs!$B$29,IF(Skills!C23=2,90+Inputs!$B$26+Inputs!$B$29,IF(Skills!C23=3,120+Inputs!$B$27+Inputs!$B$29,MAX(0,(Inputs!$B$3-100)*3)+Inputs!$B$28+Inputs!$B$29)))</f>
        <v/>
      </c>
      <c r="E1065">
        <f>INDEX(FactorTable!$B$2:$Y$301, MATCH(ROUND(MIN(300,MAX(1,D1065)),0), FactorTable!$A$2:$A$301,0), Skills!M23+1)</f>
        <v/>
      </c>
      <c r="F1065">
        <f>IF(Skills!N23=TRUE,(Skills!L23/10)*(E1065/1000),Skills!L23/10)+Skills!O23</f>
        <v/>
      </c>
      <c r="G1065">
        <f>Skills!G23*IF(Skills!H23&gt;0,Skills!I23/Skills!H23,1)</f>
        <v/>
      </c>
      <c r="H1065">
        <f>1-(1-Skills!J23/100)^Skills!K23</f>
        <v/>
      </c>
      <c r="I1065" t="inlineStr">
        <is>
          <t>1</t>
        </is>
      </c>
      <c r="J1065" t="inlineStr"/>
      <c r="K1065" t="inlineStr"/>
      <c r="L1065" t="inlineStr"/>
      <c r="M1065" t="inlineStr"/>
      <c r="N1065" t="inlineStr"/>
      <c r="O1065" t="n">
        <v>0</v>
      </c>
      <c r="P1065">
        <f>IF(B1087=0,0,O1065/B1087)</f>
        <v/>
      </c>
      <c r="Q1065" t="n">
        <v>0</v>
      </c>
      <c r="R1065" t="n">
        <v>0</v>
      </c>
      <c r="S1065">
        <f>IFERROR(O1065/N1065,0)</f>
        <v/>
      </c>
    </row>
    <row r="1066">
      <c r="A1066">
        <f>Skills!A24</f>
        <v/>
      </c>
      <c r="B1066">
        <f>Skills!B24</f>
        <v/>
      </c>
      <c r="C1066">
        <f>Inputs!$B$3&gt;=43</f>
        <v/>
      </c>
      <c r="D1066">
        <f>IF(Skills!C24=1,60+Inputs!$B$25+Inputs!$B$29,IF(Skills!C24=2,90+Inputs!$B$26+Inputs!$B$29,IF(Skills!C24=3,120+Inputs!$B$27+Inputs!$B$29,MAX(0,(Inputs!$B$3-100)*3)+Inputs!$B$28+Inputs!$B$29)))</f>
        <v/>
      </c>
      <c r="E1066">
        <f>INDEX(FactorTable!$B$2:$Y$301, MATCH(ROUND(MIN(300,MAX(1,D1066)),0), FactorTable!$A$2:$A$301,0), Skills!M24+1)</f>
        <v/>
      </c>
      <c r="F1066">
        <f>IF(Skills!N24=TRUE,(Skills!L24/10)*(E1066/1000),Skills!L24/10)+Skills!O24</f>
        <v/>
      </c>
      <c r="G1066">
        <f>Skills!G24*IF(Skills!H24&gt;0,Skills!I24/Skills!H24,1)</f>
        <v/>
      </c>
      <c r="H1066">
        <f>1-(1-Skills!J24/100)^Skills!K24</f>
        <v/>
      </c>
      <c r="I1066" t="inlineStr">
        <is>
          <t>1</t>
        </is>
      </c>
      <c r="J1066" t="inlineStr"/>
      <c r="K1066" t="inlineStr"/>
      <c r="L1066" t="inlineStr"/>
      <c r="M1066" t="inlineStr"/>
      <c r="N1066" t="inlineStr"/>
      <c r="O1066" t="n">
        <v>0</v>
      </c>
      <c r="P1066">
        <f>IF(B1087=0,0,O1066/B1087)</f>
        <v/>
      </c>
      <c r="Q1066" t="n">
        <v>0</v>
      </c>
      <c r="R1066" t="n">
        <v>0</v>
      </c>
      <c r="S1066">
        <f>IFERROR(O1066/N1066,0)</f>
        <v/>
      </c>
    </row>
    <row r="1067">
      <c r="A1067">
        <f>Skills!A25</f>
        <v/>
      </c>
      <c r="B1067">
        <f>Skills!B25</f>
        <v/>
      </c>
      <c r="C1067">
        <f>Inputs!$B$3&gt;=50</f>
        <v/>
      </c>
      <c r="D1067">
        <f>IF(Skills!C25=1,60+Inputs!$B$25+Inputs!$B$29,IF(Skills!C25=2,90+Inputs!$B$26+Inputs!$B$29,IF(Skills!C25=3,120+Inputs!$B$27+Inputs!$B$29,MAX(0,(Inputs!$B$3-100)*3)+Inputs!$B$28+Inputs!$B$29)))</f>
        <v/>
      </c>
      <c r="E1067">
        <f>INDEX(FactorTable!$B$2:$Y$301, MATCH(ROUND(MIN(300,MAX(1,D1067)),0), FactorTable!$A$2:$A$301,0), Skills!M25+1)</f>
        <v/>
      </c>
      <c r="F1067">
        <f>IF(Skills!N25=TRUE,(Skills!L25/10)*(E1067/1000),Skills!L25/10)+Skills!O25</f>
        <v/>
      </c>
      <c r="G1067">
        <f>Skills!G25*IF(Skills!H25&gt;0,Skills!I25/Skills!H25,1)</f>
        <v/>
      </c>
      <c r="H1067">
        <f>1-(1-Skills!J25/100)^Skills!K25</f>
        <v/>
      </c>
      <c r="I1067" t="inlineStr">
        <is>
          <t>1</t>
        </is>
      </c>
      <c r="J1067" t="inlineStr"/>
      <c r="K1067" t="inlineStr"/>
      <c r="L1067" t="inlineStr"/>
      <c r="M1067" t="inlineStr"/>
      <c r="N1067" t="inlineStr"/>
      <c r="O1067" t="n">
        <v>0</v>
      </c>
      <c r="P1067">
        <f>IF(B1087=0,0,O1067/B1087)</f>
        <v/>
      </c>
      <c r="Q1067" t="n">
        <v>0</v>
      </c>
      <c r="R1067" t="n">
        <v>0</v>
      </c>
      <c r="S1067">
        <f>IFERROR(O1067/N1067,0)</f>
        <v/>
      </c>
    </row>
    <row r="1068">
      <c r="A1068">
        <f>Skills!A26</f>
        <v/>
      </c>
      <c r="B1068">
        <f>Skills!B26</f>
        <v/>
      </c>
      <c r="C1068">
        <f>Inputs!$B$3&gt;=50</f>
        <v/>
      </c>
      <c r="D1068">
        <f>IF(Skills!C26=1,60+Inputs!$B$25+Inputs!$B$29,IF(Skills!C26=2,90+Inputs!$B$26+Inputs!$B$29,IF(Skills!C26=3,120+Inputs!$B$27+Inputs!$B$29,MAX(0,(Inputs!$B$3-100)*3)+Inputs!$B$28+Inputs!$B$29)))</f>
        <v/>
      </c>
      <c r="E1068">
        <f>INDEX(FactorTable!$B$2:$Y$301, MATCH(ROUND(MIN(300,MAX(1,D1068)),0), FactorTable!$A$2:$A$301,0), Skills!M26+1)</f>
        <v/>
      </c>
      <c r="F1068">
        <f>IF(Skills!N26=TRUE,(Skills!L26/10)*(E1068/1000),Skills!L26/10)+Skills!O26</f>
        <v/>
      </c>
      <c r="G1068">
        <f>Skills!G26*IF(Skills!H26&gt;0,Skills!I26/Skills!H26,1)</f>
        <v/>
      </c>
      <c r="H1068">
        <f>1-(1-Skills!J26/100)^Skills!K26</f>
        <v/>
      </c>
      <c r="I1068" t="inlineStr">
        <is>
          <t>1</t>
        </is>
      </c>
      <c r="J1068" t="inlineStr"/>
      <c r="K1068" t="inlineStr"/>
      <c r="L1068" t="inlineStr"/>
      <c r="M1068" t="inlineStr"/>
      <c r="N1068" t="inlineStr"/>
      <c r="O1068" t="n">
        <v>0</v>
      </c>
      <c r="P1068">
        <f>IF(B1087=0,0,O1068/B1087)</f>
        <v/>
      </c>
      <c r="Q1068" t="n">
        <v>0</v>
      </c>
      <c r="R1068" t="n">
        <v>0</v>
      </c>
      <c r="S1068">
        <f>IFERROR(O1068/N1068,0)</f>
        <v/>
      </c>
    </row>
    <row r="1069">
      <c r="A1069">
        <f>Skills!A27</f>
        <v/>
      </c>
      <c r="B1069">
        <f>Skills!B27</f>
        <v/>
      </c>
      <c r="C1069">
        <f>Inputs!$B$3&gt;=38</f>
        <v/>
      </c>
      <c r="D1069">
        <f>IF(Skills!C27=1,60+Inputs!$B$25+Inputs!$B$29,IF(Skills!C27=2,90+Inputs!$B$26+Inputs!$B$29,IF(Skills!C27=3,120+Inputs!$B$27+Inputs!$B$29,MAX(0,(Inputs!$B$3-100)*3)+Inputs!$B$28+Inputs!$B$29)))</f>
        <v/>
      </c>
      <c r="E1069">
        <f>INDEX(FactorTable!$B$2:$Y$301, MATCH(ROUND(MIN(300,MAX(1,D1069)),0), FactorTable!$A$2:$A$301,0), Skills!M27+1)</f>
        <v/>
      </c>
      <c r="F1069">
        <f>IF(Skills!N27=TRUE,(Skills!L27/10)*(E1069/1000),Skills!L27/10)+Skills!O27</f>
        <v/>
      </c>
      <c r="G1069">
        <f>Skills!G27*IF(Skills!H27&gt;0,Skills!I27/Skills!H27,1)</f>
        <v/>
      </c>
      <c r="H1069">
        <f>1-(1-Skills!J27/100)^Skills!K27</f>
        <v/>
      </c>
      <c r="I1069" t="inlineStr">
        <is>
          <t>1</t>
        </is>
      </c>
      <c r="J1069" t="inlineStr"/>
      <c r="K1069" t="inlineStr"/>
      <c r="L1069" t="inlineStr"/>
      <c r="M1069" t="inlineStr"/>
      <c r="N1069" t="inlineStr"/>
      <c r="O1069" t="n">
        <v>0</v>
      </c>
      <c r="P1069">
        <f>IF(B1087=0,0,O1069/B1087)</f>
        <v/>
      </c>
      <c r="Q1069" t="n">
        <v>0</v>
      </c>
      <c r="R1069" t="n">
        <v>0</v>
      </c>
      <c r="S1069">
        <f>IFERROR(O1069/N1069,0)</f>
        <v/>
      </c>
    </row>
    <row r="1070">
      <c r="A1070">
        <f>Skills!A28</f>
        <v/>
      </c>
      <c r="B1070">
        <f>Skills!B28</f>
        <v/>
      </c>
      <c r="C1070">
        <f>Inputs!$B$3&gt;=120</f>
        <v/>
      </c>
      <c r="D1070">
        <f>IF(Skills!C28=1,60+Inputs!$B$25+Inputs!$B$29,IF(Skills!C28=2,90+Inputs!$B$26+Inputs!$B$29,IF(Skills!C28=3,120+Inputs!$B$27+Inputs!$B$29,MAX(0,(Inputs!$B$3-100)*3)+Inputs!$B$28+Inputs!$B$29)))</f>
        <v/>
      </c>
      <c r="E1070">
        <f>INDEX(FactorTable!$B$2:$Y$301, MATCH(ROUND(MIN(300,MAX(1,D1070)),0), FactorTable!$A$2:$A$301,0), Skills!M28+1)</f>
        <v/>
      </c>
      <c r="F1070">
        <f>IF(Skills!N28=TRUE,(Skills!L28/10)*(E1070/1000),Skills!L28/10)+Skills!O28</f>
        <v/>
      </c>
      <c r="G1070">
        <f>Skills!G28*IF(Skills!H28&gt;0,Skills!I28/Skills!H28,1)</f>
        <v/>
      </c>
      <c r="H1070">
        <f>1-(1-Skills!J28/100)^Skills!K28</f>
        <v/>
      </c>
      <c r="I1070" t="inlineStr">
        <is>
          <t>1</t>
        </is>
      </c>
      <c r="J1070" t="inlineStr"/>
      <c r="K1070" t="inlineStr"/>
      <c r="L1070" t="inlineStr"/>
      <c r="M1070" t="inlineStr"/>
      <c r="N1070" t="inlineStr"/>
      <c r="O1070" t="n">
        <v>0</v>
      </c>
      <c r="P1070">
        <f>IF(B1087=0,0,O1070/B1087)</f>
        <v/>
      </c>
      <c r="Q1070" t="n">
        <v>0</v>
      </c>
      <c r="R1070" t="n">
        <v>0</v>
      </c>
      <c r="S1070">
        <f>IFERROR(O1070/N1070,0)</f>
        <v/>
      </c>
    </row>
    <row r="1071">
      <c r="A1071">
        <f>Skills!A29</f>
        <v/>
      </c>
      <c r="B1071">
        <f>Skills!B29</f>
        <v/>
      </c>
      <c r="C1071">
        <f>Inputs!$B$3&gt;=120</f>
        <v/>
      </c>
      <c r="D1071">
        <f>IF(Skills!C29=1,60+Inputs!$B$25+Inputs!$B$29,IF(Skills!C29=2,90+Inputs!$B$26+Inputs!$B$29,IF(Skills!C29=3,120+Inputs!$B$27+Inputs!$B$29,MAX(0,(Inputs!$B$3-100)*3)+Inputs!$B$28+Inputs!$B$29)))</f>
        <v/>
      </c>
      <c r="E1071">
        <f>INDEX(FactorTable!$B$2:$Y$301, MATCH(ROUND(MIN(300,MAX(1,D1071)),0), FactorTable!$A$2:$A$301,0), Skills!M29+1)</f>
        <v/>
      </c>
      <c r="F1071">
        <f>IF(Skills!N29=TRUE,(Skills!L29/10)*(E1071/1000),Skills!L29/10)+Skills!O29</f>
        <v/>
      </c>
      <c r="G1071">
        <f>Skills!G29*IF(Skills!H29&gt;0,Skills!I29/Skills!H29,1)</f>
        <v/>
      </c>
      <c r="H1071">
        <f>1-(1-Skills!J29/100)^Skills!K29</f>
        <v/>
      </c>
      <c r="I1071" t="inlineStr">
        <is>
          <t>1</t>
        </is>
      </c>
      <c r="J1071" t="inlineStr"/>
      <c r="K1071" t="inlineStr"/>
      <c r="L1071" t="inlineStr"/>
      <c r="M1071" t="inlineStr"/>
      <c r="N1071" t="inlineStr"/>
      <c r="O1071" t="n">
        <v>0</v>
      </c>
      <c r="P1071">
        <f>IF(B1087=0,0,O1071/B1087)</f>
        <v/>
      </c>
      <c r="Q1071" t="n">
        <v>0</v>
      </c>
      <c r="R1071" t="n">
        <v>0</v>
      </c>
      <c r="S1071">
        <f>IFERROR(O1071/N1071,0)</f>
        <v/>
      </c>
    </row>
    <row r="1072">
      <c r="A1072">
        <f>Skills!A30</f>
        <v/>
      </c>
      <c r="B1072">
        <f>Skills!B30</f>
        <v/>
      </c>
      <c r="C1072">
        <f>Inputs!$B$3&gt;=125</f>
        <v/>
      </c>
      <c r="D1072">
        <f>IF(Skills!C30=1,60+Inputs!$B$25+Inputs!$B$29,IF(Skills!C30=2,90+Inputs!$B$26+Inputs!$B$29,IF(Skills!C30=3,120+Inputs!$B$27+Inputs!$B$29,MAX(0,(Inputs!$B$3-100)*3)+Inputs!$B$28+Inputs!$B$29)))</f>
        <v/>
      </c>
      <c r="E1072">
        <f>INDEX(FactorTable!$B$2:$Y$301, MATCH(ROUND(MIN(300,MAX(1,D1072)),0), FactorTable!$A$2:$A$301,0), Skills!M30+1)</f>
        <v/>
      </c>
      <c r="F1072">
        <f>IF(Skills!N30=TRUE,(Skills!L30/10)*(E1072/1000),Skills!L30/10)+Skills!O30</f>
        <v/>
      </c>
      <c r="G1072">
        <f>Skills!G30*IF(Skills!H30&gt;0,Skills!I30/Skills!H30,1)</f>
        <v/>
      </c>
      <c r="H1072">
        <f>1-(1-Skills!J30/100)^Skills!K30</f>
        <v/>
      </c>
      <c r="I1072" t="inlineStr">
        <is>
          <t>1</t>
        </is>
      </c>
      <c r="J1072" t="inlineStr"/>
      <c r="K1072" t="inlineStr"/>
      <c r="L1072" t="inlineStr"/>
      <c r="M1072" t="inlineStr"/>
      <c r="N1072" t="inlineStr"/>
      <c r="O1072" t="n">
        <v>0</v>
      </c>
      <c r="P1072">
        <f>IF(B1087=0,0,O1072/B1087)</f>
        <v/>
      </c>
      <c r="Q1072" t="n">
        <v>0</v>
      </c>
      <c r="R1072" t="n">
        <v>0</v>
      </c>
      <c r="S1072">
        <f>IFERROR(O1072/N1072,0)</f>
        <v/>
      </c>
    </row>
    <row r="1074">
      <c r="A1074" t="inlineStr">
        <is>
          <t>Average Buff Multiplier</t>
        </is>
      </c>
      <c r="B1074">
        <f>(1+(((C1063=TRUE)*F1063*IF(AND(Inputs!$B$39&lt;&gt;"pvp",Inputs!$B$44&gt;0),(((R1063-1)*(Skills!Y21*(1+Inputs!$B$34/100))+MIN((Skills!Y21*(1+Inputs!$B$34/100)),MAX(0,Inputs!$B$44-((R1063-1)*Skills!D21))))/Inputs!$B$44),IF(Inputs!$B$39="pvp",MIN((Skills!Y21*(1+Inputs!$B$34/100)),15)/15,(Skills!Y21*(1+Inputs!$B$34/100))/Skills!D21)))+((C1065=TRUE)*(F1065-Calc!F23))+((C1059=TRUE)*(F1059-Calc!F17)))/100)*(1+((C1052=TRUE)*F1052*IF(AND(Inputs!$B$39&lt;&gt;"pvp",Inputs!$B$44&gt;0),(((R1052-1)*(Skills!Y10*(1+Inputs!$B$34/100))+MIN((Skills!Y10*(1+Inputs!$B$34/100)),MAX(0,Inputs!$B$44-((R1052-1)*Skills!D10))))/Inputs!$B$44),IF(Inputs!$B$39="pvp",MIN((Skills!Y10*(1+Inputs!$B$34/100)),15)/15,(Skills!Y10*(1+Inputs!$B$34/100))/Skills!D10)))/100)*(1+((C1057=TRUE)*F1057*IF(AND(Inputs!$B$39&lt;&gt;"pvp",Inputs!$B$44&gt;0),(((R1057-1)*(Skills!Y15*(1+Inputs!$B$34/100))+MIN((Skills!Y15*(1+Inputs!$B$34/100)),MAX(0,Inputs!$B$44-((R1057-1)*Skills!D15))))/Inputs!$B$44),IF(Inputs!$B$39="pvp",MIN((Skills!Y15*(1+Inputs!$B$34/100)),15)/15,(Skills!Y15*(1+Inputs!$B$34/100))/Skills!D15)))/100)</f>
        <v/>
      </c>
    </row>
    <row r="1075">
      <c r="A1075" t="inlineStr">
        <is>
          <t>Global Crit Rate Bonus %</t>
        </is>
      </c>
      <c r="B1075">
        <f>((C1062=TRUE)*F1062*IF(AND(Inputs!$B$39&lt;&gt;"pvp",Inputs!$B$44&gt;0),(((R1062-1)*(Skills!Y20*(1+Inputs!$B$34/100))+MIN((Skills!Y20*(1+Inputs!$B$34/100)),MAX(0,Inputs!$B$44-((R1062-1)*Skills!D20))))/Inputs!$B$44),IF(Inputs!$B$39="pvp",MIN((Skills!Y20*(1+Inputs!$B$34/100)),15)/15,(Skills!Y20*(1+Inputs!$B$34/100))/Skills!D20)))</f>
        <v/>
      </c>
    </row>
    <row r="1076">
      <c r="A1076" t="inlineStr">
        <is>
          <t>Global Monster Damage-Taken Bonus %</t>
        </is>
      </c>
      <c r="B1076">
        <f>IF(Inputs!$B$3&gt;=82,15,0)</f>
        <v/>
      </c>
    </row>
    <row r="1077">
      <c r="A1077" t="inlineStr">
        <is>
          <t>Shadow Partner Average Multiplier</t>
        </is>
      </c>
      <c r="B1077">
        <f>1+((C1049=TRUE)*F1049*(1+3.3333333333333335*IF(C1060=TRUE,F1060,0)/100)*I1049*Skills!J7/100)/100</f>
        <v/>
      </c>
    </row>
    <row r="1078">
      <c r="A1078" t="inlineStr">
        <is>
          <t>Attack Speed Buff Bonus %</t>
        </is>
      </c>
      <c r="B1078">
        <f>((C1061=TRUE)*F1061*IF(AND(Inputs!$B$39&lt;&gt;"pvp",Inputs!$B$44&gt;0),(((R1061-1)*(Skills!Y19*(1+Inputs!$B$34/100))+MIN((Skills!Y19*(1+Inputs!$B$34/100)),MAX(0,Inputs!$B$44-((R1061-1)*Skills!D19))))/Inputs!$B$44),IF(Inputs!$B$39="pvp",MIN((Skills!Y19*(1+Inputs!$B$34/100)),15)/15,(Skills!Y19*(1+Inputs!$B$34/100))/Skills!D19)))+((C1045=TRUE)*F1045*3)</f>
        <v/>
      </c>
    </row>
    <row r="1079">
      <c r="A1079" t="inlineStr">
        <is>
          <t>Actions Per Second</t>
        </is>
      </c>
      <c r="B1079">
        <f>1+MIN(150,150*(1-(1-(Inputs!$B$11+((C1064=TRUE)*(F1064-Calc!F22)))/150)*(1-B1078/150)))/100</f>
        <v/>
      </c>
    </row>
    <row r="1080">
      <c r="A1080" t="inlineStr">
        <is>
          <t>Skill + Buff Cast Rate</t>
        </is>
      </c>
      <c r="B1080">
        <f>IF(AND(Inputs!$B$39&lt;&gt;"pvp",Inputs!$B$44&gt;0),SUMPRODUCT((Skills!E2:E30=TRUE)*(C1044:C1072=TRUE)*R1044:R1072*Skills!F2:F30)/Inputs!$B$44,SUMPRODUCT((Skills!E2:E30=TRUE)*(C1044:C1072=TRUE)*Q1044:Q1072*Skills!F2:F30))</f>
        <v/>
      </c>
    </row>
    <row r="1081">
      <c r="A1081" t="inlineStr">
        <is>
          <t>Cruel Stab Casts Per Second</t>
        </is>
      </c>
      <c r="B1081">
        <f>MAX(0,B1079-B1080)</f>
        <v/>
      </c>
    </row>
    <row r="1082">
      <c r="A1082" t="inlineStr">
        <is>
          <t>Global Critical Damage Bonus % (Smokescreen Mastery Lv.113)</t>
        </is>
      </c>
      <c r="B1082">
        <f>IF(Inputs!$B$3&gt;=113,30,0)*IF(AND(Inputs!$B$39&lt;&gt;"pvp",Inputs!$B$44&gt;0),(((R1057-1)*(Skills!Y15*(1+Inputs!$B$34/100))+MIN((Skills!Y15*(1+Inputs!$B$34/100)),MAX(0,Inputs!$B$44-((R1057-1)*Skills!D15))))/Inputs!$B$44),IF(Inputs!$B$39="pvp",MIN((Skills!Y15*(1+Inputs!$B$34/100)),15)/15,(Skills!Y15*(1+Inputs!$B$34/100))/Skills!D15))</f>
        <v/>
      </c>
    </row>
    <row r="1083">
      <c r="A1083" t="inlineStr">
        <is>
          <t>Meso Explosion average stack count</t>
        </is>
      </c>
      <c r="B1083">
        <f>MIN(10,0.5*B1079*Skills!D4)</f>
        <v/>
      </c>
    </row>
    <row r="1084">
      <c r="A1084" t="inlineStr">
        <is>
          <t>Blood Money average stack count</t>
        </is>
      </c>
      <c r="B1084">
        <f>MIN(5,0.25*B1079*Skills!D4)</f>
        <v/>
      </c>
    </row>
    <row r="1085">
      <c r="A1085" t="inlineStr">
        <is>
          <t>Assassinate Murderous Intent Multiplier</t>
        </is>
      </c>
      <c r="B1085">
        <f>1+IFERROR(MIN(1,Q1056*2/Q1053),0)</f>
        <v/>
      </c>
    </row>
    <row r="1086">
      <c r="A1086" t="inlineStr">
        <is>
          <t>Buff-Casting Startup Delay (s, fixed-duration only)</t>
        </is>
      </c>
      <c r="B1086">
        <f>IF(AND(Inputs!$B$39&lt;&gt;"pvp",Inputs!$B$44&gt;0),SUMPRODUCT((Skills!Y2:Y30&gt;0)*(Skills!E2:E30=TRUE)*(C1044:C1072=TRUE))/B1079,0)</f>
        <v/>
      </c>
    </row>
    <row r="1087">
      <c r="A1087" s="5" t="inlineStr">
        <is>
          <t>TOTAL DPS</t>
        </is>
      </c>
      <c r="B1087" s="5">
        <f>SUM(O1044:O1072)</f>
        <v/>
      </c>
    </row>
    <row r="1090">
      <c r="A1090" s="5" t="inlineStr">
        <is>
          <t>Stat: ATTACK %</t>
        </is>
      </c>
    </row>
    <row r="1091">
      <c r="A1091" s="9" t="inlineStr">
        <is>
          <t>Key</t>
        </is>
      </c>
      <c r="B1091" s="9" t="inlineStr">
        <is>
          <t>Name</t>
        </is>
      </c>
      <c r="C1091" s="9" t="inlineStr">
        <is>
          <t>Unlocked</t>
        </is>
      </c>
      <c r="D1091" s="9" t="inlineStr">
        <is>
          <t>InputLevel</t>
        </is>
      </c>
      <c r="E1091" s="9" t="inlineStr">
        <is>
          <t>Factor</t>
        </is>
      </c>
      <c r="F1091" s="9" t="inlineStr">
        <is>
          <t>CoefficientPercent</t>
        </is>
      </c>
      <c r="G1091" s="9" t="inlineStr">
        <is>
          <t>EffectiveHits</t>
        </is>
      </c>
      <c r="H1091" s="9" t="inlineStr">
        <is>
          <t>ProcProbability</t>
        </is>
      </c>
      <c r="I1091" s="9" t="inlineStr">
        <is>
          <t>MapleHeroMultiplier</t>
        </is>
      </c>
      <c r="J1091" s="9" t="inlineStr">
        <is>
          <t>BaseDamage</t>
        </is>
      </c>
      <c r="K1091" s="9" t="inlineStr">
        <is>
          <t>BaseHitDamage</t>
        </is>
      </c>
      <c r="L1091" s="9" t="inlineStr">
        <is>
          <t>NonCritAvg</t>
        </is>
      </c>
      <c r="M1091" s="9" t="inlineStr">
        <is>
          <t>CritAvg</t>
        </is>
      </c>
      <c r="N1091" s="9" t="inlineStr">
        <is>
          <t>ExpectedDamage(perHit)</t>
        </is>
      </c>
      <c r="O1091" s="9" t="inlineStr">
        <is>
          <t>DPS</t>
        </is>
      </c>
      <c r="P1091" s="9" t="inlineStr">
        <is>
          <t>% of Total</t>
        </is>
      </c>
      <c r="Q1091" s="9" t="inlineStr">
        <is>
          <t>InvCooldown</t>
        </is>
      </c>
      <c r="R1091" s="9" t="inlineStr">
        <is>
          <t>CastsInFight</t>
        </is>
      </c>
      <c r="S1091" s="9" t="inlineStr">
        <is>
          <t>HitRate(perSec)</t>
        </is>
      </c>
      <c r="U1091" t="inlineStr">
        <is>
          <t>helpers</t>
        </is>
      </c>
    </row>
    <row r="1092">
      <c r="A1092">
        <f>Skills!A2</f>
        <v/>
      </c>
      <c r="B1092">
        <f>Skills!B2</f>
        <v/>
      </c>
      <c r="C1092">
        <f>Inputs!$B$3&gt;=100</f>
        <v/>
      </c>
      <c r="D1092" t="inlineStr"/>
      <c r="E1092" t="inlineStr"/>
      <c r="F1092">
        <f>U1094+Skills!O2</f>
        <v/>
      </c>
      <c r="G1092">
        <f>Skills!G2*IF(Skills!H2&gt;0,Skills!I2/Skills!H2,1)</f>
        <v/>
      </c>
      <c r="H1092">
        <f>1-(1-Skills!J2/100)^Skills!K2</f>
        <v/>
      </c>
      <c r="I1092" t="inlineStr">
        <is>
          <t>1</t>
        </is>
      </c>
      <c r="J1092">
        <f>((Inputs!$B$6*(1+(Inputs!$B$7+1)/100))+(((Inputs!$B$12*(1+Inputs!$B$13/100))-(Inputs!$B$12*(1+Inputs!$B$13/100)))+0.25*(Inputs!$B$14-Inputs!$B$14))*(1+(Inputs!$B$7+1)/100))*(F1092/100)</f>
        <v/>
      </c>
      <c r="K1092">
        <f>J1092*(1+((Inputs!$B$12*(1+Inputs!$B$13/100))*0.01+Inputs!$B$14*0.0025)/100)*(1+Inputs!$B$15/100)*(1+IF(Inputs!$B$39="pvp",0,(1-Summary!$B$55)*(Inputs!$B$20+0+Skills!P2+B1124)+Summary!$B$55*(Inputs!$B$21+Skills!Q2+B1124))/100)*(1+Inputs!$B$16/100)*(5000/(6000+Inputs!$B$43*(1-Inputs!$B$19/100)))*(1+(Inputs!$B$24+((C1120=TRUE)*(F1120-Calc!F30)))/100)*(1+(IF(Skills!A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1092)</f>
        <v/>
      </c>
      <c r="L1092">
        <f>K1092*(MIN(Inputs!$B$22+((C1114=TRUE)*(F1114-Calc!F24)),Inputs!$B$23+((C1119=TRUE)*(F1119-Calc!F29)))/100+(Inputs!$B$23+((C1119=TRUE)*(F1119-Calc!F29)))/100)/2</f>
        <v/>
      </c>
      <c r="M1092">
        <f>L1092*(1+(Inputs!$B$10+((C1116=TRUE)*(F1116-Calc!F26))+B1130)/100)</f>
        <v/>
      </c>
      <c r="N1092">
        <f>L1092*(1-MIN((Inputs!$B$9+((C1115=TRUE)*(F1115-Calc!F25))+B1123),100)/100)+M1092*(MIN((Inputs!$B$9+((C1115=TRUE)*(F1115-Calc!F25))+B1123),100)/100)</f>
        <v/>
      </c>
      <c r="O1092">
        <f>IF(C1092,Skills!G2*N1092*B1129*IF(Inputs!$B$39="pvp",1,(1-Summary!$B$55)*(1)+Summary!$B$55*(MIN((6+Inputs!$B$33),Inputs!$B$37))),0)</f>
        <v/>
      </c>
      <c r="P1092">
        <f>IF(B1135=0,0,O1092/B1135)</f>
        <v/>
      </c>
      <c r="Q1092" t="n">
        <v>0</v>
      </c>
      <c r="R1092" t="n">
        <v>0</v>
      </c>
      <c r="S1092">
        <f>IFERROR(O1092/N1092,0)</f>
        <v/>
      </c>
      <c r="U1092">
        <f>MAX(0,(Inputs!$B$3-100)*3)+Inputs!$B$28+Inputs!$B$29</f>
        <v/>
      </c>
    </row>
    <row r="1093">
      <c r="A1093">
        <f>Skills!A3</f>
        <v/>
      </c>
      <c r="B1093">
        <f>Skills!B3</f>
        <v/>
      </c>
      <c r="C1093">
        <f>Inputs!$B$3&gt;=35</f>
        <v/>
      </c>
      <c r="D1093">
        <f>IF(Skills!C3=1,60+Inputs!$B$25+Inputs!$B$29,IF(Skills!C3=2,90+Inputs!$B$26+Inputs!$B$29,IF(Skills!C3=3,120+Inputs!$B$27+Inputs!$B$29,MAX(0,(Inputs!$B$3-100)*3)+Inputs!$B$28+Inputs!$B$29)))</f>
        <v/>
      </c>
      <c r="E1093">
        <f>INDEX(FactorTable!$B$2:$Y$301, MATCH(ROUND(MIN(300,MAX(1,D1093)),0), FactorTable!$A$2:$A$301,0), Skills!M3+1)</f>
        <v/>
      </c>
      <c r="F1093">
        <f>IF(Skills!N3=TRUE,(Skills!L3/10)*(E1093/1000),Skills!L3/10)+Skills!O3</f>
        <v/>
      </c>
      <c r="G1093">
        <f>Skills!G3*IF(Skills!H3&gt;0,Skills!I3/Skills!H3,1)</f>
        <v/>
      </c>
      <c r="H1093">
        <f>1-(1-Skills!J3/100)^Skills!K3</f>
        <v/>
      </c>
      <c r="I1093" t="inlineStr">
        <is>
          <t>1</t>
        </is>
      </c>
      <c r="J1093" t="inlineStr"/>
      <c r="K1093" t="inlineStr"/>
      <c r="L1093" t="inlineStr"/>
      <c r="M1093" t="inlineStr"/>
      <c r="N1093" t="inlineStr"/>
      <c r="O1093" t="n">
        <v>0</v>
      </c>
      <c r="P1093">
        <f>IF(B1135=0,0,O1093/B1135)</f>
        <v/>
      </c>
      <c r="Q1093" t="n">
        <v>0</v>
      </c>
      <c r="R1093" t="n">
        <v>0</v>
      </c>
      <c r="S1093">
        <f>IFERROR(O1093/N1093,0)</f>
        <v/>
      </c>
      <c r="U1093">
        <f>INDEX(FactorTable!$B$2:$Y$301, MATCH(ROUND(MIN(300,MAX(1,U1092)),0), FactorTable!$A$2:$A$301,0), 22)</f>
        <v/>
      </c>
    </row>
    <row r="1094">
      <c r="A1094">
        <f>Skills!A4</f>
        <v/>
      </c>
      <c r="B1094">
        <f>Skills!B4</f>
        <v/>
      </c>
      <c r="C1094">
        <f>Inputs!$B$3&gt;=66</f>
        <v/>
      </c>
      <c r="D1094">
        <f>IF(Skills!C4=1,60+Inputs!$B$25+Inputs!$B$29,IF(Skills!C4=2,90+Inputs!$B$26+Inputs!$B$29,IF(Skills!C4=3,120+Inputs!$B$27+Inputs!$B$29,MAX(0,(Inputs!$B$3-100)*3)+Inputs!$B$28+Inputs!$B$29)))</f>
        <v/>
      </c>
      <c r="E1094">
        <f>INDEX(FactorTable!$B$2:$Y$301, MATCH(ROUND(MIN(300,MAX(1,D1094)),0), FactorTable!$A$2:$A$301,0), Skills!M4+1)</f>
        <v/>
      </c>
      <c r="F1094">
        <f>IF(Skills!N4=TRUE,(Skills!L4/10)*(E1094/1000),Skills!L4/10)+Skills!O4</f>
        <v/>
      </c>
      <c r="G1094">
        <f>Skills!G4*IF(Skills!H4&gt;0,Skills!I4/Skills!H4,1)</f>
        <v/>
      </c>
      <c r="H1094">
        <f>1-(1-Skills!J4/100)^Skills!K4</f>
        <v/>
      </c>
      <c r="I1094" t="inlineStr">
        <is>
          <t>1</t>
        </is>
      </c>
      <c r="J1094">
        <f>((Inputs!$B$6*(1+(Inputs!$B$7+1)/100))+(((Inputs!$B$12*(1+Inputs!$B$13/100))-(Inputs!$B$12*(1+Inputs!$B$13/100)))+0.25*(Inputs!$B$14-Inputs!$B$14))*(1+(Inputs!$B$7+1)/100))*(F1094/100)</f>
        <v/>
      </c>
      <c r="K1094">
        <f>J1094*(1+((Inputs!$B$12*(1+Inputs!$B$13/100))*0.01+Inputs!$B$14*0.0025)/100)*(1+Inputs!$B$15/100)*(1+IF(Inputs!$B$39="pvp",0,(1-Summary!$B$55)*(Inputs!$B$20+0+Skills!P4+B1124)+Summary!$B$55*(Inputs!$B$21+Skills!Q4+B1124))/100)*(1+Inputs!$B$16/100)*(5000/(6000+Inputs!$B$43*(1-Inputs!$B$19/100)))*(1+(Inputs!$B$24+((C1120=TRUE)*(F1120-Calc!F30)))/100)*(1+(IF(Skills!A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1094)</f>
        <v/>
      </c>
      <c r="L1094">
        <f>K1094*(MIN(Inputs!$B$22+((C1114=TRUE)*(F1114-Calc!F24)),Inputs!$B$23+((C1119=TRUE)*(F1119-Calc!F29)))/100+(Inputs!$B$23+((C1119=TRUE)*(F1119-Calc!F29)))/100)/2</f>
        <v/>
      </c>
      <c r="M1094">
        <f>L1094*(1+(Inputs!$B$10+((C1116=TRUE)*(F1116-Calc!F26))+B1130)/100)</f>
        <v/>
      </c>
      <c r="N1094">
        <f>L1094*(1-MIN((Inputs!$B$9+((C1115=TRUE)*(F1115-Calc!F25))+B1123),100)/100)+M1094*(MIN((Inputs!$B$9+((C1115=TRUE)*(F1115-Calc!F25))+B1123),100)/100)</f>
        <v/>
      </c>
      <c r="O1094">
        <f>IF(C1094,H1094*N1094*IF(AND(Inputs!$B$39&lt;&gt;"pvp",Inputs!$B$44&gt;0),((Skills!G4*((R1094-1)*IF(Skills!H4&gt;0,Skills!I4/Skills!H4,1)+IF(Skills!H4&gt;0,MIN(Skills!I4,MAX(0,MAX(0,Inputs!$B$44-B1134)-((R1094-1)*IF(Inputs!$B$39="pvp",15,MAX(0.1,Skills!D4-IF(Skills!E4=TRUE,Inputs!$B$32,0))))))/Skills!H4,1)))/Inputs!$B$44),G1094*Q1094)*IF(Inputs!$B$39="pvp",1,(1-Summary!$B$55)*(1)+Summary!$B$55*(MIN(MIN(10,0.5*B1127*Skills!D4),Inputs!$B$37))),0)</f>
        <v/>
      </c>
      <c r="P1094">
        <f>IF(B1135=0,0,O1094/B1135)</f>
        <v/>
      </c>
      <c r="Q1094">
        <f>IFERROR(1/IF(Inputs!$B$39="pvp",15,MAX(0.1,Skills!D4-IF(Skills!E4=TRUE,Inputs!$B$32,0))),0)</f>
        <v/>
      </c>
      <c r="R1094">
        <f>IF(AND(Inputs!$B$39&lt;&gt;"pvp",Inputs!$B$44&gt;0),IF(MAX(0,Inputs!$B$44-B1134)&lt;=0,0,(INT(MAX(0,Inputs!$B$44-B1134)/IF(Inputs!$B$39="pvp",15,MAX(0.1,Skills!D4-IF(Skills!E4=TRUE,Inputs!$B$32,0))))+1)),0)</f>
        <v/>
      </c>
      <c r="S1094">
        <f>IFERROR(O1094/N1094,0)</f>
        <v/>
      </c>
      <c r="U1094">
        <f>290*U1093/1000</f>
        <v/>
      </c>
    </row>
    <row r="1095">
      <c r="A1095">
        <f>Skills!A5</f>
        <v/>
      </c>
      <c r="B1095">
        <f>Skills!B5</f>
        <v/>
      </c>
      <c r="C1095">
        <f>Inputs!$B$3&gt;=63</f>
        <v/>
      </c>
      <c r="D1095">
        <f>IF(Skills!C5=1,60+Inputs!$B$25+Inputs!$B$29,IF(Skills!C5=2,90+Inputs!$B$26+Inputs!$B$29,IF(Skills!C5=3,120+Inputs!$B$27+Inputs!$B$29,MAX(0,(Inputs!$B$3-100)*3)+Inputs!$B$28+Inputs!$B$29)))</f>
        <v/>
      </c>
      <c r="E1095">
        <f>INDEX(FactorTable!$B$2:$Y$301, MATCH(ROUND(MIN(300,MAX(1,D1095)),0), FactorTable!$A$2:$A$301,0), Skills!M5+1)</f>
        <v/>
      </c>
      <c r="F1095">
        <f>IF(Skills!N5=TRUE,(Skills!L5/10)*(E1095/1000),Skills!L5/10)+Skills!O5</f>
        <v/>
      </c>
      <c r="G1095">
        <f>Skills!G5*IF(Skills!H5&gt;0,Skills!I5/Skills!H5,1)</f>
        <v/>
      </c>
      <c r="H1095">
        <f>1-(1-Skills!J5/100)^Skills!K5</f>
        <v/>
      </c>
      <c r="I1095" t="inlineStr">
        <is>
          <t>1</t>
        </is>
      </c>
      <c r="J1095">
        <f>((Inputs!$B$6*(1+(Inputs!$B$7+1)/100))+(((Inputs!$B$12*(1+Inputs!$B$13/100))-(Inputs!$B$12*(1+Inputs!$B$13/100)))+0.25*(Inputs!$B$14-Inputs!$B$14))*(1+(Inputs!$B$7+1)/100))*(F1095/100)</f>
        <v/>
      </c>
      <c r="K1095">
        <f>J1095*(1+((Inputs!$B$12*(1+Inputs!$B$13/100))*0.01+Inputs!$B$14*0.0025)/100)*(1+Inputs!$B$15/100)*(1+IF(Inputs!$B$39="pvp",0,(1-Summary!$B$55)*(Inputs!$B$20+0+Skills!P5+B1124)+Summary!$B$55*(Inputs!$B$21+Skills!Q5+B1124))/100)*(1+Inputs!$B$16/100)*(5000/(6000+Inputs!$B$43*(1-Inputs!$B$19/100)))*(1+(Inputs!$B$24+((C1120=TRUE)*(F1120-Calc!F30)))/100)*(1+2.6666666666666665*IF(C1108=TRUE,F1108,0)/100)*(1+(IF(Skills!A5="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1095)</f>
        <v/>
      </c>
      <c r="L1095">
        <f>K1095*(MIN(Inputs!$B$22+((C1114=TRUE)*(F1114-Calc!F24)),Inputs!$B$23+((C1119=TRUE)*(F1119-Calc!F29)))/100+(Inputs!$B$23+((C1119=TRUE)*(F1119-Calc!F29)))/100)/2</f>
        <v/>
      </c>
      <c r="M1095">
        <f>L1095*(1+(Inputs!$B$10+((C1116=TRUE)*(F1116-Calc!F26))+B1130)/100)</f>
        <v/>
      </c>
      <c r="N1095">
        <f>L1095*(1-MIN((Inputs!$B$9+((C1115=TRUE)*(F1115-Calc!F25))+B1123),100)/100)+M1095*(MIN((Inputs!$B$9+((C1115=TRUE)*(F1115-Calc!F25))+B1123),100)/100)</f>
        <v/>
      </c>
      <c r="O1095">
        <f>IF(C1095,H1095*N1095*IF(AND(Inputs!$B$39&lt;&gt;"pvp",Inputs!$B$44&gt;0),((Skills!G5*((R1095-1)*IF(Skills!H5&gt;0,Skills!I5/Skills!H5,1)+IF(Skills!H5&gt;0,MIN(Skills!I5,MAX(0,MAX(0,Inputs!$B$44-B1134)-((R1095-1)*IF(Inputs!$B$39="pvp",15,MAX(0.1,Skills!D5-IF(Skills!E5=TRUE,Inputs!$B$32,0))))))/Skills!H5,1)))/Inputs!$B$44),G1095*Q1095)*IF(Inputs!$B$39="pvp",1,(1-Summary!$B$55)*(1)+Summary!$B$55*(MIN(Skills!W5,Inputs!$B$37))),0)</f>
        <v/>
      </c>
      <c r="P1095">
        <f>IF(B1135=0,0,O1095/B1135)</f>
        <v/>
      </c>
      <c r="Q1095">
        <f>IFERROR(1/IF(Inputs!$B$39="pvp",15,MAX(0.1,Skills!D5-IF(Skills!E5=TRUE,Inputs!$B$32,0))),0)</f>
        <v/>
      </c>
      <c r="R1095">
        <f>IF(AND(Inputs!$B$39&lt;&gt;"pvp",Inputs!$B$44&gt;0),IF(MAX(0,Inputs!$B$44-B1134)&lt;=0,0,(INT(MAX(0,Inputs!$B$44-B1134)/IF(Inputs!$B$39="pvp",15,MAX(0.1,Skills!D5-IF(Skills!E5=TRUE,Inputs!$B$32,0))))+1)),0)</f>
        <v/>
      </c>
      <c r="S1095">
        <f>IFERROR(O1095/N1095,0)</f>
        <v/>
      </c>
    </row>
    <row r="1096">
      <c r="A1096">
        <f>Skills!A6</f>
        <v/>
      </c>
      <c r="B1096">
        <f>Skills!B6</f>
        <v/>
      </c>
      <c r="C1096">
        <f>Inputs!$B$3&gt;=69</f>
        <v/>
      </c>
      <c r="D1096">
        <f>IF(Skills!C6=1,60+Inputs!$B$25+Inputs!$B$29,IF(Skills!C6=2,90+Inputs!$B$26+Inputs!$B$29,IF(Skills!C6=3,120+Inputs!$B$27+Inputs!$B$29,MAX(0,(Inputs!$B$3-100)*3)+Inputs!$B$28+Inputs!$B$29)))</f>
        <v/>
      </c>
      <c r="E1096">
        <f>INDEX(FactorTable!$B$2:$Y$301, MATCH(ROUND(MIN(300,MAX(1,D1096)),0), FactorTable!$A$2:$A$301,0), Skills!M6+1)</f>
        <v/>
      </c>
      <c r="F1096">
        <f>IF(Skills!N6=TRUE,(Skills!L6/10)*(E1096/1000),Skills!L6/10)+Skills!O6</f>
        <v/>
      </c>
      <c r="G1096">
        <f>Skills!G6*IF(Skills!H6&gt;0,Skills!I6/Skills!H6,1)</f>
        <v/>
      </c>
      <c r="H1096">
        <f>1-(1-Skills!J6/100)^Skills!K6</f>
        <v/>
      </c>
      <c r="I1096" t="inlineStr">
        <is>
          <t>1</t>
        </is>
      </c>
      <c r="J1096">
        <f>((Inputs!$B$6*(1+(Inputs!$B$7+1)/100))+(((Inputs!$B$12*(1+Inputs!$B$13/100))-(Inputs!$B$12*(1+Inputs!$B$13/100)))+0.25*(Inputs!$B$14-Inputs!$B$14))*(1+(Inputs!$B$7+1)/100))*(F1096/100)</f>
        <v/>
      </c>
      <c r="K1096">
        <f>J1096*(1+((Inputs!$B$12*(1+Inputs!$B$13/100))*0.01+Inputs!$B$14*0.0025)/100)*(1+Inputs!$B$15/100)*(1+IF(Inputs!$B$39="pvp",0,(1-Summary!$B$55)*(Inputs!$B$20+0+Skills!P6+B1124)+Summary!$B$55*(Inputs!$B$21+Skills!Q6+B1124))/100)*(1+Inputs!$B$16/100)*(5000/(6000+Inputs!$B$43*(1-Inputs!$B$19/100)))*(1+(Inputs!$B$24+((C1120=TRUE)*(F1120-Calc!F30)))/100)*(1+1.0*IF(C1108=TRUE,F1108,0)/100)*(1+(IF(Skills!A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1096)</f>
        <v/>
      </c>
      <c r="L1096">
        <f>K1096*(MIN(Inputs!$B$22+((C1114=TRUE)*(F1114-Calc!F24)),Inputs!$B$23+((C1119=TRUE)*(F1119-Calc!F29)))/100+(Inputs!$B$23+((C1119=TRUE)*(F1119-Calc!F29)))/100)/2</f>
        <v/>
      </c>
      <c r="M1096">
        <f>L1096*(1+(Inputs!$B$10+((C1116=TRUE)*(F1116-Calc!F26))+B1130)/100)</f>
        <v/>
      </c>
      <c r="N1096">
        <f>L1096*(1-MIN((Inputs!$B$9+((C1115=TRUE)*(F1115-Calc!F25))+B1123),100)/100)+M1096*(MIN((Inputs!$B$9+((C1115=TRUE)*(F1115-Calc!F25))+B1123),100)/100)</f>
        <v/>
      </c>
      <c r="O1096">
        <f>IF(C1096,H1096*N1096*IF(AND(Inputs!$B$39&lt;&gt;"pvp",Inputs!$B$44&gt;0),((Skills!G6*((R1096-1)*IF(Skills!H6&gt;0,Skills!I6/Skills!H6,1)+IF(Skills!H6&gt;0,MIN(Skills!I6,MAX(0,MAX(0,Inputs!$B$44-B1134)-((R1096-1)*IF(Inputs!$B$39="pvp",15,MAX(0.1,Skills!D6-IF(Skills!E6=TRUE,Inputs!$B$32,0))))))/Skills!H6,1)))/Inputs!$B$44),G1096*Q1096)*IF(Inputs!$B$39="pvp",1,(1-Summary!$B$55)*(1)+Summary!$B$55*(MIN(Skills!W6,Inputs!$B$37))),0)</f>
        <v/>
      </c>
      <c r="P1096">
        <f>IF(B1135=0,0,O1096/B1135)</f>
        <v/>
      </c>
      <c r="Q1096">
        <f>IFERROR(1/IF(Inputs!$B$39="pvp",15,MAX(0.1,Skills!D6-IF(Skills!E6=TRUE,Inputs!$B$32,0))),0)</f>
        <v/>
      </c>
      <c r="R1096">
        <f>IF(AND(Inputs!$B$39&lt;&gt;"pvp",Inputs!$B$44&gt;0),IF(MAX(0,Inputs!$B$44-B1134)&lt;=0,0,(INT(MAX(0,Inputs!$B$44-B1134)/IF(Inputs!$B$39="pvp",15,MAX(0.1,Skills!D6-IF(Skills!E6=TRUE,Inputs!$B$32,0))))+1)),0)</f>
        <v/>
      </c>
      <c r="S1096">
        <f>IFERROR(O1096/N1096,0)</f>
        <v/>
      </c>
    </row>
    <row r="1097">
      <c r="A1097">
        <f>Skills!A7</f>
        <v/>
      </c>
      <c r="B1097">
        <f>Skills!B7</f>
        <v/>
      </c>
      <c r="C1097">
        <f>Inputs!$B$3&gt;=60</f>
        <v/>
      </c>
      <c r="D1097">
        <f>IF(Skills!C7=1,60+Inputs!$B$25+Inputs!$B$29,IF(Skills!C7=2,90+Inputs!$B$26+Inputs!$B$29,IF(Skills!C7=3,120+Inputs!$B$27+Inputs!$B$29,MAX(0,(Inputs!$B$3-100)*3)+Inputs!$B$28+Inputs!$B$29)))</f>
        <v/>
      </c>
      <c r="E1097">
        <f>INDEX(FactorTable!$B$2:$Y$301, MATCH(ROUND(MIN(300,MAX(1,D1097)),0), FactorTable!$A$2:$A$301,0), Skills!M7+1)</f>
        <v/>
      </c>
      <c r="F1097">
        <f>IF(Skills!N7=TRUE,(Skills!L7/10)*(E1097/1000),Skills!L7/10)+Skills!O7</f>
        <v/>
      </c>
      <c r="G1097">
        <f>Skills!G7*IF(Skills!H7&gt;0,Skills!I7/Skills!H7,1)</f>
        <v/>
      </c>
      <c r="H1097">
        <f>1-(1-Skills!J7/100)^Skills!K7</f>
        <v/>
      </c>
      <c r="I1097" t="inlineStr">
        <is>
          <t>1</t>
        </is>
      </c>
      <c r="J1097" t="inlineStr"/>
      <c r="K1097" t="inlineStr"/>
      <c r="L1097" t="inlineStr"/>
      <c r="M1097" t="inlineStr"/>
      <c r="N1097" t="inlineStr"/>
      <c r="O1097" t="n">
        <v>0</v>
      </c>
      <c r="P1097">
        <f>IF(B1135=0,0,O1097/B1135)</f>
        <v/>
      </c>
      <c r="Q1097" t="n">
        <v>0</v>
      </c>
      <c r="R1097" t="n">
        <v>0</v>
      </c>
      <c r="S1097">
        <f>IFERROR(O1097/N1097,0)</f>
        <v/>
      </c>
    </row>
    <row r="1098">
      <c r="A1098">
        <f>Skills!A8</f>
        <v/>
      </c>
      <c r="B1098">
        <f>Skills!B8</f>
        <v/>
      </c>
      <c r="C1098">
        <f>Inputs!$B$3&gt;=72</f>
        <v/>
      </c>
      <c r="D1098">
        <f>IF(Skills!C8=1,60+Inputs!$B$25+Inputs!$B$29,IF(Skills!C8=2,90+Inputs!$B$26+Inputs!$B$29,IF(Skills!C8=3,120+Inputs!$B$27+Inputs!$B$29,MAX(0,(Inputs!$B$3-100)*3)+Inputs!$B$28+Inputs!$B$29)))</f>
        <v/>
      </c>
      <c r="E1098">
        <f>INDEX(FactorTable!$B$2:$Y$301, MATCH(ROUND(MIN(300,MAX(1,D1098)),0), FactorTable!$A$2:$A$301,0), Skills!M8+1)</f>
        <v/>
      </c>
      <c r="F1098">
        <f>IF(Skills!N8=TRUE,(Skills!L8/10)*(E1098/1000),Skills!L8/10)+Skills!O8</f>
        <v/>
      </c>
      <c r="G1098">
        <f>Skills!G8*IF(Skills!H8&gt;0,Skills!I8/Skills!H8,1)</f>
        <v/>
      </c>
      <c r="H1098">
        <f>1-(1-Skills!J8/100)^Skills!K8</f>
        <v/>
      </c>
      <c r="I1098" t="inlineStr">
        <is>
          <t>1</t>
        </is>
      </c>
      <c r="J1098">
        <f>((Inputs!$B$6*(1+(Inputs!$B$7+1)/100))+(((Inputs!$B$12*(1+Inputs!$B$13/100))-(Inputs!$B$12*(1+Inputs!$B$13/100)))+0.25*(Inputs!$B$14-Inputs!$B$14))*(1+(Inputs!$B$7+1)/100))*(F1098/100)</f>
        <v/>
      </c>
      <c r="K1098">
        <f>J1098*(1+((Inputs!$B$12*(1+Inputs!$B$13/100))*0.01+Inputs!$B$14*0.0025)/100)*(1+Inputs!$B$15/100)*(1+IF(Inputs!$B$39="pvp",0,(1-Summary!$B$55)*(Inputs!$B$20+0+Skills!P8+B1124)+Summary!$B$55*(Inputs!$B$21+Skills!Q8+B1124))/100)*(1+Inputs!$B$16/100)*(5000/(6000+Inputs!$B$43*(1-Inputs!$B$19/100)))*(1+(Inputs!$B$24+((C1120=TRUE)*(F1120-Calc!F30)))/100)*(1+3.3333333333333335*IF(C1108=TRUE,F1108,0)/100)*(1+(IF(Skills!A8="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1098)</f>
        <v/>
      </c>
      <c r="L1098">
        <f>K1098*(MIN(Inputs!$B$22+((C1114=TRUE)*(F1114-Calc!F24)),Inputs!$B$23+((C1119=TRUE)*(F1119-Calc!F29)))/100+(Inputs!$B$23+((C1119=TRUE)*(F1119-Calc!F29)))/100)/2</f>
        <v/>
      </c>
      <c r="M1098">
        <f>L1098*(1+(Inputs!$B$10+((C1116=TRUE)*(F1116-Calc!F26))+B1130)/100)</f>
        <v/>
      </c>
      <c r="N1098">
        <f>L1098*(1-MIN((Inputs!$B$9+((C1115=TRUE)*(F1115-Calc!F25))+B1123),100)/100)+M1098*(MIN((Inputs!$B$9+((C1115=TRUE)*(F1115-Calc!F25))+B1123),100)/100)</f>
        <v/>
      </c>
      <c r="O1098">
        <f>IF(C1098,H1098*N1098*IF(AND(Inputs!$B$39&lt;&gt;"pvp",Inputs!$B$44&gt;0),((Skills!G8*((R1098-1)*IF(Skills!H8&gt;0,Skills!I8/Skills!H8,1)+IF(Skills!H8&gt;0,MIN(Skills!I8,MAX(0,MAX(0,Inputs!$B$44-B1134)-((R1098-1)*IF(Inputs!$B$39="pvp",15,MAX(0.1,Skills!D8-IF(Skills!E8=TRUE,Inputs!$B$32,0))))))/Skills!H8,1)))/Inputs!$B$44),G1098*Q1098)*IF(Inputs!$B$39="pvp",1,(1-Summary!$B$55)*(1)+Summary!$B$55*(MIN(Skills!W8,Inputs!$B$37))),0)</f>
        <v/>
      </c>
      <c r="P1098">
        <f>IF(B1135=0,0,O1098/B1135)</f>
        <v/>
      </c>
      <c r="Q1098">
        <f>IFERROR(1/IF(Inputs!$B$39="pvp",15,MAX(0.1,Skills!D8-IF(Skills!E8=TRUE,Inputs!$B$32,0))),0)</f>
        <v/>
      </c>
      <c r="R1098">
        <f>IF(AND(Inputs!$B$39&lt;&gt;"pvp",Inputs!$B$44&gt;0),IF(MAX(0,Inputs!$B$44-B1134)&lt;=0,0,(INT(MAX(0,Inputs!$B$44-B1134)/IF(Inputs!$B$39="pvp",15,MAX(0.1,Skills!D8-IF(Skills!E8=TRUE,Inputs!$B$32,0))))+1)),0)</f>
        <v/>
      </c>
      <c r="S1098">
        <f>IFERROR(O1098/N1098,0)</f>
        <v/>
      </c>
    </row>
    <row r="1099">
      <c r="A1099">
        <f>Skills!A9</f>
        <v/>
      </c>
      <c r="B1099">
        <f>Skills!B9</f>
        <v/>
      </c>
      <c r="C1099">
        <f>Inputs!$B$3&gt;=117</f>
        <v/>
      </c>
      <c r="D1099">
        <f>IF(Skills!C9=1,60+Inputs!$B$25+Inputs!$B$29,IF(Skills!C9=2,90+Inputs!$B$26+Inputs!$B$29,IF(Skills!C9=3,120+Inputs!$B$27+Inputs!$B$29,MAX(0,(Inputs!$B$3-100)*3)+Inputs!$B$28+Inputs!$B$29)))</f>
        <v/>
      </c>
      <c r="E1099">
        <f>INDEX(FactorTable!$B$2:$Y$301, MATCH(ROUND(MIN(300,MAX(1,D1099)),0), FactorTable!$A$2:$A$301,0), Skills!M9+1)</f>
        <v/>
      </c>
      <c r="F1099">
        <f>IF(Skills!N9=TRUE,(Skills!L9/10)*(E1099/1000),Skills!L9/10)+Skills!O9</f>
        <v/>
      </c>
      <c r="G1099">
        <f>Skills!G9*IF(Skills!H9&gt;0,Skills!I9/Skills!H9,1)</f>
        <v/>
      </c>
      <c r="H1099">
        <f>1-(1-Skills!J9/100)^Skills!K9</f>
        <v/>
      </c>
      <c r="I1099" t="inlineStr">
        <is>
          <t>1</t>
        </is>
      </c>
      <c r="J1099">
        <f>((Inputs!$B$6*(1+(Inputs!$B$7+1)/100))+(((Inputs!$B$12*(1+Inputs!$B$13/100))-(Inputs!$B$12*(1+Inputs!$B$13/100)))+0.25*(Inputs!$B$14-Inputs!$B$14))*(1+(Inputs!$B$7+1)/100))*(F1099/100)</f>
        <v/>
      </c>
      <c r="K1099">
        <f>J1099*(1+((Inputs!$B$12*(1+Inputs!$B$13/100))*0.01+Inputs!$B$14*0.0025)/100)*(1+Inputs!$B$15/100)*(1+IF(Inputs!$B$39="pvp",0,(1-Summary!$B$55)*(Inputs!$B$20+0+Skills!P9+B1124)+Summary!$B$55*(Inputs!$B$21+Skills!Q9+B1124))/100)*(1+Inputs!$B$16/100)*(5000/(6000+Inputs!$B$43*(1-Inputs!$B$19/100)))*(1+(Inputs!$B$24+((C1120=TRUE)*(F1120-Calc!F30)))/100)*(1+(IF(Skills!A9="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1099)</f>
        <v/>
      </c>
      <c r="L1099">
        <f>K1099*(MIN(Inputs!$B$22+((C1114=TRUE)*(F1114-Calc!F24)),Inputs!$B$23+((C1119=TRUE)*(F1119-Calc!F29)))/100+(Inputs!$B$23+((C1119=TRUE)*(F1119-Calc!F29)))/100)/2</f>
        <v/>
      </c>
      <c r="M1099">
        <f>L1099*(1+(Inputs!$B$10+((C1116=TRUE)*(F1116-Calc!F26))+B1130)/100)</f>
        <v/>
      </c>
      <c r="N1099">
        <f>L1099*(1-MIN((Inputs!$B$9+((C1115=TRUE)*(F1115-Calc!F25))+B1123),100)/100)+M1099*(MIN((Inputs!$B$9+((C1115=TRUE)*(F1115-Calc!F25))+B1123),100)/100)</f>
        <v/>
      </c>
      <c r="O1099">
        <f>IF(C1099,0.2*SUMPRODUCT((Skills!Z2:Z30=TRUE)*(C1092:C1120=TRUE)*S1092:S1120)*N1099,0)</f>
        <v/>
      </c>
      <c r="P1099">
        <f>IF(B1135=0,0,O1099/B1135)</f>
        <v/>
      </c>
      <c r="Q1099" t="n">
        <v>0</v>
      </c>
      <c r="R1099" t="n">
        <v>0</v>
      </c>
      <c r="S1099" t="n">
        <v>0</v>
      </c>
    </row>
    <row r="1100">
      <c r="A1100">
        <f>Skills!A10</f>
        <v/>
      </c>
      <c r="B1100">
        <f>Skills!B10</f>
        <v/>
      </c>
      <c r="C1100">
        <f>Inputs!$B$3&gt;=74</f>
        <v/>
      </c>
      <c r="D1100">
        <f>IF(Skills!C10=1,60+Inputs!$B$25+Inputs!$B$29,IF(Skills!C10=2,90+Inputs!$B$26+Inputs!$B$29,IF(Skills!C10=3,120+Inputs!$B$27+Inputs!$B$29,MAX(0,(Inputs!$B$3-100)*3)+Inputs!$B$28+Inputs!$B$29)))</f>
        <v/>
      </c>
      <c r="E1100">
        <f>INDEX(FactorTable!$B$2:$Y$301, MATCH(ROUND(MIN(300,MAX(1,D1100)),0), FactorTable!$A$2:$A$301,0), Skills!M10+1)</f>
        <v/>
      </c>
      <c r="F1100">
        <f>IF(Skills!N10=TRUE,(Skills!L10/10)*(E1100/1000),Skills!L10/10)+Skills!O10</f>
        <v/>
      </c>
      <c r="G1100">
        <f>Skills!G10*IF(Skills!H10&gt;0,Skills!I10/Skills!H10,1)</f>
        <v/>
      </c>
      <c r="H1100">
        <f>1-(1-Skills!J10/100)^Skills!K10</f>
        <v/>
      </c>
      <c r="I1100" t="inlineStr">
        <is>
          <t>1</t>
        </is>
      </c>
      <c r="J1100" t="inlineStr"/>
      <c r="K1100" t="inlineStr"/>
      <c r="L1100" t="inlineStr"/>
      <c r="M1100" t="inlineStr"/>
      <c r="N1100" t="inlineStr"/>
      <c r="O1100" t="n">
        <v>0</v>
      </c>
      <c r="P1100">
        <f>IF(B1135=0,0,O1100/B1135)</f>
        <v/>
      </c>
      <c r="Q1100">
        <f>IFERROR(1/IF(Inputs!$B$39="pvp",15,MAX(0.1,Skills!D10-IF(Skills!E10=TRUE,Inputs!$B$32,0))),0)</f>
        <v/>
      </c>
      <c r="R1100">
        <f>IF(AND(Inputs!$B$39&lt;&gt;"pvp",Inputs!$B$44&gt;0),IF(Inputs!$B$44&lt;=0,0,(INT(Inputs!$B$44/IF(Inputs!$B$39="pvp",15,MAX(0.1,Skills!D10-IF(Skills!E10=TRUE,Inputs!$B$32,0))))+1)),0)</f>
        <v/>
      </c>
      <c r="S1100">
        <f>IFERROR(O1100/N1100,0)</f>
        <v/>
      </c>
    </row>
    <row r="1101">
      <c r="A1101">
        <f>Skills!A11</f>
        <v/>
      </c>
      <c r="B1101">
        <f>Skills!B11</f>
        <v/>
      </c>
      <c r="C1101">
        <f>Inputs!$B$3&gt;=103</f>
        <v/>
      </c>
      <c r="D1101">
        <f>IF(Skills!C11=1,60+Inputs!$B$25+Inputs!$B$29,IF(Skills!C11=2,90+Inputs!$B$26+Inputs!$B$29,IF(Skills!C11=3,120+Inputs!$B$27+Inputs!$B$29,MAX(0,(Inputs!$B$3-100)*3)+Inputs!$B$28+Inputs!$B$29)))</f>
        <v/>
      </c>
      <c r="E1101">
        <f>INDEX(FactorTable!$B$2:$Y$301, MATCH(ROUND(MIN(300,MAX(1,D1101)),0), FactorTable!$A$2:$A$301,0), Skills!M11+1)</f>
        <v/>
      </c>
      <c r="F1101">
        <f>(Skills!L11/10)*(E1101/1000)+IF(Inputs!$B$3&gt;=134,50,0)+0.5*(30000/10)*(INDEX(FactorTable!$B$2:$Y$301, MATCH(ROUND(MIN(300,MAX(1,D1101)),0), FactorTable!$A$2:$A$301,0), 13)/1000)*B1133</f>
        <v/>
      </c>
      <c r="G1101">
        <f>Skills!G11*IF(Skills!H11&gt;0,Skills!I11/Skills!H11,1)</f>
        <v/>
      </c>
      <c r="H1101">
        <f>1-(1-Skills!J11/100)^Skills!K11</f>
        <v/>
      </c>
      <c r="I1101" t="inlineStr">
        <is>
          <t>1</t>
        </is>
      </c>
      <c r="J1101">
        <f>((Inputs!$B$6*(1+(Inputs!$B$7+1)/100))+(((Inputs!$B$12*(1+Inputs!$B$13/100))-(Inputs!$B$12*(1+Inputs!$B$13/100)))+0.25*(Inputs!$B$14-Inputs!$B$14))*(1+(Inputs!$B$7+1)/100))*(F1101/100)</f>
        <v/>
      </c>
      <c r="K1101">
        <f>J1101*(1+((Inputs!$B$12*(1+Inputs!$B$13/100))*0.01+Inputs!$B$14*0.0025)/100)*(1+Inputs!$B$15/100)*(1+IF(Inputs!$B$39="pvp",0,(1-Summary!$B$55)*(Inputs!$B$20+0+Skills!P11+B1124)+Summary!$B$55*(Inputs!$B$21+Skills!Q11+B1124))/100)*(1+Inputs!$B$16/100)*(5000/(6000+Inputs!$B$43*(1-Inputs!$B$19/100)))*(1+(Inputs!$B$24+((C1120=TRUE)*(F1120-Calc!F30)))/100)*(1+(IF(Skills!A11="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1101)</f>
        <v/>
      </c>
      <c r="L1101">
        <f>K1101*(MIN(Inputs!$B$22+((C1114=TRUE)*(F1114-Calc!F24)),Inputs!$B$23+((C1119=TRUE)*(F1119-Calc!F29)))/100+(Inputs!$B$23+((C1119=TRUE)*(F1119-Calc!F29)))/100)/2</f>
        <v/>
      </c>
      <c r="M1101">
        <f>L1101*(1+(Inputs!$B$10+((C1116=TRUE)*(F1116-Calc!F26))+B1130)/100)</f>
        <v/>
      </c>
      <c r="N1101">
        <f>L1101*(1-MIN((Inputs!$B$9+((C1115=TRUE)*(F1115-Calc!F25))+B1123),100)/100)+M1101*(MIN((Inputs!$B$9+((C1115=TRUE)*(F1115-Calc!F25))+B1123),100)/100)</f>
        <v/>
      </c>
      <c r="O1101">
        <f>IF(C1101,H1101*N1101*IF(AND(Inputs!$B$39&lt;&gt;"pvp",Inputs!$B$44&gt;0),((Skills!G11*((R1101-1)*IF(Skills!H11&gt;0,Skills!I11/Skills!H11,1)+IF(Skills!H11&gt;0,MIN(Skills!I11,MAX(0,MAX(0,Inputs!$B$44-B1134)-((R1101-1)*IF(Inputs!$B$39="pvp",15,MAX(0.1,Skills!D11-IF(Skills!E11=TRUE,Inputs!$B$32,0))))))/Skills!H11,1)))/Inputs!$B$44),G1101*Q1101)*IF(Inputs!$B$39="pvp",1,(1-Summary!$B$55)*(1)+Summary!$B$55*(MIN(Skills!W11,Inputs!$B$37))),0)</f>
        <v/>
      </c>
      <c r="P1101">
        <f>IF(B1135=0,0,O1101/B1135)</f>
        <v/>
      </c>
      <c r="Q1101">
        <f>IFERROR(1/IF(Inputs!$B$39="pvp",15,MAX(0.1,Skills!D11-IF(Skills!E11=TRUE,Inputs!$B$32,0))),0)</f>
        <v/>
      </c>
      <c r="R1101">
        <f>IF(AND(Inputs!$B$39&lt;&gt;"pvp",Inputs!$B$44&gt;0),IF(MAX(0,Inputs!$B$44-B1134)&lt;=0,0,(INT(MAX(0,Inputs!$B$44-B1134)/IF(Inputs!$B$39="pvp",15,MAX(0.1,Skills!D11-IF(Skills!E11=TRUE,Inputs!$B$32,0))))+1)),0)</f>
        <v/>
      </c>
      <c r="S1101">
        <f>IFERROR(O1101/N1101,0)</f>
        <v/>
      </c>
    </row>
    <row r="1102">
      <c r="A1102">
        <f>Skills!A12</f>
        <v/>
      </c>
      <c r="B1102">
        <f>Skills!B12</f>
        <v/>
      </c>
      <c r="C1102">
        <f>Inputs!$B$3&gt;=105</f>
        <v/>
      </c>
      <c r="D1102">
        <f>IF(Skills!C12=1,60+Inputs!$B$25+Inputs!$B$29,IF(Skills!C12=2,90+Inputs!$B$26+Inputs!$B$29,IF(Skills!C12=3,120+Inputs!$B$27+Inputs!$B$29,MAX(0,(Inputs!$B$3-100)*3)+Inputs!$B$28+Inputs!$B$29)))</f>
        <v/>
      </c>
      <c r="E1102">
        <f>INDEX(FactorTable!$B$2:$Y$301, MATCH(ROUND(MIN(300,MAX(1,D1102)),0), FactorTable!$A$2:$A$301,0), Skills!M12+1)</f>
        <v/>
      </c>
      <c r="F1102">
        <f>IF(Skills!N12=TRUE,(Skills!L12/10)*(E1102/1000),Skills!L12/10)+Skills!O12</f>
        <v/>
      </c>
      <c r="G1102">
        <f>Skills!G12*IF(Skills!H12&gt;0,Skills!I12/Skills!H12,1)</f>
        <v/>
      </c>
      <c r="H1102">
        <f>1-(1-Skills!J12/100)^Skills!K12</f>
        <v/>
      </c>
      <c r="I1102" t="inlineStr">
        <is>
          <t>1</t>
        </is>
      </c>
      <c r="J1102">
        <f>((Inputs!$B$6*(1+(Inputs!$B$7+1)/100))+(((Inputs!$B$12*(1+Inputs!$B$13/100))-(Inputs!$B$12*(1+Inputs!$B$13/100)))+0.25*(Inputs!$B$14-Inputs!$B$14))*(1+(Inputs!$B$7+1)/100))*(F1102/100)</f>
        <v/>
      </c>
      <c r="K1102">
        <f>J1102*(1+((Inputs!$B$12*(1+Inputs!$B$13/100))*0.01+Inputs!$B$14*0.0025)/100)*(1+Inputs!$B$15/100)*(1+IF(Inputs!$B$39="pvp",0,(1-Summary!$B$55)*(Inputs!$B$20+0+Skills!P12+B1124)+Summary!$B$55*(Inputs!$B$21+Skills!Q12+B1124))/100)*(1+Inputs!$B$16/100)*(5000/(6000+Inputs!$B$43*(1-Inputs!$B$19/100)))*(1+(Inputs!$B$24+((C1120=TRUE)*(F1120-Calc!F30)))/100)*(1+(IF(Skills!A12="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1102)</f>
        <v/>
      </c>
      <c r="L1102">
        <f>K1102*(MIN(Inputs!$B$22+((C1114=TRUE)*(F1114-Calc!F24)),Inputs!$B$23+((C1119=TRUE)*(F1119-Calc!F29)))/100+(Inputs!$B$23+((C1119=TRUE)*(F1119-Calc!F29)))/100)/2</f>
        <v/>
      </c>
      <c r="M1102">
        <f>L1102*(1+(Inputs!$B$10+((C1116=TRUE)*(F1116-Calc!F26))+B1130)/100)</f>
        <v/>
      </c>
      <c r="N1102">
        <f>L1102*(1-MIN((Inputs!$B$9+((C1115=TRUE)*(F1115-Calc!F25))+B1123),100)/100)+M1102*(MIN((Inputs!$B$9+((C1115=TRUE)*(F1115-Calc!F25))+B1123),100)/100)</f>
        <v/>
      </c>
      <c r="O1102">
        <f>IF(C1102,H1102*N1102*IF(AND(Inputs!$B$39&lt;&gt;"pvp",Inputs!$B$44&gt;0),((Skills!G12*((R1102-1)*IF(Skills!H12&gt;0,Skills!I12/Skills!H12,1)+IF(Skills!H12&gt;0,MIN(Skills!I12,MAX(0,MAX(0,Inputs!$B$44-B1134)-((R1102-1)*IF(Inputs!$B$39="pvp",15,MAX(0.1,Skills!D12-IF(Skills!E12=TRUE,Inputs!$B$32,0))))))/Skills!H12,1)))/Inputs!$B$44),G1102*Q1102)*IF(Inputs!$B$39="pvp",1,(1-Summary!$B$55)*(1)+Summary!$B$55*(MIN(Skills!W12,Inputs!$B$37))),0)</f>
        <v/>
      </c>
      <c r="P1102">
        <f>IF(B1135=0,0,O1102/B1135)</f>
        <v/>
      </c>
      <c r="Q1102">
        <f>IFERROR(1/IF(Inputs!$B$39="pvp",15,MAX(0.1,Skills!D12-IF(Skills!E12=TRUE,Inputs!$B$32,0))),0)</f>
        <v/>
      </c>
      <c r="R1102">
        <f>IF(AND(Inputs!$B$39&lt;&gt;"pvp",Inputs!$B$44&gt;0),IF(MAX(0,Inputs!$B$44-B1134)&lt;=0,0,(INT(MAX(0,Inputs!$B$44-B1134)/IF(Inputs!$B$39="pvp",15,MAX(0.1,Skills!D12-IF(Skills!E12=TRUE,Inputs!$B$32,0))))+1)),0)</f>
        <v/>
      </c>
      <c r="S1102">
        <f>IFERROR(O1102/N1102,0)</f>
        <v/>
      </c>
    </row>
    <row r="1103">
      <c r="A1103">
        <f>Skills!A13</f>
        <v/>
      </c>
      <c r="B1103">
        <f>Skills!B13</f>
        <v/>
      </c>
      <c r="C1103">
        <f>Inputs!$B$3&gt;=105</f>
        <v/>
      </c>
      <c r="D1103">
        <f>IF(Skills!C13=1,60+Inputs!$B$25+Inputs!$B$29,IF(Skills!C13=2,90+Inputs!$B$26+Inputs!$B$29,IF(Skills!C13=3,120+Inputs!$B$27+Inputs!$B$29,MAX(0,(Inputs!$B$3-100)*3)+Inputs!$B$28+Inputs!$B$29)))</f>
        <v/>
      </c>
      <c r="E1103">
        <f>INDEX(FactorTable!$B$2:$Y$301, MATCH(ROUND(MIN(300,MAX(1,D1103)),0), FactorTable!$A$2:$A$301,0), Skills!M13+1)</f>
        <v/>
      </c>
      <c r="F1103">
        <f>IF(Skills!N13=TRUE,(Skills!L13/10)*(E1103/1000),Skills!L13/10)+Skills!O13</f>
        <v/>
      </c>
      <c r="G1103">
        <f>Skills!G13*IF(Skills!H13&gt;0,Skills!I13/Skills!H13,1)</f>
        <v/>
      </c>
      <c r="H1103">
        <f>1-(1-Skills!J13/100)^Skills!K13</f>
        <v/>
      </c>
      <c r="I1103" t="inlineStr">
        <is>
          <t>1</t>
        </is>
      </c>
      <c r="J1103">
        <f>((Inputs!$B$6*(1+(Inputs!$B$7+1)/100))+(((Inputs!$B$12*(1+Inputs!$B$13/100))-(Inputs!$B$12*(1+Inputs!$B$13/100)))+0.25*(Inputs!$B$14-Inputs!$B$14))*(1+(Inputs!$B$7+1)/100))*(F1103/100)</f>
        <v/>
      </c>
      <c r="K1103">
        <f>J1103*(1+((Inputs!$B$12*(1+Inputs!$B$13/100))*0.01+Inputs!$B$14*0.0025)/100)*(1+Inputs!$B$15/100)*(1+IF(Inputs!$B$39="pvp",0,(1-Summary!$B$55)*(Inputs!$B$20+0+Skills!P13+B1124)+Summary!$B$55*(Inputs!$B$21+Skills!Q13+B1124))/100)*(1+Inputs!$B$16/100)*(5000/(6000+Inputs!$B$43*(1-Inputs!$B$19/100)))*(1+(Inputs!$B$24+((C1120=TRUE)*(F1120-Calc!F30)))/100)*(1+(IF(Skills!A13="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1103)</f>
        <v/>
      </c>
      <c r="L1103">
        <f>K1103*(MIN(Inputs!$B$22+((C1114=TRUE)*(F1114-Calc!F24)),Inputs!$B$23+((C1119=TRUE)*(F1119-Calc!F29)))/100+(Inputs!$B$23+((C1119=TRUE)*(F1119-Calc!F29)))/100)/2</f>
        <v/>
      </c>
      <c r="M1103">
        <f>L1103*(1+(Inputs!$B$10+((C1116=TRUE)*(F1116-Calc!F26))+B1130)/100)</f>
        <v/>
      </c>
      <c r="N1103">
        <f>L1103*(1-MIN((Inputs!$B$9+((C1115=TRUE)*(F1115-Calc!F25))+B1123),100)/100)+M1103*(MIN((Inputs!$B$9+((C1115=TRUE)*(F1115-Calc!F25))+B1123),100)/100)</f>
        <v/>
      </c>
      <c r="O1103">
        <f>IF(C1103,H1103*N1103*IF(AND(Inputs!$B$39&lt;&gt;"pvp",Inputs!$B$44&gt;0),((Skills!G13*((R1103-1)*IF(Skills!H13&gt;0,Skills!I13/Skills!H13,1)+IF(Skills!H13&gt;0,MIN(Skills!I13,MAX(0,MAX(0,Inputs!$B$44-B1134)-((R1103-1)*IF(Inputs!$B$39="pvp",15,MAX(0.1,Skills!D13-IF(Skills!E13=TRUE,Inputs!$B$32,0))))))/Skills!H13,1)))/Inputs!$B$44),G1103*Q1103)*IF(Inputs!$B$39="pvp",1,(1-Summary!$B$55)*(1)+Summary!$B$55*(MIN(Skills!W13,Inputs!$B$37))),0)</f>
        <v/>
      </c>
      <c r="P1103">
        <f>IF(B1135=0,0,O1103/B1135)</f>
        <v/>
      </c>
      <c r="Q1103">
        <f>IFERROR(1/IF(Inputs!$B$39="pvp",15,MAX(0.1,Skills!D13-IF(Skills!E13=TRUE,Inputs!$B$32,0))),0)</f>
        <v/>
      </c>
      <c r="R1103">
        <f>IF(AND(Inputs!$B$39&lt;&gt;"pvp",Inputs!$B$44&gt;0),IF(MAX(0,Inputs!$B$44-B1134)&lt;=0,0,(INT(MAX(0,Inputs!$B$44-B1134)/IF(Inputs!$B$39="pvp",15,MAX(0.1,Skills!D13-IF(Skills!E13=TRUE,Inputs!$B$32,0))))+1)),0)</f>
        <v/>
      </c>
      <c r="S1103">
        <f>IFERROR(O1103/N1103,0)</f>
        <v/>
      </c>
    </row>
    <row r="1104">
      <c r="A1104">
        <f>Skills!A14</f>
        <v/>
      </c>
      <c r="B1104">
        <f>Skills!B14</f>
        <v/>
      </c>
      <c r="C1104">
        <f>Inputs!$B$3&gt;=107</f>
        <v/>
      </c>
      <c r="D1104">
        <f>IF(Skills!C14=1,60+Inputs!$B$25+Inputs!$B$29,IF(Skills!C14=2,90+Inputs!$B$26+Inputs!$B$29,IF(Skills!C14=3,120+Inputs!$B$27+Inputs!$B$29,MAX(0,(Inputs!$B$3-100)*3)+Inputs!$B$28+Inputs!$B$29)))</f>
        <v/>
      </c>
      <c r="E1104">
        <f>INDEX(FactorTable!$B$2:$Y$301, MATCH(ROUND(MIN(300,MAX(1,D1104)),0), FactorTable!$A$2:$A$301,0), Skills!M14+1)</f>
        <v/>
      </c>
      <c r="F1104">
        <f>IF(Skills!N14=TRUE,(Skills!L14/10)*(E1104/1000),Skills!L14/10)+Skills!O14</f>
        <v/>
      </c>
      <c r="G1104">
        <f>Skills!G14*IF(Skills!H14&gt;0,Skills!I14/Skills!H14,1)</f>
        <v/>
      </c>
      <c r="H1104">
        <f>1-(1-Skills!J14/100)^Skills!K14</f>
        <v/>
      </c>
      <c r="I1104" t="inlineStr">
        <is>
          <t>1</t>
        </is>
      </c>
      <c r="J1104">
        <f>((Inputs!$B$6*(1+(Inputs!$B$7+1)/100))+(((Inputs!$B$12*(1+Inputs!$B$13/100))-(Inputs!$B$12*(1+Inputs!$B$13/100)))+0.25*(Inputs!$B$14-Inputs!$B$14))*(1+(Inputs!$B$7+1)/100))*(F1104/100)</f>
        <v/>
      </c>
      <c r="K1104">
        <f>J1104*(1+((Inputs!$B$12*(1+Inputs!$B$13/100))*0.01+Inputs!$B$14*0.0025)/100)*(1+Inputs!$B$15/100)*(1+IF(Inputs!$B$39="pvp",0,(1-Summary!$B$55)*(Inputs!$B$20+0+Skills!P14+B1124)+Summary!$B$55*(Inputs!$B$21+Skills!Q14+B1124))/100)*(1+Inputs!$B$16/100)*(5000/(6000+Inputs!$B$43*(1-Inputs!$B$19/100)))*(1+(Inputs!$B$24+((C1120=TRUE)*(F1120-Calc!F30)))/100)*(1+(IF(Skills!A14="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1104)</f>
        <v/>
      </c>
      <c r="L1104">
        <f>K1104*(MIN(Inputs!$B$22+((C1114=TRUE)*(F1114-Calc!F24)),Inputs!$B$23+((C1119=TRUE)*(F1119-Calc!F29)))/100+(Inputs!$B$23+((C1119=TRUE)*(F1119-Calc!F29)))/100)/2</f>
        <v/>
      </c>
      <c r="M1104">
        <f>L1104*(1+(Inputs!$B$10+((C1116=TRUE)*(F1116-Calc!F26))+B1130)/100)</f>
        <v/>
      </c>
      <c r="N1104">
        <f>L1104*(1-MIN((Inputs!$B$9+((C1115=TRUE)*(F1115-Calc!F25))+B1123),100)/100)+M1104*(MIN((Inputs!$B$9+((C1115=TRUE)*(F1115-Calc!F25))+B1123),100)/100)</f>
        <v/>
      </c>
      <c r="O1104">
        <f>IF(C1104,H1104*N1104*IF(AND(Inputs!$B$39&lt;&gt;"pvp",Inputs!$B$44&gt;0),((Skills!G14*((R1104-1)*IF(Skills!H14&gt;0,Skills!I14/Skills!H14,1)+IF(Skills!H14&gt;0,MIN(Skills!I14,MAX(0,MAX(0,Inputs!$B$44-B1134)-((R1104-1)*IF(Inputs!$B$39="pvp",15,MAX(0.1,Skills!D14-IF(Skills!E14=TRUE,Inputs!$B$32,0))))))/Skills!H14,1)))/Inputs!$B$44),G1104*Q1104)*IF(Inputs!$B$39="pvp",1,(1-Summary!$B$55)*(1)+Summary!$B$55*(MIN(MIN(5,0.25*B1127*Skills!D4)*Skills!V14,Inputs!$B$37))),0)</f>
        <v/>
      </c>
      <c r="P1104">
        <f>IF(B1135=0,0,O1104/B1135)</f>
        <v/>
      </c>
      <c r="Q1104">
        <f>IFERROR(1/IF(Inputs!$B$39="pvp",15,MAX(0.1,Skills!D14-IF(Skills!E14=TRUE,Inputs!$B$32,0))),0)</f>
        <v/>
      </c>
      <c r="R1104">
        <f>IF(AND(Inputs!$B$39&lt;&gt;"pvp",Inputs!$B$44&gt;0),IF(MAX(0,Inputs!$B$44-B1134)&lt;=0,0,(INT(MAX(0,Inputs!$B$44-B1134)/IF(Inputs!$B$39="pvp",15,MAX(0.1,Skills!D14-IF(Skills!E14=TRUE,Inputs!$B$32,0))))+1)),0)</f>
        <v/>
      </c>
      <c r="S1104">
        <f>IFERROR(O1104/N1104,0)</f>
        <v/>
      </c>
    </row>
    <row r="1105">
      <c r="A1105">
        <f>Skills!A15</f>
        <v/>
      </c>
      <c r="B1105">
        <f>Skills!B15</f>
        <v/>
      </c>
      <c r="C1105">
        <f>Inputs!$B$3&gt;=110</f>
        <v/>
      </c>
      <c r="D1105">
        <f>IF(Skills!C15=1,60+Inputs!$B$25+Inputs!$B$29,IF(Skills!C15=2,90+Inputs!$B$26+Inputs!$B$29,IF(Skills!C15=3,120+Inputs!$B$27+Inputs!$B$29,MAX(0,(Inputs!$B$3-100)*3)+Inputs!$B$28+Inputs!$B$29)))</f>
        <v/>
      </c>
      <c r="E1105">
        <f>INDEX(FactorTable!$B$2:$Y$301, MATCH(ROUND(MIN(300,MAX(1,D1105)),0), FactorTable!$A$2:$A$301,0), Skills!M15+1)</f>
        <v/>
      </c>
      <c r="F1105">
        <f>IF(Skills!N15=TRUE,(Skills!L15/10)*(E1105/1000),Skills!L15/10)+Skills!O15</f>
        <v/>
      </c>
      <c r="G1105">
        <f>Skills!G15*IF(Skills!H15&gt;0,Skills!I15/Skills!H15,1)</f>
        <v/>
      </c>
      <c r="H1105">
        <f>1-(1-Skills!J15/100)^Skills!K15</f>
        <v/>
      </c>
      <c r="I1105" t="inlineStr">
        <is>
          <t>1</t>
        </is>
      </c>
      <c r="J1105" t="inlineStr"/>
      <c r="K1105" t="inlineStr"/>
      <c r="L1105" t="inlineStr"/>
      <c r="M1105" t="inlineStr"/>
      <c r="N1105" t="inlineStr"/>
      <c r="O1105" t="n">
        <v>0</v>
      </c>
      <c r="P1105">
        <f>IF(B1135=0,0,O1105/B1135)</f>
        <v/>
      </c>
      <c r="Q1105">
        <f>IFERROR(1/IF(Inputs!$B$39="pvp",15,MAX(0.1,Skills!D15-IF(Skills!E15=TRUE,Inputs!$B$32,0))),0)</f>
        <v/>
      </c>
      <c r="R1105">
        <f>IF(AND(Inputs!$B$39&lt;&gt;"pvp",Inputs!$B$44&gt;0),IF(Inputs!$B$44&lt;=0,0,(INT(Inputs!$B$44/IF(Inputs!$B$39="pvp",15,MAX(0.1,Skills!D15-IF(Skills!E15=TRUE,Inputs!$B$32,0))))+1)),0)</f>
        <v/>
      </c>
      <c r="S1105">
        <f>IFERROR(O1105/N1105,0)</f>
        <v/>
      </c>
    </row>
    <row r="1106">
      <c r="A1106">
        <f>Skills!A16</f>
        <v/>
      </c>
      <c r="B1106">
        <f>Skills!B16</f>
        <v/>
      </c>
      <c r="C1106">
        <f>Inputs!$B$3&gt;=115</f>
        <v/>
      </c>
      <c r="D1106">
        <f>IF(Skills!C16=1,60+Inputs!$B$25+Inputs!$B$29,IF(Skills!C16=2,90+Inputs!$B$26+Inputs!$B$29,IF(Skills!C16=3,120+Inputs!$B$27+Inputs!$B$29,MAX(0,(Inputs!$B$3-100)*3)+Inputs!$B$28+Inputs!$B$29)))</f>
        <v/>
      </c>
      <c r="E1106">
        <f>INDEX(FactorTable!$B$2:$Y$301, MATCH(ROUND(MIN(300,MAX(1,D1106)),0), FactorTable!$A$2:$A$301,0), Skills!M16+1)</f>
        <v/>
      </c>
      <c r="F1106">
        <f>IF(Skills!N16=TRUE,(Skills!L16/10)*(E1106/1000),Skills!L16/10)+Skills!O16</f>
        <v/>
      </c>
      <c r="G1106">
        <f>Skills!G16*IF(Skills!H16&gt;0,Skills!I16/Skills!H16,1)</f>
        <v/>
      </c>
      <c r="H1106">
        <f>1-(1-Skills!J16/100)^Skills!K16</f>
        <v/>
      </c>
      <c r="I1106" t="inlineStr">
        <is>
          <t>1</t>
        </is>
      </c>
      <c r="J1106">
        <f>((Inputs!$B$6*(1+(Inputs!$B$7+1)/100))+(((Inputs!$B$12*(1+Inputs!$B$13/100))-(Inputs!$B$12*(1+Inputs!$B$13/100)))+0.25*(Inputs!$B$14-Inputs!$B$14))*(1+(Inputs!$B$7+1)/100))*(F1106/100)</f>
        <v/>
      </c>
      <c r="K1106">
        <f>J1106*(1+((Inputs!$B$12*(1+Inputs!$B$13/100))*0.01+Inputs!$B$14*0.0025)/100)*(1+Inputs!$B$15/100)*(1+IF(Inputs!$B$39="pvp",0,(1-Summary!$B$55)*(Inputs!$B$20+0+Skills!P16+B1124)+Summary!$B$55*(Inputs!$B$21+Skills!Q16+B1124))/100)*(1+Inputs!$B$16/100)*(5000/(6000+Inputs!$B$43*(1-Inputs!$B$19/100)))*(1+(Inputs!$B$24+((C1120=TRUE)*(F1120-Calc!F30)))/100)*(1+(IF(Skills!A16="CRUEL_STAB",Inputs!$B$17+((C1117=TRUE)*(F1117-Calc!F27)),Inputs!$B$18+((C1118=TRUE)*(F1118-Calc!F28))))/100)*(((1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B1125*I1106)</f>
        <v/>
      </c>
      <c r="L1106">
        <f>K1106*(MIN(Inputs!$B$22+((C1114=TRUE)*(F1114-Calc!F24)),Inputs!$B$23+((C1119=TRUE)*(F1119-Calc!F29)))/100+(Inputs!$B$23+((C1119=TRUE)*(F1119-Calc!F29)))/100)/2</f>
        <v/>
      </c>
      <c r="M1106">
        <f>L1106*(1+(Inputs!$B$10+((C1116=TRUE)*(F1116-Calc!F26))+B1130)/100)</f>
        <v/>
      </c>
      <c r="N1106">
        <f>L1106*(1-MIN((Inputs!$B$9+((C1115=TRUE)*(F1115-Calc!F25))+B1123),100)/100)+M1106*(MIN((Inputs!$B$9+((C1115=TRUE)*(F1115-Calc!F25))+B1123),100)/100)</f>
        <v/>
      </c>
      <c r="O1106">
        <f>IF(C1106,Inputs!$B$38*0.2*N1106,0)</f>
        <v/>
      </c>
      <c r="P1106">
        <f>IF(B1135=0,0,O1106/B1135)</f>
        <v/>
      </c>
      <c r="Q1106" t="n">
        <v>0</v>
      </c>
      <c r="R1106" t="n">
        <v>0</v>
      </c>
      <c r="S1106">
        <f>IFERROR(O1106/N1106,0)</f>
        <v/>
      </c>
    </row>
    <row r="1107">
      <c r="A1107">
        <f>Skills!A17</f>
        <v/>
      </c>
      <c r="B1107">
        <f>Skills!B17</f>
        <v/>
      </c>
      <c r="C1107">
        <f>Inputs!$B$3&gt;=115</f>
        <v/>
      </c>
      <c r="D1107">
        <f>IF(Skills!C17=1,60+Inputs!$B$25+Inputs!$B$29,IF(Skills!C17=2,90+Inputs!$B$26+Inputs!$B$29,IF(Skills!C17=3,120+Inputs!$B$27+Inputs!$B$29,MAX(0,(Inputs!$B$3-100)*3)+Inputs!$B$28+Inputs!$B$29)))</f>
        <v/>
      </c>
      <c r="E1107">
        <f>INDEX(FactorTable!$B$2:$Y$301, MATCH(ROUND(MIN(300,MAX(1,D1107)),0), FactorTable!$A$2:$A$301,0), Skills!M17+1)</f>
        <v/>
      </c>
      <c r="F1107">
        <f>IF(Skills!N17=TRUE,(Skills!L17/10)*(E1107/1000),Skills!L17/10)+Skills!O17</f>
        <v/>
      </c>
      <c r="G1107">
        <f>Skills!G17*IF(Skills!H17&gt;0,Skills!I17/Skills!H17,1)</f>
        <v/>
      </c>
      <c r="H1107">
        <f>1-(1-Skills!J17/100)^Skills!K17</f>
        <v/>
      </c>
      <c r="I1107" t="inlineStr">
        <is>
          <t>1</t>
        </is>
      </c>
      <c r="J1107" t="inlineStr"/>
      <c r="K1107" t="inlineStr"/>
      <c r="L1107" t="inlineStr"/>
      <c r="M1107" t="inlineStr"/>
      <c r="N1107" t="inlineStr"/>
      <c r="O1107" t="n">
        <v>0</v>
      </c>
      <c r="P1107">
        <f>IF(B1135=0,0,O1107/B1135)</f>
        <v/>
      </c>
      <c r="Q1107" t="n">
        <v>0</v>
      </c>
      <c r="R1107" t="n">
        <v>0</v>
      </c>
      <c r="S1107">
        <f>IFERROR(O1107/N1107,0)</f>
        <v/>
      </c>
    </row>
    <row r="1108">
      <c r="A1108">
        <f>Skills!A18</f>
        <v/>
      </c>
      <c r="B1108">
        <f>Skills!B18</f>
        <v/>
      </c>
      <c r="C1108">
        <f>Inputs!$B$3&gt;=100</f>
        <v/>
      </c>
      <c r="D1108">
        <f>IF(Skills!C18=1,60+Inputs!$B$25+Inputs!$B$29,IF(Skills!C18=2,90+Inputs!$B$26+Inputs!$B$29,IF(Skills!C18=3,120+Inputs!$B$27+Inputs!$B$29,MAX(0,(Inputs!$B$3-100)*3)+Inputs!$B$28+Inputs!$B$29)))</f>
        <v/>
      </c>
      <c r="E1108">
        <f>INDEX(FactorTable!$B$2:$Y$301, MATCH(ROUND(MIN(300,MAX(1,D1108)),0), FactorTable!$A$2:$A$301,0), Skills!M18+1)</f>
        <v/>
      </c>
      <c r="F1108">
        <f>IF(Skills!N18=TRUE,(Skills!L18/10)*(E1108/1000),Skills!L18/10)+Skills!O18</f>
        <v/>
      </c>
      <c r="G1108">
        <f>Skills!G18*IF(Skills!H18&gt;0,Skills!I18/Skills!H18,1)</f>
        <v/>
      </c>
      <c r="H1108">
        <f>1-(1-Skills!J18/100)^Skills!K18</f>
        <v/>
      </c>
      <c r="I1108" t="inlineStr">
        <is>
          <t>1</t>
        </is>
      </c>
      <c r="J1108" t="inlineStr"/>
      <c r="K1108" t="inlineStr"/>
      <c r="L1108" t="inlineStr"/>
      <c r="M1108" t="inlineStr"/>
      <c r="N1108" t="inlineStr"/>
      <c r="O1108" t="n">
        <v>0</v>
      </c>
      <c r="P1108">
        <f>IF(B1135=0,0,O1108/B1135)</f>
        <v/>
      </c>
      <c r="Q1108" t="n">
        <v>0</v>
      </c>
      <c r="R1108" t="n">
        <v>0</v>
      </c>
      <c r="S1108">
        <f>IFERROR(O1108/N1108,0)</f>
        <v/>
      </c>
    </row>
    <row r="1109">
      <c r="A1109">
        <f>Skills!A19</f>
        <v/>
      </c>
      <c r="B1109">
        <f>Skills!B19</f>
        <v/>
      </c>
      <c r="C1109">
        <f>TRUE</f>
        <v/>
      </c>
      <c r="D1109">
        <f>IF(Skills!C19=1,60+Inputs!$B$25+Inputs!$B$29,IF(Skills!C19=2,90+Inputs!$B$26+Inputs!$B$29,IF(Skills!C19=3,120+Inputs!$B$27+Inputs!$B$29,MAX(0,(Inputs!$B$3-100)*3)+Inputs!$B$28+Inputs!$B$29)))</f>
        <v/>
      </c>
      <c r="E1109">
        <f>INDEX(FactorTable!$B$2:$Y$301, MATCH(ROUND(MIN(300,MAX(1,D1109)),0), FactorTable!$A$2:$A$301,0), Skills!M19+1)</f>
        <v/>
      </c>
      <c r="F1109">
        <f>IF(Skills!N19=TRUE,(Skills!L19/10)*(E1109/1000),Skills!L19/10)+Skills!O19</f>
        <v/>
      </c>
      <c r="G1109">
        <f>Skills!G19*IF(Skills!H19&gt;0,Skills!I19/Skills!H19,1)</f>
        <v/>
      </c>
      <c r="H1109">
        <f>1-(1-Skills!J19/100)^Skills!K19</f>
        <v/>
      </c>
      <c r="I1109" t="inlineStr">
        <is>
          <t>1</t>
        </is>
      </c>
      <c r="J1109" t="inlineStr"/>
      <c r="K1109" t="inlineStr"/>
      <c r="L1109" t="inlineStr"/>
      <c r="M1109" t="inlineStr"/>
      <c r="N1109" t="inlineStr"/>
      <c r="O1109" t="n">
        <v>0</v>
      </c>
      <c r="P1109">
        <f>IF(B1135=0,0,O1109/B1135)</f>
        <v/>
      </c>
      <c r="Q1109">
        <f>IFERROR(1/IF(Inputs!$B$39="pvp",15,MAX(0.1,Skills!D19-IF(Skills!E19=TRUE,Inputs!$B$32,0))),0)</f>
        <v/>
      </c>
      <c r="R1109">
        <f>IF(AND(Inputs!$B$39&lt;&gt;"pvp",Inputs!$B$44&gt;0),IF(Inputs!$B$44&lt;=0,0,(INT(Inputs!$B$44/IF(Inputs!$B$39="pvp",15,MAX(0.1,Skills!D19-IF(Skills!E19=TRUE,Inputs!$B$32,0))))+1)),0)</f>
        <v/>
      </c>
      <c r="S1109">
        <f>IFERROR(O1109/N1109,0)</f>
        <v/>
      </c>
    </row>
    <row r="1110">
      <c r="A1110">
        <f>Skills!A20</f>
        <v/>
      </c>
      <c r="B1110">
        <f>Skills!B20</f>
        <v/>
      </c>
      <c r="C1110">
        <f>Inputs!$B$3&gt;=15</f>
        <v/>
      </c>
      <c r="D1110">
        <f>IF(Skills!C20=1,60+Inputs!$B$25+Inputs!$B$29,IF(Skills!C20=2,90+Inputs!$B$26+Inputs!$B$29,IF(Skills!C20=3,120+Inputs!$B$27+Inputs!$B$29,MAX(0,(Inputs!$B$3-100)*3)+Inputs!$B$28+Inputs!$B$29)))</f>
        <v/>
      </c>
      <c r="E1110">
        <f>INDEX(FactorTable!$B$2:$Y$301, MATCH(ROUND(MIN(300,MAX(1,D1110)),0), FactorTable!$A$2:$A$301,0), Skills!M20+1)</f>
        <v/>
      </c>
      <c r="F1110">
        <f>IF(Skills!N20=TRUE,(Skills!L20/10)*(E1110/1000),Skills!L20/10)+Skills!O20</f>
        <v/>
      </c>
      <c r="G1110">
        <f>Skills!G20*IF(Skills!H20&gt;0,Skills!I20/Skills!H20,1)</f>
        <v/>
      </c>
      <c r="H1110">
        <f>1-(1-Skills!J20/100)^Skills!K20</f>
        <v/>
      </c>
      <c r="I1110" t="inlineStr">
        <is>
          <t>1</t>
        </is>
      </c>
      <c r="J1110" t="inlineStr"/>
      <c r="K1110" t="inlineStr"/>
      <c r="L1110" t="inlineStr"/>
      <c r="M1110" t="inlineStr"/>
      <c r="N1110" t="inlineStr"/>
      <c r="O1110" t="n">
        <v>0</v>
      </c>
      <c r="P1110">
        <f>IF(B1135=0,0,O1110/B1135)</f>
        <v/>
      </c>
      <c r="Q1110">
        <f>IFERROR(1/IF(Inputs!$B$39="pvp",15,MAX(0.1,Skills!D20-IF(Skills!E20=TRUE,Inputs!$B$32,0))),0)</f>
        <v/>
      </c>
      <c r="R1110">
        <f>IF(AND(Inputs!$B$39&lt;&gt;"pvp",Inputs!$B$44&gt;0),IF(Inputs!$B$44&lt;=0,0,(INT(Inputs!$B$44/IF(Inputs!$B$39="pvp",15,MAX(0.1,Skills!D20-IF(Skills!E20=TRUE,Inputs!$B$32,0))))+1)),0)</f>
        <v/>
      </c>
      <c r="S1110">
        <f>IFERROR(O1110/N1110,0)</f>
        <v/>
      </c>
    </row>
    <row r="1111">
      <c r="A1111">
        <f>Skills!A21</f>
        <v/>
      </c>
      <c r="B1111">
        <f>Skills!B21</f>
        <v/>
      </c>
      <c r="C1111">
        <f>Inputs!$B$3&gt;=15</f>
        <v/>
      </c>
      <c r="D1111">
        <f>IF(Skills!C21=1,60+Inputs!$B$25+Inputs!$B$29,IF(Skills!C21=2,90+Inputs!$B$26+Inputs!$B$29,IF(Skills!C21=3,120+Inputs!$B$27+Inputs!$B$29,MAX(0,(Inputs!$B$3-100)*3)+Inputs!$B$28+Inputs!$B$29)))</f>
        <v/>
      </c>
      <c r="E1111">
        <f>INDEX(FactorTable!$B$2:$Y$301, MATCH(ROUND(MIN(300,MAX(1,D1111)),0), FactorTable!$A$2:$A$301,0), Skills!M21+1)</f>
        <v/>
      </c>
      <c r="F1111">
        <f>IF(Skills!N21=TRUE,(Skills!L21/10)*(E1111/1000),Skills!L21/10)+Skills!O21</f>
        <v/>
      </c>
      <c r="G1111">
        <f>Skills!G21*IF(Skills!H21&gt;0,Skills!I21/Skills!H21,1)</f>
        <v/>
      </c>
      <c r="H1111">
        <f>1-(1-Skills!J21/100)^Skills!K21</f>
        <v/>
      </c>
      <c r="I1111" t="inlineStr">
        <is>
          <t>1</t>
        </is>
      </c>
      <c r="J1111" t="inlineStr"/>
      <c r="K1111" t="inlineStr"/>
      <c r="L1111" t="inlineStr"/>
      <c r="M1111" t="inlineStr"/>
      <c r="N1111" t="inlineStr"/>
      <c r="O1111" t="n">
        <v>0</v>
      </c>
      <c r="P1111">
        <f>IF(B1135=0,0,O1111/B1135)</f>
        <v/>
      </c>
      <c r="Q1111">
        <f>IFERROR(1/IF(Inputs!$B$39="pvp",15,MAX(0.1,Skills!D21-IF(Skills!E21=TRUE,Inputs!$B$32,0))),0)</f>
        <v/>
      </c>
      <c r="R1111">
        <f>IF(AND(Inputs!$B$39&lt;&gt;"pvp",Inputs!$B$44&gt;0),IF(Inputs!$B$44&lt;=0,0,(INT(Inputs!$B$44/IF(Inputs!$B$39="pvp",15,MAX(0.1,Skills!D21-IF(Skills!E21=TRUE,Inputs!$B$32,0))))+1)),0)</f>
        <v/>
      </c>
      <c r="S1111">
        <f>IFERROR(O1111/N1111,0)</f>
        <v/>
      </c>
    </row>
    <row r="1112">
      <c r="A1112">
        <f>Skills!A22</f>
        <v/>
      </c>
      <c r="B1112">
        <f>Skills!B22</f>
        <v/>
      </c>
      <c r="C1112">
        <f>Inputs!$B$3&gt;=33</f>
        <v/>
      </c>
      <c r="D1112">
        <f>IF(Skills!C22=1,60+Inputs!$B$25+Inputs!$B$29,IF(Skills!C22=2,90+Inputs!$B$26+Inputs!$B$29,IF(Skills!C22=3,120+Inputs!$B$27+Inputs!$B$29,MAX(0,(Inputs!$B$3-100)*3)+Inputs!$B$28+Inputs!$B$29)))</f>
        <v/>
      </c>
      <c r="E1112">
        <f>INDEX(FactorTable!$B$2:$Y$301, MATCH(ROUND(MIN(300,MAX(1,D1112)),0), FactorTable!$A$2:$A$301,0), Skills!M22+1)</f>
        <v/>
      </c>
      <c r="F1112">
        <f>IF(Skills!N22=TRUE,(Skills!L22/10)*(E1112/1000),Skills!L22/10)+Skills!O22</f>
        <v/>
      </c>
      <c r="G1112">
        <f>Skills!G22*IF(Skills!H22&gt;0,Skills!I22/Skills!H22,1)</f>
        <v/>
      </c>
      <c r="H1112">
        <f>1-(1-Skills!J22/100)^Skills!K22</f>
        <v/>
      </c>
      <c r="I1112" t="inlineStr">
        <is>
          <t>1</t>
        </is>
      </c>
      <c r="J1112" t="inlineStr"/>
      <c r="K1112" t="inlineStr"/>
      <c r="L1112" t="inlineStr"/>
      <c r="M1112" t="inlineStr"/>
      <c r="N1112" t="inlineStr"/>
      <c r="O1112" t="n">
        <v>0</v>
      </c>
      <c r="P1112">
        <f>IF(B1135=0,0,O1112/B1135)</f>
        <v/>
      </c>
      <c r="Q1112" t="n">
        <v>0</v>
      </c>
      <c r="R1112" t="n">
        <v>0</v>
      </c>
      <c r="S1112">
        <f>IFERROR(O1112/N1112,0)</f>
        <v/>
      </c>
    </row>
    <row r="1113">
      <c r="A1113">
        <f>Skills!A23</f>
        <v/>
      </c>
      <c r="B1113">
        <f>Skills!B23</f>
        <v/>
      </c>
      <c r="C1113">
        <f>Inputs!$B$3&gt;=40</f>
        <v/>
      </c>
      <c r="D1113">
        <f>IF(Skills!C23=1,60+Inputs!$B$25+Inputs!$B$29,IF(Skills!C23=2,90+Inputs!$B$26+Inputs!$B$29,IF(Skills!C23=3,120+Inputs!$B$27+Inputs!$B$29,MAX(0,(Inputs!$B$3-100)*3)+Inputs!$B$28+Inputs!$B$29)))</f>
        <v/>
      </c>
      <c r="E1113">
        <f>INDEX(FactorTable!$B$2:$Y$301, MATCH(ROUND(MIN(300,MAX(1,D1113)),0), FactorTable!$A$2:$A$301,0), Skills!M23+1)</f>
        <v/>
      </c>
      <c r="F1113">
        <f>IF(Skills!N23=TRUE,(Skills!L23/10)*(E1113/1000),Skills!L23/10)+Skills!O23</f>
        <v/>
      </c>
      <c r="G1113">
        <f>Skills!G23*IF(Skills!H23&gt;0,Skills!I23/Skills!H23,1)</f>
        <v/>
      </c>
      <c r="H1113">
        <f>1-(1-Skills!J23/100)^Skills!K23</f>
        <v/>
      </c>
      <c r="I1113" t="inlineStr">
        <is>
          <t>1</t>
        </is>
      </c>
      <c r="J1113" t="inlineStr"/>
      <c r="K1113" t="inlineStr"/>
      <c r="L1113" t="inlineStr"/>
      <c r="M1113" t="inlineStr"/>
      <c r="N1113" t="inlineStr"/>
      <c r="O1113" t="n">
        <v>0</v>
      </c>
      <c r="P1113">
        <f>IF(B1135=0,0,O1113/B1135)</f>
        <v/>
      </c>
      <c r="Q1113" t="n">
        <v>0</v>
      </c>
      <c r="R1113" t="n">
        <v>0</v>
      </c>
      <c r="S1113">
        <f>IFERROR(O1113/N1113,0)</f>
        <v/>
      </c>
    </row>
    <row r="1114">
      <c r="A1114">
        <f>Skills!A24</f>
        <v/>
      </c>
      <c r="B1114">
        <f>Skills!B24</f>
        <v/>
      </c>
      <c r="C1114">
        <f>Inputs!$B$3&gt;=43</f>
        <v/>
      </c>
      <c r="D1114">
        <f>IF(Skills!C24=1,60+Inputs!$B$25+Inputs!$B$29,IF(Skills!C24=2,90+Inputs!$B$26+Inputs!$B$29,IF(Skills!C24=3,120+Inputs!$B$27+Inputs!$B$29,MAX(0,(Inputs!$B$3-100)*3)+Inputs!$B$28+Inputs!$B$29)))</f>
        <v/>
      </c>
      <c r="E1114">
        <f>INDEX(FactorTable!$B$2:$Y$301, MATCH(ROUND(MIN(300,MAX(1,D1114)),0), FactorTable!$A$2:$A$301,0), Skills!M24+1)</f>
        <v/>
      </c>
      <c r="F1114">
        <f>IF(Skills!N24=TRUE,(Skills!L24/10)*(E1114/1000),Skills!L24/10)+Skills!O24</f>
        <v/>
      </c>
      <c r="G1114">
        <f>Skills!G24*IF(Skills!H24&gt;0,Skills!I24/Skills!H24,1)</f>
        <v/>
      </c>
      <c r="H1114">
        <f>1-(1-Skills!J24/100)^Skills!K24</f>
        <v/>
      </c>
      <c r="I1114" t="inlineStr">
        <is>
          <t>1</t>
        </is>
      </c>
      <c r="J1114" t="inlineStr"/>
      <c r="K1114" t="inlineStr"/>
      <c r="L1114" t="inlineStr"/>
      <c r="M1114" t="inlineStr"/>
      <c r="N1114" t="inlineStr"/>
      <c r="O1114" t="n">
        <v>0</v>
      </c>
      <c r="P1114">
        <f>IF(B1135=0,0,O1114/B1135)</f>
        <v/>
      </c>
      <c r="Q1114" t="n">
        <v>0</v>
      </c>
      <c r="R1114" t="n">
        <v>0</v>
      </c>
      <c r="S1114">
        <f>IFERROR(O1114/N1114,0)</f>
        <v/>
      </c>
    </row>
    <row r="1115">
      <c r="A1115">
        <f>Skills!A25</f>
        <v/>
      </c>
      <c r="B1115">
        <f>Skills!B25</f>
        <v/>
      </c>
      <c r="C1115">
        <f>Inputs!$B$3&gt;=50</f>
        <v/>
      </c>
      <c r="D1115">
        <f>IF(Skills!C25=1,60+Inputs!$B$25+Inputs!$B$29,IF(Skills!C25=2,90+Inputs!$B$26+Inputs!$B$29,IF(Skills!C25=3,120+Inputs!$B$27+Inputs!$B$29,MAX(0,(Inputs!$B$3-100)*3)+Inputs!$B$28+Inputs!$B$29)))</f>
        <v/>
      </c>
      <c r="E1115">
        <f>INDEX(FactorTable!$B$2:$Y$301, MATCH(ROUND(MIN(300,MAX(1,D1115)),0), FactorTable!$A$2:$A$301,0), Skills!M25+1)</f>
        <v/>
      </c>
      <c r="F1115">
        <f>IF(Skills!N25=TRUE,(Skills!L25/10)*(E1115/1000),Skills!L25/10)+Skills!O25</f>
        <v/>
      </c>
      <c r="G1115">
        <f>Skills!G25*IF(Skills!H25&gt;0,Skills!I25/Skills!H25,1)</f>
        <v/>
      </c>
      <c r="H1115">
        <f>1-(1-Skills!J25/100)^Skills!K25</f>
        <v/>
      </c>
      <c r="I1115" t="inlineStr">
        <is>
          <t>1</t>
        </is>
      </c>
      <c r="J1115" t="inlineStr"/>
      <c r="K1115" t="inlineStr"/>
      <c r="L1115" t="inlineStr"/>
      <c r="M1115" t="inlineStr"/>
      <c r="N1115" t="inlineStr"/>
      <c r="O1115" t="n">
        <v>0</v>
      </c>
      <c r="P1115">
        <f>IF(B1135=0,0,O1115/B1135)</f>
        <v/>
      </c>
      <c r="Q1115" t="n">
        <v>0</v>
      </c>
      <c r="R1115" t="n">
        <v>0</v>
      </c>
      <c r="S1115">
        <f>IFERROR(O1115/N1115,0)</f>
        <v/>
      </c>
    </row>
    <row r="1116">
      <c r="A1116">
        <f>Skills!A26</f>
        <v/>
      </c>
      <c r="B1116">
        <f>Skills!B26</f>
        <v/>
      </c>
      <c r="C1116">
        <f>Inputs!$B$3&gt;=50</f>
        <v/>
      </c>
      <c r="D1116">
        <f>IF(Skills!C26=1,60+Inputs!$B$25+Inputs!$B$29,IF(Skills!C26=2,90+Inputs!$B$26+Inputs!$B$29,IF(Skills!C26=3,120+Inputs!$B$27+Inputs!$B$29,MAX(0,(Inputs!$B$3-100)*3)+Inputs!$B$28+Inputs!$B$29)))</f>
        <v/>
      </c>
      <c r="E1116">
        <f>INDEX(FactorTable!$B$2:$Y$301, MATCH(ROUND(MIN(300,MAX(1,D1116)),0), FactorTable!$A$2:$A$301,0), Skills!M26+1)</f>
        <v/>
      </c>
      <c r="F1116">
        <f>IF(Skills!N26=TRUE,(Skills!L26/10)*(E1116/1000),Skills!L26/10)+Skills!O26</f>
        <v/>
      </c>
      <c r="G1116">
        <f>Skills!G26*IF(Skills!H26&gt;0,Skills!I26/Skills!H26,1)</f>
        <v/>
      </c>
      <c r="H1116">
        <f>1-(1-Skills!J26/100)^Skills!K26</f>
        <v/>
      </c>
      <c r="I1116" t="inlineStr">
        <is>
          <t>1</t>
        </is>
      </c>
      <c r="J1116" t="inlineStr"/>
      <c r="K1116" t="inlineStr"/>
      <c r="L1116" t="inlineStr"/>
      <c r="M1116" t="inlineStr"/>
      <c r="N1116" t="inlineStr"/>
      <c r="O1116" t="n">
        <v>0</v>
      </c>
      <c r="P1116">
        <f>IF(B1135=0,0,O1116/B1135)</f>
        <v/>
      </c>
      <c r="Q1116" t="n">
        <v>0</v>
      </c>
      <c r="R1116" t="n">
        <v>0</v>
      </c>
      <c r="S1116">
        <f>IFERROR(O1116/N1116,0)</f>
        <v/>
      </c>
    </row>
    <row r="1117">
      <c r="A1117">
        <f>Skills!A27</f>
        <v/>
      </c>
      <c r="B1117">
        <f>Skills!B27</f>
        <v/>
      </c>
      <c r="C1117">
        <f>Inputs!$B$3&gt;=38</f>
        <v/>
      </c>
      <c r="D1117">
        <f>IF(Skills!C27=1,60+Inputs!$B$25+Inputs!$B$29,IF(Skills!C27=2,90+Inputs!$B$26+Inputs!$B$29,IF(Skills!C27=3,120+Inputs!$B$27+Inputs!$B$29,MAX(0,(Inputs!$B$3-100)*3)+Inputs!$B$28+Inputs!$B$29)))</f>
        <v/>
      </c>
      <c r="E1117">
        <f>INDEX(FactorTable!$B$2:$Y$301, MATCH(ROUND(MIN(300,MAX(1,D1117)),0), FactorTable!$A$2:$A$301,0), Skills!M27+1)</f>
        <v/>
      </c>
      <c r="F1117">
        <f>IF(Skills!N27=TRUE,(Skills!L27/10)*(E1117/1000),Skills!L27/10)+Skills!O27</f>
        <v/>
      </c>
      <c r="G1117">
        <f>Skills!G27*IF(Skills!H27&gt;0,Skills!I27/Skills!H27,1)</f>
        <v/>
      </c>
      <c r="H1117">
        <f>1-(1-Skills!J27/100)^Skills!K27</f>
        <v/>
      </c>
      <c r="I1117" t="inlineStr">
        <is>
          <t>1</t>
        </is>
      </c>
      <c r="J1117" t="inlineStr"/>
      <c r="K1117" t="inlineStr"/>
      <c r="L1117" t="inlineStr"/>
      <c r="M1117" t="inlineStr"/>
      <c r="N1117" t="inlineStr"/>
      <c r="O1117" t="n">
        <v>0</v>
      </c>
      <c r="P1117">
        <f>IF(B1135=0,0,O1117/B1135)</f>
        <v/>
      </c>
      <c r="Q1117" t="n">
        <v>0</v>
      </c>
      <c r="R1117" t="n">
        <v>0</v>
      </c>
      <c r="S1117">
        <f>IFERROR(O1117/N1117,0)</f>
        <v/>
      </c>
    </row>
    <row r="1118">
      <c r="A1118">
        <f>Skills!A28</f>
        <v/>
      </c>
      <c r="B1118">
        <f>Skills!B28</f>
        <v/>
      </c>
      <c r="C1118">
        <f>Inputs!$B$3&gt;=120</f>
        <v/>
      </c>
      <c r="D1118">
        <f>IF(Skills!C28=1,60+Inputs!$B$25+Inputs!$B$29,IF(Skills!C28=2,90+Inputs!$B$26+Inputs!$B$29,IF(Skills!C28=3,120+Inputs!$B$27+Inputs!$B$29,MAX(0,(Inputs!$B$3-100)*3)+Inputs!$B$28+Inputs!$B$29)))</f>
        <v/>
      </c>
      <c r="E1118">
        <f>INDEX(FactorTable!$B$2:$Y$301, MATCH(ROUND(MIN(300,MAX(1,D1118)),0), FactorTable!$A$2:$A$301,0), Skills!M28+1)</f>
        <v/>
      </c>
      <c r="F1118">
        <f>IF(Skills!N28=TRUE,(Skills!L28/10)*(E1118/1000),Skills!L28/10)+Skills!O28</f>
        <v/>
      </c>
      <c r="G1118">
        <f>Skills!G28*IF(Skills!H28&gt;0,Skills!I28/Skills!H28,1)</f>
        <v/>
      </c>
      <c r="H1118">
        <f>1-(1-Skills!J28/100)^Skills!K28</f>
        <v/>
      </c>
      <c r="I1118" t="inlineStr">
        <is>
          <t>1</t>
        </is>
      </c>
      <c r="J1118" t="inlineStr"/>
      <c r="K1118" t="inlineStr"/>
      <c r="L1118" t="inlineStr"/>
      <c r="M1118" t="inlineStr"/>
      <c r="N1118" t="inlineStr"/>
      <c r="O1118" t="n">
        <v>0</v>
      </c>
      <c r="P1118">
        <f>IF(B1135=0,0,O1118/B1135)</f>
        <v/>
      </c>
      <c r="Q1118" t="n">
        <v>0</v>
      </c>
      <c r="R1118" t="n">
        <v>0</v>
      </c>
      <c r="S1118">
        <f>IFERROR(O1118/N1118,0)</f>
        <v/>
      </c>
    </row>
    <row r="1119">
      <c r="A1119">
        <f>Skills!A29</f>
        <v/>
      </c>
      <c r="B1119">
        <f>Skills!B29</f>
        <v/>
      </c>
      <c r="C1119">
        <f>Inputs!$B$3&gt;=120</f>
        <v/>
      </c>
      <c r="D1119">
        <f>IF(Skills!C29=1,60+Inputs!$B$25+Inputs!$B$29,IF(Skills!C29=2,90+Inputs!$B$26+Inputs!$B$29,IF(Skills!C29=3,120+Inputs!$B$27+Inputs!$B$29,MAX(0,(Inputs!$B$3-100)*3)+Inputs!$B$28+Inputs!$B$29)))</f>
        <v/>
      </c>
      <c r="E1119">
        <f>INDEX(FactorTable!$B$2:$Y$301, MATCH(ROUND(MIN(300,MAX(1,D1119)),0), FactorTable!$A$2:$A$301,0), Skills!M29+1)</f>
        <v/>
      </c>
      <c r="F1119">
        <f>IF(Skills!N29=TRUE,(Skills!L29/10)*(E1119/1000),Skills!L29/10)+Skills!O29</f>
        <v/>
      </c>
      <c r="G1119">
        <f>Skills!G29*IF(Skills!H29&gt;0,Skills!I29/Skills!H29,1)</f>
        <v/>
      </c>
      <c r="H1119">
        <f>1-(1-Skills!J29/100)^Skills!K29</f>
        <v/>
      </c>
      <c r="I1119" t="inlineStr">
        <is>
          <t>1</t>
        </is>
      </c>
      <c r="J1119" t="inlineStr"/>
      <c r="K1119" t="inlineStr"/>
      <c r="L1119" t="inlineStr"/>
      <c r="M1119" t="inlineStr"/>
      <c r="N1119" t="inlineStr"/>
      <c r="O1119" t="n">
        <v>0</v>
      </c>
      <c r="P1119">
        <f>IF(B1135=0,0,O1119/B1135)</f>
        <v/>
      </c>
      <c r="Q1119" t="n">
        <v>0</v>
      </c>
      <c r="R1119" t="n">
        <v>0</v>
      </c>
      <c r="S1119">
        <f>IFERROR(O1119/N1119,0)</f>
        <v/>
      </c>
    </row>
    <row r="1120">
      <c r="A1120">
        <f>Skills!A30</f>
        <v/>
      </c>
      <c r="B1120">
        <f>Skills!B30</f>
        <v/>
      </c>
      <c r="C1120">
        <f>Inputs!$B$3&gt;=125</f>
        <v/>
      </c>
      <c r="D1120">
        <f>IF(Skills!C30=1,60+Inputs!$B$25+Inputs!$B$29,IF(Skills!C30=2,90+Inputs!$B$26+Inputs!$B$29,IF(Skills!C30=3,120+Inputs!$B$27+Inputs!$B$29,MAX(0,(Inputs!$B$3-100)*3)+Inputs!$B$28+Inputs!$B$29)))</f>
        <v/>
      </c>
      <c r="E1120">
        <f>INDEX(FactorTable!$B$2:$Y$301, MATCH(ROUND(MIN(300,MAX(1,D1120)),0), FactorTable!$A$2:$A$301,0), Skills!M30+1)</f>
        <v/>
      </c>
      <c r="F1120">
        <f>IF(Skills!N30=TRUE,(Skills!L30/10)*(E1120/1000),Skills!L30/10)+Skills!O30</f>
        <v/>
      </c>
      <c r="G1120">
        <f>Skills!G30*IF(Skills!H30&gt;0,Skills!I30/Skills!H30,1)</f>
        <v/>
      </c>
      <c r="H1120">
        <f>1-(1-Skills!J30/100)^Skills!K30</f>
        <v/>
      </c>
      <c r="I1120" t="inlineStr">
        <is>
          <t>1</t>
        </is>
      </c>
      <c r="J1120" t="inlineStr"/>
      <c r="K1120" t="inlineStr"/>
      <c r="L1120" t="inlineStr"/>
      <c r="M1120" t="inlineStr"/>
      <c r="N1120" t="inlineStr"/>
      <c r="O1120" t="n">
        <v>0</v>
      </c>
      <c r="P1120">
        <f>IF(B1135=0,0,O1120/B1135)</f>
        <v/>
      </c>
      <c r="Q1120" t="n">
        <v>0</v>
      </c>
      <c r="R1120" t="n">
        <v>0</v>
      </c>
      <c r="S1120">
        <f>IFERROR(O1120/N1120,0)</f>
        <v/>
      </c>
    </row>
    <row r="1122">
      <c r="A1122" t="inlineStr">
        <is>
          <t>Average Buff Multiplier</t>
        </is>
      </c>
      <c r="B1122">
        <f>(1+(((C1111=TRUE)*F1111*IF(AND(Inputs!$B$39&lt;&gt;"pvp",Inputs!$B$44&gt;0),(((R1111-1)*(Skills!Y21*(1+Inputs!$B$34/100))+MIN((Skills!Y21*(1+Inputs!$B$34/100)),MAX(0,Inputs!$B$44-((R1111-1)*Skills!D21))))/Inputs!$B$44),IF(Inputs!$B$39="pvp",MIN((Skills!Y21*(1+Inputs!$B$34/100)),15)/15,(Skills!Y21*(1+Inputs!$B$34/100))/Skills!D21)))+((C1113=TRUE)*(F1113-Calc!F23))+((C1107=TRUE)*(F1107-Calc!F17)))/100)*(1+((C1100=TRUE)*F1100*IF(AND(Inputs!$B$39&lt;&gt;"pvp",Inputs!$B$44&gt;0),(((R1100-1)*(Skills!Y10*(1+Inputs!$B$34/100))+MIN((Skills!Y10*(1+Inputs!$B$34/100)),MAX(0,Inputs!$B$44-((R1100-1)*Skills!D10))))/Inputs!$B$44),IF(Inputs!$B$39="pvp",MIN((Skills!Y10*(1+Inputs!$B$34/100)),15)/15,(Skills!Y10*(1+Inputs!$B$34/100))/Skills!D10)))/100)*(1+((C1105=TRUE)*F1105*IF(AND(Inputs!$B$39&lt;&gt;"pvp",Inputs!$B$44&gt;0),(((R1105-1)*(Skills!Y15*(1+Inputs!$B$34/100))+MIN((Skills!Y15*(1+Inputs!$B$34/100)),MAX(0,Inputs!$B$44-((R1105-1)*Skills!D15))))/Inputs!$B$44),IF(Inputs!$B$39="pvp",MIN((Skills!Y15*(1+Inputs!$B$34/100)),15)/15,(Skills!Y15*(1+Inputs!$B$34/100))/Skills!D15)))/100)</f>
        <v/>
      </c>
    </row>
    <row r="1123">
      <c r="A1123" t="inlineStr">
        <is>
          <t>Global Crit Rate Bonus %</t>
        </is>
      </c>
      <c r="B1123">
        <f>((C1110=TRUE)*F1110*IF(AND(Inputs!$B$39&lt;&gt;"pvp",Inputs!$B$44&gt;0),(((R1110-1)*(Skills!Y20*(1+Inputs!$B$34/100))+MIN((Skills!Y20*(1+Inputs!$B$34/100)),MAX(0,Inputs!$B$44-((R1110-1)*Skills!D20))))/Inputs!$B$44),IF(Inputs!$B$39="pvp",MIN((Skills!Y20*(1+Inputs!$B$34/100)),15)/15,(Skills!Y20*(1+Inputs!$B$34/100))/Skills!D20)))</f>
        <v/>
      </c>
    </row>
    <row r="1124">
      <c r="A1124" t="inlineStr">
        <is>
          <t>Global Monster Damage-Taken Bonus %</t>
        </is>
      </c>
      <c r="B1124">
        <f>IF(Inputs!$B$3&gt;=82,15,0)</f>
        <v/>
      </c>
    </row>
    <row r="1125">
      <c r="A1125" t="inlineStr">
        <is>
          <t>Shadow Partner Average Multiplier</t>
        </is>
      </c>
      <c r="B1125">
        <f>1+((C1097=TRUE)*F1097*(1+3.3333333333333335*IF(C1108=TRUE,F1108,0)/100)*I1097*Skills!J7/100)/100</f>
        <v/>
      </c>
    </row>
    <row r="1126">
      <c r="A1126" t="inlineStr">
        <is>
          <t>Attack Speed Buff Bonus %</t>
        </is>
      </c>
      <c r="B1126">
        <f>((C1109=TRUE)*F1109*IF(AND(Inputs!$B$39&lt;&gt;"pvp",Inputs!$B$44&gt;0),(((R1109-1)*(Skills!Y19*(1+Inputs!$B$34/100))+MIN((Skills!Y19*(1+Inputs!$B$34/100)),MAX(0,Inputs!$B$44-((R1109-1)*Skills!D19))))/Inputs!$B$44),IF(Inputs!$B$39="pvp",MIN((Skills!Y19*(1+Inputs!$B$34/100)),15)/15,(Skills!Y19*(1+Inputs!$B$34/100))/Skills!D19)))+((C1093=TRUE)*F1093*3)</f>
        <v/>
      </c>
    </row>
    <row r="1127">
      <c r="A1127" t="inlineStr">
        <is>
          <t>Actions Per Second</t>
        </is>
      </c>
      <c r="B1127">
        <f>1+MIN(150,150*(1-(1-(Inputs!$B$11+((C1112=TRUE)*(F1112-Calc!F22)))/150)*(1-B1126/150)))/100</f>
        <v/>
      </c>
    </row>
    <row r="1128">
      <c r="A1128" t="inlineStr">
        <is>
          <t>Skill + Buff Cast Rate</t>
        </is>
      </c>
      <c r="B1128">
        <f>IF(AND(Inputs!$B$39&lt;&gt;"pvp",Inputs!$B$44&gt;0),SUMPRODUCT((Skills!E2:E30=TRUE)*(C1092:C1120=TRUE)*R1092:R1120*Skills!F2:F30)/Inputs!$B$44,SUMPRODUCT((Skills!E2:E30=TRUE)*(C1092:C1120=TRUE)*Q1092:Q1120*Skills!F2:F30))</f>
        <v/>
      </c>
    </row>
    <row r="1129">
      <c r="A1129" t="inlineStr">
        <is>
          <t>Cruel Stab Casts Per Second</t>
        </is>
      </c>
      <c r="B1129">
        <f>MAX(0,B1127-B1128)</f>
        <v/>
      </c>
    </row>
    <row r="1130">
      <c r="A1130" t="inlineStr">
        <is>
          <t>Global Critical Damage Bonus % (Smokescreen Mastery Lv.113)</t>
        </is>
      </c>
      <c r="B1130">
        <f>IF(Inputs!$B$3&gt;=113,30,0)*IF(AND(Inputs!$B$39&lt;&gt;"pvp",Inputs!$B$44&gt;0),(((R1105-1)*(Skills!Y15*(1+Inputs!$B$34/100))+MIN((Skills!Y15*(1+Inputs!$B$34/100)),MAX(0,Inputs!$B$44-((R1105-1)*Skills!D15))))/Inputs!$B$44),IF(Inputs!$B$39="pvp",MIN((Skills!Y15*(1+Inputs!$B$34/100)),15)/15,(Skills!Y15*(1+Inputs!$B$34/100))/Skills!D15))</f>
        <v/>
      </c>
    </row>
    <row r="1131">
      <c r="A1131" t="inlineStr">
        <is>
          <t>Meso Explosion average stack count</t>
        </is>
      </c>
      <c r="B1131">
        <f>MIN(10,0.5*B1127*Skills!D4)</f>
        <v/>
      </c>
    </row>
    <row r="1132">
      <c r="A1132" t="inlineStr">
        <is>
          <t>Blood Money average stack count</t>
        </is>
      </c>
      <c r="B1132">
        <f>MIN(5,0.25*B1127*Skills!D4)</f>
        <v/>
      </c>
    </row>
    <row r="1133">
      <c r="A1133" t="inlineStr">
        <is>
          <t>Assassinate Murderous Intent Multiplier</t>
        </is>
      </c>
      <c r="B1133">
        <f>1+IFERROR(MIN(1,Q1104*2/Q1101),0)</f>
        <v/>
      </c>
    </row>
    <row r="1134">
      <c r="A1134" t="inlineStr">
        <is>
          <t>Buff-Casting Startup Delay (s, fixed-duration only)</t>
        </is>
      </c>
      <c r="B1134">
        <f>IF(AND(Inputs!$B$39&lt;&gt;"pvp",Inputs!$B$44&gt;0),SUMPRODUCT((Skills!Y2:Y30&gt;0)*(Skills!E2:E30=TRUE)*(C1092:C1120=TRUE))/B1127,0)</f>
        <v/>
      </c>
    </row>
    <row r="1135">
      <c r="A1135" s="5" t="inlineStr">
        <is>
          <t>TOTAL DPS</t>
        </is>
      </c>
      <c r="B1135" s="5">
        <f>SUM(O1092:O1120)</f>
        <v/>
      </c>
    </row>
    <row r="1138">
      <c r="A1138" s="5" t="inlineStr">
        <is>
          <t>Stat: Skill Cooldown Decrease (seconds)</t>
        </is>
      </c>
    </row>
    <row r="1139">
      <c r="A1139" s="9" t="inlineStr">
        <is>
          <t>Key</t>
        </is>
      </c>
      <c r="B1139" s="9" t="inlineStr">
        <is>
          <t>Name</t>
        </is>
      </c>
      <c r="C1139" s="9" t="inlineStr">
        <is>
          <t>Unlocked</t>
        </is>
      </c>
      <c r="D1139" s="9" t="inlineStr">
        <is>
          <t>InputLevel</t>
        </is>
      </c>
      <c r="E1139" s="9" t="inlineStr">
        <is>
          <t>Factor</t>
        </is>
      </c>
      <c r="F1139" s="9" t="inlineStr">
        <is>
          <t>CoefficientPercent</t>
        </is>
      </c>
      <c r="G1139" s="9" t="inlineStr">
        <is>
          <t>EffectiveHits</t>
        </is>
      </c>
      <c r="H1139" s="9" t="inlineStr">
        <is>
          <t>ProcProbability</t>
        </is>
      </c>
      <c r="I1139" s="9" t="inlineStr">
        <is>
          <t>MapleHeroMultiplier</t>
        </is>
      </c>
      <c r="J1139" s="9" t="inlineStr">
        <is>
          <t>BaseDamage</t>
        </is>
      </c>
      <c r="K1139" s="9" t="inlineStr">
        <is>
          <t>BaseHitDamage</t>
        </is>
      </c>
      <c r="L1139" s="9" t="inlineStr">
        <is>
          <t>NonCritAvg</t>
        </is>
      </c>
      <c r="M1139" s="9" t="inlineStr">
        <is>
          <t>CritAvg</t>
        </is>
      </c>
      <c r="N1139" s="9" t="inlineStr">
        <is>
          <t>ExpectedDamage(perHit)</t>
        </is>
      </c>
      <c r="O1139" s="9" t="inlineStr">
        <is>
          <t>DPS</t>
        </is>
      </c>
      <c r="P1139" s="9" t="inlineStr">
        <is>
          <t>% of Total</t>
        </is>
      </c>
      <c r="Q1139" s="9" t="inlineStr">
        <is>
          <t>InvCooldown</t>
        </is>
      </c>
      <c r="R1139" s="9" t="inlineStr">
        <is>
          <t>CastsInFight</t>
        </is>
      </c>
      <c r="S1139" s="9" t="inlineStr">
        <is>
          <t>HitRate(perSec)</t>
        </is>
      </c>
      <c r="U1139" t="inlineStr">
        <is>
          <t>helpers</t>
        </is>
      </c>
    </row>
    <row r="1140">
      <c r="A1140">
        <f>Skills!A2</f>
        <v/>
      </c>
      <c r="B1140">
        <f>Skills!B2</f>
        <v/>
      </c>
      <c r="C1140">
        <f>Inputs!$B$3&gt;=100</f>
        <v/>
      </c>
      <c r="D1140" t="inlineStr"/>
      <c r="E1140" t="inlineStr"/>
      <c r="F1140">
        <f>U1142+Skills!O2</f>
        <v/>
      </c>
      <c r="G1140">
        <f>Skills!G2*IF(Skills!H2&gt;0,Skills!I2/Skills!H2,1)</f>
        <v/>
      </c>
      <c r="H1140">
        <f>1-(1-Skills!J2/100)^Skills!K2</f>
        <v/>
      </c>
      <c r="I1140" t="inlineStr">
        <is>
          <t>1</t>
        </is>
      </c>
      <c r="J1140">
        <f>((Inputs!$B$6*(1+Inputs!$B$7/100))+(((Inputs!$B$12*(1+Inputs!$B$13/100))-(Inputs!$B$12*(1+Inputs!$B$13/100)))+0.25*(Inputs!$B$14-Inputs!$B$14))*(1+Inputs!$B$7/100))*(F1140/100)</f>
        <v/>
      </c>
      <c r="K1140">
        <f>J1140*(1+((Inputs!$B$12*(1+Inputs!$B$13/100))*0.01+Inputs!$B$14*0.0025)/100)*(1+Inputs!$B$15/100)*(1+IF(Inputs!$B$39="pvp",0,(1-Summary!$B$55)*(Inputs!$B$20+0+Skills!P2+B1172)+Summary!$B$55*(Inputs!$B$21+Skills!Q2+B1172))/100)*(1+Inputs!$B$16/100)*(5000/(6000+Inputs!$B$43*(1-Inputs!$B$19/100)))*(1+(Inputs!$B$24+((C1168=TRUE)*(F1168-Calc!F30)))/100)*(1+(IF(Skills!A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1140)</f>
        <v/>
      </c>
      <c r="L1140">
        <f>K1140*(MIN(Inputs!$B$22+((C1162=TRUE)*(F1162-Calc!F24)),Inputs!$B$23+((C1167=TRUE)*(F1167-Calc!F29)))/100+(Inputs!$B$23+((C1167=TRUE)*(F1167-Calc!F29)))/100)/2</f>
        <v/>
      </c>
      <c r="M1140">
        <f>L1140*(1+(Inputs!$B$10+((C1164=TRUE)*(F1164-Calc!F26))+B1178)/100)</f>
        <v/>
      </c>
      <c r="N1140">
        <f>L1140*(1-MIN((Inputs!$B$9+((C1163=TRUE)*(F1163-Calc!F25))+B1171),100)/100)+M1140*(MIN((Inputs!$B$9+((C1163=TRUE)*(F1163-Calc!F25))+B1171),100)/100)</f>
        <v/>
      </c>
      <c r="O1140">
        <f>IF(C1140,Skills!G2*N1140*B1177*IF(Inputs!$B$39="pvp",1,(1-Summary!$B$55)*(1)+Summary!$B$55*(MIN((6+Inputs!$B$33),Inputs!$B$37))),0)</f>
        <v/>
      </c>
      <c r="P1140">
        <f>IF(B1183=0,0,O1140/B1183)</f>
        <v/>
      </c>
      <c r="Q1140" t="n">
        <v>0</v>
      </c>
      <c r="R1140" t="n">
        <v>0</v>
      </c>
      <c r="S1140">
        <f>IFERROR(O1140/N1140,0)</f>
        <v/>
      </c>
      <c r="U1140">
        <f>MAX(0,(Inputs!$B$3-100)*3)+Inputs!$B$28+Inputs!$B$29</f>
        <v/>
      </c>
    </row>
    <row r="1141">
      <c r="A1141">
        <f>Skills!A3</f>
        <v/>
      </c>
      <c r="B1141">
        <f>Skills!B3</f>
        <v/>
      </c>
      <c r="C1141">
        <f>Inputs!$B$3&gt;=35</f>
        <v/>
      </c>
      <c r="D1141">
        <f>IF(Skills!C3=1,60+Inputs!$B$25+Inputs!$B$29,IF(Skills!C3=2,90+Inputs!$B$26+Inputs!$B$29,IF(Skills!C3=3,120+Inputs!$B$27+Inputs!$B$29,MAX(0,(Inputs!$B$3-100)*3)+Inputs!$B$28+Inputs!$B$29)))</f>
        <v/>
      </c>
      <c r="E1141">
        <f>INDEX(FactorTable!$B$2:$Y$301, MATCH(ROUND(MIN(300,MAX(1,D1141)),0), FactorTable!$A$2:$A$301,0), Skills!M3+1)</f>
        <v/>
      </c>
      <c r="F1141">
        <f>IF(Skills!N3=TRUE,(Skills!L3/10)*(E1141/1000),Skills!L3/10)+Skills!O3</f>
        <v/>
      </c>
      <c r="G1141">
        <f>Skills!G3*IF(Skills!H3&gt;0,Skills!I3/Skills!H3,1)</f>
        <v/>
      </c>
      <c r="H1141">
        <f>1-(1-Skills!J3/100)^Skills!K3</f>
        <v/>
      </c>
      <c r="I1141" t="inlineStr">
        <is>
          <t>1</t>
        </is>
      </c>
      <c r="J1141" t="inlineStr"/>
      <c r="K1141" t="inlineStr"/>
      <c r="L1141" t="inlineStr"/>
      <c r="M1141" t="inlineStr"/>
      <c r="N1141" t="inlineStr"/>
      <c r="O1141" t="n">
        <v>0</v>
      </c>
      <c r="P1141">
        <f>IF(B1183=0,0,O1141/B1183)</f>
        <v/>
      </c>
      <c r="Q1141" t="n">
        <v>0</v>
      </c>
      <c r="R1141" t="n">
        <v>0</v>
      </c>
      <c r="S1141">
        <f>IFERROR(O1141/N1141,0)</f>
        <v/>
      </c>
      <c r="U1141">
        <f>INDEX(FactorTable!$B$2:$Y$301, MATCH(ROUND(MIN(300,MAX(1,U1140)),0), FactorTable!$A$2:$A$301,0), 22)</f>
        <v/>
      </c>
    </row>
    <row r="1142">
      <c r="A1142">
        <f>Skills!A4</f>
        <v/>
      </c>
      <c r="B1142">
        <f>Skills!B4</f>
        <v/>
      </c>
      <c r="C1142">
        <f>Inputs!$B$3&gt;=66</f>
        <v/>
      </c>
      <c r="D1142">
        <f>IF(Skills!C4=1,60+Inputs!$B$25+Inputs!$B$29,IF(Skills!C4=2,90+Inputs!$B$26+Inputs!$B$29,IF(Skills!C4=3,120+Inputs!$B$27+Inputs!$B$29,MAX(0,(Inputs!$B$3-100)*3)+Inputs!$B$28+Inputs!$B$29)))</f>
        <v/>
      </c>
      <c r="E1142">
        <f>INDEX(FactorTable!$B$2:$Y$301, MATCH(ROUND(MIN(300,MAX(1,D1142)),0), FactorTable!$A$2:$A$301,0), Skills!M4+1)</f>
        <v/>
      </c>
      <c r="F1142">
        <f>IF(Skills!N4=TRUE,(Skills!L4/10)*(E1142/1000),Skills!L4/10)+Skills!O4</f>
        <v/>
      </c>
      <c r="G1142">
        <f>Skills!G4*IF(Skills!H4&gt;0,Skills!I4/Skills!H4,1)</f>
        <v/>
      </c>
      <c r="H1142">
        <f>1-(1-Skills!J4/100)^Skills!K4</f>
        <v/>
      </c>
      <c r="I1142" t="inlineStr">
        <is>
          <t>1</t>
        </is>
      </c>
      <c r="J1142">
        <f>((Inputs!$B$6*(1+Inputs!$B$7/100))+(((Inputs!$B$12*(1+Inputs!$B$13/100))-(Inputs!$B$12*(1+Inputs!$B$13/100)))+0.25*(Inputs!$B$14-Inputs!$B$14))*(1+Inputs!$B$7/100))*(F1142/100)</f>
        <v/>
      </c>
      <c r="K1142">
        <f>J1142*(1+((Inputs!$B$12*(1+Inputs!$B$13/100))*0.01+Inputs!$B$14*0.0025)/100)*(1+Inputs!$B$15/100)*(1+IF(Inputs!$B$39="pvp",0,(1-Summary!$B$55)*(Inputs!$B$20+0+Skills!P4+B1172)+Summary!$B$55*(Inputs!$B$21+Skills!Q4+B1172))/100)*(1+Inputs!$B$16/100)*(5000/(6000+Inputs!$B$43*(1-Inputs!$B$19/100)))*(1+(Inputs!$B$24+((C1168=TRUE)*(F1168-Calc!F30)))/100)*(1+(IF(Skills!A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1142)</f>
        <v/>
      </c>
      <c r="L1142">
        <f>K1142*(MIN(Inputs!$B$22+((C1162=TRUE)*(F1162-Calc!F24)),Inputs!$B$23+((C1167=TRUE)*(F1167-Calc!F29)))/100+(Inputs!$B$23+((C1167=TRUE)*(F1167-Calc!F29)))/100)/2</f>
        <v/>
      </c>
      <c r="M1142">
        <f>L1142*(1+(Inputs!$B$10+((C1164=TRUE)*(F1164-Calc!F26))+B1178)/100)</f>
        <v/>
      </c>
      <c r="N1142">
        <f>L1142*(1-MIN((Inputs!$B$9+((C1163=TRUE)*(F1163-Calc!F25))+B1171),100)/100)+M1142*(MIN((Inputs!$B$9+((C1163=TRUE)*(F1163-Calc!F25))+B1171),100)/100)</f>
        <v/>
      </c>
      <c r="O1142">
        <f>IF(C1142,H1142*N1142*IF(AND(Inputs!$B$39&lt;&gt;"pvp",Inputs!$B$44&gt;0),((Skills!G4*((R1142-1)*IF(Skills!H4&gt;0,Skills!I4/Skills!H4,1)+IF(Skills!H4&gt;0,MIN(Skills!I4,MAX(0,MAX(0,Inputs!$B$44-B1182)-((R1142-1)*IF(Inputs!$B$39="pvp",15,MAX(0.1,Skills!D4-IF(Skills!E4=TRUE,(Inputs!$B$32+1),0))))))/Skills!H4,1)))/Inputs!$B$44),G1142*Q1142)*IF(Inputs!$B$39="pvp",1,(1-Summary!$B$55)*(1)+Summary!$B$55*(MIN(MIN(10,0.5*B1175*Skills!D4),Inputs!$B$37))),0)</f>
        <v/>
      </c>
      <c r="P1142">
        <f>IF(B1183=0,0,O1142/B1183)</f>
        <v/>
      </c>
      <c r="Q1142">
        <f>IFERROR(1/IF(Inputs!$B$39="pvp",15,MAX(0.1,Skills!D4-IF(Skills!E4=TRUE,(Inputs!$B$32+1),0))),0)</f>
        <v/>
      </c>
      <c r="R1142">
        <f>IF(AND(Inputs!$B$39&lt;&gt;"pvp",Inputs!$B$44&gt;0),IF(MAX(0,Inputs!$B$44-B1182)&lt;=0,0,(INT(MAX(0,Inputs!$B$44-B1182)/IF(Inputs!$B$39="pvp",15,MAX(0.1,Skills!D4-IF(Skills!E4=TRUE,(Inputs!$B$32+1),0))))+1)),0)</f>
        <v/>
      </c>
      <c r="S1142">
        <f>IFERROR(O1142/N1142,0)</f>
        <v/>
      </c>
      <c r="U1142">
        <f>290*U1141/1000</f>
        <v/>
      </c>
    </row>
    <row r="1143">
      <c r="A1143">
        <f>Skills!A5</f>
        <v/>
      </c>
      <c r="B1143">
        <f>Skills!B5</f>
        <v/>
      </c>
      <c r="C1143">
        <f>Inputs!$B$3&gt;=63</f>
        <v/>
      </c>
      <c r="D1143">
        <f>IF(Skills!C5=1,60+Inputs!$B$25+Inputs!$B$29,IF(Skills!C5=2,90+Inputs!$B$26+Inputs!$B$29,IF(Skills!C5=3,120+Inputs!$B$27+Inputs!$B$29,MAX(0,(Inputs!$B$3-100)*3)+Inputs!$B$28+Inputs!$B$29)))</f>
        <v/>
      </c>
      <c r="E1143">
        <f>INDEX(FactorTable!$B$2:$Y$301, MATCH(ROUND(MIN(300,MAX(1,D1143)),0), FactorTable!$A$2:$A$301,0), Skills!M5+1)</f>
        <v/>
      </c>
      <c r="F1143">
        <f>IF(Skills!N5=TRUE,(Skills!L5/10)*(E1143/1000),Skills!L5/10)+Skills!O5</f>
        <v/>
      </c>
      <c r="G1143">
        <f>Skills!G5*IF(Skills!H5&gt;0,Skills!I5/Skills!H5,1)</f>
        <v/>
      </c>
      <c r="H1143">
        <f>1-(1-Skills!J5/100)^Skills!K5</f>
        <v/>
      </c>
      <c r="I1143" t="inlineStr">
        <is>
          <t>1</t>
        </is>
      </c>
      <c r="J1143">
        <f>((Inputs!$B$6*(1+Inputs!$B$7/100))+(((Inputs!$B$12*(1+Inputs!$B$13/100))-(Inputs!$B$12*(1+Inputs!$B$13/100)))+0.25*(Inputs!$B$14-Inputs!$B$14))*(1+Inputs!$B$7/100))*(F1143/100)</f>
        <v/>
      </c>
      <c r="K1143">
        <f>J1143*(1+((Inputs!$B$12*(1+Inputs!$B$13/100))*0.01+Inputs!$B$14*0.0025)/100)*(1+Inputs!$B$15/100)*(1+IF(Inputs!$B$39="pvp",0,(1-Summary!$B$55)*(Inputs!$B$20+0+Skills!P5+B1172)+Summary!$B$55*(Inputs!$B$21+Skills!Q5+B1172))/100)*(1+Inputs!$B$16/100)*(5000/(6000+Inputs!$B$43*(1-Inputs!$B$19/100)))*(1+(Inputs!$B$24+((C1168=TRUE)*(F1168-Calc!F30)))/100)*(1+2.6666666666666665*IF(C1156=TRUE,F1156,0)/100)*(1+(IF(Skills!A5="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1143)</f>
        <v/>
      </c>
      <c r="L1143">
        <f>K1143*(MIN(Inputs!$B$22+((C1162=TRUE)*(F1162-Calc!F24)),Inputs!$B$23+((C1167=TRUE)*(F1167-Calc!F29)))/100+(Inputs!$B$23+((C1167=TRUE)*(F1167-Calc!F29)))/100)/2</f>
        <v/>
      </c>
      <c r="M1143">
        <f>L1143*(1+(Inputs!$B$10+((C1164=TRUE)*(F1164-Calc!F26))+B1178)/100)</f>
        <v/>
      </c>
      <c r="N1143">
        <f>L1143*(1-MIN((Inputs!$B$9+((C1163=TRUE)*(F1163-Calc!F25))+B1171),100)/100)+M1143*(MIN((Inputs!$B$9+((C1163=TRUE)*(F1163-Calc!F25))+B1171),100)/100)</f>
        <v/>
      </c>
      <c r="O1143">
        <f>IF(C1143,H1143*N1143*IF(AND(Inputs!$B$39&lt;&gt;"pvp",Inputs!$B$44&gt;0),((Skills!G5*((R1143-1)*IF(Skills!H5&gt;0,Skills!I5/Skills!H5,1)+IF(Skills!H5&gt;0,MIN(Skills!I5,MAX(0,MAX(0,Inputs!$B$44-B1182)-((R1143-1)*IF(Inputs!$B$39="pvp",15,MAX(0.1,Skills!D5-IF(Skills!E5=TRUE,(Inputs!$B$32+1),0))))))/Skills!H5,1)))/Inputs!$B$44),G1143*Q1143)*IF(Inputs!$B$39="pvp",1,(1-Summary!$B$55)*(1)+Summary!$B$55*(MIN(Skills!W5,Inputs!$B$37))),0)</f>
        <v/>
      </c>
      <c r="P1143">
        <f>IF(B1183=0,0,O1143/B1183)</f>
        <v/>
      </c>
      <c r="Q1143">
        <f>IFERROR(1/IF(Inputs!$B$39="pvp",15,MAX(0.1,Skills!D5-IF(Skills!E5=TRUE,(Inputs!$B$32+1),0))),0)</f>
        <v/>
      </c>
      <c r="R1143">
        <f>IF(AND(Inputs!$B$39&lt;&gt;"pvp",Inputs!$B$44&gt;0),IF(MAX(0,Inputs!$B$44-B1182)&lt;=0,0,(INT(MAX(0,Inputs!$B$44-B1182)/IF(Inputs!$B$39="pvp",15,MAX(0.1,Skills!D5-IF(Skills!E5=TRUE,(Inputs!$B$32+1),0))))+1)),0)</f>
        <v/>
      </c>
      <c r="S1143">
        <f>IFERROR(O1143/N1143,0)</f>
        <v/>
      </c>
    </row>
    <row r="1144">
      <c r="A1144">
        <f>Skills!A6</f>
        <v/>
      </c>
      <c r="B1144">
        <f>Skills!B6</f>
        <v/>
      </c>
      <c r="C1144">
        <f>Inputs!$B$3&gt;=69</f>
        <v/>
      </c>
      <c r="D1144">
        <f>IF(Skills!C6=1,60+Inputs!$B$25+Inputs!$B$29,IF(Skills!C6=2,90+Inputs!$B$26+Inputs!$B$29,IF(Skills!C6=3,120+Inputs!$B$27+Inputs!$B$29,MAX(0,(Inputs!$B$3-100)*3)+Inputs!$B$28+Inputs!$B$29)))</f>
        <v/>
      </c>
      <c r="E1144">
        <f>INDEX(FactorTable!$B$2:$Y$301, MATCH(ROUND(MIN(300,MAX(1,D1144)),0), FactorTable!$A$2:$A$301,0), Skills!M6+1)</f>
        <v/>
      </c>
      <c r="F1144">
        <f>IF(Skills!N6=TRUE,(Skills!L6/10)*(E1144/1000),Skills!L6/10)+Skills!O6</f>
        <v/>
      </c>
      <c r="G1144">
        <f>Skills!G6*IF(Skills!H6&gt;0,Skills!I6/Skills!H6,1)</f>
        <v/>
      </c>
      <c r="H1144">
        <f>1-(1-Skills!J6/100)^Skills!K6</f>
        <v/>
      </c>
      <c r="I1144" t="inlineStr">
        <is>
          <t>1</t>
        </is>
      </c>
      <c r="J1144">
        <f>((Inputs!$B$6*(1+Inputs!$B$7/100))+(((Inputs!$B$12*(1+Inputs!$B$13/100))-(Inputs!$B$12*(1+Inputs!$B$13/100)))+0.25*(Inputs!$B$14-Inputs!$B$14))*(1+Inputs!$B$7/100))*(F1144/100)</f>
        <v/>
      </c>
      <c r="K1144">
        <f>J1144*(1+((Inputs!$B$12*(1+Inputs!$B$13/100))*0.01+Inputs!$B$14*0.0025)/100)*(1+Inputs!$B$15/100)*(1+IF(Inputs!$B$39="pvp",0,(1-Summary!$B$55)*(Inputs!$B$20+0+Skills!P6+B1172)+Summary!$B$55*(Inputs!$B$21+Skills!Q6+B1172))/100)*(1+Inputs!$B$16/100)*(5000/(6000+Inputs!$B$43*(1-Inputs!$B$19/100)))*(1+(Inputs!$B$24+((C1168=TRUE)*(F1168-Calc!F30)))/100)*(1+1.0*IF(C1156=TRUE,F1156,0)/100)*(1+(IF(Skills!A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1144)</f>
        <v/>
      </c>
      <c r="L1144">
        <f>K1144*(MIN(Inputs!$B$22+((C1162=TRUE)*(F1162-Calc!F24)),Inputs!$B$23+((C1167=TRUE)*(F1167-Calc!F29)))/100+(Inputs!$B$23+((C1167=TRUE)*(F1167-Calc!F29)))/100)/2</f>
        <v/>
      </c>
      <c r="M1144">
        <f>L1144*(1+(Inputs!$B$10+((C1164=TRUE)*(F1164-Calc!F26))+B1178)/100)</f>
        <v/>
      </c>
      <c r="N1144">
        <f>L1144*(1-MIN((Inputs!$B$9+((C1163=TRUE)*(F1163-Calc!F25))+B1171),100)/100)+M1144*(MIN((Inputs!$B$9+((C1163=TRUE)*(F1163-Calc!F25))+B1171),100)/100)</f>
        <v/>
      </c>
      <c r="O1144">
        <f>IF(C1144,H1144*N1144*IF(AND(Inputs!$B$39&lt;&gt;"pvp",Inputs!$B$44&gt;0),((Skills!G6*((R1144-1)*IF(Skills!H6&gt;0,Skills!I6/Skills!H6,1)+IF(Skills!H6&gt;0,MIN(Skills!I6,MAX(0,MAX(0,Inputs!$B$44-B1182)-((R1144-1)*IF(Inputs!$B$39="pvp",15,MAX(0.1,Skills!D6-IF(Skills!E6=TRUE,(Inputs!$B$32+1),0))))))/Skills!H6,1)))/Inputs!$B$44),G1144*Q1144)*IF(Inputs!$B$39="pvp",1,(1-Summary!$B$55)*(1)+Summary!$B$55*(MIN(Skills!W6,Inputs!$B$37))),0)</f>
        <v/>
      </c>
      <c r="P1144">
        <f>IF(B1183=0,0,O1144/B1183)</f>
        <v/>
      </c>
      <c r="Q1144">
        <f>IFERROR(1/IF(Inputs!$B$39="pvp",15,MAX(0.1,Skills!D6-IF(Skills!E6=TRUE,(Inputs!$B$32+1),0))),0)</f>
        <v/>
      </c>
      <c r="R1144">
        <f>IF(AND(Inputs!$B$39&lt;&gt;"pvp",Inputs!$B$44&gt;0),IF(MAX(0,Inputs!$B$44-B1182)&lt;=0,0,(INT(MAX(0,Inputs!$B$44-B1182)/IF(Inputs!$B$39="pvp",15,MAX(0.1,Skills!D6-IF(Skills!E6=TRUE,(Inputs!$B$32+1),0))))+1)),0)</f>
        <v/>
      </c>
      <c r="S1144">
        <f>IFERROR(O1144/N1144,0)</f>
        <v/>
      </c>
    </row>
    <row r="1145">
      <c r="A1145">
        <f>Skills!A7</f>
        <v/>
      </c>
      <c r="B1145">
        <f>Skills!B7</f>
        <v/>
      </c>
      <c r="C1145">
        <f>Inputs!$B$3&gt;=60</f>
        <v/>
      </c>
      <c r="D1145">
        <f>IF(Skills!C7=1,60+Inputs!$B$25+Inputs!$B$29,IF(Skills!C7=2,90+Inputs!$B$26+Inputs!$B$29,IF(Skills!C7=3,120+Inputs!$B$27+Inputs!$B$29,MAX(0,(Inputs!$B$3-100)*3)+Inputs!$B$28+Inputs!$B$29)))</f>
        <v/>
      </c>
      <c r="E1145">
        <f>INDEX(FactorTable!$B$2:$Y$301, MATCH(ROUND(MIN(300,MAX(1,D1145)),0), FactorTable!$A$2:$A$301,0), Skills!M7+1)</f>
        <v/>
      </c>
      <c r="F1145">
        <f>IF(Skills!N7=TRUE,(Skills!L7/10)*(E1145/1000),Skills!L7/10)+Skills!O7</f>
        <v/>
      </c>
      <c r="G1145">
        <f>Skills!G7*IF(Skills!H7&gt;0,Skills!I7/Skills!H7,1)</f>
        <v/>
      </c>
      <c r="H1145">
        <f>1-(1-Skills!J7/100)^Skills!K7</f>
        <v/>
      </c>
      <c r="I1145" t="inlineStr">
        <is>
          <t>1</t>
        </is>
      </c>
      <c r="J1145" t="inlineStr"/>
      <c r="K1145" t="inlineStr"/>
      <c r="L1145" t="inlineStr"/>
      <c r="M1145" t="inlineStr"/>
      <c r="N1145" t="inlineStr"/>
      <c r="O1145" t="n">
        <v>0</v>
      </c>
      <c r="P1145">
        <f>IF(B1183=0,0,O1145/B1183)</f>
        <v/>
      </c>
      <c r="Q1145" t="n">
        <v>0</v>
      </c>
      <c r="R1145" t="n">
        <v>0</v>
      </c>
      <c r="S1145">
        <f>IFERROR(O1145/N1145,0)</f>
        <v/>
      </c>
    </row>
    <row r="1146">
      <c r="A1146">
        <f>Skills!A8</f>
        <v/>
      </c>
      <c r="B1146">
        <f>Skills!B8</f>
        <v/>
      </c>
      <c r="C1146">
        <f>Inputs!$B$3&gt;=72</f>
        <v/>
      </c>
      <c r="D1146">
        <f>IF(Skills!C8=1,60+Inputs!$B$25+Inputs!$B$29,IF(Skills!C8=2,90+Inputs!$B$26+Inputs!$B$29,IF(Skills!C8=3,120+Inputs!$B$27+Inputs!$B$29,MAX(0,(Inputs!$B$3-100)*3)+Inputs!$B$28+Inputs!$B$29)))</f>
        <v/>
      </c>
      <c r="E1146">
        <f>INDEX(FactorTable!$B$2:$Y$301, MATCH(ROUND(MIN(300,MAX(1,D1146)),0), FactorTable!$A$2:$A$301,0), Skills!M8+1)</f>
        <v/>
      </c>
      <c r="F1146">
        <f>IF(Skills!N8=TRUE,(Skills!L8/10)*(E1146/1000),Skills!L8/10)+Skills!O8</f>
        <v/>
      </c>
      <c r="G1146">
        <f>Skills!G8*IF(Skills!H8&gt;0,Skills!I8/Skills!H8,1)</f>
        <v/>
      </c>
      <c r="H1146">
        <f>1-(1-Skills!J8/100)^Skills!K8</f>
        <v/>
      </c>
      <c r="I1146" t="inlineStr">
        <is>
          <t>1</t>
        </is>
      </c>
      <c r="J1146">
        <f>((Inputs!$B$6*(1+Inputs!$B$7/100))+(((Inputs!$B$12*(1+Inputs!$B$13/100))-(Inputs!$B$12*(1+Inputs!$B$13/100)))+0.25*(Inputs!$B$14-Inputs!$B$14))*(1+Inputs!$B$7/100))*(F1146/100)</f>
        <v/>
      </c>
      <c r="K1146">
        <f>J1146*(1+((Inputs!$B$12*(1+Inputs!$B$13/100))*0.01+Inputs!$B$14*0.0025)/100)*(1+Inputs!$B$15/100)*(1+IF(Inputs!$B$39="pvp",0,(1-Summary!$B$55)*(Inputs!$B$20+0+Skills!P8+B1172)+Summary!$B$55*(Inputs!$B$21+Skills!Q8+B1172))/100)*(1+Inputs!$B$16/100)*(5000/(6000+Inputs!$B$43*(1-Inputs!$B$19/100)))*(1+(Inputs!$B$24+((C1168=TRUE)*(F1168-Calc!F30)))/100)*(1+3.3333333333333335*IF(C1156=TRUE,F1156,0)/100)*(1+(IF(Skills!A8="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1146)</f>
        <v/>
      </c>
      <c r="L1146">
        <f>K1146*(MIN(Inputs!$B$22+((C1162=TRUE)*(F1162-Calc!F24)),Inputs!$B$23+((C1167=TRUE)*(F1167-Calc!F29)))/100+(Inputs!$B$23+((C1167=TRUE)*(F1167-Calc!F29)))/100)/2</f>
        <v/>
      </c>
      <c r="M1146">
        <f>L1146*(1+(Inputs!$B$10+((C1164=TRUE)*(F1164-Calc!F26))+B1178)/100)</f>
        <v/>
      </c>
      <c r="N1146">
        <f>L1146*(1-MIN((Inputs!$B$9+((C1163=TRUE)*(F1163-Calc!F25))+B1171),100)/100)+M1146*(MIN((Inputs!$B$9+((C1163=TRUE)*(F1163-Calc!F25))+B1171),100)/100)</f>
        <v/>
      </c>
      <c r="O1146">
        <f>IF(C1146,H1146*N1146*IF(AND(Inputs!$B$39&lt;&gt;"pvp",Inputs!$B$44&gt;0),((Skills!G8*((R1146-1)*IF(Skills!H8&gt;0,Skills!I8/Skills!H8,1)+IF(Skills!H8&gt;0,MIN(Skills!I8,MAX(0,MAX(0,Inputs!$B$44-B1182)-((R1146-1)*IF(Inputs!$B$39="pvp",15,MAX(0.1,Skills!D8-IF(Skills!E8=TRUE,(Inputs!$B$32+1),0))))))/Skills!H8,1)))/Inputs!$B$44),G1146*Q1146)*IF(Inputs!$B$39="pvp",1,(1-Summary!$B$55)*(1)+Summary!$B$55*(MIN(Skills!W8,Inputs!$B$37))),0)</f>
        <v/>
      </c>
      <c r="P1146">
        <f>IF(B1183=0,0,O1146/B1183)</f>
        <v/>
      </c>
      <c r="Q1146">
        <f>IFERROR(1/IF(Inputs!$B$39="pvp",15,MAX(0.1,Skills!D8-IF(Skills!E8=TRUE,(Inputs!$B$32+1),0))),0)</f>
        <v/>
      </c>
      <c r="R1146">
        <f>IF(AND(Inputs!$B$39&lt;&gt;"pvp",Inputs!$B$44&gt;0),IF(MAX(0,Inputs!$B$44-B1182)&lt;=0,0,(INT(MAX(0,Inputs!$B$44-B1182)/IF(Inputs!$B$39="pvp",15,MAX(0.1,Skills!D8-IF(Skills!E8=TRUE,(Inputs!$B$32+1),0))))+1)),0)</f>
        <v/>
      </c>
      <c r="S1146">
        <f>IFERROR(O1146/N1146,0)</f>
        <v/>
      </c>
    </row>
    <row r="1147">
      <c r="A1147">
        <f>Skills!A9</f>
        <v/>
      </c>
      <c r="B1147">
        <f>Skills!B9</f>
        <v/>
      </c>
      <c r="C1147">
        <f>Inputs!$B$3&gt;=117</f>
        <v/>
      </c>
      <c r="D1147">
        <f>IF(Skills!C9=1,60+Inputs!$B$25+Inputs!$B$29,IF(Skills!C9=2,90+Inputs!$B$26+Inputs!$B$29,IF(Skills!C9=3,120+Inputs!$B$27+Inputs!$B$29,MAX(0,(Inputs!$B$3-100)*3)+Inputs!$B$28+Inputs!$B$29)))</f>
        <v/>
      </c>
      <c r="E1147">
        <f>INDEX(FactorTable!$B$2:$Y$301, MATCH(ROUND(MIN(300,MAX(1,D1147)),0), FactorTable!$A$2:$A$301,0), Skills!M9+1)</f>
        <v/>
      </c>
      <c r="F1147">
        <f>IF(Skills!N9=TRUE,(Skills!L9/10)*(E1147/1000),Skills!L9/10)+Skills!O9</f>
        <v/>
      </c>
      <c r="G1147">
        <f>Skills!G9*IF(Skills!H9&gt;0,Skills!I9/Skills!H9,1)</f>
        <v/>
      </c>
      <c r="H1147">
        <f>1-(1-Skills!J9/100)^Skills!K9</f>
        <v/>
      </c>
      <c r="I1147" t="inlineStr">
        <is>
          <t>1</t>
        </is>
      </c>
      <c r="J1147">
        <f>((Inputs!$B$6*(1+Inputs!$B$7/100))+(((Inputs!$B$12*(1+Inputs!$B$13/100))-(Inputs!$B$12*(1+Inputs!$B$13/100)))+0.25*(Inputs!$B$14-Inputs!$B$14))*(1+Inputs!$B$7/100))*(F1147/100)</f>
        <v/>
      </c>
      <c r="K1147">
        <f>J1147*(1+((Inputs!$B$12*(1+Inputs!$B$13/100))*0.01+Inputs!$B$14*0.0025)/100)*(1+Inputs!$B$15/100)*(1+IF(Inputs!$B$39="pvp",0,(1-Summary!$B$55)*(Inputs!$B$20+0+Skills!P9+B1172)+Summary!$B$55*(Inputs!$B$21+Skills!Q9+B1172))/100)*(1+Inputs!$B$16/100)*(5000/(6000+Inputs!$B$43*(1-Inputs!$B$19/100)))*(1+(Inputs!$B$24+((C1168=TRUE)*(F1168-Calc!F30)))/100)*(1+(IF(Skills!A9="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1147)</f>
        <v/>
      </c>
      <c r="L1147">
        <f>K1147*(MIN(Inputs!$B$22+((C1162=TRUE)*(F1162-Calc!F24)),Inputs!$B$23+((C1167=TRUE)*(F1167-Calc!F29)))/100+(Inputs!$B$23+((C1167=TRUE)*(F1167-Calc!F29)))/100)/2</f>
        <v/>
      </c>
      <c r="M1147">
        <f>L1147*(1+(Inputs!$B$10+((C1164=TRUE)*(F1164-Calc!F26))+B1178)/100)</f>
        <v/>
      </c>
      <c r="N1147">
        <f>L1147*(1-MIN((Inputs!$B$9+((C1163=TRUE)*(F1163-Calc!F25))+B1171),100)/100)+M1147*(MIN((Inputs!$B$9+((C1163=TRUE)*(F1163-Calc!F25))+B1171),100)/100)</f>
        <v/>
      </c>
      <c r="O1147">
        <f>IF(C1147,0.2*SUMPRODUCT((Skills!Z2:Z30=TRUE)*(C1140:C1168=TRUE)*S1140:S1168)*N1147,0)</f>
        <v/>
      </c>
      <c r="P1147">
        <f>IF(B1183=0,0,O1147/B1183)</f>
        <v/>
      </c>
      <c r="Q1147" t="n">
        <v>0</v>
      </c>
      <c r="R1147" t="n">
        <v>0</v>
      </c>
      <c r="S1147" t="n">
        <v>0</v>
      </c>
    </row>
    <row r="1148">
      <c r="A1148">
        <f>Skills!A10</f>
        <v/>
      </c>
      <c r="B1148">
        <f>Skills!B10</f>
        <v/>
      </c>
      <c r="C1148">
        <f>Inputs!$B$3&gt;=74</f>
        <v/>
      </c>
      <c r="D1148">
        <f>IF(Skills!C10=1,60+Inputs!$B$25+Inputs!$B$29,IF(Skills!C10=2,90+Inputs!$B$26+Inputs!$B$29,IF(Skills!C10=3,120+Inputs!$B$27+Inputs!$B$29,MAX(0,(Inputs!$B$3-100)*3)+Inputs!$B$28+Inputs!$B$29)))</f>
        <v/>
      </c>
      <c r="E1148">
        <f>INDEX(FactorTable!$B$2:$Y$301, MATCH(ROUND(MIN(300,MAX(1,D1148)),0), FactorTable!$A$2:$A$301,0), Skills!M10+1)</f>
        <v/>
      </c>
      <c r="F1148">
        <f>IF(Skills!N10=TRUE,(Skills!L10/10)*(E1148/1000),Skills!L10/10)+Skills!O10</f>
        <v/>
      </c>
      <c r="G1148">
        <f>Skills!G10*IF(Skills!H10&gt;0,Skills!I10/Skills!H10,1)</f>
        <v/>
      </c>
      <c r="H1148">
        <f>1-(1-Skills!J10/100)^Skills!K10</f>
        <v/>
      </c>
      <c r="I1148" t="inlineStr">
        <is>
          <t>1</t>
        </is>
      </c>
      <c r="J1148" t="inlineStr"/>
      <c r="K1148" t="inlineStr"/>
      <c r="L1148" t="inlineStr"/>
      <c r="M1148" t="inlineStr"/>
      <c r="N1148" t="inlineStr"/>
      <c r="O1148" t="n">
        <v>0</v>
      </c>
      <c r="P1148">
        <f>IF(B1183=0,0,O1148/B1183)</f>
        <v/>
      </c>
      <c r="Q1148">
        <f>IFERROR(1/IF(Inputs!$B$39="pvp",15,MAX(0.1,Skills!D10-IF(Skills!E10=TRUE,(Inputs!$B$32+1),0))),0)</f>
        <v/>
      </c>
      <c r="R1148">
        <f>IF(AND(Inputs!$B$39&lt;&gt;"pvp",Inputs!$B$44&gt;0),IF(Inputs!$B$44&lt;=0,0,(INT(Inputs!$B$44/IF(Inputs!$B$39="pvp",15,MAX(0.1,Skills!D10-IF(Skills!E10=TRUE,(Inputs!$B$32+1),0))))+1)),0)</f>
        <v/>
      </c>
      <c r="S1148">
        <f>IFERROR(O1148/N1148,0)</f>
        <v/>
      </c>
    </row>
    <row r="1149">
      <c r="A1149">
        <f>Skills!A11</f>
        <v/>
      </c>
      <c r="B1149">
        <f>Skills!B11</f>
        <v/>
      </c>
      <c r="C1149">
        <f>Inputs!$B$3&gt;=103</f>
        <v/>
      </c>
      <c r="D1149">
        <f>IF(Skills!C11=1,60+Inputs!$B$25+Inputs!$B$29,IF(Skills!C11=2,90+Inputs!$B$26+Inputs!$B$29,IF(Skills!C11=3,120+Inputs!$B$27+Inputs!$B$29,MAX(0,(Inputs!$B$3-100)*3)+Inputs!$B$28+Inputs!$B$29)))</f>
        <v/>
      </c>
      <c r="E1149">
        <f>INDEX(FactorTable!$B$2:$Y$301, MATCH(ROUND(MIN(300,MAX(1,D1149)),0), FactorTable!$A$2:$A$301,0), Skills!M11+1)</f>
        <v/>
      </c>
      <c r="F1149">
        <f>(Skills!L11/10)*(E1149/1000)+IF(Inputs!$B$3&gt;=134,50,0)+0.5*(30000/10)*(INDEX(FactorTable!$B$2:$Y$301, MATCH(ROUND(MIN(300,MAX(1,D1149)),0), FactorTable!$A$2:$A$301,0), 13)/1000)*B1181</f>
        <v/>
      </c>
      <c r="G1149">
        <f>Skills!G11*IF(Skills!H11&gt;0,Skills!I11/Skills!H11,1)</f>
        <v/>
      </c>
      <c r="H1149">
        <f>1-(1-Skills!J11/100)^Skills!K11</f>
        <v/>
      </c>
      <c r="I1149" t="inlineStr">
        <is>
          <t>1</t>
        </is>
      </c>
      <c r="J1149">
        <f>((Inputs!$B$6*(1+Inputs!$B$7/100))+(((Inputs!$B$12*(1+Inputs!$B$13/100))-(Inputs!$B$12*(1+Inputs!$B$13/100)))+0.25*(Inputs!$B$14-Inputs!$B$14))*(1+Inputs!$B$7/100))*(F1149/100)</f>
        <v/>
      </c>
      <c r="K1149">
        <f>J1149*(1+((Inputs!$B$12*(1+Inputs!$B$13/100))*0.01+Inputs!$B$14*0.0025)/100)*(1+Inputs!$B$15/100)*(1+IF(Inputs!$B$39="pvp",0,(1-Summary!$B$55)*(Inputs!$B$20+0+Skills!P11+B1172)+Summary!$B$55*(Inputs!$B$21+Skills!Q11+B1172))/100)*(1+Inputs!$B$16/100)*(5000/(6000+Inputs!$B$43*(1-Inputs!$B$19/100)))*(1+(Inputs!$B$24+((C1168=TRUE)*(F1168-Calc!F30)))/100)*(1+(IF(Skills!A11="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1149)</f>
        <v/>
      </c>
      <c r="L1149">
        <f>K1149*(MIN(Inputs!$B$22+((C1162=TRUE)*(F1162-Calc!F24)),Inputs!$B$23+((C1167=TRUE)*(F1167-Calc!F29)))/100+(Inputs!$B$23+((C1167=TRUE)*(F1167-Calc!F29)))/100)/2</f>
        <v/>
      </c>
      <c r="M1149">
        <f>L1149*(1+(Inputs!$B$10+((C1164=TRUE)*(F1164-Calc!F26))+B1178)/100)</f>
        <v/>
      </c>
      <c r="N1149">
        <f>L1149*(1-MIN((Inputs!$B$9+((C1163=TRUE)*(F1163-Calc!F25))+B1171),100)/100)+M1149*(MIN((Inputs!$B$9+((C1163=TRUE)*(F1163-Calc!F25))+B1171),100)/100)</f>
        <v/>
      </c>
      <c r="O1149">
        <f>IF(C1149,H1149*N1149*IF(AND(Inputs!$B$39&lt;&gt;"pvp",Inputs!$B$44&gt;0),((Skills!G11*((R1149-1)*IF(Skills!H11&gt;0,Skills!I11/Skills!H11,1)+IF(Skills!H11&gt;0,MIN(Skills!I11,MAX(0,MAX(0,Inputs!$B$44-B1182)-((R1149-1)*IF(Inputs!$B$39="pvp",15,MAX(0.1,Skills!D11-IF(Skills!E11=TRUE,(Inputs!$B$32+1),0))))))/Skills!H11,1)))/Inputs!$B$44),G1149*Q1149)*IF(Inputs!$B$39="pvp",1,(1-Summary!$B$55)*(1)+Summary!$B$55*(MIN(Skills!W11,Inputs!$B$37))),0)</f>
        <v/>
      </c>
      <c r="P1149">
        <f>IF(B1183=0,0,O1149/B1183)</f>
        <v/>
      </c>
      <c r="Q1149">
        <f>IFERROR(1/IF(Inputs!$B$39="pvp",15,MAX(0.1,Skills!D11-IF(Skills!E11=TRUE,(Inputs!$B$32+1),0))),0)</f>
        <v/>
      </c>
      <c r="R1149">
        <f>IF(AND(Inputs!$B$39&lt;&gt;"pvp",Inputs!$B$44&gt;0),IF(MAX(0,Inputs!$B$44-B1182)&lt;=0,0,(INT(MAX(0,Inputs!$B$44-B1182)/IF(Inputs!$B$39="pvp",15,MAX(0.1,Skills!D11-IF(Skills!E11=TRUE,(Inputs!$B$32+1),0))))+1)),0)</f>
        <v/>
      </c>
      <c r="S1149">
        <f>IFERROR(O1149/N1149,0)</f>
        <v/>
      </c>
    </row>
    <row r="1150">
      <c r="A1150">
        <f>Skills!A12</f>
        <v/>
      </c>
      <c r="B1150">
        <f>Skills!B12</f>
        <v/>
      </c>
      <c r="C1150">
        <f>Inputs!$B$3&gt;=105</f>
        <v/>
      </c>
      <c r="D1150">
        <f>IF(Skills!C12=1,60+Inputs!$B$25+Inputs!$B$29,IF(Skills!C12=2,90+Inputs!$B$26+Inputs!$B$29,IF(Skills!C12=3,120+Inputs!$B$27+Inputs!$B$29,MAX(0,(Inputs!$B$3-100)*3)+Inputs!$B$28+Inputs!$B$29)))</f>
        <v/>
      </c>
      <c r="E1150">
        <f>INDEX(FactorTable!$B$2:$Y$301, MATCH(ROUND(MIN(300,MAX(1,D1150)),0), FactorTable!$A$2:$A$301,0), Skills!M12+1)</f>
        <v/>
      </c>
      <c r="F1150">
        <f>IF(Skills!N12=TRUE,(Skills!L12/10)*(E1150/1000),Skills!L12/10)+Skills!O12</f>
        <v/>
      </c>
      <c r="G1150">
        <f>Skills!G12*IF(Skills!H12&gt;0,Skills!I12/Skills!H12,1)</f>
        <v/>
      </c>
      <c r="H1150">
        <f>1-(1-Skills!J12/100)^Skills!K12</f>
        <v/>
      </c>
      <c r="I1150" t="inlineStr">
        <is>
          <t>1</t>
        </is>
      </c>
      <c r="J1150">
        <f>((Inputs!$B$6*(1+Inputs!$B$7/100))+(((Inputs!$B$12*(1+Inputs!$B$13/100))-(Inputs!$B$12*(1+Inputs!$B$13/100)))+0.25*(Inputs!$B$14-Inputs!$B$14))*(1+Inputs!$B$7/100))*(F1150/100)</f>
        <v/>
      </c>
      <c r="K1150">
        <f>J1150*(1+((Inputs!$B$12*(1+Inputs!$B$13/100))*0.01+Inputs!$B$14*0.0025)/100)*(1+Inputs!$B$15/100)*(1+IF(Inputs!$B$39="pvp",0,(1-Summary!$B$55)*(Inputs!$B$20+0+Skills!P12+B1172)+Summary!$B$55*(Inputs!$B$21+Skills!Q12+B1172))/100)*(1+Inputs!$B$16/100)*(5000/(6000+Inputs!$B$43*(1-Inputs!$B$19/100)))*(1+(Inputs!$B$24+((C1168=TRUE)*(F1168-Calc!F30)))/100)*(1+(IF(Skills!A12="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1150)</f>
        <v/>
      </c>
      <c r="L1150">
        <f>K1150*(MIN(Inputs!$B$22+((C1162=TRUE)*(F1162-Calc!F24)),Inputs!$B$23+((C1167=TRUE)*(F1167-Calc!F29)))/100+(Inputs!$B$23+((C1167=TRUE)*(F1167-Calc!F29)))/100)/2</f>
        <v/>
      </c>
      <c r="M1150">
        <f>L1150*(1+(Inputs!$B$10+((C1164=TRUE)*(F1164-Calc!F26))+B1178)/100)</f>
        <v/>
      </c>
      <c r="N1150">
        <f>L1150*(1-MIN((Inputs!$B$9+((C1163=TRUE)*(F1163-Calc!F25))+B1171),100)/100)+M1150*(MIN((Inputs!$B$9+((C1163=TRUE)*(F1163-Calc!F25))+B1171),100)/100)</f>
        <v/>
      </c>
      <c r="O1150">
        <f>IF(C1150,H1150*N1150*IF(AND(Inputs!$B$39&lt;&gt;"pvp",Inputs!$B$44&gt;0),((Skills!G12*((R1150-1)*IF(Skills!H12&gt;0,Skills!I12/Skills!H12,1)+IF(Skills!H12&gt;0,MIN(Skills!I12,MAX(0,MAX(0,Inputs!$B$44-B1182)-((R1150-1)*IF(Inputs!$B$39="pvp",15,MAX(0.1,Skills!D12-IF(Skills!E12=TRUE,(Inputs!$B$32+1),0))))))/Skills!H12,1)))/Inputs!$B$44),G1150*Q1150)*IF(Inputs!$B$39="pvp",1,(1-Summary!$B$55)*(1)+Summary!$B$55*(MIN(Skills!W12,Inputs!$B$37))),0)</f>
        <v/>
      </c>
      <c r="P1150">
        <f>IF(B1183=0,0,O1150/B1183)</f>
        <v/>
      </c>
      <c r="Q1150">
        <f>IFERROR(1/IF(Inputs!$B$39="pvp",15,MAX(0.1,Skills!D12-IF(Skills!E12=TRUE,(Inputs!$B$32+1),0))),0)</f>
        <v/>
      </c>
      <c r="R1150">
        <f>IF(AND(Inputs!$B$39&lt;&gt;"pvp",Inputs!$B$44&gt;0),IF(MAX(0,Inputs!$B$44-B1182)&lt;=0,0,(INT(MAX(0,Inputs!$B$44-B1182)/IF(Inputs!$B$39="pvp",15,MAX(0.1,Skills!D12-IF(Skills!E12=TRUE,(Inputs!$B$32+1),0))))+1)),0)</f>
        <v/>
      </c>
      <c r="S1150">
        <f>IFERROR(O1150/N1150,0)</f>
        <v/>
      </c>
    </row>
    <row r="1151">
      <c r="A1151">
        <f>Skills!A13</f>
        <v/>
      </c>
      <c r="B1151">
        <f>Skills!B13</f>
        <v/>
      </c>
      <c r="C1151">
        <f>Inputs!$B$3&gt;=105</f>
        <v/>
      </c>
      <c r="D1151">
        <f>IF(Skills!C13=1,60+Inputs!$B$25+Inputs!$B$29,IF(Skills!C13=2,90+Inputs!$B$26+Inputs!$B$29,IF(Skills!C13=3,120+Inputs!$B$27+Inputs!$B$29,MAX(0,(Inputs!$B$3-100)*3)+Inputs!$B$28+Inputs!$B$29)))</f>
        <v/>
      </c>
      <c r="E1151">
        <f>INDEX(FactorTable!$B$2:$Y$301, MATCH(ROUND(MIN(300,MAX(1,D1151)),0), FactorTable!$A$2:$A$301,0), Skills!M13+1)</f>
        <v/>
      </c>
      <c r="F1151">
        <f>IF(Skills!N13=TRUE,(Skills!L13/10)*(E1151/1000),Skills!L13/10)+Skills!O13</f>
        <v/>
      </c>
      <c r="G1151">
        <f>Skills!G13*IF(Skills!H13&gt;0,Skills!I13/Skills!H13,1)</f>
        <v/>
      </c>
      <c r="H1151">
        <f>1-(1-Skills!J13/100)^Skills!K13</f>
        <v/>
      </c>
      <c r="I1151" t="inlineStr">
        <is>
          <t>1</t>
        </is>
      </c>
      <c r="J1151">
        <f>((Inputs!$B$6*(1+Inputs!$B$7/100))+(((Inputs!$B$12*(1+Inputs!$B$13/100))-(Inputs!$B$12*(1+Inputs!$B$13/100)))+0.25*(Inputs!$B$14-Inputs!$B$14))*(1+Inputs!$B$7/100))*(F1151/100)</f>
        <v/>
      </c>
      <c r="K1151">
        <f>J1151*(1+((Inputs!$B$12*(1+Inputs!$B$13/100))*0.01+Inputs!$B$14*0.0025)/100)*(1+Inputs!$B$15/100)*(1+IF(Inputs!$B$39="pvp",0,(1-Summary!$B$55)*(Inputs!$B$20+0+Skills!P13+B1172)+Summary!$B$55*(Inputs!$B$21+Skills!Q13+B1172))/100)*(1+Inputs!$B$16/100)*(5000/(6000+Inputs!$B$43*(1-Inputs!$B$19/100)))*(1+(Inputs!$B$24+((C1168=TRUE)*(F1168-Calc!F30)))/100)*(1+(IF(Skills!A13="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1151)</f>
        <v/>
      </c>
      <c r="L1151">
        <f>K1151*(MIN(Inputs!$B$22+((C1162=TRUE)*(F1162-Calc!F24)),Inputs!$B$23+((C1167=TRUE)*(F1167-Calc!F29)))/100+(Inputs!$B$23+((C1167=TRUE)*(F1167-Calc!F29)))/100)/2</f>
        <v/>
      </c>
      <c r="M1151">
        <f>L1151*(1+(Inputs!$B$10+((C1164=TRUE)*(F1164-Calc!F26))+B1178)/100)</f>
        <v/>
      </c>
      <c r="N1151">
        <f>L1151*(1-MIN((Inputs!$B$9+((C1163=TRUE)*(F1163-Calc!F25))+B1171),100)/100)+M1151*(MIN((Inputs!$B$9+((C1163=TRUE)*(F1163-Calc!F25))+B1171),100)/100)</f>
        <v/>
      </c>
      <c r="O1151">
        <f>IF(C1151,H1151*N1151*IF(AND(Inputs!$B$39&lt;&gt;"pvp",Inputs!$B$44&gt;0),((Skills!G13*((R1151-1)*IF(Skills!H13&gt;0,Skills!I13/Skills!H13,1)+IF(Skills!H13&gt;0,MIN(Skills!I13,MAX(0,MAX(0,Inputs!$B$44-B1182)-((R1151-1)*IF(Inputs!$B$39="pvp",15,MAX(0.1,Skills!D13-IF(Skills!E13=TRUE,(Inputs!$B$32+1),0))))))/Skills!H13,1)))/Inputs!$B$44),G1151*Q1151)*IF(Inputs!$B$39="pvp",1,(1-Summary!$B$55)*(1)+Summary!$B$55*(MIN(Skills!W13,Inputs!$B$37))),0)</f>
        <v/>
      </c>
      <c r="P1151">
        <f>IF(B1183=0,0,O1151/B1183)</f>
        <v/>
      </c>
      <c r="Q1151">
        <f>IFERROR(1/IF(Inputs!$B$39="pvp",15,MAX(0.1,Skills!D13-IF(Skills!E13=TRUE,(Inputs!$B$32+1),0))),0)</f>
        <v/>
      </c>
      <c r="R1151">
        <f>IF(AND(Inputs!$B$39&lt;&gt;"pvp",Inputs!$B$44&gt;0),IF(MAX(0,Inputs!$B$44-B1182)&lt;=0,0,(INT(MAX(0,Inputs!$B$44-B1182)/IF(Inputs!$B$39="pvp",15,MAX(0.1,Skills!D13-IF(Skills!E13=TRUE,(Inputs!$B$32+1),0))))+1)),0)</f>
        <v/>
      </c>
      <c r="S1151">
        <f>IFERROR(O1151/N1151,0)</f>
        <v/>
      </c>
    </row>
    <row r="1152">
      <c r="A1152">
        <f>Skills!A14</f>
        <v/>
      </c>
      <c r="B1152">
        <f>Skills!B14</f>
        <v/>
      </c>
      <c r="C1152">
        <f>Inputs!$B$3&gt;=107</f>
        <v/>
      </c>
      <c r="D1152">
        <f>IF(Skills!C14=1,60+Inputs!$B$25+Inputs!$B$29,IF(Skills!C14=2,90+Inputs!$B$26+Inputs!$B$29,IF(Skills!C14=3,120+Inputs!$B$27+Inputs!$B$29,MAX(0,(Inputs!$B$3-100)*3)+Inputs!$B$28+Inputs!$B$29)))</f>
        <v/>
      </c>
      <c r="E1152">
        <f>INDEX(FactorTable!$B$2:$Y$301, MATCH(ROUND(MIN(300,MAX(1,D1152)),0), FactorTable!$A$2:$A$301,0), Skills!M14+1)</f>
        <v/>
      </c>
      <c r="F1152">
        <f>IF(Skills!N14=TRUE,(Skills!L14/10)*(E1152/1000),Skills!L14/10)+Skills!O14</f>
        <v/>
      </c>
      <c r="G1152">
        <f>Skills!G14*IF(Skills!H14&gt;0,Skills!I14/Skills!H14,1)</f>
        <v/>
      </c>
      <c r="H1152">
        <f>1-(1-Skills!J14/100)^Skills!K14</f>
        <v/>
      </c>
      <c r="I1152" t="inlineStr">
        <is>
          <t>1</t>
        </is>
      </c>
      <c r="J1152">
        <f>((Inputs!$B$6*(1+Inputs!$B$7/100))+(((Inputs!$B$12*(1+Inputs!$B$13/100))-(Inputs!$B$12*(1+Inputs!$B$13/100)))+0.25*(Inputs!$B$14-Inputs!$B$14))*(1+Inputs!$B$7/100))*(F1152/100)</f>
        <v/>
      </c>
      <c r="K1152">
        <f>J1152*(1+((Inputs!$B$12*(1+Inputs!$B$13/100))*0.01+Inputs!$B$14*0.0025)/100)*(1+Inputs!$B$15/100)*(1+IF(Inputs!$B$39="pvp",0,(1-Summary!$B$55)*(Inputs!$B$20+0+Skills!P14+B1172)+Summary!$B$55*(Inputs!$B$21+Skills!Q14+B1172))/100)*(1+Inputs!$B$16/100)*(5000/(6000+Inputs!$B$43*(1-Inputs!$B$19/100)))*(1+(Inputs!$B$24+((C1168=TRUE)*(F1168-Calc!F30)))/100)*(1+(IF(Skills!A14="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1152)</f>
        <v/>
      </c>
      <c r="L1152">
        <f>K1152*(MIN(Inputs!$B$22+((C1162=TRUE)*(F1162-Calc!F24)),Inputs!$B$23+((C1167=TRUE)*(F1167-Calc!F29)))/100+(Inputs!$B$23+((C1167=TRUE)*(F1167-Calc!F29)))/100)/2</f>
        <v/>
      </c>
      <c r="M1152">
        <f>L1152*(1+(Inputs!$B$10+((C1164=TRUE)*(F1164-Calc!F26))+B1178)/100)</f>
        <v/>
      </c>
      <c r="N1152">
        <f>L1152*(1-MIN((Inputs!$B$9+((C1163=TRUE)*(F1163-Calc!F25))+B1171),100)/100)+M1152*(MIN((Inputs!$B$9+((C1163=TRUE)*(F1163-Calc!F25))+B1171),100)/100)</f>
        <v/>
      </c>
      <c r="O1152">
        <f>IF(C1152,H1152*N1152*IF(AND(Inputs!$B$39&lt;&gt;"pvp",Inputs!$B$44&gt;0),((Skills!G14*((R1152-1)*IF(Skills!H14&gt;0,Skills!I14/Skills!H14,1)+IF(Skills!H14&gt;0,MIN(Skills!I14,MAX(0,MAX(0,Inputs!$B$44-B1182)-((R1152-1)*IF(Inputs!$B$39="pvp",15,MAX(0.1,Skills!D14-IF(Skills!E14=TRUE,(Inputs!$B$32+1),0))))))/Skills!H14,1)))/Inputs!$B$44),G1152*Q1152)*IF(Inputs!$B$39="pvp",1,(1-Summary!$B$55)*(1)+Summary!$B$55*(MIN(MIN(5,0.25*B1175*Skills!D4)*Skills!V14,Inputs!$B$37))),0)</f>
        <v/>
      </c>
      <c r="P1152">
        <f>IF(B1183=0,0,O1152/B1183)</f>
        <v/>
      </c>
      <c r="Q1152">
        <f>IFERROR(1/IF(Inputs!$B$39="pvp",15,MAX(0.1,Skills!D14-IF(Skills!E14=TRUE,(Inputs!$B$32+1),0))),0)</f>
        <v/>
      </c>
      <c r="R1152">
        <f>IF(AND(Inputs!$B$39&lt;&gt;"pvp",Inputs!$B$44&gt;0),IF(MAX(0,Inputs!$B$44-B1182)&lt;=0,0,(INT(MAX(0,Inputs!$B$44-B1182)/IF(Inputs!$B$39="pvp",15,MAX(0.1,Skills!D14-IF(Skills!E14=TRUE,(Inputs!$B$32+1),0))))+1)),0)</f>
        <v/>
      </c>
      <c r="S1152">
        <f>IFERROR(O1152/N1152,0)</f>
        <v/>
      </c>
    </row>
    <row r="1153">
      <c r="A1153">
        <f>Skills!A15</f>
        <v/>
      </c>
      <c r="B1153">
        <f>Skills!B15</f>
        <v/>
      </c>
      <c r="C1153">
        <f>Inputs!$B$3&gt;=110</f>
        <v/>
      </c>
      <c r="D1153">
        <f>IF(Skills!C15=1,60+Inputs!$B$25+Inputs!$B$29,IF(Skills!C15=2,90+Inputs!$B$26+Inputs!$B$29,IF(Skills!C15=3,120+Inputs!$B$27+Inputs!$B$29,MAX(0,(Inputs!$B$3-100)*3)+Inputs!$B$28+Inputs!$B$29)))</f>
        <v/>
      </c>
      <c r="E1153">
        <f>INDEX(FactorTable!$B$2:$Y$301, MATCH(ROUND(MIN(300,MAX(1,D1153)),0), FactorTable!$A$2:$A$301,0), Skills!M15+1)</f>
        <v/>
      </c>
      <c r="F1153">
        <f>IF(Skills!N15=TRUE,(Skills!L15/10)*(E1153/1000),Skills!L15/10)+Skills!O15</f>
        <v/>
      </c>
      <c r="G1153">
        <f>Skills!G15*IF(Skills!H15&gt;0,Skills!I15/Skills!H15,1)</f>
        <v/>
      </c>
      <c r="H1153">
        <f>1-(1-Skills!J15/100)^Skills!K15</f>
        <v/>
      </c>
      <c r="I1153" t="inlineStr">
        <is>
          <t>1</t>
        </is>
      </c>
      <c r="J1153" t="inlineStr"/>
      <c r="K1153" t="inlineStr"/>
      <c r="L1153" t="inlineStr"/>
      <c r="M1153" t="inlineStr"/>
      <c r="N1153" t="inlineStr"/>
      <c r="O1153" t="n">
        <v>0</v>
      </c>
      <c r="P1153">
        <f>IF(B1183=0,0,O1153/B1183)</f>
        <v/>
      </c>
      <c r="Q1153">
        <f>IFERROR(1/IF(Inputs!$B$39="pvp",15,MAX(0.1,Skills!D15-IF(Skills!E15=TRUE,(Inputs!$B$32+1),0))),0)</f>
        <v/>
      </c>
      <c r="R1153">
        <f>IF(AND(Inputs!$B$39&lt;&gt;"pvp",Inputs!$B$44&gt;0),IF(Inputs!$B$44&lt;=0,0,(INT(Inputs!$B$44/IF(Inputs!$B$39="pvp",15,MAX(0.1,Skills!D15-IF(Skills!E15=TRUE,(Inputs!$B$32+1),0))))+1)),0)</f>
        <v/>
      </c>
      <c r="S1153">
        <f>IFERROR(O1153/N1153,0)</f>
        <v/>
      </c>
    </row>
    <row r="1154">
      <c r="A1154">
        <f>Skills!A16</f>
        <v/>
      </c>
      <c r="B1154">
        <f>Skills!B16</f>
        <v/>
      </c>
      <c r="C1154">
        <f>Inputs!$B$3&gt;=115</f>
        <v/>
      </c>
      <c r="D1154">
        <f>IF(Skills!C16=1,60+Inputs!$B$25+Inputs!$B$29,IF(Skills!C16=2,90+Inputs!$B$26+Inputs!$B$29,IF(Skills!C16=3,120+Inputs!$B$27+Inputs!$B$29,MAX(0,(Inputs!$B$3-100)*3)+Inputs!$B$28+Inputs!$B$29)))</f>
        <v/>
      </c>
      <c r="E1154">
        <f>INDEX(FactorTable!$B$2:$Y$301, MATCH(ROUND(MIN(300,MAX(1,D1154)),0), FactorTable!$A$2:$A$301,0), Skills!M16+1)</f>
        <v/>
      </c>
      <c r="F1154">
        <f>IF(Skills!N16=TRUE,(Skills!L16/10)*(E1154/1000),Skills!L16/10)+Skills!O16</f>
        <v/>
      </c>
      <c r="G1154">
        <f>Skills!G16*IF(Skills!H16&gt;0,Skills!I16/Skills!H16,1)</f>
        <v/>
      </c>
      <c r="H1154">
        <f>1-(1-Skills!J16/100)^Skills!K16</f>
        <v/>
      </c>
      <c r="I1154" t="inlineStr">
        <is>
          <t>1</t>
        </is>
      </c>
      <c r="J1154">
        <f>((Inputs!$B$6*(1+Inputs!$B$7/100))+(((Inputs!$B$12*(1+Inputs!$B$13/100))-(Inputs!$B$12*(1+Inputs!$B$13/100)))+0.25*(Inputs!$B$14-Inputs!$B$14))*(1+Inputs!$B$7/100))*(F1154/100)</f>
        <v/>
      </c>
      <c r="K1154">
        <f>J1154*(1+((Inputs!$B$12*(1+Inputs!$B$13/100))*0.01+Inputs!$B$14*0.0025)/100)*(1+Inputs!$B$15/100)*(1+IF(Inputs!$B$39="pvp",0,(1-Summary!$B$55)*(Inputs!$B$20+0+Skills!P16+B1172)+Summary!$B$55*(Inputs!$B$21+Skills!Q16+B1172))/100)*(1+Inputs!$B$16/100)*(5000/(6000+Inputs!$B$43*(1-Inputs!$B$19/100)))*(1+(Inputs!$B$24+((C1168=TRUE)*(F1168-Calc!F30)))/100)*(1+(IF(Skills!A16="CRUEL_STAB",Inputs!$B$17+((C1165=TRUE)*(F1165-Calc!F27)),Inputs!$B$18+((C1166=TRUE)*(F1166-Calc!F28))))/100)*(((1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B1173*I1154)</f>
        <v/>
      </c>
      <c r="L1154">
        <f>K1154*(MIN(Inputs!$B$22+((C1162=TRUE)*(F1162-Calc!F24)),Inputs!$B$23+((C1167=TRUE)*(F1167-Calc!F29)))/100+(Inputs!$B$23+((C1167=TRUE)*(F1167-Calc!F29)))/100)/2</f>
        <v/>
      </c>
      <c r="M1154">
        <f>L1154*(1+(Inputs!$B$10+((C1164=TRUE)*(F1164-Calc!F26))+B1178)/100)</f>
        <v/>
      </c>
      <c r="N1154">
        <f>L1154*(1-MIN((Inputs!$B$9+((C1163=TRUE)*(F1163-Calc!F25))+B1171),100)/100)+M1154*(MIN((Inputs!$B$9+((C1163=TRUE)*(F1163-Calc!F25))+B1171),100)/100)</f>
        <v/>
      </c>
      <c r="O1154">
        <f>IF(C1154,Inputs!$B$38*0.2*N1154,0)</f>
        <v/>
      </c>
      <c r="P1154">
        <f>IF(B1183=0,0,O1154/B1183)</f>
        <v/>
      </c>
      <c r="Q1154" t="n">
        <v>0</v>
      </c>
      <c r="R1154" t="n">
        <v>0</v>
      </c>
      <c r="S1154">
        <f>IFERROR(O1154/N1154,0)</f>
        <v/>
      </c>
    </row>
    <row r="1155">
      <c r="A1155">
        <f>Skills!A17</f>
        <v/>
      </c>
      <c r="B1155">
        <f>Skills!B17</f>
        <v/>
      </c>
      <c r="C1155">
        <f>Inputs!$B$3&gt;=115</f>
        <v/>
      </c>
      <c r="D1155">
        <f>IF(Skills!C17=1,60+Inputs!$B$25+Inputs!$B$29,IF(Skills!C17=2,90+Inputs!$B$26+Inputs!$B$29,IF(Skills!C17=3,120+Inputs!$B$27+Inputs!$B$29,MAX(0,(Inputs!$B$3-100)*3)+Inputs!$B$28+Inputs!$B$29)))</f>
        <v/>
      </c>
      <c r="E1155">
        <f>INDEX(FactorTable!$B$2:$Y$301, MATCH(ROUND(MIN(300,MAX(1,D1155)),0), FactorTable!$A$2:$A$301,0), Skills!M17+1)</f>
        <v/>
      </c>
      <c r="F1155">
        <f>IF(Skills!N17=TRUE,(Skills!L17/10)*(E1155/1000),Skills!L17/10)+Skills!O17</f>
        <v/>
      </c>
      <c r="G1155">
        <f>Skills!G17*IF(Skills!H17&gt;0,Skills!I17/Skills!H17,1)</f>
        <v/>
      </c>
      <c r="H1155">
        <f>1-(1-Skills!J17/100)^Skills!K17</f>
        <v/>
      </c>
      <c r="I1155" t="inlineStr">
        <is>
          <t>1</t>
        </is>
      </c>
      <c r="J1155" t="inlineStr"/>
      <c r="K1155" t="inlineStr"/>
      <c r="L1155" t="inlineStr"/>
      <c r="M1155" t="inlineStr"/>
      <c r="N1155" t="inlineStr"/>
      <c r="O1155" t="n">
        <v>0</v>
      </c>
      <c r="P1155">
        <f>IF(B1183=0,0,O1155/B1183)</f>
        <v/>
      </c>
      <c r="Q1155" t="n">
        <v>0</v>
      </c>
      <c r="R1155" t="n">
        <v>0</v>
      </c>
      <c r="S1155">
        <f>IFERROR(O1155/N1155,0)</f>
        <v/>
      </c>
    </row>
    <row r="1156">
      <c r="A1156">
        <f>Skills!A18</f>
        <v/>
      </c>
      <c r="B1156">
        <f>Skills!B18</f>
        <v/>
      </c>
      <c r="C1156">
        <f>Inputs!$B$3&gt;=100</f>
        <v/>
      </c>
      <c r="D1156">
        <f>IF(Skills!C18=1,60+Inputs!$B$25+Inputs!$B$29,IF(Skills!C18=2,90+Inputs!$B$26+Inputs!$B$29,IF(Skills!C18=3,120+Inputs!$B$27+Inputs!$B$29,MAX(0,(Inputs!$B$3-100)*3)+Inputs!$B$28+Inputs!$B$29)))</f>
        <v/>
      </c>
      <c r="E1156">
        <f>INDEX(FactorTable!$B$2:$Y$301, MATCH(ROUND(MIN(300,MAX(1,D1156)),0), FactorTable!$A$2:$A$301,0), Skills!M18+1)</f>
        <v/>
      </c>
      <c r="F1156">
        <f>IF(Skills!N18=TRUE,(Skills!L18/10)*(E1156/1000),Skills!L18/10)+Skills!O18</f>
        <v/>
      </c>
      <c r="G1156">
        <f>Skills!G18*IF(Skills!H18&gt;0,Skills!I18/Skills!H18,1)</f>
        <v/>
      </c>
      <c r="H1156">
        <f>1-(1-Skills!J18/100)^Skills!K18</f>
        <v/>
      </c>
      <c r="I1156" t="inlineStr">
        <is>
          <t>1</t>
        </is>
      </c>
      <c r="J1156" t="inlineStr"/>
      <c r="K1156" t="inlineStr"/>
      <c r="L1156" t="inlineStr"/>
      <c r="M1156" t="inlineStr"/>
      <c r="N1156" t="inlineStr"/>
      <c r="O1156" t="n">
        <v>0</v>
      </c>
      <c r="P1156">
        <f>IF(B1183=0,0,O1156/B1183)</f>
        <v/>
      </c>
      <c r="Q1156" t="n">
        <v>0</v>
      </c>
      <c r="R1156" t="n">
        <v>0</v>
      </c>
      <c r="S1156">
        <f>IFERROR(O1156/N1156,0)</f>
        <v/>
      </c>
    </row>
    <row r="1157">
      <c r="A1157">
        <f>Skills!A19</f>
        <v/>
      </c>
      <c r="B1157">
        <f>Skills!B19</f>
        <v/>
      </c>
      <c r="C1157">
        <f>TRUE</f>
        <v/>
      </c>
      <c r="D1157">
        <f>IF(Skills!C19=1,60+Inputs!$B$25+Inputs!$B$29,IF(Skills!C19=2,90+Inputs!$B$26+Inputs!$B$29,IF(Skills!C19=3,120+Inputs!$B$27+Inputs!$B$29,MAX(0,(Inputs!$B$3-100)*3)+Inputs!$B$28+Inputs!$B$29)))</f>
        <v/>
      </c>
      <c r="E1157">
        <f>INDEX(FactorTable!$B$2:$Y$301, MATCH(ROUND(MIN(300,MAX(1,D1157)),0), FactorTable!$A$2:$A$301,0), Skills!M19+1)</f>
        <v/>
      </c>
      <c r="F1157">
        <f>IF(Skills!N19=TRUE,(Skills!L19/10)*(E1157/1000),Skills!L19/10)+Skills!O19</f>
        <v/>
      </c>
      <c r="G1157">
        <f>Skills!G19*IF(Skills!H19&gt;0,Skills!I19/Skills!H19,1)</f>
        <v/>
      </c>
      <c r="H1157">
        <f>1-(1-Skills!J19/100)^Skills!K19</f>
        <v/>
      </c>
      <c r="I1157" t="inlineStr">
        <is>
          <t>1</t>
        </is>
      </c>
      <c r="J1157" t="inlineStr"/>
      <c r="K1157" t="inlineStr"/>
      <c r="L1157" t="inlineStr"/>
      <c r="M1157" t="inlineStr"/>
      <c r="N1157" t="inlineStr"/>
      <c r="O1157" t="n">
        <v>0</v>
      </c>
      <c r="P1157">
        <f>IF(B1183=0,0,O1157/B1183)</f>
        <v/>
      </c>
      <c r="Q1157">
        <f>IFERROR(1/IF(Inputs!$B$39="pvp",15,MAX(0.1,Skills!D19-IF(Skills!E19=TRUE,(Inputs!$B$32+1),0))),0)</f>
        <v/>
      </c>
      <c r="R1157">
        <f>IF(AND(Inputs!$B$39&lt;&gt;"pvp",Inputs!$B$44&gt;0),IF(Inputs!$B$44&lt;=0,0,(INT(Inputs!$B$44/IF(Inputs!$B$39="pvp",15,MAX(0.1,Skills!D19-IF(Skills!E19=TRUE,(Inputs!$B$32+1),0))))+1)),0)</f>
        <v/>
      </c>
      <c r="S1157">
        <f>IFERROR(O1157/N1157,0)</f>
        <v/>
      </c>
    </row>
    <row r="1158">
      <c r="A1158">
        <f>Skills!A20</f>
        <v/>
      </c>
      <c r="B1158">
        <f>Skills!B20</f>
        <v/>
      </c>
      <c r="C1158">
        <f>Inputs!$B$3&gt;=15</f>
        <v/>
      </c>
      <c r="D1158">
        <f>IF(Skills!C20=1,60+Inputs!$B$25+Inputs!$B$29,IF(Skills!C20=2,90+Inputs!$B$26+Inputs!$B$29,IF(Skills!C20=3,120+Inputs!$B$27+Inputs!$B$29,MAX(0,(Inputs!$B$3-100)*3)+Inputs!$B$28+Inputs!$B$29)))</f>
        <v/>
      </c>
      <c r="E1158">
        <f>INDEX(FactorTable!$B$2:$Y$301, MATCH(ROUND(MIN(300,MAX(1,D1158)),0), FactorTable!$A$2:$A$301,0), Skills!M20+1)</f>
        <v/>
      </c>
      <c r="F1158">
        <f>IF(Skills!N20=TRUE,(Skills!L20/10)*(E1158/1000),Skills!L20/10)+Skills!O20</f>
        <v/>
      </c>
      <c r="G1158">
        <f>Skills!G20*IF(Skills!H20&gt;0,Skills!I20/Skills!H20,1)</f>
        <v/>
      </c>
      <c r="H1158">
        <f>1-(1-Skills!J20/100)^Skills!K20</f>
        <v/>
      </c>
      <c r="I1158" t="inlineStr">
        <is>
          <t>1</t>
        </is>
      </c>
      <c r="J1158" t="inlineStr"/>
      <c r="K1158" t="inlineStr"/>
      <c r="L1158" t="inlineStr"/>
      <c r="M1158" t="inlineStr"/>
      <c r="N1158" t="inlineStr"/>
      <c r="O1158" t="n">
        <v>0</v>
      </c>
      <c r="P1158">
        <f>IF(B1183=0,0,O1158/B1183)</f>
        <v/>
      </c>
      <c r="Q1158">
        <f>IFERROR(1/IF(Inputs!$B$39="pvp",15,MAX(0.1,Skills!D20-IF(Skills!E20=TRUE,(Inputs!$B$32+1),0))),0)</f>
        <v/>
      </c>
      <c r="R1158">
        <f>IF(AND(Inputs!$B$39&lt;&gt;"pvp",Inputs!$B$44&gt;0),IF(Inputs!$B$44&lt;=0,0,(INT(Inputs!$B$44/IF(Inputs!$B$39="pvp",15,MAX(0.1,Skills!D20-IF(Skills!E20=TRUE,(Inputs!$B$32+1),0))))+1)),0)</f>
        <v/>
      </c>
      <c r="S1158">
        <f>IFERROR(O1158/N1158,0)</f>
        <v/>
      </c>
    </row>
    <row r="1159">
      <c r="A1159">
        <f>Skills!A21</f>
        <v/>
      </c>
      <c r="B1159">
        <f>Skills!B21</f>
        <v/>
      </c>
      <c r="C1159">
        <f>Inputs!$B$3&gt;=15</f>
        <v/>
      </c>
      <c r="D1159">
        <f>IF(Skills!C21=1,60+Inputs!$B$25+Inputs!$B$29,IF(Skills!C21=2,90+Inputs!$B$26+Inputs!$B$29,IF(Skills!C21=3,120+Inputs!$B$27+Inputs!$B$29,MAX(0,(Inputs!$B$3-100)*3)+Inputs!$B$28+Inputs!$B$29)))</f>
        <v/>
      </c>
      <c r="E1159">
        <f>INDEX(FactorTable!$B$2:$Y$301, MATCH(ROUND(MIN(300,MAX(1,D1159)),0), FactorTable!$A$2:$A$301,0), Skills!M21+1)</f>
        <v/>
      </c>
      <c r="F1159">
        <f>IF(Skills!N21=TRUE,(Skills!L21/10)*(E1159/1000),Skills!L21/10)+Skills!O21</f>
        <v/>
      </c>
      <c r="G1159">
        <f>Skills!G21*IF(Skills!H21&gt;0,Skills!I21/Skills!H21,1)</f>
        <v/>
      </c>
      <c r="H1159">
        <f>1-(1-Skills!J21/100)^Skills!K21</f>
        <v/>
      </c>
      <c r="I1159" t="inlineStr">
        <is>
          <t>1</t>
        </is>
      </c>
      <c r="J1159" t="inlineStr"/>
      <c r="K1159" t="inlineStr"/>
      <c r="L1159" t="inlineStr"/>
      <c r="M1159" t="inlineStr"/>
      <c r="N1159" t="inlineStr"/>
      <c r="O1159" t="n">
        <v>0</v>
      </c>
      <c r="P1159">
        <f>IF(B1183=0,0,O1159/B1183)</f>
        <v/>
      </c>
      <c r="Q1159">
        <f>IFERROR(1/IF(Inputs!$B$39="pvp",15,MAX(0.1,Skills!D21-IF(Skills!E21=TRUE,(Inputs!$B$32+1),0))),0)</f>
        <v/>
      </c>
      <c r="R1159">
        <f>IF(AND(Inputs!$B$39&lt;&gt;"pvp",Inputs!$B$44&gt;0),IF(Inputs!$B$44&lt;=0,0,(INT(Inputs!$B$44/IF(Inputs!$B$39="pvp",15,MAX(0.1,Skills!D21-IF(Skills!E21=TRUE,(Inputs!$B$32+1),0))))+1)),0)</f>
        <v/>
      </c>
      <c r="S1159">
        <f>IFERROR(O1159/N1159,0)</f>
        <v/>
      </c>
    </row>
    <row r="1160">
      <c r="A1160">
        <f>Skills!A22</f>
        <v/>
      </c>
      <c r="B1160">
        <f>Skills!B22</f>
        <v/>
      </c>
      <c r="C1160">
        <f>Inputs!$B$3&gt;=33</f>
        <v/>
      </c>
      <c r="D1160">
        <f>IF(Skills!C22=1,60+Inputs!$B$25+Inputs!$B$29,IF(Skills!C22=2,90+Inputs!$B$26+Inputs!$B$29,IF(Skills!C22=3,120+Inputs!$B$27+Inputs!$B$29,MAX(0,(Inputs!$B$3-100)*3)+Inputs!$B$28+Inputs!$B$29)))</f>
        <v/>
      </c>
      <c r="E1160">
        <f>INDEX(FactorTable!$B$2:$Y$301, MATCH(ROUND(MIN(300,MAX(1,D1160)),0), FactorTable!$A$2:$A$301,0), Skills!M22+1)</f>
        <v/>
      </c>
      <c r="F1160">
        <f>IF(Skills!N22=TRUE,(Skills!L22/10)*(E1160/1000),Skills!L22/10)+Skills!O22</f>
        <v/>
      </c>
      <c r="G1160">
        <f>Skills!G22*IF(Skills!H22&gt;0,Skills!I22/Skills!H22,1)</f>
        <v/>
      </c>
      <c r="H1160">
        <f>1-(1-Skills!J22/100)^Skills!K22</f>
        <v/>
      </c>
      <c r="I1160" t="inlineStr">
        <is>
          <t>1</t>
        </is>
      </c>
      <c r="J1160" t="inlineStr"/>
      <c r="K1160" t="inlineStr"/>
      <c r="L1160" t="inlineStr"/>
      <c r="M1160" t="inlineStr"/>
      <c r="N1160" t="inlineStr"/>
      <c r="O1160" t="n">
        <v>0</v>
      </c>
      <c r="P1160">
        <f>IF(B1183=0,0,O1160/B1183)</f>
        <v/>
      </c>
      <c r="Q1160" t="n">
        <v>0</v>
      </c>
      <c r="R1160" t="n">
        <v>0</v>
      </c>
      <c r="S1160">
        <f>IFERROR(O1160/N1160,0)</f>
        <v/>
      </c>
    </row>
    <row r="1161">
      <c r="A1161">
        <f>Skills!A23</f>
        <v/>
      </c>
      <c r="B1161">
        <f>Skills!B23</f>
        <v/>
      </c>
      <c r="C1161">
        <f>Inputs!$B$3&gt;=40</f>
        <v/>
      </c>
      <c r="D1161">
        <f>IF(Skills!C23=1,60+Inputs!$B$25+Inputs!$B$29,IF(Skills!C23=2,90+Inputs!$B$26+Inputs!$B$29,IF(Skills!C23=3,120+Inputs!$B$27+Inputs!$B$29,MAX(0,(Inputs!$B$3-100)*3)+Inputs!$B$28+Inputs!$B$29)))</f>
        <v/>
      </c>
      <c r="E1161">
        <f>INDEX(FactorTable!$B$2:$Y$301, MATCH(ROUND(MIN(300,MAX(1,D1161)),0), FactorTable!$A$2:$A$301,0), Skills!M23+1)</f>
        <v/>
      </c>
      <c r="F1161">
        <f>IF(Skills!N23=TRUE,(Skills!L23/10)*(E1161/1000),Skills!L23/10)+Skills!O23</f>
        <v/>
      </c>
      <c r="G1161">
        <f>Skills!G23*IF(Skills!H23&gt;0,Skills!I23/Skills!H23,1)</f>
        <v/>
      </c>
      <c r="H1161">
        <f>1-(1-Skills!J23/100)^Skills!K23</f>
        <v/>
      </c>
      <c r="I1161" t="inlineStr">
        <is>
          <t>1</t>
        </is>
      </c>
      <c r="J1161" t="inlineStr"/>
      <c r="K1161" t="inlineStr"/>
      <c r="L1161" t="inlineStr"/>
      <c r="M1161" t="inlineStr"/>
      <c r="N1161" t="inlineStr"/>
      <c r="O1161" t="n">
        <v>0</v>
      </c>
      <c r="P1161">
        <f>IF(B1183=0,0,O1161/B1183)</f>
        <v/>
      </c>
      <c r="Q1161" t="n">
        <v>0</v>
      </c>
      <c r="R1161" t="n">
        <v>0</v>
      </c>
      <c r="S1161">
        <f>IFERROR(O1161/N1161,0)</f>
        <v/>
      </c>
    </row>
    <row r="1162">
      <c r="A1162">
        <f>Skills!A24</f>
        <v/>
      </c>
      <c r="B1162">
        <f>Skills!B24</f>
        <v/>
      </c>
      <c r="C1162">
        <f>Inputs!$B$3&gt;=43</f>
        <v/>
      </c>
      <c r="D1162">
        <f>IF(Skills!C24=1,60+Inputs!$B$25+Inputs!$B$29,IF(Skills!C24=2,90+Inputs!$B$26+Inputs!$B$29,IF(Skills!C24=3,120+Inputs!$B$27+Inputs!$B$29,MAX(0,(Inputs!$B$3-100)*3)+Inputs!$B$28+Inputs!$B$29)))</f>
        <v/>
      </c>
      <c r="E1162">
        <f>INDEX(FactorTable!$B$2:$Y$301, MATCH(ROUND(MIN(300,MAX(1,D1162)),0), FactorTable!$A$2:$A$301,0), Skills!M24+1)</f>
        <v/>
      </c>
      <c r="F1162">
        <f>IF(Skills!N24=TRUE,(Skills!L24/10)*(E1162/1000),Skills!L24/10)+Skills!O24</f>
        <v/>
      </c>
      <c r="G1162">
        <f>Skills!G24*IF(Skills!H24&gt;0,Skills!I24/Skills!H24,1)</f>
        <v/>
      </c>
      <c r="H1162">
        <f>1-(1-Skills!J24/100)^Skills!K24</f>
        <v/>
      </c>
      <c r="I1162" t="inlineStr">
        <is>
          <t>1</t>
        </is>
      </c>
      <c r="J1162" t="inlineStr"/>
      <c r="K1162" t="inlineStr"/>
      <c r="L1162" t="inlineStr"/>
      <c r="M1162" t="inlineStr"/>
      <c r="N1162" t="inlineStr"/>
      <c r="O1162" t="n">
        <v>0</v>
      </c>
      <c r="P1162">
        <f>IF(B1183=0,0,O1162/B1183)</f>
        <v/>
      </c>
      <c r="Q1162" t="n">
        <v>0</v>
      </c>
      <c r="R1162" t="n">
        <v>0</v>
      </c>
      <c r="S1162">
        <f>IFERROR(O1162/N1162,0)</f>
        <v/>
      </c>
    </row>
    <row r="1163">
      <c r="A1163">
        <f>Skills!A25</f>
        <v/>
      </c>
      <c r="B1163">
        <f>Skills!B25</f>
        <v/>
      </c>
      <c r="C1163">
        <f>Inputs!$B$3&gt;=50</f>
        <v/>
      </c>
      <c r="D1163">
        <f>IF(Skills!C25=1,60+Inputs!$B$25+Inputs!$B$29,IF(Skills!C25=2,90+Inputs!$B$26+Inputs!$B$29,IF(Skills!C25=3,120+Inputs!$B$27+Inputs!$B$29,MAX(0,(Inputs!$B$3-100)*3)+Inputs!$B$28+Inputs!$B$29)))</f>
        <v/>
      </c>
      <c r="E1163">
        <f>INDEX(FactorTable!$B$2:$Y$301, MATCH(ROUND(MIN(300,MAX(1,D1163)),0), FactorTable!$A$2:$A$301,0), Skills!M25+1)</f>
        <v/>
      </c>
      <c r="F1163">
        <f>IF(Skills!N25=TRUE,(Skills!L25/10)*(E1163/1000),Skills!L25/10)+Skills!O25</f>
        <v/>
      </c>
      <c r="G1163">
        <f>Skills!G25*IF(Skills!H25&gt;0,Skills!I25/Skills!H25,1)</f>
        <v/>
      </c>
      <c r="H1163">
        <f>1-(1-Skills!J25/100)^Skills!K25</f>
        <v/>
      </c>
      <c r="I1163" t="inlineStr">
        <is>
          <t>1</t>
        </is>
      </c>
      <c r="J1163" t="inlineStr"/>
      <c r="K1163" t="inlineStr"/>
      <c r="L1163" t="inlineStr"/>
      <c r="M1163" t="inlineStr"/>
      <c r="N1163" t="inlineStr"/>
      <c r="O1163" t="n">
        <v>0</v>
      </c>
      <c r="P1163">
        <f>IF(B1183=0,0,O1163/B1183)</f>
        <v/>
      </c>
      <c r="Q1163" t="n">
        <v>0</v>
      </c>
      <c r="R1163" t="n">
        <v>0</v>
      </c>
      <c r="S1163">
        <f>IFERROR(O1163/N1163,0)</f>
        <v/>
      </c>
    </row>
    <row r="1164">
      <c r="A1164">
        <f>Skills!A26</f>
        <v/>
      </c>
      <c r="B1164">
        <f>Skills!B26</f>
        <v/>
      </c>
      <c r="C1164">
        <f>Inputs!$B$3&gt;=50</f>
        <v/>
      </c>
      <c r="D1164">
        <f>IF(Skills!C26=1,60+Inputs!$B$25+Inputs!$B$29,IF(Skills!C26=2,90+Inputs!$B$26+Inputs!$B$29,IF(Skills!C26=3,120+Inputs!$B$27+Inputs!$B$29,MAX(0,(Inputs!$B$3-100)*3)+Inputs!$B$28+Inputs!$B$29)))</f>
        <v/>
      </c>
      <c r="E1164">
        <f>INDEX(FactorTable!$B$2:$Y$301, MATCH(ROUND(MIN(300,MAX(1,D1164)),0), FactorTable!$A$2:$A$301,0), Skills!M26+1)</f>
        <v/>
      </c>
      <c r="F1164">
        <f>IF(Skills!N26=TRUE,(Skills!L26/10)*(E1164/1000),Skills!L26/10)+Skills!O26</f>
        <v/>
      </c>
      <c r="G1164">
        <f>Skills!G26*IF(Skills!H26&gt;0,Skills!I26/Skills!H26,1)</f>
        <v/>
      </c>
      <c r="H1164">
        <f>1-(1-Skills!J26/100)^Skills!K26</f>
        <v/>
      </c>
      <c r="I1164" t="inlineStr">
        <is>
          <t>1</t>
        </is>
      </c>
      <c r="J1164" t="inlineStr"/>
      <c r="K1164" t="inlineStr"/>
      <c r="L1164" t="inlineStr"/>
      <c r="M1164" t="inlineStr"/>
      <c r="N1164" t="inlineStr"/>
      <c r="O1164" t="n">
        <v>0</v>
      </c>
      <c r="P1164">
        <f>IF(B1183=0,0,O1164/B1183)</f>
        <v/>
      </c>
      <c r="Q1164" t="n">
        <v>0</v>
      </c>
      <c r="R1164" t="n">
        <v>0</v>
      </c>
      <c r="S1164">
        <f>IFERROR(O1164/N1164,0)</f>
        <v/>
      </c>
    </row>
    <row r="1165">
      <c r="A1165">
        <f>Skills!A27</f>
        <v/>
      </c>
      <c r="B1165">
        <f>Skills!B27</f>
        <v/>
      </c>
      <c r="C1165">
        <f>Inputs!$B$3&gt;=38</f>
        <v/>
      </c>
      <c r="D1165">
        <f>IF(Skills!C27=1,60+Inputs!$B$25+Inputs!$B$29,IF(Skills!C27=2,90+Inputs!$B$26+Inputs!$B$29,IF(Skills!C27=3,120+Inputs!$B$27+Inputs!$B$29,MAX(0,(Inputs!$B$3-100)*3)+Inputs!$B$28+Inputs!$B$29)))</f>
        <v/>
      </c>
      <c r="E1165">
        <f>INDEX(FactorTable!$B$2:$Y$301, MATCH(ROUND(MIN(300,MAX(1,D1165)),0), FactorTable!$A$2:$A$301,0), Skills!M27+1)</f>
        <v/>
      </c>
      <c r="F1165">
        <f>IF(Skills!N27=TRUE,(Skills!L27/10)*(E1165/1000),Skills!L27/10)+Skills!O27</f>
        <v/>
      </c>
      <c r="G1165">
        <f>Skills!G27*IF(Skills!H27&gt;0,Skills!I27/Skills!H27,1)</f>
        <v/>
      </c>
      <c r="H1165">
        <f>1-(1-Skills!J27/100)^Skills!K27</f>
        <v/>
      </c>
      <c r="I1165" t="inlineStr">
        <is>
          <t>1</t>
        </is>
      </c>
      <c r="J1165" t="inlineStr"/>
      <c r="K1165" t="inlineStr"/>
      <c r="L1165" t="inlineStr"/>
      <c r="M1165" t="inlineStr"/>
      <c r="N1165" t="inlineStr"/>
      <c r="O1165" t="n">
        <v>0</v>
      </c>
      <c r="P1165">
        <f>IF(B1183=0,0,O1165/B1183)</f>
        <v/>
      </c>
      <c r="Q1165" t="n">
        <v>0</v>
      </c>
      <c r="R1165" t="n">
        <v>0</v>
      </c>
      <c r="S1165">
        <f>IFERROR(O1165/N1165,0)</f>
        <v/>
      </c>
    </row>
    <row r="1166">
      <c r="A1166">
        <f>Skills!A28</f>
        <v/>
      </c>
      <c r="B1166">
        <f>Skills!B28</f>
        <v/>
      </c>
      <c r="C1166">
        <f>Inputs!$B$3&gt;=120</f>
        <v/>
      </c>
      <c r="D1166">
        <f>IF(Skills!C28=1,60+Inputs!$B$25+Inputs!$B$29,IF(Skills!C28=2,90+Inputs!$B$26+Inputs!$B$29,IF(Skills!C28=3,120+Inputs!$B$27+Inputs!$B$29,MAX(0,(Inputs!$B$3-100)*3)+Inputs!$B$28+Inputs!$B$29)))</f>
        <v/>
      </c>
      <c r="E1166">
        <f>INDEX(FactorTable!$B$2:$Y$301, MATCH(ROUND(MIN(300,MAX(1,D1166)),0), FactorTable!$A$2:$A$301,0), Skills!M28+1)</f>
        <v/>
      </c>
      <c r="F1166">
        <f>IF(Skills!N28=TRUE,(Skills!L28/10)*(E1166/1000),Skills!L28/10)+Skills!O28</f>
        <v/>
      </c>
      <c r="G1166">
        <f>Skills!G28*IF(Skills!H28&gt;0,Skills!I28/Skills!H28,1)</f>
        <v/>
      </c>
      <c r="H1166">
        <f>1-(1-Skills!J28/100)^Skills!K28</f>
        <v/>
      </c>
      <c r="I1166" t="inlineStr">
        <is>
          <t>1</t>
        </is>
      </c>
      <c r="J1166" t="inlineStr"/>
      <c r="K1166" t="inlineStr"/>
      <c r="L1166" t="inlineStr"/>
      <c r="M1166" t="inlineStr"/>
      <c r="N1166" t="inlineStr"/>
      <c r="O1166" t="n">
        <v>0</v>
      </c>
      <c r="P1166">
        <f>IF(B1183=0,0,O1166/B1183)</f>
        <v/>
      </c>
      <c r="Q1166" t="n">
        <v>0</v>
      </c>
      <c r="R1166" t="n">
        <v>0</v>
      </c>
      <c r="S1166">
        <f>IFERROR(O1166/N1166,0)</f>
        <v/>
      </c>
    </row>
    <row r="1167">
      <c r="A1167">
        <f>Skills!A29</f>
        <v/>
      </c>
      <c r="B1167">
        <f>Skills!B29</f>
        <v/>
      </c>
      <c r="C1167">
        <f>Inputs!$B$3&gt;=120</f>
        <v/>
      </c>
      <c r="D1167">
        <f>IF(Skills!C29=1,60+Inputs!$B$25+Inputs!$B$29,IF(Skills!C29=2,90+Inputs!$B$26+Inputs!$B$29,IF(Skills!C29=3,120+Inputs!$B$27+Inputs!$B$29,MAX(0,(Inputs!$B$3-100)*3)+Inputs!$B$28+Inputs!$B$29)))</f>
        <v/>
      </c>
      <c r="E1167">
        <f>INDEX(FactorTable!$B$2:$Y$301, MATCH(ROUND(MIN(300,MAX(1,D1167)),0), FactorTable!$A$2:$A$301,0), Skills!M29+1)</f>
        <v/>
      </c>
      <c r="F1167">
        <f>IF(Skills!N29=TRUE,(Skills!L29/10)*(E1167/1000),Skills!L29/10)+Skills!O29</f>
        <v/>
      </c>
      <c r="G1167">
        <f>Skills!G29*IF(Skills!H29&gt;0,Skills!I29/Skills!H29,1)</f>
        <v/>
      </c>
      <c r="H1167">
        <f>1-(1-Skills!J29/100)^Skills!K29</f>
        <v/>
      </c>
      <c r="I1167" t="inlineStr">
        <is>
          <t>1</t>
        </is>
      </c>
      <c r="J1167" t="inlineStr"/>
      <c r="K1167" t="inlineStr"/>
      <c r="L1167" t="inlineStr"/>
      <c r="M1167" t="inlineStr"/>
      <c r="N1167" t="inlineStr"/>
      <c r="O1167" t="n">
        <v>0</v>
      </c>
      <c r="P1167">
        <f>IF(B1183=0,0,O1167/B1183)</f>
        <v/>
      </c>
      <c r="Q1167" t="n">
        <v>0</v>
      </c>
      <c r="R1167" t="n">
        <v>0</v>
      </c>
      <c r="S1167">
        <f>IFERROR(O1167/N1167,0)</f>
        <v/>
      </c>
    </row>
    <row r="1168">
      <c r="A1168">
        <f>Skills!A30</f>
        <v/>
      </c>
      <c r="B1168">
        <f>Skills!B30</f>
        <v/>
      </c>
      <c r="C1168">
        <f>Inputs!$B$3&gt;=125</f>
        <v/>
      </c>
      <c r="D1168">
        <f>IF(Skills!C30=1,60+Inputs!$B$25+Inputs!$B$29,IF(Skills!C30=2,90+Inputs!$B$26+Inputs!$B$29,IF(Skills!C30=3,120+Inputs!$B$27+Inputs!$B$29,MAX(0,(Inputs!$B$3-100)*3)+Inputs!$B$28+Inputs!$B$29)))</f>
        <v/>
      </c>
      <c r="E1168">
        <f>INDEX(FactorTable!$B$2:$Y$301, MATCH(ROUND(MIN(300,MAX(1,D1168)),0), FactorTable!$A$2:$A$301,0), Skills!M30+1)</f>
        <v/>
      </c>
      <c r="F1168">
        <f>IF(Skills!N30=TRUE,(Skills!L30/10)*(E1168/1000),Skills!L30/10)+Skills!O30</f>
        <v/>
      </c>
      <c r="G1168">
        <f>Skills!G30*IF(Skills!H30&gt;0,Skills!I30/Skills!H30,1)</f>
        <v/>
      </c>
      <c r="H1168">
        <f>1-(1-Skills!J30/100)^Skills!K30</f>
        <v/>
      </c>
      <c r="I1168" t="inlineStr">
        <is>
          <t>1</t>
        </is>
      </c>
      <c r="J1168" t="inlineStr"/>
      <c r="K1168" t="inlineStr"/>
      <c r="L1168" t="inlineStr"/>
      <c r="M1168" t="inlineStr"/>
      <c r="N1168" t="inlineStr"/>
      <c r="O1168" t="n">
        <v>0</v>
      </c>
      <c r="P1168">
        <f>IF(B1183=0,0,O1168/B1183)</f>
        <v/>
      </c>
      <c r="Q1168" t="n">
        <v>0</v>
      </c>
      <c r="R1168" t="n">
        <v>0</v>
      </c>
      <c r="S1168">
        <f>IFERROR(O1168/N1168,0)</f>
        <v/>
      </c>
    </row>
    <row r="1170">
      <c r="A1170" t="inlineStr">
        <is>
          <t>Average Buff Multiplier</t>
        </is>
      </c>
      <c r="B1170">
        <f>(1+(((C1159=TRUE)*F1159*IF(AND(Inputs!$B$39&lt;&gt;"pvp",Inputs!$B$44&gt;0),(((R1159-1)*(Skills!Y21*(1+Inputs!$B$34/100))+MIN((Skills!Y21*(1+Inputs!$B$34/100)),MAX(0,Inputs!$B$44-((R1159-1)*Skills!D21))))/Inputs!$B$44),IF(Inputs!$B$39="pvp",MIN((Skills!Y21*(1+Inputs!$B$34/100)),15)/15,(Skills!Y21*(1+Inputs!$B$34/100))/Skills!D21)))+((C1161=TRUE)*(F1161-Calc!F23))+((C1155=TRUE)*(F1155-Calc!F17)))/100)*(1+((C1148=TRUE)*F1148*IF(AND(Inputs!$B$39&lt;&gt;"pvp",Inputs!$B$44&gt;0),(((R1148-1)*(Skills!Y10*(1+Inputs!$B$34/100))+MIN((Skills!Y10*(1+Inputs!$B$34/100)),MAX(0,Inputs!$B$44-((R1148-1)*Skills!D10))))/Inputs!$B$44),IF(Inputs!$B$39="pvp",MIN((Skills!Y10*(1+Inputs!$B$34/100)),15)/15,(Skills!Y10*(1+Inputs!$B$34/100))/Skills!D10)))/100)*(1+((C1153=TRUE)*F1153*IF(AND(Inputs!$B$39&lt;&gt;"pvp",Inputs!$B$44&gt;0),(((R1153-1)*(Skills!Y15*(1+Inputs!$B$34/100))+MIN((Skills!Y15*(1+Inputs!$B$34/100)),MAX(0,Inputs!$B$44-((R1153-1)*Skills!D15))))/Inputs!$B$44),IF(Inputs!$B$39="pvp",MIN((Skills!Y15*(1+Inputs!$B$34/100)),15)/15,(Skills!Y15*(1+Inputs!$B$34/100))/Skills!D15)))/100)</f>
        <v/>
      </c>
    </row>
    <row r="1171">
      <c r="A1171" t="inlineStr">
        <is>
          <t>Global Crit Rate Bonus %</t>
        </is>
      </c>
      <c r="B1171">
        <f>((C1158=TRUE)*F1158*IF(AND(Inputs!$B$39&lt;&gt;"pvp",Inputs!$B$44&gt;0),(((R1158-1)*(Skills!Y20*(1+Inputs!$B$34/100))+MIN((Skills!Y20*(1+Inputs!$B$34/100)),MAX(0,Inputs!$B$44-((R1158-1)*Skills!D20))))/Inputs!$B$44),IF(Inputs!$B$39="pvp",MIN((Skills!Y20*(1+Inputs!$B$34/100)),15)/15,(Skills!Y20*(1+Inputs!$B$34/100))/Skills!D20)))</f>
        <v/>
      </c>
    </row>
    <row r="1172">
      <c r="A1172" t="inlineStr">
        <is>
          <t>Global Monster Damage-Taken Bonus %</t>
        </is>
      </c>
      <c r="B1172">
        <f>IF(Inputs!$B$3&gt;=82,15,0)</f>
        <v/>
      </c>
    </row>
    <row r="1173">
      <c r="A1173" t="inlineStr">
        <is>
          <t>Shadow Partner Average Multiplier</t>
        </is>
      </c>
      <c r="B1173">
        <f>1+((C1145=TRUE)*F1145*(1+3.3333333333333335*IF(C1156=TRUE,F1156,0)/100)*I1145*Skills!J7/100)/100</f>
        <v/>
      </c>
    </row>
    <row r="1174">
      <c r="A1174" t="inlineStr">
        <is>
          <t>Attack Speed Buff Bonus %</t>
        </is>
      </c>
      <c r="B1174">
        <f>((C1157=TRUE)*F1157*IF(AND(Inputs!$B$39&lt;&gt;"pvp",Inputs!$B$44&gt;0),(((R1157-1)*(Skills!Y19*(1+Inputs!$B$34/100))+MIN((Skills!Y19*(1+Inputs!$B$34/100)),MAX(0,Inputs!$B$44-((R1157-1)*Skills!D19))))/Inputs!$B$44),IF(Inputs!$B$39="pvp",MIN((Skills!Y19*(1+Inputs!$B$34/100)),15)/15,(Skills!Y19*(1+Inputs!$B$34/100))/Skills!D19)))+((C1141=TRUE)*F1141*3)</f>
        <v/>
      </c>
    </row>
    <row r="1175">
      <c r="A1175" t="inlineStr">
        <is>
          <t>Actions Per Second</t>
        </is>
      </c>
      <c r="B1175">
        <f>1+MIN(150,150*(1-(1-(Inputs!$B$11+((C1160=TRUE)*(F1160-Calc!F22)))/150)*(1-B1174/150)))/100</f>
        <v/>
      </c>
    </row>
    <row r="1176">
      <c r="A1176" t="inlineStr">
        <is>
          <t>Skill + Buff Cast Rate</t>
        </is>
      </c>
      <c r="B1176">
        <f>IF(AND(Inputs!$B$39&lt;&gt;"pvp",Inputs!$B$44&gt;0),SUMPRODUCT((Skills!E2:E30=TRUE)*(C1140:C1168=TRUE)*R1140:R1168*Skills!F2:F30)/Inputs!$B$44,SUMPRODUCT((Skills!E2:E30=TRUE)*(C1140:C1168=TRUE)*Q1140:Q1168*Skills!F2:F30))</f>
        <v/>
      </c>
    </row>
    <row r="1177">
      <c r="A1177" t="inlineStr">
        <is>
          <t>Cruel Stab Casts Per Second</t>
        </is>
      </c>
      <c r="B1177">
        <f>MAX(0,B1175-B1176)</f>
        <v/>
      </c>
    </row>
    <row r="1178">
      <c r="A1178" t="inlineStr">
        <is>
          <t>Global Critical Damage Bonus % (Smokescreen Mastery Lv.113)</t>
        </is>
      </c>
      <c r="B1178">
        <f>IF(Inputs!$B$3&gt;=113,30,0)*IF(AND(Inputs!$B$39&lt;&gt;"pvp",Inputs!$B$44&gt;0),(((R1153-1)*(Skills!Y15*(1+Inputs!$B$34/100))+MIN((Skills!Y15*(1+Inputs!$B$34/100)),MAX(0,Inputs!$B$44-((R1153-1)*Skills!D15))))/Inputs!$B$44),IF(Inputs!$B$39="pvp",MIN((Skills!Y15*(1+Inputs!$B$34/100)),15)/15,(Skills!Y15*(1+Inputs!$B$34/100))/Skills!D15))</f>
        <v/>
      </c>
    </row>
    <row r="1179">
      <c r="A1179" t="inlineStr">
        <is>
          <t>Meso Explosion average stack count</t>
        </is>
      </c>
      <c r="B1179">
        <f>MIN(10,0.5*B1175*Skills!D4)</f>
        <v/>
      </c>
    </row>
    <row r="1180">
      <c r="A1180" t="inlineStr">
        <is>
          <t>Blood Money average stack count</t>
        </is>
      </c>
      <c r="B1180">
        <f>MIN(5,0.25*B1175*Skills!D4)</f>
        <v/>
      </c>
    </row>
    <row r="1181">
      <c r="A1181" t="inlineStr">
        <is>
          <t>Assassinate Murderous Intent Multiplier</t>
        </is>
      </c>
      <c r="B1181">
        <f>1+IFERROR(MIN(1,Q1152*2/Q1149),0)</f>
        <v/>
      </c>
    </row>
    <row r="1182">
      <c r="A1182" t="inlineStr">
        <is>
          <t>Buff-Casting Startup Delay (s, fixed-duration only)</t>
        </is>
      </c>
      <c r="B1182">
        <f>IF(AND(Inputs!$B$39&lt;&gt;"pvp",Inputs!$B$44&gt;0),SUMPRODUCT((Skills!Y2:Y30&gt;0)*(Skills!E2:E30=TRUE)*(C1140:C1168=TRUE))/B1175,0)</f>
        <v/>
      </c>
    </row>
    <row r="1183">
      <c r="A1183" s="5" t="inlineStr">
        <is>
          <t>TOTAL DPS</t>
        </is>
      </c>
      <c r="B1183" s="5">
        <f>SUM(O1140:O1168)</f>
        <v/>
      </c>
    </row>
    <row r="1186">
      <c r="A1186" s="5" t="inlineStr">
        <is>
          <t>Stat: Basic Attack Target Increase (flat)</t>
        </is>
      </c>
    </row>
    <row r="1187">
      <c r="A1187" s="9" t="inlineStr">
        <is>
          <t>Key</t>
        </is>
      </c>
      <c r="B1187" s="9" t="inlineStr">
        <is>
          <t>Name</t>
        </is>
      </c>
      <c r="C1187" s="9" t="inlineStr">
        <is>
          <t>Unlocked</t>
        </is>
      </c>
      <c r="D1187" s="9" t="inlineStr">
        <is>
          <t>InputLevel</t>
        </is>
      </c>
      <c r="E1187" s="9" t="inlineStr">
        <is>
          <t>Factor</t>
        </is>
      </c>
      <c r="F1187" s="9" t="inlineStr">
        <is>
          <t>CoefficientPercent</t>
        </is>
      </c>
      <c r="G1187" s="9" t="inlineStr">
        <is>
          <t>EffectiveHits</t>
        </is>
      </c>
      <c r="H1187" s="9" t="inlineStr">
        <is>
          <t>ProcProbability</t>
        </is>
      </c>
      <c r="I1187" s="9" t="inlineStr">
        <is>
          <t>MapleHeroMultiplier</t>
        </is>
      </c>
      <c r="J1187" s="9" t="inlineStr">
        <is>
          <t>BaseDamage</t>
        </is>
      </c>
      <c r="K1187" s="9" t="inlineStr">
        <is>
          <t>BaseHitDamage</t>
        </is>
      </c>
      <c r="L1187" s="9" t="inlineStr">
        <is>
          <t>NonCritAvg</t>
        </is>
      </c>
      <c r="M1187" s="9" t="inlineStr">
        <is>
          <t>CritAvg</t>
        </is>
      </c>
      <c r="N1187" s="9" t="inlineStr">
        <is>
          <t>ExpectedDamage(perHit)</t>
        </is>
      </c>
      <c r="O1187" s="9" t="inlineStr">
        <is>
          <t>DPS</t>
        </is>
      </c>
      <c r="P1187" s="9" t="inlineStr">
        <is>
          <t>% of Total</t>
        </is>
      </c>
      <c r="Q1187" s="9" t="inlineStr">
        <is>
          <t>InvCooldown</t>
        </is>
      </c>
      <c r="R1187" s="9" t="inlineStr">
        <is>
          <t>CastsInFight</t>
        </is>
      </c>
      <c r="S1187" s="9" t="inlineStr">
        <is>
          <t>HitRate(perSec)</t>
        </is>
      </c>
      <c r="U1187" t="inlineStr">
        <is>
          <t>helpers</t>
        </is>
      </c>
    </row>
    <row r="1188">
      <c r="A1188">
        <f>Skills!A2</f>
        <v/>
      </c>
      <c r="B1188">
        <f>Skills!B2</f>
        <v/>
      </c>
      <c r="C1188">
        <f>Inputs!$B$3&gt;=100</f>
        <v/>
      </c>
      <c r="D1188" t="inlineStr"/>
      <c r="E1188" t="inlineStr"/>
      <c r="F1188">
        <f>U1190+Skills!O2</f>
        <v/>
      </c>
      <c r="G1188">
        <f>Skills!G2*IF(Skills!H2&gt;0,Skills!I2/Skills!H2,1)</f>
        <v/>
      </c>
      <c r="H1188">
        <f>1-(1-Skills!J2/100)^Skills!K2</f>
        <v/>
      </c>
      <c r="I1188" t="inlineStr">
        <is>
          <t>1</t>
        </is>
      </c>
      <c r="J1188">
        <f>((Inputs!$B$6*(1+Inputs!$B$7/100))+(((Inputs!$B$12*(1+Inputs!$B$13/100))-(Inputs!$B$12*(1+Inputs!$B$13/100)))+0.25*(Inputs!$B$14-Inputs!$B$14))*(1+Inputs!$B$7/100))*(F1188/100)</f>
        <v/>
      </c>
      <c r="K1188">
        <f>J1188*(1+((Inputs!$B$12*(1+Inputs!$B$13/100))*0.01+Inputs!$B$14*0.0025)/100)*(1+Inputs!$B$15/100)*(1+IF(Inputs!$B$39="pvp",0,(1-Summary!$B$55)*(Inputs!$B$20+0+Skills!P2+B1220)+Summary!$B$55*(Inputs!$B$21+Skills!Q2+B1220))/100)*(1+Inputs!$B$16/100)*(5000/(6000+Inputs!$B$43*(1-Inputs!$B$19/100)))*(1+(Inputs!$B$24+((C1216=TRUE)*(F1216-Calc!F30)))/100)*(1+(IF(Skills!A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1188)</f>
        <v/>
      </c>
      <c r="L1188">
        <f>K1188*(MIN(Inputs!$B$22+((C1210=TRUE)*(F1210-Calc!F24)),Inputs!$B$23+((C1215=TRUE)*(F1215-Calc!F29)))/100+(Inputs!$B$23+((C1215=TRUE)*(F1215-Calc!F29)))/100)/2</f>
        <v/>
      </c>
      <c r="M1188">
        <f>L1188*(1+(Inputs!$B$10+((C1212=TRUE)*(F1212-Calc!F26))+B1226)/100)</f>
        <v/>
      </c>
      <c r="N1188">
        <f>L1188*(1-MIN((Inputs!$B$9+((C1211=TRUE)*(F1211-Calc!F25))+B1219),100)/100)+M1188*(MIN((Inputs!$B$9+((C1211=TRUE)*(F1211-Calc!F25))+B1219),100)/100)</f>
        <v/>
      </c>
      <c r="O1188">
        <f>IF(C1188,Skills!G2*N1188*B1225*IF(Inputs!$B$39="pvp",1,(1-Summary!$B$55)*(1)+Summary!$B$55*(MIN((6+(Inputs!$B$33+1)),Inputs!$B$37))),0)</f>
        <v/>
      </c>
      <c r="P1188">
        <f>IF(B1231=0,0,O1188/B1231)</f>
        <v/>
      </c>
      <c r="Q1188" t="n">
        <v>0</v>
      </c>
      <c r="R1188" t="n">
        <v>0</v>
      </c>
      <c r="S1188">
        <f>IFERROR(O1188/N1188,0)</f>
        <v/>
      </c>
      <c r="U1188">
        <f>MAX(0,(Inputs!$B$3-100)*3)+Inputs!$B$28+Inputs!$B$29</f>
        <v/>
      </c>
    </row>
    <row r="1189">
      <c r="A1189">
        <f>Skills!A3</f>
        <v/>
      </c>
      <c r="B1189">
        <f>Skills!B3</f>
        <v/>
      </c>
      <c r="C1189">
        <f>Inputs!$B$3&gt;=35</f>
        <v/>
      </c>
      <c r="D1189">
        <f>IF(Skills!C3=1,60+Inputs!$B$25+Inputs!$B$29,IF(Skills!C3=2,90+Inputs!$B$26+Inputs!$B$29,IF(Skills!C3=3,120+Inputs!$B$27+Inputs!$B$29,MAX(0,(Inputs!$B$3-100)*3)+Inputs!$B$28+Inputs!$B$29)))</f>
        <v/>
      </c>
      <c r="E1189">
        <f>INDEX(FactorTable!$B$2:$Y$301, MATCH(ROUND(MIN(300,MAX(1,D1189)),0), FactorTable!$A$2:$A$301,0), Skills!M3+1)</f>
        <v/>
      </c>
      <c r="F1189">
        <f>IF(Skills!N3=TRUE,(Skills!L3/10)*(E1189/1000),Skills!L3/10)+Skills!O3</f>
        <v/>
      </c>
      <c r="G1189">
        <f>Skills!G3*IF(Skills!H3&gt;0,Skills!I3/Skills!H3,1)</f>
        <v/>
      </c>
      <c r="H1189">
        <f>1-(1-Skills!J3/100)^Skills!K3</f>
        <v/>
      </c>
      <c r="I1189" t="inlineStr">
        <is>
          <t>1</t>
        </is>
      </c>
      <c r="J1189" t="inlineStr"/>
      <c r="K1189" t="inlineStr"/>
      <c r="L1189" t="inlineStr"/>
      <c r="M1189" t="inlineStr"/>
      <c r="N1189" t="inlineStr"/>
      <c r="O1189" t="n">
        <v>0</v>
      </c>
      <c r="P1189">
        <f>IF(B1231=0,0,O1189/B1231)</f>
        <v/>
      </c>
      <c r="Q1189" t="n">
        <v>0</v>
      </c>
      <c r="R1189" t="n">
        <v>0</v>
      </c>
      <c r="S1189">
        <f>IFERROR(O1189/N1189,0)</f>
        <v/>
      </c>
      <c r="U1189">
        <f>INDEX(FactorTable!$B$2:$Y$301, MATCH(ROUND(MIN(300,MAX(1,U1188)),0), FactorTable!$A$2:$A$301,0), 22)</f>
        <v/>
      </c>
    </row>
    <row r="1190">
      <c r="A1190">
        <f>Skills!A4</f>
        <v/>
      </c>
      <c r="B1190">
        <f>Skills!B4</f>
        <v/>
      </c>
      <c r="C1190">
        <f>Inputs!$B$3&gt;=66</f>
        <v/>
      </c>
      <c r="D1190">
        <f>IF(Skills!C4=1,60+Inputs!$B$25+Inputs!$B$29,IF(Skills!C4=2,90+Inputs!$B$26+Inputs!$B$29,IF(Skills!C4=3,120+Inputs!$B$27+Inputs!$B$29,MAX(0,(Inputs!$B$3-100)*3)+Inputs!$B$28+Inputs!$B$29)))</f>
        <v/>
      </c>
      <c r="E1190">
        <f>INDEX(FactorTable!$B$2:$Y$301, MATCH(ROUND(MIN(300,MAX(1,D1190)),0), FactorTable!$A$2:$A$301,0), Skills!M4+1)</f>
        <v/>
      </c>
      <c r="F1190">
        <f>IF(Skills!N4=TRUE,(Skills!L4/10)*(E1190/1000),Skills!L4/10)+Skills!O4</f>
        <v/>
      </c>
      <c r="G1190">
        <f>Skills!G4*IF(Skills!H4&gt;0,Skills!I4/Skills!H4,1)</f>
        <v/>
      </c>
      <c r="H1190">
        <f>1-(1-Skills!J4/100)^Skills!K4</f>
        <v/>
      </c>
      <c r="I1190" t="inlineStr">
        <is>
          <t>1</t>
        </is>
      </c>
      <c r="J1190">
        <f>((Inputs!$B$6*(1+Inputs!$B$7/100))+(((Inputs!$B$12*(1+Inputs!$B$13/100))-(Inputs!$B$12*(1+Inputs!$B$13/100)))+0.25*(Inputs!$B$14-Inputs!$B$14))*(1+Inputs!$B$7/100))*(F1190/100)</f>
        <v/>
      </c>
      <c r="K1190">
        <f>J1190*(1+((Inputs!$B$12*(1+Inputs!$B$13/100))*0.01+Inputs!$B$14*0.0025)/100)*(1+Inputs!$B$15/100)*(1+IF(Inputs!$B$39="pvp",0,(1-Summary!$B$55)*(Inputs!$B$20+0+Skills!P4+B1220)+Summary!$B$55*(Inputs!$B$21+Skills!Q4+B1220))/100)*(1+Inputs!$B$16/100)*(5000/(6000+Inputs!$B$43*(1-Inputs!$B$19/100)))*(1+(Inputs!$B$24+((C1216=TRUE)*(F1216-Calc!F30)))/100)*(1+(IF(Skills!A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1190)</f>
        <v/>
      </c>
      <c r="L1190">
        <f>K1190*(MIN(Inputs!$B$22+((C1210=TRUE)*(F1210-Calc!F24)),Inputs!$B$23+((C1215=TRUE)*(F1215-Calc!F29)))/100+(Inputs!$B$23+((C1215=TRUE)*(F1215-Calc!F29)))/100)/2</f>
        <v/>
      </c>
      <c r="M1190">
        <f>L1190*(1+(Inputs!$B$10+((C1212=TRUE)*(F1212-Calc!F26))+B1226)/100)</f>
        <v/>
      </c>
      <c r="N1190">
        <f>L1190*(1-MIN((Inputs!$B$9+((C1211=TRUE)*(F1211-Calc!F25))+B1219),100)/100)+M1190*(MIN((Inputs!$B$9+((C1211=TRUE)*(F1211-Calc!F25))+B1219),100)/100)</f>
        <v/>
      </c>
      <c r="O1190">
        <f>IF(C1190,H1190*N1190*IF(AND(Inputs!$B$39&lt;&gt;"pvp",Inputs!$B$44&gt;0),((Skills!G4*((R1190-1)*IF(Skills!H4&gt;0,Skills!I4/Skills!H4,1)+IF(Skills!H4&gt;0,MIN(Skills!I4,MAX(0,MAX(0,Inputs!$B$44-B1230)-((R1190-1)*IF(Inputs!$B$39="pvp",15,MAX(0.1,Skills!D4-IF(Skills!E4=TRUE,Inputs!$B$32,0))))))/Skills!H4,1)))/Inputs!$B$44),G1190*Q1190)*IF(Inputs!$B$39="pvp",1,(1-Summary!$B$55)*(1)+Summary!$B$55*(MIN(MIN(10,0.5*B1223*Skills!D4),Inputs!$B$37))),0)</f>
        <v/>
      </c>
      <c r="P1190">
        <f>IF(B1231=0,0,O1190/B1231)</f>
        <v/>
      </c>
      <c r="Q1190">
        <f>IFERROR(1/IF(Inputs!$B$39="pvp",15,MAX(0.1,Skills!D4-IF(Skills!E4=TRUE,Inputs!$B$32,0))),0)</f>
        <v/>
      </c>
      <c r="R1190">
        <f>IF(AND(Inputs!$B$39&lt;&gt;"pvp",Inputs!$B$44&gt;0),IF(MAX(0,Inputs!$B$44-B1230)&lt;=0,0,(INT(MAX(0,Inputs!$B$44-B1230)/IF(Inputs!$B$39="pvp",15,MAX(0.1,Skills!D4-IF(Skills!E4=TRUE,Inputs!$B$32,0))))+1)),0)</f>
        <v/>
      </c>
      <c r="S1190">
        <f>IFERROR(O1190/N1190,0)</f>
        <v/>
      </c>
      <c r="U1190">
        <f>290*U1189/1000</f>
        <v/>
      </c>
    </row>
    <row r="1191">
      <c r="A1191">
        <f>Skills!A5</f>
        <v/>
      </c>
      <c r="B1191">
        <f>Skills!B5</f>
        <v/>
      </c>
      <c r="C1191">
        <f>Inputs!$B$3&gt;=63</f>
        <v/>
      </c>
      <c r="D1191">
        <f>IF(Skills!C5=1,60+Inputs!$B$25+Inputs!$B$29,IF(Skills!C5=2,90+Inputs!$B$26+Inputs!$B$29,IF(Skills!C5=3,120+Inputs!$B$27+Inputs!$B$29,MAX(0,(Inputs!$B$3-100)*3)+Inputs!$B$28+Inputs!$B$29)))</f>
        <v/>
      </c>
      <c r="E1191">
        <f>INDEX(FactorTable!$B$2:$Y$301, MATCH(ROUND(MIN(300,MAX(1,D1191)),0), FactorTable!$A$2:$A$301,0), Skills!M5+1)</f>
        <v/>
      </c>
      <c r="F1191">
        <f>IF(Skills!N5=TRUE,(Skills!L5/10)*(E1191/1000),Skills!L5/10)+Skills!O5</f>
        <v/>
      </c>
      <c r="G1191">
        <f>Skills!G5*IF(Skills!H5&gt;0,Skills!I5/Skills!H5,1)</f>
        <v/>
      </c>
      <c r="H1191">
        <f>1-(1-Skills!J5/100)^Skills!K5</f>
        <v/>
      </c>
      <c r="I1191" t="inlineStr">
        <is>
          <t>1</t>
        </is>
      </c>
      <c r="J1191">
        <f>((Inputs!$B$6*(1+Inputs!$B$7/100))+(((Inputs!$B$12*(1+Inputs!$B$13/100))-(Inputs!$B$12*(1+Inputs!$B$13/100)))+0.25*(Inputs!$B$14-Inputs!$B$14))*(1+Inputs!$B$7/100))*(F1191/100)</f>
        <v/>
      </c>
      <c r="K1191">
        <f>J1191*(1+((Inputs!$B$12*(1+Inputs!$B$13/100))*0.01+Inputs!$B$14*0.0025)/100)*(1+Inputs!$B$15/100)*(1+IF(Inputs!$B$39="pvp",0,(1-Summary!$B$55)*(Inputs!$B$20+0+Skills!P5+B1220)+Summary!$B$55*(Inputs!$B$21+Skills!Q5+B1220))/100)*(1+Inputs!$B$16/100)*(5000/(6000+Inputs!$B$43*(1-Inputs!$B$19/100)))*(1+(Inputs!$B$24+((C1216=TRUE)*(F1216-Calc!F30)))/100)*(1+2.6666666666666665*IF(C1204=TRUE,F1204,0)/100)*(1+(IF(Skills!A5="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1191)</f>
        <v/>
      </c>
      <c r="L1191">
        <f>K1191*(MIN(Inputs!$B$22+((C1210=TRUE)*(F1210-Calc!F24)),Inputs!$B$23+((C1215=TRUE)*(F1215-Calc!F29)))/100+(Inputs!$B$23+((C1215=TRUE)*(F1215-Calc!F29)))/100)/2</f>
        <v/>
      </c>
      <c r="M1191">
        <f>L1191*(1+(Inputs!$B$10+((C1212=TRUE)*(F1212-Calc!F26))+B1226)/100)</f>
        <v/>
      </c>
      <c r="N1191">
        <f>L1191*(1-MIN((Inputs!$B$9+((C1211=TRUE)*(F1211-Calc!F25))+B1219),100)/100)+M1191*(MIN((Inputs!$B$9+((C1211=TRUE)*(F1211-Calc!F25))+B1219),100)/100)</f>
        <v/>
      </c>
      <c r="O1191">
        <f>IF(C1191,H1191*N1191*IF(AND(Inputs!$B$39&lt;&gt;"pvp",Inputs!$B$44&gt;0),((Skills!G5*((R1191-1)*IF(Skills!H5&gt;0,Skills!I5/Skills!H5,1)+IF(Skills!H5&gt;0,MIN(Skills!I5,MAX(0,MAX(0,Inputs!$B$44-B1230)-((R1191-1)*IF(Inputs!$B$39="pvp",15,MAX(0.1,Skills!D5-IF(Skills!E5=TRUE,Inputs!$B$32,0))))))/Skills!H5,1)))/Inputs!$B$44),G1191*Q1191)*IF(Inputs!$B$39="pvp",1,(1-Summary!$B$55)*(1)+Summary!$B$55*(MIN(Skills!W5,Inputs!$B$37))),0)</f>
        <v/>
      </c>
      <c r="P1191">
        <f>IF(B1231=0,0,O1191/B1231)</f>
        <v/>
      </c>
      <c r="Q1191">
        <f>IFERROR(1/IF(Inputs!$B$39="pvp",15,MAX(0.1,Skills!D5-IF(Skills!E5=TRUE,Inputs!$B$32,0))),0)</f>
        <v/>
      </c>
      <c r="R1191">
        <f>IF(AND(Inputs!$B$39&lt;&gt;"pvp",Inputs!$B$44&gt;0),IF(MAX(0,Inputs!$B$44-B1230)&lt;=0,0,(INT(MAX(0,Inputs!$B$44-B1230)/IF(Inputs!$B$39="pvp",15,MAX(0.1,Skills!D5-IF(Skills!E5=TRUE,Inputs!$B$32,0))))+1)),0)</f>
        <v/>
      </c>
      <c r="S1191">
        <f>IFERROR(O1191/N1191,0)</f>
        <v/>
      </c>
    </row>
    <row r="1192">
      <c r="A1192">
        <f>Skills!A6</f>
        <v/>
      </c>
      <c r="B1192">
        <f>Skills!B6</f>
        <v/>
      </c>
      <c r="C1192">
        <f>Inputs!$B$3&gt;=69</f>
        <v/>
      </c>
      <c r="D1192">
        <f>IF(Skills!C6=1,60+Inputs!$B$25+Inputs!$B$29,IF(Skills!C6=2,90+Inputs!$B$26+Inputs!$B$29,IF(Skills!C6=3,120+Inputs!$B$27+Inputs!$B$29,MAX(0,(Inputs!$B$3-100)*3)+Inputs!$B$28+Inputs!$B$29)))</f>
        <v/>
      </c>
      <c r="E1192">
        <f>INDEX(FactorTable!$B$2:$Y$301, MATCH(ROUND(MIN(300,MAX(1,D1192)),0), FactorTable!$A$2:$A$301,0), Skills!M6+1)</f>
        <v/>
      </c>
      <c r="F1192">
        <f>IF(Skills!N6=TRUE,(Skills!L6/10)*(E1192/1000),Skills!L6/10)+Skills!O6</f>
        <v/>
      </c>
      <c r="G1192">
        <f>Skills!G6*IF(Skills!H6&gt;0,Skills!I6/Skills!H6,1)</f>
        <v/>
      </c>
      <c r="H1192">
        <f>1-(1-Skills!J6/100)^Skills!K6</f>
        <v/>
      </c>
      <c r="I1192" t="inlineStr">
        <is>
          <t>1</t>
        </is>
      </c>
      <c r="J1192">
        <f>((Inputs!$B$6*(1+Inputs!$B$7/100))+(((Inputs!$B$12*(1+Inputs!$B$13/100))-(Inputs!$B$12*(1+Inputs!$B$13/100)))+0.25*(Inputs!$B$14-Inputs!$B$14))*(1+Inputs!$B$7/100))*(F1192/100)</f>
        <v/>
      </c>
      <c r="K1192">
        <f>J1192*(1+((Inputs!$B$12*(1+Inputs!$B$13/100))*0.01+Inputs!$B$14*0.0025)/100)*(1+Inputs!$B$15/100)*(1+IF(Inputs!$B$39="pvp",0,(1-Summary!$B$55)*(Inputs!$B$20+0+Skills!P6+B1220)+Summary!$B$55*(Inputs!$B$21+Skills!Q6+B1220))/100)*(1+Inputs!$B$16/100)*(5000/(6000+Inputs!$B$43*(1-Inputs!$B$19/100)))*(1+(Inputs!$B$24+((C1216=TRUE)*(F1216-Calc!F30)))/100)*(1+1.0*IF(C1204=TRUE,F1204,0)/100)*(1+(IF(Skills!A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1192)</f>
        <v/>
      </c>
      <c r="L1192">
        <f>K1192*(MIN(Inputs!$B$22+((C1210=TRUE)*(F1210-Calc!F24)),Inputs!$B$23+((C1215=TRUE)*(F1215-Calc!F29)))/100+(Inputs!$B$23+((C1215=TRUE)*(F1215-Calc!F29)))/100)/2</f>
        <v/>
      </c>
      <c r="M1192">
        <f>L1192*(1+(Inputs!$B$10+((C1212=TRUE)*(F1212-Calc!F26))+B1226)/100)</f>
        <v/>
      </c>
      <c r="N1192">
        <f>L1192*(1-MIN((Inputs!$B$9+((C1211=TRUE)*(F1211-Calc!F25))+B1219),100)/100)+M1192*(MIN((Inputs!$B$9+((C1211=TRUE)*(F1211-Calc!F25))+B1219),100)/100)</f>
        <v/>
      </c>
      <c r="O1192">
        <f>IF(C1192,H1192*N1192*IF(AND(Inputs!$B$39&lt;&gt;"pvp",Inputs!$B$44&gt;0),((Skills!G6*((R1192-1)*IF(Skills!H6&gt;0,Skills!I6/Skills!H6,1)+IF(Skills!H6&gt;0,MIN(Skills!I6,MAX(0,MAX(0,Inputs!$B$44-B1230)-((R1192-1)*IF(Inputs!$B$39="pvp",15,MAX(0.1,Skills!D6-IF(Skills!E6=TRUE,Inputs!$B$32,0))))))/Skills!H6,1)))/Inputs!$B$44),G1192*Q1192)*IF(Inputs!$B$39="pvp",1,(1-Summary!$B$55)*(1)+Summary!$B$55*(MIN(Skills!W6,Inputs!$B$37))),0)</f>
        <v/>
      </c>
      <c r="P1192">
        <f>IF(B1231=0,0,O1192/B1231)</f>
        <v/>
      </c>
      <c r="Q1192">
        <f>IFERROR(1/IF(Inputs!$B$39="pvp",15,MAX(0.1,Skills!D6-IF(Skills!E6=TRUE,Inputs!$B$32,0))),0)</f>
        <v/>
      </c>
      <c r="R1192">
        <f>IF(AND(Inputs!$B$39&lt;&gt;"pvp",Inputs!$B$44&gt;0),IF(MAX(0,Inputs!$B$44-B1230)&lt;=0,0,(INT(MAX(0,Inputs!$B$44-B1230)/IF(Inputs!$B$39="pvp",15,MAX(0.1,Skills!D6-IF(Skills!E6=TRUE,Inputs!$B$32,0))))+1)),0)</f>
        <v/>
      </c>
      <c r="S1192">
        <f>IFERROR(O1192/N1192,0)</f>
        <v/>
      </c>
    </row>
    <row r="1193">
      <c r="A1193">
        <f>Skills!A7</f>
        <v/>
      </c>
      <c r="B1193">
        <f>Skills!B7</f>
        <v/>
      </c>
      <c r="C1193">
        <f>Inputs!$B$3&gt;=60</f>
        <v/>
      </c>
      <c r="D1193">
        <f>IF(Skills!C7=1,60+Inputs!$B$25+Inputs!$B$29,IF(Skills!C7=2,90+Inputs!$B$26+Inputs!$B$29,IF(Skills!C7=3,120+Inputs!$B$27+Inputs!$B$29,MAX(0,(Inputs!$B$3-100)*3)+Inputs!$B$28+Inputs!$B$29)))</f>
        <v/>
      </c>
      <c r="E1193">
        <f>INDEX(FactorTable!$B$2:$Y$301, MATCH(ROUND(MIN(300,MAX(1,D1193)),0), FactorTable!$A$2:$A$301,0), Skills!M7+1)</f>
        <v/>
      </c>
      <c r="F1193">
        <f>IF(Skills!N7=TRUE,(Skills!L7/10)*(E1193/1000),Skills!L7/10)+Skills!O7</f>
        <v/>
      </c>
      <c r="G1193">
        <f>Skills!G7*IF(Skills!H7&gt;0,Skills!I7/Skills!H7,1)</f>
        <v/>
      </c>
      <c r="H1193">
        <f>1-(1-Skills!J7/100)^Skills!K7</f>
        <v/>
      </c>
      <c r="I1193" t="inlineStr">
        <is>
          <t>1</t>
        </is>
      </c>
      <c r="J1193" t="inlineStr"/>
      <c r="K1193" t="inlineStr"/>
      <c r="L1193" t="inlineStr"/>
      <c r="M1193" t="inlineStr"/>
      <c r="N1193" t="inlineStr"/>
      <c r="O1193" t="n">
        <v>0</v>
      </c>
      <c r="P1193">
        <f>IF(B1231=0,0,O1193/B1231)</f>
        <v/>
      </c>
      <c r="Q1193" t="n">
        <v>0</v>
      </c>
      <c r="R1193" t="n">
        <v>0</v>
      </c>
      <c r="S1193">
        <f>IFERROR(O1193/N1193,0)</f>
        <v/>
      </c>
    </row>
    <row r="1194">
      <c r="A1194">
        <f>Skills!A8</f>
        <v/>
      </c>
      <c r="B1194">
        <f>Skills!B8</f>
        <v/>
      </c>
      <c r="C1194">
        <f>Inputs!$B$3&gt;=72</f>
        <v/>
      </c>
      <c r="D1194">
        <f>IF(Skills!C8=1,60+Inputs!$B$25+Inputs!$B$29,IF(Skills!C8=2,90+Inputs!$B$26+Inputs!$B$29,IF(Skills!C8=3,120+Inputs!$B$27+Inputs!$B$29,MAX(0,(Inputs!$B$3-100)*3)+Inputs!$B$28+Inputs!$B$29)))</f>
        <v/>
      </c>
      <c r="E1194">
        <f>INDEX(FactorTable!$B$2:$Y$301, MATCH(ROUND(MIN(300,MAX(1,D1194)),0), FactorTable!$A$2:$A$301,0), Skills!M8+1)</f>
        <v/>
      </c>
      <c r="F1194">
        <f>IF(Skills!N8=TRUE,(Skills!L8/10)*(E1194/1000),Skills!L8/10)+Skills!O8</f>
        <v/>
      </c>
      <c r="G1194">
        <f>Skills!G8*IF(Skills!H8&gt;0,Skills!I8/Skills!H8,1)</f>
        <v/>
      </c>
      <c r="H1194">
        <f>1-(1-Skills!J8/100)^Skills!K8</f>
        <v/>
      </c>
      <c r="I1194" t="inlineStr">
        <is>
          <t>1</t>
        </is>
      </c>
      <c r="J1194">
        <f>((Inputs!$B$6*(1+Inputs!$B$7/100))+(((Inputs!$B$12*(1+Inputs!$B$13/100))-(Inputs!$B$12*(1+Inputs!$B$13/100)))+0.25*(Inputs!$B$14-Inputs!$B$14))*(1+Inputs!$B$7/100))*(F1194/100)</f>
        <v/>
      </c>
      <c r="K1194">
        <f>J1194*(1+((Inputs!$B$12*(1+Inputs!$B$13/100))*0.01+Inputs!$B$14*0.0025)/100)*(1+Inputs!$B$15/100)*(1+IF(Inputs!$B$39="pvp",0,(1-Summary!$B$55)*(Inputs!$B$20+0+Skills!P8+B1220)+Summary!$B$55*(Inputs!$B$21+Skills!Q8+B1220))/100)*(1+Inputs!$B$16/100)*(5000/(6000+Inputs!$B$43*(1-Inputs!$B$19/100)))*(1+(Inputs!$B$24+((C1216=TRUE)*(F1216-Calc!F30)))/100)*(1+3.3333333333333335*IF(C1204=TRUE,F1204,0)/100)*(1+(IF(Skills!A8="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1194)</f>
        <v/>
      </c>
      <c r="L1194">
        <f>K1194*(MIN(Inputs!$B$22+((C1210=TRUE)*(F1210-Calc!F24)),Inputs!$B$23+((C1215=TRUE)*(F1215-Calc!F29)))/100+(Inputs!$B$23+((C1215=TRUE)*(F1215-Calc!F29)))/100)/2</f>
        <v/>
      </c>
      <c r="M1194">
        <f>L1194*(1+(Inputs!$B$10+((C1212=TRUE)*(F1212-Calc!F26))+B1226)/100)</f>
        <v/>
      </c>
      <c r="N1194">
        <f>L1194*(1-MIN((Inputs!$B$9+((C1211=TRUE)*(F1211-Calc!F25))+B1219),100)/100)+M1194*(MIN((Inputs!$B$9+((C1211=TRUE)*(F1211-Calc!F25))+B1219),100)/100)</f>
        <v/>
      </c>
      <c r="O1194">
        <f>IF(C1194,H1194*N1194*IF(AND(Inputs!$B$39&lt;&gt;"pvp",Inputs!$B$44&gt;0),((Skills!G8*((R1194-1)*IF(Skills!H8&gt;0,Skills!I8/Skills!H8,1)+IF(Skills!H8&gt;0,MIN(Skills!I8,MAX(0,MAX(0,Inputs!$B$44-B1230)-((R1194-1)*IF(Inputs!$B$39="pvp",15,MAX(0.1,Skills!D8-IF(Skills!E8=TRUE,Inputs!$B$32,0))))))/Skills!H8,1)))/Inputs!$B$44),G1194*Q1194)*IF(Inputs!$B$39="pvp",1,(1-Summary!$B$55)*(1)+Summary!$B$55*(MIN(Skills!W8,Inputs!$B$37))),0)</f>
        <v/>
      </c>
      <c r="P1194">
        <f>IF(B1231=0,0,O1194/B1231)</f>
        <v/>
      </c>
      <c r="Q1194">
        <f>IFERROR(1/IF(Inputs!$B$39="pvp",15,MAX(0.1,Skills!D8-IF(Skills!E8=TRUE,Inputs!$B$32,0))),0)</f>
        <v/>
      </c>
      <c r="R1194">
        <f>IF(AND(Inputs!$B$39&lt;&gt;"pvp",Inputs!$B$44&gt;0),IF(MAX(0,Inputs!$B$44-B1230)&lt;=0,0,(INT(MAX(0,Inputs!$B$44-B1230)/IF(Inputs!$B$39="pvp",15,MAX(0.1,Skills!D8-IF(Skills!E8=TRUE,Inputs!$B$32,0))))+1)),0)</f>
        <v/>
      </c>
      <c r="S1194">
        <f>IFERROR(O1194/N1194,0)</f>
        <v/>
      </c>
    </row>
    <row r="1195">
      <c r="A1195">
        <f>Skills!A9</f>
        <v/>
      </c>
      <c r="B1195">
        <f>Skills!B9</f>
        <v/>
      </c>
      <c r="C1195">
        <f>Inputs!$B$3&gt;=117</f>
        <v/>
      </c>
      <c r="D1195">
        <f>IF(Skills!C9=1,60+Inputs!$B$25+Inputs!$B$29,IF(Skills!C9=2,90+Inputs!$B$26+Inputs!$B$29,IF(Skills!C9=3,120+Inputs!$B$27+Inputs!$B$29,MAX(0,(Inputs!$B$3-100)*3)+Inputs!$B$28+Inputs!$B$29)))</f>
        <v/>
      </c>
      <c r="E1195">
        <f>INDEX(FactorTable!$B$2:$Y$301, MATCH(ROUND(MIN(300,MAX(1,D1195)),0), FactorTable!$A$2:$A$301,0), Skills!M9+1)</f>
        <v/>
      </c>
      <c r="F1195">
        <f>IF(Skills!N9=TRUE,(Skills!L9/10)*(E1195/1000),Skills!L9/10)+Skills!O9</f>
        <v/>
      </c>
      <c r="G1195">
        <f>Skills!G9*IF(Skills!H9&gt;0,Skills!I9/Skills!H9,1)</f>
        <v/>
      </c>
      <c r="H1195">
        <f>1-(1-Skills!J9/100)^Skills!K9</f>
        <v/>
      </c>
      <c r="I1195" t="inlineStr">
        <is>
          <t>1</t>
        </is>
      </c>
      <c r="J1195">
        <f>((Inputs!$B$6*(1+Inputs!$B$7/100))+(((Inputs!$B$12*(1+Inputs!$B$13/100))-(Inputs!$B$12*(1+Inputs!$B$13/100)))+0.25*(Inputs!$B$14-Inputs!$B$14))*(1+Inputs!$B$7/100))*(F1195/100)</f>
        <v/>
      </c>
      <c r="K1195">
        <f>J1195*(1+((Inputs!$B$12*(1+Inputs!$B$13/100))*0.01+Inputs!$B$14*0.0025)/100)*(1+Inputs!$B$15/100)*(1+IF(Inputs!$B$39="pvp",0,(1-Summary!$B$55)*(Inputs!$B$20+0+Skills!P9+B1220)+Summary!$B$55*(Inputs!$B$21+Skills!Q9+B1220))/100)*(1+Inputs!$B$16/100)*(5000/(6000+Inputs!$B$43*(1-Inputs!$B$19/100)))*(1+(Inputs!$B$24+((C1216=TRUE)*(F1216-Calc!F30)))/100)*(1+(IF(Skills!A9="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1195)</f>
        <v/>
      </c>
      <c r="L1195">
        <f>K1195*(MIN(Inputs!$B$22+((C1210=TRUE)*(F1210-Calc!F24)),Inputs!$B$23+((C1215=TRUE)*(F1215-Calc!F29)))/100+(Inputs!$B$23+((C1215=TRUE)*(F1215-Calc!F29)))/100)/2</f>
        <v/>
      </c>
      <c r="M1195">
        <f>L1195*(1+(Inputs!$B$10+((C1212=TRUE)*(F1212-Calc!F26))+B1226)/100)</f>
        <v/>
      </c>
      <c r="N1195">
        <f>L1195*(1-MIN((Inputs!$B$9+((C1211=TRUE)*(F1211-Calc!F25))+B1219),100)/100)+M1195*(MIN((Inputs!$B$9+((C1211=TRUE)*(F1211-Calc!F25))+B1219),100)/100)</f>
        <v/>
      </c>
      <c r="O1195">
        <f>IF(C1195,0.2*SUMPRODUCT((Skills!Z2:Z30=TRUE)*(C1188:C1216=TRUE)*S1188:S1216)*N1195,0)</f>
        <v/>
      </c>
      <c r="P1195">
        <f>IF(B1231=0,0,O1195/B1231)</f>
        <v/>
      </c>
      <c r="Q1195" t="n">
        <v>0</v>
      </c>
      <c r="R1195" t="n">
        <v>0</v>
      </c>
      <c r="S1195" t="n">
        <v>0</v>
      </c>
    </row>
    <row r="1196">
      <c r="A1196">
        <f>Skills!A10</f>
        <v/>
      </c>
      <c r="B1196">
        <f>Skills!B10</f>
        <v/>
      </c>
      <c r="C1196">
        <f>Inputs!$B$3&gt;=74</f>
        <v/>
      </c>
      <c r="D1196">
        <f>IF(Skills!C10=1,60+Inputs!$B$25+Inputs!$B$29,IF(Skills!C10=2,90+Inputs!$B$26+Inputs!$B$29,IF(Skills!C10=3,120+Inputs!$B$27+Inputs!$B$29,MAX(0,(Inputs!$B$3-100)*3)+Inputs!$B$28+Inputs!$B$29)))</f>
        <v/>
      </c>
      <c r="E1196">
        <f>INDEX(FactorTable!$B$2:$Y$301, MATCH(ROUND(MIN(300,MAX(1,D1196)),0), FactorTable!$A$2:$A$301,0), Skills!M10+1)</f>
        <v/>
      </c>
      <c r="F1196">
        <f>IF(Skills!N10=TRUE,(Skills!L10/10)*(E1196/1000),Skills!L10/10)+Skills!O10</f>
        <v/>
      </c>
      <c r="G1196">
        <f>Skills!G10*IF(Skills!H10&gt;0,Skills!I10/Skills!H10,1)</f>
        <v/>
      </c>
      <c r="H1196">
        <f>1-(1-Skills!J10/100)^Skills!K10</f>
        <v/>
      </c>
      <c r="I1196" t="inlineStr">
        <is>
          <t>1</t>
        </is>
      </c>
      <c r="J1196" t="inlineStr"/>
      <c r="K1196" t="inlineStr"/>
      <c r="L1196" t="inlineStr"/>
      <c r="M1196" t="inlineStr"/>
      <c r="N1196" t="inlineStr"/>
      <c r="O1196" t="n">
        <v>0</v>
      </c>
      <c r="P1196">
        <f>IF(B1231=0,0,O1196/B1231)</f>
        <v/>
      </c>
      <c r="Q1196">
        <f>IFERROR(1/IF(Inputs!$B$39="pvp",15,MAX(0.1,Skills!D10-IF(Skills!E10=TRUE,Inputs!$B$32,0))),0)</f>
        <v/>
      </c>
      <c r="R1196">
        <f>IF(AND(Inputs!$B$39&lt;&gt;"pvp",Inputs!$B$44&gt;0),IF(Inputs!$B$44&lt;=0,0,(INT(Inputs!$B$44/IF(Inputs!$B$39="pvp",15,MAX(0.1,Skills!D10-IF(Skills!E10=TRUE,Inputs!$B$32,0))))+1)),0)</f>
        <v/>
      </c>
      <c r="S1196">
        <f>IFERROR(O1196/N1196,0)</f>
        <v/>
      </c>
    </row>
    <row r="1197">
      <c r="A1197">
        <f>Skills!A11</f>
        <v/>
      </c>
      <c r="B1197">
        <f>Skills!B11</f>
        <v/>
      </c>
      <c r="C1197">
        <f>Inputs!$B$3&gt;=103</f>
        <v/>
      </c>
      <c r="D1197">
        <f>IF(Skills!C11=1,60+Inputs!$B$25+Inputs!$B$29,IF(Skills!C11=2,90+Inputs!$B$26+Inputs!$B$29,IF(Skills!C11=3,120+Inputs!$B$27+Inputs!$B$29,MAX(0,(Inputs!$B$3-100)*3)+Inputs!$B$28+Inputs!$B$29)))</f>
        <v/>
      </c>
      <c r="E1197">
        <f>INDEX(FactorTable!$B$2:$Y$301, MATCH(ROUND(MIN(300,MAX(1,D1197)),0), FactorTable!$A$2:$A$301,0), Skills!M11+1)</f>
        <v/>
      </c>
      <c r="F1197">
        <f>(Skills!L11/10)*(E1197/1000)+IF(Inputs!$B$3&gt;=134,50,0)+0.5*(30000/10)*(INDEX(FactorTable!$B$2:$Y$301, MATCH(ROUND(MIN(300,MAX(1,D1197)),0), FactorTable!$A$2:$A$301,0), 13)/1000)*B1229</f>
        <v/>
      </c>
      <c r="G1197">
        <f>Skills!G11*IF(Skills!H11&gt;0,Skills!I11/Skills!H11,1)</f>
        <v/>
      </c>
      <c r="H1197">
        <f>1-(1-Skills!J11/100)^Skills!K11</f>
        <v/>
      </c>
      <c r="I1197" t="inlineStr">
        <is>
          <t>1</t>
        </is>
      </c>
      <c r="J1197">
        <f>((Inputs!$B$6*(1+Inputs!$B$7/100))+(((Inputs!$B$12*(1+Inputs!$B$13/100))-(Inputs!$B$12*(1+Inputs!$B$13/100)))+0.25*(Inputs!$B$14-Inputs!$B$14))*(1+Inputs!$B$7/100))*(F1197/100)</f>
        <v/>
      </c>
      <c r="K1197">
        <f>J1197*(1+((Inputs!$B$12*(1+Inputs!$B$13/100))*0.01+Inputs!$B$14*0.0025)/100)*(1+Inputs!$B$15/100)*(1+IF(Inputs!$B$39="pvp",0,(1-Summary!$B$55)*(Inputs!$B$20+0+Skills!P11+B1220)+Summary!$B$55*(Inputs!$B$21+Skills!Q11+B1220))/100)*(1+Inputs!$B$16/100)*(5000/(6000+Inputs!$B$43*(1-Inputs!$B$19/100)))*(1+(Inputs!$B$24+((C1216=TRUE)*(F1216-Calc!F30)))/100)*(1+(IF(Skills!A11="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1197)</f>
        <v/>
      </c>
      <c r="L1197">
        <f>K1197*(MIN(Inputs!$B$22+((C1210=TRUE)*(F1210-Calc!F24)),Inputs!$B$23+((C1215=TRUE)*(F1215-Calc!F29)))/100+(Inputs!$B$23+((C1215=TRUE)*(F1215-Calc!F29)))/100)/2</f>
        <v/>
      </c>
      <c r="M1197">
        <f>L1197*(1+(Inputs!$B$10+((C1212=TRUE)*(F1212-Calc!F26))+B1226)/100)</f>
        <v/>
      </c>
      <c r="N1197">
        <f>L1197*(1-MIN((Inputs!$B$9+((C1211=TRUE)*(F1211-Calc!F25))+B1219),100)/100)+M1197*(MIN((Inputs!$B$9+((C1211=TRUE)*(F1211-Calc!F25))+B1219),100)/100)</f>
        <v/>
      </c>
      <c r="O1197">
        <f>IF(C1197,H1197*N1197*IF(AND(Inputs!$B$39&lt;&gt;"pvp",Inputs!$B$44&gt;0),((Skills!G11*((R1197-1)*IF(Skills!H11&gt;0,Skills!I11/Skills!H11,1)+IF(Skills!H11&gt;0,MIN(Skills!I11,MAX(0,MAX(0,Inputs!$B$44-B1230)-((R1197-1)*IF(Inputs!$B$39="pvp",15,MAX(0.1,Skills!D11-IF(Skills!E11=TRUE,Inputs!$B$32,0))))))/Skills!H11,1)))/Inputs!$B$44),G1197*Q1197)*IF(Inputs!$B$39="pvp",1,(1-Summary!$B$55)*(1)+Summary!$B$55*(MIN(Skills!W11,Inputs!$B$37))),0)</f>
        <v/>
      </c>
      <c r="P1197">
        <f>IF(B1231=0,0,O1197/B1231)</f>
        <v/>
      </c>
      <c r="Q1197">
        <f>IFERROR(1/IF(Inputs!$B$39="pvp",15,MAX(0.1,Skills!D11-IF(Skills!E11=TRUE,Inputs!$B$32,0))),0)</f>
        <v/>
      </c>
      <c r="R1197">
        <f>IF(AND(Inputs!$B$39&lt;&gt;"pvp",Inputs!$B$44&gt;0),IF(MAX(0,Inputs!$B$44-B1230)&lt;=0,0,(INT(MAX(0,Inputs!$B$44-B1230)/IF(Inputs!$B$39="pvp",15,MAX(0.1,Skills!D11-IF(Skills!E11=TRUE,Inputs!$B$32,0))))+1)),0)</f>
        <v/>
      </c>
      <c r="S1197">
        <f>IFERROR(O1197/N1197,0)</f>
        <v/>
      </c>
    </row>
    <row r="1198">
      <c r="A1198">
        <f>Skills!A12</f>
        <v/>
      </c>
      <c r="B1198">
        <f>Skills!B12</f>
        <v/>
      </c>
      <c r="C1198">
        <f>Inputs!$B$3&gt;=105</f>
        <v/>
      </c>
      <c r="D1198">
        <f>IF(Skills!C12=1,60+Inputs!$B$25+Inputs!$B$29,IF(Skills!C12=2,90+Inputs!$B$26+Inputs!$B$29,IF(Skills!C12=3,120+Inputs!$B$27+Inputs!$B$29,MAX(0,(Inputs!$B$3-100)*3)+Inputs!$B$28+Inputs!$B$29)))</f>
        <v/>
      </c>
      <c r="E1198">
        <f>INDEX(FactorTable!$B$2:$Y$301, MATCH(ROUND(MIN(300,MAX(1,D1198)),0), FactorTable!$A$2:$A$301,0), Skills!M12+1)</f>
        <v/>
      </c>
      <c r="F1198">
        <f>IF(Skills!N12=TRUE,(Skills!L12/10)*(E1198/1000),Skills!L12/10)+Skills!O12</f>
        <v/>
      </c>
      <c r="G1198">
        <f>Skills!G12*IF(Skills!H12&gt;0,Skills!I12/Skills!H12,1)</f>
        <v/>
      </c>
      <c r="H1198">
        <f>1-(1-Skills!J12/100)^Skills!K12</f>
        <v/>
      </c>
      <c r="I1198" t="inlineStr">
        <is>
          <t>1</t>
        </is>
      </c>
      <c r="J1198">
        <f>((Inputs!$B$6*(1+Inputs!$B$7/100))+(((Inputs!$B$12*(1+Inputs!$B$13/100))-(Inputs!$B$12*(1+Inputs!$B$13/100)))+0.25*(Inputs!$B$14-Inputs!$B$14))*(1+Inputs!$B$7/100))*(F1198/100)</f>
        <v/>
      </c>
      <c r="K1198">
        <f>J1198*(1+((Inputs!$B$12*(1+Inputs!$B$13/100))*0.01+Inputs!$B$14*0.0025)/100)*(1+Inputs!$B$15/100)*(1+IF(Inputs!$B$39="pvp",0,(1-Summary!$B$55)*(Inputs!$B$20+0+Skills!P12+B1220)+Summary!$B$55*(Inputs!$B$21+Skills!Q12+B1220))/100)*(1+Inputs!$B$16/100)*(5000/(6000+Inputs!$B$43*(1-Inputs!$B$19/100)))*(1+(Inputs!$B$24+((C1216=TRUE)*(F1216-Calc!F30)))/100)*(1+(IF(Skills!A12="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1198)</f>
        <v/>
      </c>
      <c r="L1198">
        <f>K1198*(MIN(Inputs!$B$22+((C1210=TRUE)*(F1210-Calc!F24)),Inputs!$B$23+((C1215=TRUE)*(F1215-Calc!F29)))/100+(Inputs!$B$23+((C1215=TRUE)*(F1215-Calc!F29)))/100)/2</f>
        <v/>
      </c>
      <c r="M1198">
        <f>L1198*(1+(Inputs!$B$10+((C1212=TRUE)*(F1212-Calc!F26))+B1226)/100)</f>
        <v/>
      </c>
      <c r="N1198">
        <f>L1198*(1-MIN((Inputs!$B$9+((C1211=TRUE)*(F1211-Calc!F25))+B1219),100)/100)+M1198*(MIN((Inputs!$B$9+((C1211=TRUE)*(F1211-Calc!F25))+B1219),100)/100)</f>
        <v/>
      </c>
      <c r="O1198">
        <f>IF(C1198,H1198*N1198*IF(AND(Inputs!$B$39&lt;&gt;"pvp",Inputs!$B$44&gt;0),((Skills!G12*((R1198-1)*IF(Skills!H12&gt;0,Skills!I12/Skills!H12,1)+IF(Skills!H12&gt;0,MIN(Skills!I12,MAX(0,MAX(0,Inputs!$B$44-B1230)-((R1198-1)*IF(Inputs!$B$39="pvp",15,MAX(0.1,Skills!D12-IF(Skills!E12=TRUE,Inputs!$B$32,0))))))/Skills!H12,1)))/Inputs!$B$44),G1198*Q1198)*IF(Inputs!$B$39="pvp",1,(1-Summary!$B$55)*(1)+Summary!$B$55*(MIN(Skills!W12,Inputs!$B$37))),0)</f>
        <v/>
      </c>
      <c r="P1198">
        <f>IF(B1231=0,0,O1198/B1231)</f>
        <v/>
      </c>
      <c r="Q1198">
        <f>IFERROR(1/IF(Inputs!$B$39="pvp",15,MAX(0.1,Skills!D12-IF(Skills!E12=TRUE,Inputs!$B$32,0))),0)</f>
        <v/>
      </c>
      <c r="R1198">
        <f>IF(AND(Inputs!$B$39&lt;&gt;"pvp",Inputs!$B$44&gt;0),IF(MAX(0,Inputs!$B$44-B1230)&lt;=0,0,(INT(MAX(0,Inputs!$B$44-B1230)/IF(Inputs!$B$39="pvp",15,MAX(0.1,Skills!D12-IF(Skills!E12=TRUE,Inputs!$B$32,0))))+1)),0)</f>
        <v/>
      </c>
      <c r="S1198">
        <f>IFERROR(O1198/N1198,0)</f>
        <v/>
      </c>
    </row>
    <row r="1199">
      <c r="A1199">
        <f>Skills!A13</f>
        <v/>
      </c>
      <c r="B1199">
        <f>Skills!B13</f>
        <v/>
      </c>
      <c r="C1199">
        <f>Inputs!$B$3&gt;=105</f>
        <v/>
      </c>
      <c r="D1199">
        <f>IF(Skills!C13=1,60+Inputs!$B$25+Inputs!$B$29,IF(Skills!C13=2,90+Inputs!$B$26+Inputs!$B$29,IF(Skills!C13=3,120+Inputs!$B$27+Inputs!$B$29,MAX(0,(Inputs!$B$3-100)*3)+Inputs!$B$28+Inputs!$B$29)))</f>
        <v/>
      </c>
      <c r="E1199">
        <f>INDEX(FactorTable!$B$2:$Y$301, MATCH(ROUND(MIN(300,MAX(1,D1199)),0), FactorTable!$A$2:$A$301,0), Skills!M13+1)</f>
        <v/>
      </c>
      <c r="F1199">
        <f>IF(Skills!N13=TRUE,(Skills!L13/10)*(E1199/1000),Skills!L13/10)+Skills!O13</f>
        <v/>
      </c>
      <c r="G1199">
        <f>Skills!G13*IF(Skills!H13&gt;0,Skills!I13/Skills!H13,1)</f>
        <v/>
      </c>
      <c r="H1199">
        <f>1-(1-Skills!J13/100)^Skills!K13</f>
        <v/>
      </c>
      <c r="I1199" t="inlineStr">
        <is>
          <t>1</t>
        </is>
      </c>
      <c r="J1199">
        <f>((Inputs!$B$6*(1+Inputs!$B$7/100))+(((Inputs!$B$12*(1+Inputs!$B$13/100))-(Inputs!$B$12*(1+Inputs!$B$13/100)))+0.25*(Inputs!$B$14-Inputs!$B$14))*(1+Inputs!$B$7/100))*(F1199/100)</f>
        <v/>
      </c>
      <c r="K1199">
        <f>J1199*(1+((Inputs!$B$12*(1+Inputs!$B$13/100))*0.01+Inputs!$B$14*0.0025)/100)*(1+Inputs!$B$15/100)*(1+IF(Inputs!$B$39="pvp",0,(1-Summary!$B$55)*(Inputs!$B$20+0+Skills!P13+B1220)+Summary!$B$55*(Inputs!$B$21+Skills!Q13+B1220))/100)*(1+Inputs!$B$16/100)*(5000/(6000+Inputs!$B$43*(1-Inputs!$B$19/100)))*(1+(Inputs!$B$24+((C1216=TRUE)*(F1216-Calc!F30)))/100)*(1+(IF(Skills!A13="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1199)</f>
        <v/>
      </c>
      <c r="L1199">
        <f>K1199*(MIN(Inputs!$B$22+((C1210=TRUE)*(F1210-Calc!F24)),Inputs!$B$23+((C1215=TRUE)*(F1215-Calc!F29)))/100+(Inputs!$B$23+((C1215=TRUE)*(F1215-Calc!F29)))/100)/2</f>
        <v/>
      </c>
      <c r="M1199">
        <f>L1199*(1+(Inputs!$B$10+((C1212=TRUE)*(F1212-Calc!F26))+B1226)/100)</f>
        <v/>
      </c>
      <c r="N1199">
        <f>L1199*(1-MIN((Inputs!$B$9+((C1211=TRUE)*(F1211-Calc!F25))+B1219),100)/100)+M1199*(MIN((Inputs!$B$9+((C1211=TRUE)*(F1211-Calc!F25))+B1219),100)/100)</f>
        <v/>
      </c>
      <c r="O1199">
        <f>IF(C1199,H1199*N1199*IF(AND(Inputs!$B$39&lt;&gt;"pvp",Inputs!$B$44&gt;0),((Skills!G13*((R1199-1)*IF(Skills!H13&gt;0,Skills!I13/Skills!H13,1)+IF(Skills!H13&gt;0,MIN(Skills!I13,MAX(0,MAX(0,Inputs!$B$44-B1230)-((R1199-1)*IF(Inputs!$B$39="pvp",15,MAX(0.1,Skills!D13-IF(Skills!E13=TRUE,Inputs!$B$32,0))))))/Skills!H13,1)))/Inputs!$B$44),G1199*Q1199)*IF(Inputs!$B$39="pvp",1,(1-Summary!$B$55)*(1)+Summary!$B$55*(MIN(Skills!W13,Inputs!$B$37))),0)</f>
        <v/>
      </c>
      <c r="P1199">
        <f>IF(B1231=0,0,O1199/B1231)</f>
        <v/>
      </c>
      <c r="Q1199">
        <f>IFERROR(1/IF(Inputs!$B$39="pvp",15,MAX(0.1,Skills!D13-IF(Skills!E13=TRUE,Inputs!$B$32,0))),0)</f>
        <v/>
      </c>
      <c r="R1199">
        <f>IF(AND(Inputs!$B$39&lt;&gt;"pvp",Inputs!$B$44&gt;0),IF(MAX(0,Inputs!$B$44-B1230)&lt;=0,0,(INT(MAX(0,Inputs!$B$44-B1230)/IF(Inputs!$B$39="pvp",15,MAX(0.1,Skills!D13-IF(Skills!E13=TRUE,Inputs!$B$32,0))))+1)),0)</f>
        <v/>
      </c>
      <c r="S1199">
        <f>IFERROR(O1199/N1199,0)</f>
        <v/>
      </c>
    </row>
    <row r="1200">
      <c r="A1200">
        <f>Skills!A14</f>
        <v/>
      </c>
      <c r="B1200">
        <f>Skills!B14</f>
        <v/>
      </c>
      <c r="C1200">
        <f>Inputs!$B$3&gt;=107</f>
        <v/>
      </c>
      <c r="D1200">
        <f>IF(Skills!C14=1,60+Inputs!$B$25+Inputs!$B$29,IF(Skills!C14=2,90+Inputs!$B$26+Inputs!$B$29,IF(Skills!C14=3,120+Inputs!$B$27+Inputs!$B$29,MAX(0,(Inputs!$B$3-100)*3)+Inputs!$B$28+Inputs!$B$29)))</f>
        <v/>
      </c>
      <c r="E1200">
        <f>INDEX(FactorTable!$B$2:$Y$301, MATCH(ROUND(MIN(300,MAX(1,D1200)),0), FactorTable!$A$2:$A$301,0), Skills!M14+1)</f>
        <v/>
      </c>
      <c r="F1200">
        <f>IF(Skills!N14=TRUE,(Skills!L14/10)*(E1200/1000),Skills!L14/10)+Skills!O14</f>
        <v/>
      </c>
      <c r="G1200">
        <f>Skills!G14*IF(Skills!H14&gt;0,Skills!I14/Skills!H14,1)</f>
        <v/>
      </c>
      <c r="H1200">
        <f>1-(1-Skills!J14/100)^Skills!K14</f>
        <v/>
      </c>
      <c r="I1200" t="inlineStr">
        <is>
          <t>1</t>
        </is>
      </c>
      <c r="J1200">
        <f>((Inputs!$B$6*(1+Inputs!$B$7/100))+(((Inputs!$B$12*(1+Inputs!$B$13/100))-(Inputs!$B$12*(1+Inputs!$B$13/100)))+0.25*(Inputs!$B$14-Inputs!$B$14))*(1+Inputs!$B$7/100))*(F1200/100)</f>
        <v/>
      </c>
      <c r="K1200">
        <f>J1200*(1+((Inputs!$B$12*(1+Inputs!$B$13/100))*0.01+Inputs!$B$14*0.0025)/100)*(1+Inputs!$B$15/100)*(1+IF(Inputs!$B$39="pvp",0,(1-Summary!$B$55)*(Inputs!$B$20+0+Skills!P14+B1220)+Summary!$B$55*(Inputs!$B$21+Skills!Q14+B1220))/100)*(1+Inputs!$B$16/100)*(5000/(6000+Inputs!$B$43*(1-Inputs!$B$19/100)))*(1+(Inputs!$B$24+((C1216=TRUE)*(F1216-Calc!F30)))/100)*(1+(IF(Skills!A14="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1200)</f>
        <v/>
      </c>
      <c r="L1200">
        <f>K1200*(MIN(Inputs!$B$22+((C1210=TRUE)*(F1210-Calc!F24)),Inputs!$B$23+((C1215=TRUE)*(F1215-Calc!F29)))/100+(Inputs!$B$23+((C1215=TRUE)*(F1215-Calc!F29)))/100)/2</f>
        <v/>
      </c>
      <c r="M1200">
        <f>L1200*(1+(Inputs!$B$10+((C1212=TRUE)*(F1212-Calc!F26))+B1226)/100)</f>
        <v/>
      </c>
      <c r="N1200">
        <f>L1200*(1-MIN((Inputs!$B$9+((C1211=TRUE)*(F1211-Calc!F25))+B1219),100)/100)+M1200*(MIN((Inputs!$B$9+((C1211=TRUE)*(F1211-Calc!F25))+B1219),100)/100)</f>
        <v/>
      </c>
      <c r="O1200">
        <f>IF(C1200,H1200*N1200*IF(AND(Inputs!$B$39&lt;&gt;"pvp",Inputs!$B$44&gt;0),((Skills!G14*((R1200-1)*IF(Skills!H14&gt;0,Skills!I14/Skills!H14,1)+IF(Skills!H14&gt;0,MIN(Skills!I14,MAX(0,MAX(0,Inputs!$B$44-B1230)-((R1200-1)*IF(Inputs!$B$39="pvp",15,MAX(0.1,Skills!D14-IF(Skills!E14=TRUE,Inputs!$B$32,0))))))/Skills!H14,1)))/Inputs!$B$44),G1200*Q1200)*IF(Inputs!$B$39="pvp",1,(1-Summary!$B$55)*(1)+Summary!$B$55*(MIN(MIN(5,0.25*B1223*Skills!D4)*Skills!V14,Inputs!$B$37))),0)</f>
        <v/>
      </c>
      <c r="P1200">
        <f>IF(B1231=0,0,O1200/B1231)</f>
        <v/>
      </c>
      <c r="Q1200">
        <f>IFERROR(1/IF(Inputs!$B$39="pvp",15,MAX(0.1,Skills!D14-IF(Skills!E14=TRUE,Inputs!$B$32,0))),0)</f>
        <v/>
      </c>
      <c r="R1200">
        <f>IF(AND(Inputs!$B$39&lt;&gt;"pvp",Inputs!$B$44&gt;0),IF(MAX(0,Inputs!$B$44-B1230)&lt;=0,0,(INT(MAX(0,Inputs!$B$44-B1230)/IF(Inputs!$B$39="pvp",15,MAX(0.1,Skills!D14-IF(Skills!E14=TRUE,Inputs!$B$32,0))))+1)),0)</f>
        <v/>
      </c>
      <c r="S1200">
        <f>IFERROR(O1200/N1200,0)</f>
        <v/>
      </c>
    </row>
    <row r="1201">
      <c r="A1201">
        <f>Skills!A15</f>
        <v/>
      </c>
      <c r="B1201">
        <f>Skills!B15</f>
        <v/>
      </c>
      <c r="C1201">
        <f>Inputs!$B$3&gt;=110</f>
        <v/>
      </c>
      <c r="D1201">
        <f>IF(Skills!C15=1,60+Inputs!$B$25+Inputs!$B$29,IF(Skills!C15=2,90+Inputs!$B$26+Inputs!$B$29,IF(Skills!C15=3,120+Inputs!$B$27+Inputs!$B$29,MAX(0,(Inputs!$B$3-100)*3)+Inputs!$B$28+Inputs!$B$29)))</f>
        <v/>
      </c>
      <c r="E1201">
        <f>INDEX(FactorTable!$B$2:$Y$301, MATCH(ROUND(MIN(300,MAX(1,D1201)),0), FactorTable!$A$2:$A$301,0), Skills!M15+1)</f>
        <v/>
      </c>
      <c r="F1201">
        <f>IF(Skills!N15=TRUE,(Skills!L15/10)*(E1201/1000),Skills!L15/10)+Skills!O15</f>
        <v/>
      </c>
      <c r="G1201">
        <f>Skills!G15*IF(Skills!H15&gt;0,Skills!I15/Skills!H15,1)</f>
        <v/>
      </c>
      <c r="H1201">
        <f>1-(1-Skills!J15/100)^Skills!K15</f>
        <v/>
      </c>
      <c r="I1201" t="inlineStr">
        <is>
          <t>1</t>
        </is>
      </c>
      <c r="J1201" t="inlineStr"/>
      <c r="K1201" t="inlineStr"/>
      <c r="L1201" t="inlineStr"/>
      <c r="M1201" t="inlineStr"/>
      <c r="N1201" t="inlineStr"/>
      <c r="O1201" t="n">
        <v>0</v>
      </c>
      <c r="P1201">
        <f>IF(B1231=0,0,O1201/B1231)</f>
        <v/>
      </c>
      <c r="Q1201">
        <f>IFERROR(1/IF(Inputs!$B$39="pvp",15,MAX(0.1,Skills!D15-IF(Skills!E15=TRUE,Inputs!$B$32,0))),0)</f>
        <v/>
      </c>
      <c r="R1201">
        <f>IF(AND(Inputs!$B$39&lt;&gt;"pvp",Inputs!$B$44&gt;0),IF(Inputs!$B$44&lt;=0,0,(INT(Inputs!$B$44/IF(Inputs!$B$39="pvp",15,MAX(0.1,Skills!D15-IF(Skills!E15=TRUE,Inputs!$B$32,0))))+1)),0)</f>
        <v/>
      </c>
      <c r="S1201">
        <f>IFERROR(O1201/N1201,0)</f>
        <v/>
      </c>
    </row>
    <row r="1202">
      <c r="A1202">
        <f>Skills!A16</f>
        <v/>
      </c>
      <c r="B1202">
        <f>Skills!B16</f>
        <v/>
      </c>
      <c r="C1202">
        <f>Inputs!$B$3&gt;=115</f>
        <v/>
      </c>
      <c r="D1202">
        <f>IF(Skills!C16=1,60+Inputs!$B$25+Inputs!$B$29,IF(Skills!C16=2,90+Inputs!$B$26+Inputs!$B$29,IF(Skills!C16=3,120+Inputs!$B$27+Inputs!$B$29,MAX(0,(Inputs!$B$3-100)*3)+Inputs!$B$28+Inputs!$B$29)))</f>
        <v/>
      </c>
      <c r="E1202">
        <f>INDEX(FactorTable!$B$2:$Y$301, MATCH(ROUND(MIN(300,MAX(1,D1202)),0), FactorTable!$A$2:$A$301,0), Skills!M16+1)</f>
        <v/>
      </c>
      <c r="F1202">
        <f>IF(Skills!N16=TRUE,(Skills!L16/10)*(E1202/1000),Skills!L16/10)+Skills!O16</f>
        <v/>
      </c>
      <c r="G1202">
        <f>Skills!G16*IF(Skills!H16&gt;0,Skills!I16/Skills!H16,1)</f>
        <v/>
      </c>
      <c r="H1202">
        <f>1-(1-Skills!J16/100)^Skills!K16</f>
        <v/>
      </c>
      <c r="I1202" t="inlineStr">
        <is>
          <t>1</t>
        </is>
      </c>
      <c r="J1202">
        <f>((Inputs!$B$6*(1+Inputs!$B$7/100))+(((Inputs!$B$12*(1+Inputs!$B$13/100))-(Inputs!$B$12*(1+Inputs!$B$13/100)))+0.25*(Inputs!$B$14-Inputs!$B$14))*(1+Inputs!$B$7/100))*(F1202/100)</f>
        <v/>
      </c>
      <c r="K1202">
        <f>J1202*(1+((Inputs!$B$12*(1+Inputs!$B$13/100))*0.01+Inputs!$B$14*0.0025)/100)*(1+Inputs!$B$15/100)*(1+IF(Inputs!$B$39="pvp",0,(1-Summary!$B$55)*(Inputs!$B$20+0+Skills!P16+B1220)+Summary!$B$55*(Inputs!$B$21+Skills!Q16+B1220))/100)*(1+Inputs!$B$16/100)*(5000/(6000+Inputs!$B$43*(1-Inputs!$B$19/100)))*(1+(Inputs!$B$24+((C1216=TRUE)*(F1216-Calc!F30)))/100)*(1+(IF(Skills!A16="CRUEL_STAB",Inputs!$B$17+((C1213=TRUE)*(F1213-Calc!F27)),Inputs!$B$18+((C1214=TRUE)*(F1214-Calc!F28))))/100)*(((1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B1221*I1202)</f>
        <v/>
      </c>
      <c r="L1202">
        <f>K1202*(MIN(Inputs!$B$22+((C1210=TRUE)*(F1210-Calc!F24)),Inputs!$B$23+((C1215=TRUE)*(F1215-Calc!F29)))/100+(Inputs!$B$23+((C1215=TRUE)*(F1215-Calc!F29)))/100)/2</f>
        <v/>
      </c>
      <c r="M1202">
        <f>L1202*(1+(Inputs!$B$10+((C1212=TRUE)*(F1212-Calc!F26))+B1226)/100)</f>
        <v/>
      </c>
      <c r="N1202">
        <f>L1202*(1-MIN((Inputs!$B$9+((C1211=TRUE)*(F1211-Calc!F25))+B1219),100)/100)+M1202*(MIN((Inputs!$B$9+((C1211=TRUE)*(F1211-Calc!F25))+B1219),100)/100)</f>
        <v/>
      </c>
      <c r="O1202">
        <f>IF(C1202,Inputs!$B$38*0.2*N1202,0)</f>
        <v/>
      </c>
      <c r="P1202">
        <f>IF(B1231=0,0,O1202/B1231)</f>
        <v/>
      </c>
      <c r="Q1202" t="n">
        <v>0</v>
      </c>
      <c r="R1202" t="n">
        <v>0</v>
      </c>
      <c r="S1202">
        <f>IFERROR(O1202/N1202,0)</f>
        <v/>
      </c>
    </row>
    <row r="1203">
      <c r="A1203">
        <f>Skills!A17</f>
        <v/>
      </c>
      <c r="B1203">
        <f>Skills!B17</f>
        <v/>
      </c>
      <c r="C1203">
        <f>Inputs!$B$3&gt;=115</f>
        <v/>
      </c>
      <c r="D1203">
        <f>IF(Skills!C17=1,60+Inputs!$B$25+Inputs!$B$29,IF(Skills!C17=2,90+Inputs!$B$26+Inputs!$B$29,IF(Skills!C17=3,120+Inputs!$B$27+Inputs!$B$29,MAX(0,(Inputs!$B$3-100)*3)+Inputs!$B$28+Inputs!$B$29)))</f>
        <v/>
      </c>
      <c r="E1203">
        <f>INDEX(FactorTable!$B$2:$Y$301, MATCH(ROUND(MIN(300,MAX(1,D1203)),0), FactorTable!$A$2:$A$301,0), Skills!M17+1)</f>
        <v/>
      </c>
      <c r="F1203">
        <f>IF(Skills!N17=TRUE,(Skills!L17/10)*(E1203/1000),Skills!L17/10)+Skills!O17</f>
        <v/>
      </c>
      <c r="G1203">
        <f>Skills!G17*IF(Skills!H17&gt;0,Skills!I17/Skills!H17,1)</f>
        <v/>
      </c>
      <c r="H1203">
        <f>1-(1-Skills!J17/100)^Skills!K17</f>
        <v/>
      </c>
      <c r="I1203" t="inlineStr">
        <is>
          <t>1</t>
        </is>
      </c>
      <c r="J1203" t="inlineStr"/>
      <c r="K1203" t="inlineStr"/>
      <c r="L1203" t="inlineStr"/>
      <c r="M1203" t="inlineStr"/>
      <c r="N1203" t="inlineStr"/>
      <c r="O1203" t="n">
        <v>0</v>
      </c>
      <c r="P1203">
        <f>IF(B1231=0,0,O1203/B1231)</f>
        <v/>
      </c>
      <c r="Q1203" t="n">
        <v>0</v>
      </c>
      <c r="R1203" t="n">
        <v>0</v>
      </c>
      <c r="S1203">
        <f>IFERROR(O1203/N1203,0)</f>
        <v/>
      </c>
    </row>
    <row r="1204">
      <c r="A1204">
        <f>Skills!A18</f>
        <v/>
      </c>
      <c r="B1204">
        <f>Skills!B18</f>
        <v/>
      </c>
      <c r="C1204">
        <f>Inputs!$B$3&gt;=100</f>
        <v/>
      </c>
      <c r="D1204">
        <f>IF(Skills!C18=1,60+Inputs!$B$25+Inputs!$B$29,IF(Skills!C18=2,90+Inputs!$B$26+Inputs!$B$29,IF(Skills!C18=3,120+Inputs!$B$27+Inputs!$B$29,MAX(0,(Inputs!$B$3-100)*3)+Inputs!$B$28+Inputs!$B$29)))</f>
        <v/>
      </c>
      <c r="E1204">
        <f>INDEX(FactorTable!$B$2:$Y$301, MATCH(ROUND(MIN(300,MAX(1,D1204)),0), FactorTable!$A$2:$A$301,0), Skills!M18+1)</f>
        <v/>
      </c>
      <c r="F1204">
        <f>IF(Skills!N18=TRUE,(Skills!L18/10)*(E1204/1000),Skills!L18/10)+Skills!O18</f>
        <v/>
      </c>
      <c r="G1204">
        <f>Skills!G18*IF(Skills!H18&gt;0,Skills!I18/Skills!H18,1)</f>
        <v/>
      </c>
      <c r="H1204">
        <f>1-(1-Skills!J18/100)^Skills!K18</f>
        <v/>
      </c>
      <c r="I1204" t="inlineStr">
        <is>
          <t>1</t>
        </is>
      </c>
      <c r="J1204" t="inlineStr"/>
      <c r="K1204" t="inlineStr"/>
      <c r="L1204" t="inlineStr"/>
      <c r="M1204" t="inlineStr"/>
      <c r="N1204" t="inlineStr"/>
      <c r="O1204" t="n">
        <v>0</v>
      </c>
      <c r="P1204">
        <f>IF(B1231=0,0,O1204/B1231)</f>
        <v/>
      </c>
      <c r="Q1204" t="n">
        <v>0</v>
      </c>
      <c r="R1204" t="n">
        <v>0</v>
      </c>
      <c r="S1204">
        <f>IFERROR(O1204/N1204,0)</f>
        <v/>
      </c>
    </row>
    <row r="1205">
      <c r="A1205">
        <f>Skills!A19</f>
        <v/>
      </c>
      <c r="B1205">
        <f>Skills!B19</f>
        <v/>
      </c>
      <c r="C1205">
        <f>TRUE</f>
        <v/>
      </c>
      <c r="D1205">
        <f>IF(Skills!C19=1,60+Inputs!$B$25+Inputs!$B$29,IF(Skills!C19=2,90+Inputs!$B$26+Inputs!$B$29,IF(Skills!C19=3,120+Inputs!$B$27+Inputs!$B$29,MAX(0,(Inputs!$B$3-100)*3)+Inputs!$B$28+Inputs!$B$29)))</f>
        <v/>
      </c>
      <c r="E1205">
        <f>INDEX(FactorTable!$B$2:$Y$301, MATCH(ROUND(MIN(300,MAX(1,D1205)),0), FactorTable!$A$2:$A$301,0), Skills!M19+1)</f>
        <v/>
      </c>
      <c r="F1205">
        <f>IF(Skills!N19=TRUE,(Skills!L19/10)*(E1205/1000),Skills!L19/10)+Skills!O19</f>
        <v/>
      </c>
      <c r="G1205">
        <f>Skills!G19*IF(Skills!H19&gt;0,Skills!I19/Skills!H19,1)</f>
        <v/>
      </c>
      <c r="H1205">
        <f>1-(1-Skills!J19/100)^Skills!K19</f>
        <v/>
      </c>
      <c r="I1205" t="inlineStr">
        <is>
          <t>1</t>
        </is>
      </c>
      <c r="J1205" t="inlineStr"/>
      <c r="K1205" t="inlineStr"/>
      <c r="L1205" t="inlineStr"/>
      <c r="M1205" t="inlineStr"/>
      <c r="N1205" t="inlineStr"/>
      <c r="O1205" t="n">
        <v>0</v>
      </c>
      <c r="P1205">
        <f>IF(B1231=0,0,O1205/B1231)</f>
        <v/>
      </c>
      <c r="Q1205">
        <f>IFERROR(1/IF(Inputs!$B$39="pvp",15,MAX(0.1,Skills!D19-IF(Skills!E19=TRUE,Inputs!$B$32,0))),0)</f>
        <v/>
      </c>
      <c r="R1205">
        <f>IF(AND(Inputs!$B$39&lt;&gt;"pvp",Inputs!$B$44&gt;0),IF(Inputs!$B$44&lt;=0,0,(INT(Inputs!$B$44/IF(Inputs!$B$39="pvp",15,MAX(0.1,Skills!D19-IF(Skills!E19=TRUE,Inputs!$B$32,0))))+1)),0)</f>
        <v/>
      </c>
      <c r="S1205">
        <f>IFERROR(O1205/N1205,0)</f>
        <v/>
      </c>
    </row>
    <row r="1206">
      <c r="A1206">
        <f>Skills!A20</f>
        <v/>
      </c>
      <c r="B1206">
        <f>Skills!B20</f>
        <v/>
      </c>
      <c r="C1206">
        <f>Inputs!$B$3&gt;=15</f>
        <v/>
      </c>
      <c r="D1206">
        <f>IF(Skills!C20=1,60+Inputs!$B$25+Inputs!$B$29,IF(Skills!C20=2,90+Inputs!$B$26+Inputs!$B$29,IF(Skills!C20=3,120+Inputs!$B$27+Inputs!$B$29,MAX(0,(Inputs!$B$3-100)*3)+Inputs!$B$28+Inputs!$B$29)))</f>
        <v/>
      </c>
      <c r="E1206">
        <f>INDEX(FactorTable!$B$2:$Y$301, MATCH(ROUND(MIN(300,MAX(1,D1206)),0), FactorTable!$A$2:$A$301,0), Skills!M20+1)</f>
        <v/>
      </c>
      <c r="F1206">
        <f>IF(Skills!N20=TRUE,(Skills!L20/10)*(E1206/1000),Skills!L20/10)+Skills!O20</f>
        <v/>
      </c>
      <c r="G1206">
        <f>Skills!G20*IF(Skills!H20&gt;0,Skills!I20/Skills!H20,1)</f>
        <v/>
      </c>
      <c r="H1206">
        <f>1-(1-Skills!J20/100)^Skills!K20</f>
        <v/>
      </c>
      <c r="I1206" t="inlineStr">
        <is>
          <t>1</t>
        </is>
      </c>
      <c r="J1206" t="inlineStr"/>
      <c r="K1206" t="inlineStr"/>
      <c r="L1206" t="inlineStr"/>
      <c r="M1206" t="inlineStr"/>
      <c r="N1206" t="inlineStr"/>
      <c r="O1206" t="n">
        <v>0</v>
      </c>
      <c r="P1206">
        <f>IF(B1231=0,0,O1206/B1231)</f>
        <v/>
      </c>
      <c r="Q1206">
        <f>IFERROR(1/IF(Inputs!$B$39="pvp",15,MAX(0.1,Skills!D20-IF(Skills!E20=TRUE,Inputs!$B$32,0))),0)</f>
        <v/>
      </c>
      <c r="R1206">
        <f>IF(AND(Inputs!$B$39&lt;&gt;"pvp",Inputs!$B$44&gt;0),IF(Inputs!$B$44&lt;=0,0,(INT(Inputs!$B$44/IF(Inputs!$B$39="pvp",15,MAX(0.1,Skills!D20-IF(Skills!E20=TRUE,Inputs!$B$32,0))))+1)),0)</f>
        <v/>
      </c>
      <c r="S1206">
        <f>IFERROR(O1206/N1206,0)</f>
        <v/>
      </c>
    </row>
    <row r="1207">
      <c r="A1207">
        <f>Skills!A21</f>
        <v/>
      </c>
      <c r="B1207">
        <f>Skills!B21</f>
        <v/>
      </c>
      <c r="C1207">
        <f>Inputs!$B$3&gt;=15</f>
        <v/>
      </c>
      <c r="D1207">
        <f>IF(Skills!C21=1,60+Inputs!$B$25+Inputs!$B$29,IF(Skills!C21=2,90+Inputs!$B$26+Inputs!$B$29,IF(Skills!C21=3,120+Inputs!$B$27+Inputs!$B$29,MAX(0,(Inputs!$B$3-100)*3)+Inputs!$B$28+Inputs!$B$29)))</f>
        <v/>
      </c>
      <c r="E1207">
        <f>INDEX(FactorTable!$B$2:$Y$301, MATCH(ROUND(MIN(300,MAX(1,D1207)),0), FactorTable!$A$2:$A$301,0), Skills!M21+1)</f>
        <v/>
      </c>
      <c r="F1207">
        <f>IF(Skills!N21=TRUE,(Skills!L21/10)*(E1207/1000),Skills!L21/10)+Skills!O21</f>
        <v/>
      </c>
      <c r="G1207">
        <f>Skills!G21*IF(Skills!H21&gt;0,Skills!I21/Skills!H21,1)</f>
        <v/>
      </c>
      <c r="H1207">
        <f>1-(1-Skills!J21/100)^Skills!K21</f>
        <v/>
      </c>
      <c r="I1207" t="inlineStr">
        <is>
          <t>1</t>
        </is>
      </c>
      <c r="J1207" t="inlineStr"/>
      <c r="K1207" t="inlineStr"/>
      <c r="L1207" t="inlineStr"/>
      <c r="M1207" t="inlineStr"/>
      <c r="N1207" t="inlineStr"/>
      <c r="O1207" t="n">
        <v>0</v>
      </c>
      <c r="P1207">
        <f>IF(B1231=0,0,O1207/B1231)</f>
        <v/>
      </c>
      <c r="Q1207">
        <f>IFERROR(1/IF(Inputs!$B$39="pvp",15,MAX(0.1,Skills!D21-IF(Skills!E21=TRUE,Inputs!$B$32,0))),0)</f>
        <v/>
      </c>
      <c r="R1207">
        <f>IF(AND(Inputs!$B$39&lt;&gt;"pvp",Inputs!$B$44&gt;0),IF(Inputs!$B$44&lt;=0,0,(INT(Inputs!$B$44/IF(Inputs!$B$39="pvp",15,MAX(0.1,Skills!D21-IF(Skills!E21=TRUE,Inputs!$B$32,0))))+1)),0)</f>
        <v/>
      </c>
      <c r="S1207">
        <f>IFERROR(O1207/N1207,0)</f>
        <v/>
      </c>
    </row>
    <row r="1208">
      <c r="A1208">
        <f>Skills!A22</f>
        <v/>
      </c>
      <c r="B1208">
        <f>Skills!B22</f>
        <v/>
      </c>
      <c r="C1208">
        <f>Inputs!$B$3&gt;=33</f>
        <v/>
      </c>
      <c r="D1208">
        <f>IF(Skills!C22=1,60+Inputs!$B$25+Inputs!$B$29,IF(Skills!C22=2,90+Inputs!$B$26+Inputs!$B$29,IF(Skills!C22=3,120+Inputs!$B$27+Inputs!$B$29,MAX(0,(Inputs!$B$3-100)*3)+Inputs!$B$28+Inputs!$B$29)))</f>
        <v/>
      </c>
      <c r="E1208">
        <f>INDEX(FactorTable!$B$2:$Y$301, MATCH(ROUND(MIN(300,MAX(1,D1208)),0), FactorTable!$A$2:$A$301,0), Skills!M22+1)</f>
        <v/>
      </c>
      <c r="F1208">
        <f>IF(Skills!N22=TRUE,(Skills!L22/10)*(E1208/1000),Skills!L22/10)+Skills!O22</f>
        <v/>
      </c>
      <c r="G1208">
        <f>Skills!G22*IF(Skills!H22&gt;0,Skills!I22/Skills!H22,1)</f>
        <v/>
      </c>
      <c r="H1208">
        <f>1-(1-Skills!J22/100)^Skills!K22</f>
        <v/>
      </c>
      <c r="I1208" t="inlineStr">
        <is>
          <t>1</t>
        </is>
      </c>
      <c r="J1208" t="inlineStr"/>
      <c r="K1208" t="inlineStr"/>
      <c r="L1208" t="inlineStr"/>
      <c r="M1208" t="inlineStr"/>
      <c r="N1208" t="inlineStr"/>
      <c r="O1208" t="n">
        <v>0</v>
      </c>
      <c r="P1208">
        <f>IF(B1231=0,0,O1208/B1231)</f>
        <v/>
      </c>
      <c r="Q1208" t="n">
        <v>0</v>
      </c>
      <c r="R1208" t="n">
        <v>0</v>
      </c>
      <c r="S1208">
        <f>IFERROR(O1208/N1208,0)</f>
        <v/>
      </c>
    </row>
    <row r="1209">
      <c r="A1209">
        <f>Skills!A23</f>
        <v/>
      </c>
      <c r="B1209">
        <f>Skills!B23</f>
        <v/>
      </c>
      <c r="C1209">
        <f>Inputs!$B$3&gt;=40</f>
        <v/>
      </c>
      <c r="D1209">
        <f>IF(Skills!C23=1,60+Inputs!$B$25+Inputs!$B$29,IF(Skills!C23=2,90+Inputs!$B$26+Inputs!$B$29,IF(Skills!C23=3,120+Inputs!$B$27+Inputs!$B$29,MAX(0,(Inputs!$B$3-100)*3)+Inputs!$B$28+Inputs!$B$29)))</f>
        <v/>
      </c>
      <c r="E1209">
        <f>INDEX(FactorTable!$B$2:$Y$301, MATCH(ROUND(MIN(300,MAX(1,D1209)),0), FactorTable!$A$2:$A$301,0), Skills!M23+1)</f>
        <v/>
      </c>
      <c r="F1209">
        <f>IF(Skills!N23=TRUE,(Skills!L23/10)*(E1209/1000),Skills!L23/10)+Skills!O23</f>
        <v/>
      </c>
      <c r="G1209">
        <f>Skills!G23*IF(Skills!H23&gt;0,Skills!I23/Skills!H23,1)</f>
        <v/>
      </c>
      <c r="H1209">
        <f>1-(1-Skills!J23/100)^Skills!K23</f>
        <v/>
      </c>
      <c r="I1209" t="inlineStr">
        <is>
          <t>1</t>
        </is>
      </c>
      <c r="J1209" t="inlineStr"/>
      <c r="K1209" t="inlineStr"/>
      <c r="L1209" t="inlineStr"/>
      <c r="M1209" t="inlineStr"/>
      <c r="N1209" t="inlineStr"/>
      <c r="O1209" t="n">
        <v>0</v>
      </c>
      <c r="P1209">
        <f>IF(B1231=0,0,O1209/B1231)</f>
        <v/>
      </c>
      <c r="Q1209" t="n">
        <v>0</v>
      </c>
      <c r="R1209" t="n">
        <v>0</v>
      </c>
      <c r="S1209">
        <f>IFERROR(O1209/N1209,0)</f>
        <v/>
      </c>
    </row>
    <row r="1210">
      <c r="A1210">
        <f>Skills!A24</f>
        <v/>
      </c>
      <c r="B1210">
        <f>Skills!B24</f>
        <v/>
      </c>
      <c r="C1210">
        <f>Inputs!$B$3&gt;=43</f>
        <v/>
      </c>
      <c r="D1210">
        <f>IF(Skills!C24=1,60+Inputs!$B$25+Inputs!$B$29,IF(Skills!C24=2,90+Inputs!$B$26+Inputs!$B$29,IF(Skills!C24=3,120+Inputs!$B$27+Inputs!$B$29,MAX(0,(Inputs!$B$3-100)*3)+Inputs!$B$28+Inputs!$B$29)))</f>
        <v/>
      </c>
      <c r="E1210">
        <f>INDEX(FactorTable!$B$2:$Y$301, MATCH(ROUND(MIN(300,MAX(1,D1210)),0), FactorTable!$A$2:$A$301,0), Skills!M24+1)</f>
        <v/>
      </c>
      <c r="F1210">
        <f>IF(Skills!N24=TRUE,(Skills!L24/10)*(E1210/1000),Skills!L24/10)+Skills!O24</f>
        <v/>
      </c>
      <c r="G1210">
        <f>Skills!G24*IF(Skills!H24&gt;0,Skills!I24/Skills!H24,1)</f>
        <v/>
      </c>
      <c r="H1210">
        <f>1-(1-Skills!J24/100)^Skills!K24</f>
        <v/>
      </c>
      <c r="I1210" t="inlineStr">
        <is>
          <t>1</t>
        </is>
      </c>
      <c r="J1210" t="inlineStr"/>
      <c r="K1210" t="inlineStr"/>
      <c r="L1210" t="inlineStr"/>
      <c r="M1210" t="inlineStr"/>
      <c r="N1210" t="inlineStr"/>
      <c r="O1210" t="n">
        <v>0</v>
      </c>
      <c r="P1210">
        <f>IF(B1231=0,0,O1210/B1231)</f>
        <v/>
      </c>
      <c r="Q1210" t="n">
        <v>0</v>
      </c>
      <c r="R1210" t="n">
        <v>0</v>
      </c>
      <c r="S1210">
        <f>IFERROR(O1210/N1210,0)</f>
        <v/>
      </c>
    </row>
    <row r="1211">
      <c r="A1211">
        <f>Skills!A25</f>
        <v/>
      </c>
      <c r="B1211">
        <f>Skills!B25</f>
        <v/>
      </c>
      <c r="C1211">
        <f>Inputs!$B$3&gt;=50</f>
        <v/>
      </c>
      <c r="D1211">
        <f>IF(Skills!C25=1,60+Inputs!$B$25+Inputs!$B$29,IF(Skills!C25=2,90+Inputs!$B$26+Inputs!$B$29,IF(Skills!C25=3,120+Inputs!$B$27+Inputs!$B$29,MAX(0,(Inputs!$B$3-100)*3)+Inputs!$B$28+Inputs!$B$29)))</f>
        <v/>
      </c>
      <c r="E1211">
        <f>INDEX(FactorTable!$B$2:$Y$301, MATCH(ROUND(MIN(300,MAX(1,D1211)),0), FactorTable!$A$2:$A$301,0), Skills!M25+1)</f>
        <v/>
      </c>
      <c r="F1211">
        <f>IF(Skills!N25=TRUE,(Skills!L25/10)*(E1211/1000),Skills!L25/10)+Skills!O25</f>
        <v/>
      </c>
      <c r="G1211">
        <f>Skills!G25*IF(Skills!H25&gt;0,Skills!I25/Skills!H25,1)</f>
        <v/>
      </c>
      <c r="H1211">
        <f>1-(1-Skills!J25/100)^Skills!K25</f>
        <v/>
      </c>
      <c r="I1211" t="inlineStr">
        <is>
          <t>1</t>
        </is>
      </c>
      <c r="J1211" t="inlineStr"/>
      <c r="K1211" t="inlineStr"/>
      <c r="L1211" t="inlineStr"/>
      <c r="M1211" t="inlineStr"/>
      <c r="N1211" t="inlineStr"/>
      <c r="O1211" t="n">
        <v>0</v>
      </c>
      <c r="P1211">
        <f>IF(B1231=0,0,O1211/B1231)</f>
        <v/>
      </c>
      <c r="Q1211" t="n">
        <v>0</v>
      </c>
      <c r="R1211" t="n">
        <v>0</v>
      </c>
      <c r="S1211">
        <f>IFERROR(O1211/N1211,0)</f>
        <v/>
      </c>
    </row>
    <row r="1212">
      <c r="A1212">
        <f>Skills!A26</f>
        <v/>
      </c>
      <c r="B1212">
        <f>Skills!B26</f>
        <v/>
      </c>
      <c r="C1212">
        <f>Inputs!$B$3&gt;=50</f>
        <v/>
      </c>
      <c r="D1212">
        <f>IF(Skills!C26=1,60+Inputs!$B$25+Inputs!$B$29,IF(Skills!C26=2,90+Inputs!$B$26+Inputs!$B$29,IF(Skills!C26=3,120+Inputs!$B$27+Inputs!$B$29,MAX(0,(Inputs!$B$3-100)*3)+Inputs!$B$28+Inputs!$B$29)))</f>
        <v/>
      </c>
      <c r="E1212">
        <f>INDEX(FactorTable!$B$2:$Y$301, MATCH(ROUND(MIN(300,MAX(1,D1212)),0), FactorTable!$A$2:$A$301,0), Skills!M26+1)</f>
        <v/>
      </c>
      <c r="F1212">
        <f>IF(Skills!N26=TRUE,(Skills!L26/10)*(E1212/1000),Skills!L26/10)+Skills!O26</f>
        <v/>
      </c>
      <c r="G1212">
        <f>Skills!G26*IF(Skills!H26&gt;0,Skills!I26/Skills!H26,1)</f>
        <v/>
      </c>
      <c r="H1212">
        <f>1-(1-Skills!J26/100)^Skills!K26</f>
        <v/>
      </c>
      <c r="I1212" t="inlineStr">
        <is>
          <t>1</t>
        </is>
      </c>
      <c r="J1212" t="inlineStr"/>
      <c r="K1212" t="inlineStr"/>
      <c r="L1212" t="inlineStr"/>
      <c r="M1212" t="inlineStr"/>
      <c r="N1212" t="inlineStr"/>
      <c r="O1212" t="n">
        <v>0</v>
      </c>
      <c r="P1212">
        <f>IF(B1231=0,0,O1212/B1231)</f>
        <v/>
      </c>
      <c r="Q1212" t="n">
        <v>0</v>
      </c>
      <c r="R1212" t="n">
        <v>0</v>
      </c>
      <c r="S1212">
        <f>IFERROR(O1212/N1212,0)</f>
        <v/>
      </c>
    </row>
    <row r="1213">
      <c r="A1213">
        <f>Skills!A27</f>
        <v/>
      </c>
      <c r="B1213">
        <f>Skills!B27</f>
        <v/>
      </c>
      <c r="C1213">
        <f>Inputs!$B$3&gt;=38</f>
        <v/>
      </c>
      <c r="D1213">
        <f>IF(Skills!C27=1,60+Inputs!$B$25+Inputs!$B$29,IF(Skills!C27=2,90+Inputs!$B$26+Inputs!$B$29,IF(Skills!C27=3,120+Inputs!$B$27+Inputs!$B$29,MAX(0,(Inputs!$B$3-100)*3)+Inputs!$B$28+Inputs!$B$29)))</f>
        <v/>
      </c>
      <c r="E1213">
        <f>INDEX(FactorTable!$B$2:$Y$301, MATCH(ROUND(MIN(300,MAX(1,D1213)),0), FactorTable!$A$2:$A$301,0), Skills!M27+1)</f>
        <v/>
      </c>
      <c r="F1213">
        <f>IF(Skills!N27=TRUE,(Skills!L27/10)*(E1213/1000),Skills!L27/10)+Skills!O27</f>
        <v/>
      </c>
      <c r="G1213">
        <f>Skills!G27*IF(Skills!H27&gt;0,Skills!I27/Skills!H27,1)</f>
        <v/>
      </c>
      <c r="H1213">
        <f>1-(1-Skills!J27/100)^Skills!K27</f>
        <v/>
      </c>
      <c r="I1213" t="inlineStr">
        <is>
          <t>1</t>
        </is>
      </c>
      <c r="J1213" t="inlineStr"/>
      <c r="K1213" t="inlineStr"/>
      <c r="L1213" t="inlineStr"/>
      <c r="M1213" t="inlineStr"/>
      <c r="N1213" t="inlineStr"/>
      <c r="O1213" t="n">
        <v>0</v>
      </c>
      <c r="P1213">
        <f>IF(B1231=0,0,O1213/B1231)</f>
        <v/>
      </c>
      <c r="Q1213" t="n">
        <v>0</v>
      </c>
      <c r="R1213" t="n">
        <v>0</v>
      </c>
      <c r="S1213">
        <f>IFERROR(O1213/N1213,0)</f>
        <v/>
      </c>
    </row>
    <row r="1214">
      <c r="A1214">
        <f>Skills!A28</f>
        <v/>
      </c>
      <c r="B1214">
        <f>Skills!B28</f>
        <v/>
      </c>
      <c r="C1214">
        <f>Inputs!$B$3&gt;=120</f>
        <v/>
      </c>
      <c r="D1214">
        <f>IF(Skills!C28=1,60+Inputs!$B$25+Inputs!$B$29,IF(Skills!C28=2,90+Inputs!$B$26+Inputs!$B$29,IF(Skills!C28=3,120+Inputs!$B$27+Inputs!$B$29,MAX(0,(Inputs!$B$3-100)*3)+Inputs!$B$28+Inputs!$B$29)))</f>
        <v/>
      </c>
      <c r="E1214">
        <f>INDEX(FactorTable!$B$2:$Y$301, MATCH(ROUND(MIN(300,MAX(1,D1214)),0), FactorTable!$A$2:$A$301,0), Skills!M28+1)</f>
        <v/>
      </c>
      <c r="F1214">
        <f>IF(Skills!N28=TRUE,(Skills!L28/10)*(E1214/1000),Skills!L28/10)+Skills!O28</f>
        <v/>
      </c>
      <c r="G1214">
        <f>Skills!G28*IF(Skills!H28&gt;0,Skills!I28/Skills!H28,1)</f>
        <v/>
      </c>
      <c r="H1214">
        <f>1-(1-Skills!J28/100)^Skills!K28</f>
        <v/>
      </c>
      <c r="I1214" t="inlineStr">
        <is>
          <t>1</t>
        </is>
      </c>
      <c r="J1214" t="inlineStr"/>
      <c r="K1214" t="inlineStr"/>
      <c r="L1214" t="inlineStr"/>
      <c r="M1214" t="inlineStr"/>
      <c r="N1214" t="inlineStr"/>
      <c r="O1214" t="n">
        <v>0</v>
      </c>
      <c r="P1214">
        <f>IF(B1231=0,0,O1214/B1231)</f>
        <v/>
      </c>
      <c r="Q1214" t="n">
        <v>0</v>
      </c>
      <c r="R1214" t="n">
        <v>0</v>
      </c>
      <c r="S1214">
        <f>IFERROR(O1214/N1214,0)</f>
        <v/>
      </c>
    </row>
    <row r="1215">
      <c r="A1215">
        <f>Skills!A29</f>
        <v/>
      </c>
      <c r="B1215">
        <f>Skills!B29</f>
        <v/>
      </c>
      <c r="C1215">
        <f>Inputs!$B$3&gt;=120</f>
        <v/>
      </c>
      <c r="D1215">
        <f>IF(Skills!C29=1,60+Inputs!$B$25+Inputs!$B$29,IF(Skills!C29=2,90+Inputs!$B$26+Inputs!$B$29,IF(Skills!C29=3,120+Inputs!$B$27+Inputs!$B$29,MAX(0,(Inputs!$B$3-100)*3)+Inputs!$B$28+Inputs!$B$29)))</f>
        <v/>
      </c>
      <c r="E1215">
        <f>INDEX(FactorTable!$B$2:$Y$301, MATCH(ROUND(MIN(300,MAX(1,D1215)),0), FactorTable!$A$2:$A$301,0), Skills!M29+1)</f>
        <v/>
      </c>
      <c r="F1215">
        <f>IF(Skills!N29=TRUE,(Skills!L29/10)*(E1215/1000),Skills!L29/10)+Skills!O29</f>
        <v/>
      </c>
      <c r="G1215">
        <f>Skills!G29*IF(Skills!H29&gt;0,Skills!I29/Skills!H29,1)</f>
        <v/>
      </c>
      <c r="H1215">
        <f>1-(1-Skills!J29/100)^Skills!K29</f>
        <v/>
      </c>
      <c r="I1215" t="inlineStr">
        <is>
          <t>1</t>
        </is>
      </c>
      <c r="J1215" t="inlineStr"/>
      <c r="K1215" t="inlineStr"/>
      <c r="L1215" t="inlineStr"/>
      <c r="M1215" t="inlineStr"/>
      <c r="N1215" t="inlineStr"/>
      <c r="O1215" t="n">
        <v>0</v>
      </c>
      <c r="P1215">
        <f>IF(B1231=0,0,O1215/B1231)</f>
        <v/>
      </c>
      <c r="Q1215" t="n">
        <v>0</v>
      </c>
      <c r="R1215" t="n">
        <v>0</v>
      </c>
      <c r="S1215">
        <f>IFERROR(O1215/N1215,0)</f>
        <v/>
      </c>
    </row>
    <row r="1216">
      <c r="A1216">
        <f>Skills!A30</f>
        <v/>
      </c>
      <c r="B1216">
        <f>Skills!B30</f>
        <v/>
      </c>
      <c r="C1216">
        <f>Inputs!$B$3&gt;=125</f>
        <v/>
      </c>
      <c r="D1216">
        <f>IF(Skills!C30=1,60+Inputs!$B$25+Inputs!$B$29,IF(Skills!C30=2,90+Inputs!$B$26+Inputs!$B$29,IF(Skills!C30=3,120+Inputs!$B$27+Inputs!$B$29,MAX(0,(Inputs!$B$3-100)*3)+Inputs!$B$28+Inputs!$B$29)))</f>
        <v/>
      </c>
      <c r="E1216">
        <f>INDEX(FactorTable!$B$2:$Y$301, MATCH(ROUND(MIN(300,MAX(1,D1216)),0), FactorTable!$A$2:$A$301,0), Skills!M30+1)</f>
        <v/>
      </c>
      <c r="F1216">
        <f>IF(Skills!N30=TRUE,(Skills!L30/10)*(E1216/1000),Skills!L30/10)+Skills!O30</f>
        <v/>
      </c>
      <c r="G1216">
        <f>Skills!G30*IF(Skills!H30&gt;0,Skills!I30/Skills!H30,1)</f>
        <v/>
      </c>
      <c r="H1216">
        <f>1-(1-Skills!J30/100)^Skills!K30</f>
        <v/>
      </c>
      <c r="I1216" t="inlineStr">
        <is>
          <t>1</t>
        </is>
      </c>
      <c r="J1216" t="inlineStr"/>
      <c r="K1216" t="inlineStr"/>
      <c r="L1216" t="inlineStr"/>
      <c r="M1216" t="inlineStr"/>
      <c r="N1216" t="inlineStr"/>
      <c r="O1216" t="n">
        <v>0</v>
      </c>
      <c r="P1216">
        <f>IF(B1231=0,0,O1216/B1231)</f>
        <v/>
      </c>
      <c r="Q1216" t="n">
        <v>0</v>
      </c>
      <c r="R1216" t="n">
        <v>0</v>
      </c>
      <c r="S1216">
        <f>IFERROR(O1216/N1216,0)</f>
        <v/>
      </c>
    </row>
    <row r="1218">
      <c r="A1218" t="inlineStr">
        <is>
          <t>Average Buff Multiplier</t>
        </is>
      </c>
      <c r="B1218">
        <f>(1+(((C1207=TRUE)*F1207*IF(AND(Inputs!$B$39&lt;&gt;"pvp",Inputs!$B$44&gt;0),(((R1207-1)*(Skills!Y21*(1+Inputs!$B$34/100))+MIN((Skills!Y21*(1+Inputs!$B$34/100)),MAX(0,Inputs!$B$44-((R1207-1)*Skills!D21))))/Inputs!$B$44),IF(Inputs!$B$39="pvp",MIN((Skills!Y21*(1+Inputs!$B$34/100)),15)/15,(Skills!Y21*(1+Inputs!$B$34/100))/Skills!D21)))+((C1209=TRUE)*(F1209-Calc!F23))+((C1203=TRUE)*(F1203-Calc!F17)))/100)*(1+((C1196=TRUE)*F1196*IF(AND(Inputs!$B$39&lt;&gt;"pvp",Inputs!$B$44&gt;0),(((R1196-1)*(Skills!Y10*(1+Inputs!$B$34/100))+MIN((Skills!Y10*(1+Inputs!$B$34/100)),MAX(0,Inputs!$B$44-((R1196-1)*Skills!D10))))/Inputs!$B$44),IF(Inputs!$B$39="pvp",MIN((Skills!Y10*(1+Inputs!$B$34/100)),15)/15,(Skills!Y10*(1+Inputs!$B$34/100))/Skills!D10)))/100)*(1+((C1201=TRUE)*F1201*IF(AND(Inputs!$B$39&lt;&gt;"pvp",Inputs!$B$44&gt;0),(((R1201-1)*(Skills!Y15*(1+Inputs!$B$34/100))+MIN((Skills!Y15*(1+Inputs!$B$34/100)),MAX(0,Inputs!$B$44-((R1201-1)*Skills!D15))))/Inputs!$B$44),IF(Inputs!$B$39="pvp",MIN((Skills!Y15*(1+Inputs!$B$34/100)),15)/15,(Skills!Y15*(1+Inputs!$B$34/100))/Skills!D15)))/100)</f>
        <v/>
      </c>
    </row>
    <row r="1219">
      <c r="A1219" t="inlineStr">
        <is>
          <t>Global Crit Rate Bonus %</t>
        </is>
      </c>
      <c r="B1219">
        <f>((C1206=TRUE)*F1206*IF(AND(Inputs!$B$39&lt;&gt;"pvp",Inputs!$B$44&gt;0),(((R1206-1)*(Skills!Y20*(1+Inputs!$B$34/100))+MIN((Skills!Y20*(1+Inputs!$B$34/100)),MAX(0,Inputs!$B$44-((R1206-1)*Skills!D20))))/Inputs!$B$44),IF(Inputs!$B$39="pvp",MIN((Skills!Y20*(1+Inputs!$B$34/100)),15)/15,(Skills!Y20*(1+Inputs!$B$34/100))/Skills!D20)))</f>
        <v/>
      </c>
    </row>
    <row r="1220">
      <c r="A1220" t="inlineStr">
        <is>
          <t>Global Monster Damage-Taken Bonus %</t>
        </is>
      </c>
      <c r="B1220">
        <f>IF(Inputs!$B$3&gt;=82,15,0)</f>
        <v/>
      </c>
    </row>
    <row r="1221">
      <c r="A1221" t="inlineStr">
        <is>
          <t>Shadow Partner Average Multiplier</t>
        </is>
      </c>
      <c r="B1221">
        <f>1+((C1193=TRUE)*F1193*(1+3.3333333333333335*IF(C1204=TRUE,F1204,0)/100)*I1193*Skills!J7/100)/100</f>
        <v/>
      </c>
    </row>
    <row r="1222">
      <c r="A1222" t="inlineStr">
        <is>
          <t>Attack Speed Buff Bonus %</t>
        </is>
      </c>
      <c r="B1222">
        <f>((C1205=TRUE)*F1205*IF(AND(Inputs!$B$39&lt;&gt;"pvp",Inputs!$B$44&gt;0),(((R1205-1)*(Skills!Y19*(1+Inputs!$B$34/100))+MIN((Skills!Y19*(1+Inputs!$B$34/100)),MAX(0,Inputs!$B$44-((R1205-1)*Skills!D19))))/Inputs!$B$44),IF(Inputs!$B$39="pvp",MIN((Skills!Y19*(1+Inputs!$B$34/100)),15)/15,(Skills!Y19*(1+Inputs!$B$34/100))/Skills!D19)))+((C1189=TRUE)*F1189*3)</f>
        <v/>
      </c>
    </row>
    <row r="1223">
      <c r="A1223" t="inlineStr">
        <is>
          <t>Actions Per Second</t>
        </is>
      </c>
      <c r="B1223">
        <f>1+MIN(150,150*(1-(1-(Inputs!$B$11+((C1208=TRUE)*(F1208-Calc!F22)))/150)*(1-B1222/150)))/100</f>
        <v/>
      </c>
    </row>
    <row r="1224">
      <c r="A1224" t="inlineStr">
        <is>
          <t>Skill + Buff Cast Rate</t>
        </is>
      </c>
      <c r="B1224">
        <f>IF(AND(Inputs!$B$39&lt;&gt;"pvp",Inputs!$B$44&gt;0),SUMPRODUCT((Skills!E2:E30=TRUE)*(C1188:C1216=TRUE)*R1188:R1216*Skills!F2:F30)/Inputs!$B$44,SUMPRODUCT((Skills!E2:E30=TRUE)*(C1188:C1216=TRUE)*Q1188:Q1216*Skills!F2:F30))</f>
        <v/>
      </c>
    </row>
    <row r="1225">
      <c r="A1225" t="inlineStr">
        <is>
          <t>Cruel Stab Casts Per Second</t>
        </is>
      </c>
      <c r="B1225">
        <f>MAX(0,B1223-B1224)</f>
        <v/>
      </c>
    </row>
    <row r="1226">
      <c r="A1226" t="inlineStr">
        <is>
          <t>Global Critical Damage Bonus % (Smokescreen Mastery Lv.113)</t>
        </is>
      </c>
      <c r="B1226">
        <f>IF(Inputs!$B$3&gt;=113,30,0)*IF(AND(Inputs!$B$39&lt;&gt;"pvp",Inputs!$B$44&gt;0),(((R1201-1)*(Skills!Y15*(1+Inputs!$B$34/100))+MIN((Skills!Y15*(1+Inputs!$B$34/100)),MAX(0,Inputs!$B$44-((R1201-1)*Skills!D15))))/Inputs!$B$44),IF(Inputs!$B$39="pvp",MIN((Skills!Y15*(1+Inputs!$B$34/100)),15)/15,(Skills!Y15*(1+Inputs!$B$34/100))/Skills!D15))</f>
        <v/>
      </c>
    </row>
    <row r="1227">
      <c r="A1227" t="inlineStr">
        <is>
          <t>Meso Explosion average stack count</t>
        </is>
      </c>
      <c r="B1227">
        <f>MIN(10,0.5*B1223*Skills!D4)</f>
        <v/>
      </c>
    </row>
    <row r="1228">
      <c r="A1228" t="inlineStr">
        <is>
          <t>Blood Money average stack count</t>
        </is>
      </c>
      <c r="B1228">
        <f>MIN(5,0.25*B1223*Skills!D4)</f>
        <v/>
      </c>
    </row>
    <row r="1229">
      <c r="A1229" t="inlineStr">
        <is>
          <t>Assassinate Murderous Intent Multiplier</t>
        </is>
      </c>
      <c r="B1229">
        <f>1+IFERROR(MIN(1,Q1200*2/Q1197),0)</f>
        <v/>
      </c>
    </row>
    <row r="1230">
      <c r="A1230" t="inlineStr">
        <is>
          <t>Buff-Casting Startup Delay (s, fixed-duration only)</t>
        </is>
      </c>
      <c r="B1230">
        <f>IF(AND(Inputs!$B$39&lt;&gt;"pvp",Inputs!$B$44&gt;0),SUMPRODUCT((Skills!Y2:Y30&gt;0)*(Skills!E2:E30=TRUE)*(C1188:C1216=TRUE))/B1223,0)</f>
        <v/>
      </c>
    </row>
    <row r="1231">
      <c r="A1231" s="5" t="inlineStr">
        <is>
          <t>TOTAL DPS</t>
        </is>
      </c>
      <c r="B1231" s="5">
        <f>SUM(O1188:O1216)</f>
        <v/>
      </c>
    </row>
    <row r="1234">
      <c r="A1234" s="5" t="inlineStr">
        <is>
          <t>Stat: Buff Duration Increase %</t>
        </is>
      </c>
    </row>
    <row r="1235">
      <c r="A1235" s="9" t="inlineStr">
        <is>
          <t>Key</t>
        </is>
      </c>
      <c r="B1235" s="9" t="inlineStr">
        <is>
          <t>Name</t>
        </is>
      </c>
      <c r="C1235" s="9" t="inlineStr">
        <is>
          <t>Unlocked</t>
        </is>
      </c>
      <c r="D1235" s="9" t="inlineStr">
        <is>
          <t>InputLevel</t>
        </is>
      </c>
      <c r="E1235" s="9" t="inlineStr">
        <is>
          <t>Factor</t>
        </is>
      </c>
      <c r="F1235" s="9" t="inlineStr">
        <is>
          <t>CoefficientPercent</t>
        </is>
      </c>
      <c r="G1235" s="9" t="inlineStr">
        <is>
          <t>EffectiveHits</t>
        </is>
      </c>
      <c r="H1235" s="9" t="inlineStr">
        <is>
          <t>ProcProbability</t>
        </is>
      </c>
      <c r="I1235" s="9" t="inlineStr">
        <is>
          <t>MapleHeroMultiplier</t>
        </is>
      </c>
      <c r="J1235" s="9" t="inlineStr">
        <is>
          <t>BaseDamage</t>
        </is>
      </c>
      <c r="K1235" s="9" t="inlineStr">
        <is>
          <t>BaseHitDamage</t>
        </is>
      </c>
      <c r="L1235" s="9" t="inlineStr">
        <is>
          <t>NonCritAvg</t>
        </is>
      </c>
      <c r="M1235" s="9" t="inlineStr">
        <is>
          <t>CritAvg</t>
        </is>
      </c>
      <c r="N1235" s="9" t="inlineStr">
        <is>
          <t>ExpectedDamage(perHit)</t>
        </is>
      </c>
      <c r="O1235" s="9" t="inlineStr">
        <is>
          <t>DPS</t>
        </is>
      </c>
      <c r="P1235" s="9" t="inlineStr">
        <is>
          <t>% of Total</t>
        </is>
      </c>
      <c r="Q1235" s="9" t="inlineStr">
        <is>
          <t>InvCooldown</t>
        </is>
      </c>
      <c r="R1235" s="9" t="inlineStr">
        <is>
          <t>CastsInFight</t>
        </is>
      </c>
      <c r="S1235" s="9" t="inlineStr">
        <is>
          <t>HitRate(perSec)</t>
        </is>
      </c>
      <c r="U1235" t="inlineStr">
        <is>
          <t>helpers</t>
        </is>
      </c>
    </row>
    <row r="1236">
      <c r="A1236">
        <f>Skills!A2</f>
        <v/>
      </c>
      <c r="B1236">
        <f>Skills!B2</f>
        <v/>
      </c>
      <c r="C1236">
        <f>Inputs!$B$3&gt;=100</f>
        <v/>
      </c>
      <c r="D1236" t="inlineStr"/>
      <c r="E1236" t="inlineStr"/>
      <c r="F1236">
        <f>U1238+Skills!O2</f>
        <v/>
      </c>
      <c r="G1236">
        <f>Skills!G2*IF(Skills!H2&gt;0,Skills!I2/Skills!H2,1)</f>
        <v/>
      </c>
      <c r="H1236">
        <f>1-(1-Skills!J2/100)^Skills!K2</f>
        <v/>
      </c>
      <c r="I1236" t="inlineStr">
        <is>
          <t>1</t>
        </is>
      </c>
      <c r="J1236">
        <f>((Inputs!$B$6*(1+Inputs!$B$7/100))+(((Inputs!$B$12*(1+Inputs!$B$13/100))-(Inputs!$B$12*(1+Inputs!$B$13/100)))+0.25*(Inputs!$B$14-Inputs!$B$14))*(1+Inputs!$B$7/100))*(F1236/100)</f>
        <v/>
      </c>
      <c r="K1236">
        <f>J1236*(1+((Inputs!$B$12*(1+Inputs!$B$13/100))*0.01+Inputs!$B$14*0.0025)/100)*(1+Inputs!$B$15/100)*(1+IF(Inputs!$B$39="pvp",0,(1-Summary!$B$55)*(Inputs!$B$20+0+Skills!P2+B1268)+Summary!$B$55*(Inputs!$B$21+Skills!Q2+B1268))/100)*(1+Inputs!$B$16/100)*(5000/(6000+Inputs!$B$43*(1-Inputs!$B$19/100)))*(1+(Inputs!$B$24+((C1264=TRUE)*(F1264-Calc!F30)))/100)*(1+(IF(Skills!A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1236)</f>
        <v/>
      </c>
      <c r="L1236">
        <f>K1236*(MIN(Inputs!$B$22+((C1258=TRUE)*(F1258-Calc!F24)),Inputs!$B$23+((C1263=TRUE)*(F1263-Calc!F29)))/100+(Inputs!$B$23+((C1263=TRUE)*(F1263-Calc!F29)))/100)/2</f>
        <v/>
      </c>
      <c r="M1236">
        <f>L1236*(1+(Inputs!$B$10+((C1260=TRUE)*(F1260-Calc!F26))+B1274)/100)</f>
        <v/>
      </c>
      <c r="N1236">
        <f>L1236*(1-MIN((Inputs!$B$9+((C1259=TRUE)*(F1259-Calc!F25))+B1267),100)/100)+M1236*(MIN((Inputs!$B$9+((C1259=TRUE)*(F1259-Calc!F25))+B1267),100)/100)</f>
        <v/>
      </c>
      <c r="O1236">
        <f>IF(C1236,Skills!G2*N1236*B1273*IF(Inputs!$B$39="pvp",1,(1-Summary!$B$55)*(1)+Summary!$B$55*(MIN((6+Inputs!$B$33),Inputs!$B$37))),0)</f>
        <v/>
      </c>
      <c r="P1236">
        <f>IF(B1279=0,0,O1236/B1279)</f>
        <v/>
      </c>
      <c r="Q1236" t="n">
        <v>0</v>
      </c>
      <c r="R1236" t="n">
        <v>0</v>
      </c>
      <c r="S1236">
        <f>IFERROR(O1236/N1236,0)</f>
        <v/>
      </c>
      <c r="U1236">
        <f>MAX(0,(Inputs!$B$3-100)*3)+Inputs!$B$28+Inputs!$B$29</f>
        <v/>
      </c>
    </row>
    <row r="1237">
      <c r="A1237">
        <f>Skills!A3</f>
        <v/>
      </c>
      <c r="B1237">
        <f>Skills!B3</f>
        <v/>
      </c>
      <c r="C1237">
        <f>Inputs!$B$3&gt;=35</f>
        <v/>
      </c>
      <c r="D1237">
        <f>IF(Skills!C3=1,60+Inputs!$B$25+Inputs!$B$29,IF(Skills!C3=2,90+Inputs!$B$26+Inputs!$B$29,IF(Skills!C3=3,120+Inputs!$B$27+Inputs!$B$29,MAX(0,(Inputs!$B$3-100)*3)+Inputs!$B$28+Inputs!$B$29)))</f>
        <v/>
      </c>
      <c r="E1237">
        <f>INDEX(FactorTable!$B$2:$Y$301, MATCH(ROUND(MIN(300,MAX(1,D1237)),0), FactorTable!$A$2:$A$301,0), Skills!M3+1)</f>
        <v/>
      </c>
      <c r="F1237">
        <f>IF(Skills!N3=TRUE,(Skills!L3/10)*(E1237/1000),Skills!L3/10)+Skills!O3</f>
        <v/>
      </c>
      <c r="G1237">
        <f>Skills!G3*IF(Skills!H3&gt;0,Skills!I3/Skills!H3,1)</f>
        <v/>
      </c>
      <c r="H1237">
        <f>1-(1-Skills!J3/100)^Skills!K3</f>
        <v/>
      </c>
      <c r="I1237" t="inlineStr">
        <is>
          <t>1</t>
        </is>
      </c>
      <c r="J1237" t="inlineStr"/>
      <c r="K1237" t="inlineStr"/>
      <c r="L1237" t="inlineStr"/>
      <c r="M1237" t="inlineStr"/>
      <c r="N1237" t="inlineStr"/>
      <c r="O1237" t="n">
        <v>0</v>
      </c>
      <c r="P1237">
        <f>IF(B1279=0,0,O1237/B1279)</f>
        <v/>
      </c>
      <c r="Q1237" t="n">
        <v>0</v>
      </c>
      <c r="R1237" t="n">
        <v>0</v>
      </c>
      <c r="S1237">
        <f>IFERROR(O1237/N1237,0)</f>
        <v/>
      </c>
      <c r="U1237">
        <f>INDEX(FactorTable!$B$2:$Y$301, MATCH(ROUND(MIN(300,MAX(1,U1236)),0), FactorTable!$A$2:$A$301,0), 22)</f>
        <v/>
      </c>
    </row>
    <row r="1238">
      <c r="A1238">
        <f>Skills!A4</f>
        <v/>
      </c>
      <c r="B1238">
        <f>Skills!B4</f>
        <v/>
      </c>
      <c r="C1238">
        <f>Inputs!$B$3&gt;=66</f>
        <v/>
      </c>
      <c r="D1238">
        <f>IF(Skills!C4=1,60+Inputs!$B$25+Inputs!$B$29,IF(Skills!C4=2,90+Inputs!$B$26+Inputs!$B$29,IF(Skills!C4=3,120+Inputs!$B$27+Inputs!$B$29,MAX(0,(Inputs!$B$3-100)*3)+Inputs!$B$28+Inputs!$B$29)))</f>
        <v/>
      </c>
      <c r="E1238">
        <f>INDEX(FactorTable!$B$2:$Y$301, MATCH(ROUND(MIN(300,MAX(1,D1238)),0), FactorTable!$A$2:$A$301,0), Skills!M4+1)</f>
        <v/>
      </c>
      <c r="F1238">
        <f>IF(Skills!N4=TRUE,(Skills!L4/10)*(E1238/1000),Skills!L4/10)+Skills!O4</f>
        <v/>
      </c>
      <c r="G1238">
        <f>Skills!G4*IF(Skills!H4&gt;0,Skills!I4/Skills!H4,1)</f>
        <v/>
      </c>
      <c r="H1238">
        <f>1-(1-Skills!J4/100)^Skills!K4</f>
        <v/>
      </c>
      <c r="I1238" t="inlineStr">
        <is>
          <t>1</t>
        </is>
      </c>
      <c r="J1238">
        <f>((Inputs!$B$6*(1+Inputs!$B$7/100))+(((Inputs!$B$12*(1+Inputs!$B$13/100))-(Inputs!$B$12*(1+Inputs!$B$13/100)))+0.25*(Inputs!$B$14-Inputs!$B$14))*(1+Inputs!$B$7/100))*(F1238/100)</f>
        <v/>
      </c>
      <c r="K1238">
        <f>J1238*(1+((Inputs!$B$12*(1+Inputs!$B$13/100))*0.01+Inputs!$B$14*0.0025)/100)*(1+Inputs!$B$15/100)*(1+IF(Inputs!$B$39="pvp",0,(1-Summary!$B$55)*(Inputs!$B$20+0+Skills!P4+B1268)+Summary!$B$55*(Inputs!$B$21+Skills!Q4+B1268))/100)*(1+Inputs!$B$16/100)*(5000/(6000+Inputs!$B$43*(1-Inputs!$B$19/100)))*(1+(Inputs!$B$24+((C1264=TRUE)*(F1264-Calc!F30)))/100)*(1+(IF(Skills!A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1238)</f>
        <v/>
      </c>
      <c r="L1238">
        <f>K1238*(MIN(Inputs!$B$22+((C1258=TRUE)*(F1258-Calc!F24)),Inputs!$B$23+((C1263=TRUE)*(F1263-Calc!F29)))/100+(Inputs!$B$23+((C1263=TRUE)*(F1263-Calc!F29)))/100)/2</f>
        <v/>
      </c>
      <c r="M1238">
        <f>L1238*(1+(Inputs!$B$10+((C1260=TRUE)*(F1260-Calc!F26))+B1274)/100)</f>
        <v/>
      </c>
      <c r="N1238">
        <f>L1238*(1-MIN((Inputs!$B$9+((C1259=TRUE)*(F1259-Calc!F25))+B1267),100)/100)+M1238*(MIN((Inputs!$B$9+((C1259=TRUE)*(F1259-Calc!F25))+B1267),100)/100)</f>
        <v/>
      </c>
      <c r="O1238">
        <f>IF(C1238,H1238*N1238*IF(AND(Inputs!$B$39&lt;&gt;"pvp",Inputs!$B$44&gt;0),((Skills!G4*((R1238-1)*IF(Skills!H4&gt;0,Skills!I4/Skills!H4,1)+IF(Skills!H4&gt;0,MIN(Skills!I4,MAX(0,MAX(0,Inputs!$B$44-B1278)-((R1238-1)*IF(Inputs!$B$39="pvp",15,MAX(0.1,Skills!D4-IF(Skills!E4=TRUE,Inputs!$B$32,0))))))/Skills!H4,1)))/Inputs!$B$44),G1238*Q1238)*IF(Inputs!$B$39="pvp",1,(1-Summary!$B$55)*(1)+Summary!$B$55*(MIN(MIN(10,0.5*B1271*Skills!D4),Inputs!$B$37))),0)</f>
        <v/>
      </c>
      <c r="P1238">
        <f>IF(B1279=0,0,O1238/B1279)</f>
        <v/>
      </c>
      <c r="Q1238">
        <f>IFERROR(1/IF(Inputs!$B$39="pvp",15,MAX(0.1,Skills!D4-IF(Skills!E4=TRUE,Inputs!$B$32,0))),0)</f>
        <v/>
      </c>
      <c r="R1238">
        <f>IF(AND(Inputs!$B$39&lt;&gt;"pvp",Inputs!$B$44&gt;0),IF(MAX(0,Inputs!$B$44-B1278)&lt;=0,0,(INT(MAX(0,Inputs!$B$44-B1278)/IF(Inputs!$B$39="pvp",15,MAX(0.1,Skills!D4-IF(Skills!E4=TRUE,Inputs!$B$32,0))))+1)),0)</f>
        <v/>
      </c>
      <c r="S1238">
        <f>IFERROR(O1238/N1238,0)</f>
        <v/>
      </c>
      <c r="U1238">
        <f>290*U1237/1000</f>
        <v/>
      </c>
    </row>
    <row r="1239">
      <c r="A1239">
        <f>Skills!A5</f>
        <v/>
      </c>
      <c r="B1239">
        <f>Skills!B5</f>
        <v/>
      </c>
      <c r="C1239">
        <f>Inputs!$B$3&gt;=63</f>
        <v/>
      </c>
      <c r="D1239">
        <f>IF(Skills!C5=1,60+Inputs!$B$25+Inputs!$B$29,IF(Skills!C5=2,90+Inputs!$B$26+Inputs!$B$29,IF(Skills!C5=3,120+Inputs!$B$27+Inputs!$B$29,MAX(0,(Inputs!$B$3-100)*3)+Inputs!$B$28+Inputs!$B$29)))</f>
        <v/>
      </c>
      <c r="E1239">
        <f>INDEX(FactorTable!$B$2:$Y$301, MATCH(ROUND(MIN(300,MAX(1,D1239)),0), FactorTable!$A$2:$A$301,0), Skills!M5+1)</f>
        <v/>
      </c>
      <c r="F1239">
        <f>IF(Skills!N5=TRUE,(Skills!L5/10)*(E1239/1000),Skills!L5/10)+Skills!O5</f>
        <v/>
      </c>
      <c r="G1239">
        <f>Skills!G5*IF(Skills!H5&gt;0,Skills!I5/Skills!H5,1)</f>
        <v/>
      </c>
      <c r="H1239">
        <f>1-(1-Skills!J5/100)^Skills!K5</f>
        <v/>
      </c>
      <c r="I1239" t="inlineStr">
        <is>
          <t>1</t>
        </is>
      </c>
      <c r="J1239">
        <f>((Inputs!$B$6*(1+Inputs!$B$7/100))+(((Inputs!$B$12*(1+Inputs!$B$13/100))-(Inputs!$B$12*(1+Inputs!$B$13/100)))+0.25*(Inputs!$B$14-Inputs!$B$14))*(1+Inputs!$B$7/100))*(F1239/100)</f>
        <v/>
      </c>
      <c r="K1239">
        <f>J1239*(1+((Inputs!$B$12*(1+Inputs!$B$13/100))*0.01+Inputs!$B$14*0.0025)/100)*(1+Inputs!$B$15/100)*(1+IF(Inputs!$B$39="pvp",0,(1-Summary!$B$55)*(Inputs!$B$20+0+Skills!P5+B1268)+Summary!$B$55*(Inputs!$B$21+Skills!Q5+B1268))/100)*(1+Inputs!$B$16/100)*(5000/(6000+Inputs!$B$43*(1-Inputs!$B$19/100)))*(1+(Inputs!$B$24+((C1264=TRUE)*(F1264-Calc!F30)))/100)*(1+2.6666666666666665*IF(C1252=TRUE,F1252,0)/100)*(1+(IF(Skills!A5="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1239)</f>
        <v/>
      </c>
      <c r="L1239">
        <f>K1239*(MIN(Inputs!$B$22+((C1258=TRUE)*(F1258-Calc!F24)),Inputs!$B$23+((C1263=TRUE)*(F1263-Calc!F29)))/100+(Inputs!$B$23+((C1263=TRUE)*(F1263-Calc!F29)))/100)/2</f>
        <v/>
      </c>
      <c r="M1239">
        <f>L1239*(1+(Inputs!$B$10+((C1260=TRUE)*(F1260-Calc!F26))+B1274)/100)</f>
        <v/>
      </c>
      <c r="N1239">
        <f>L1239*(1-MIN((Inputs!$B$9+((C1259=TRUE)*(F1259-Calc!F25))+B1267),100)/100)+M1239*(MIN((Inputs!$B$9+((C1259=TRUE)*(F1259-Calc!F25))+B1267),100)/100)</f>
        <v/>
      </c>
      <c r="O1239">
        <f>IF(C1239,H1239*N1239*IF(AND(Inputs!$B$39&lt;&gt;"pvp",Inputs!$B$44&gt;0),((Skills!G5*((R1239-1)*IF(Skills!H5&gt;0,Skills!I5/Skills!H5,1)+IF(Skills!H5&gt;0,MIN(Skills!I5,MAX(0,MAX(0,Inputs!$B$44-B1278)-((R1239-1)*IF(Inputs!$B$39="pvp",15,MAX(0.1,Skills!D5-IF(Skills!E5=TRUE,Inputs!$B$32,0))))))/Skills!H5,1)))/Inputs!$B$44),G1239*Q1239)*IF(Inputs!$B$39="pvp",1,(1-Summary!$B$55)*(1)+Summary!$B$55*(MIN(Skills!W5,Inputs!$B$37))),0)</f>
        <v/>
      </c>
      <c r="P1239">
        <f>IF(B1279=0,0,O1239/B1279)</f>
        <v/>
      </c>
      <c r="Q1239">
        <f>IFERROR(1/IF(Inputs!$B$39="pvp",15,MAX(0.1,Skills!D5-IF(Skills!E5=TRUE,Inputs!$B$32,0))),0)</f>
        <v/>
      </c>
      <c r="R1239">
        <f>IF(AND(Inputs!$B$39&lt;&gt;"pvp",Inputs!$B$44&gt;0),IF(MAX(0,Inputs!$B$44-B1278)&lt;=0,0,(INT(MAX(0,Inputs!$B$44-B1278)/IF(Inputs!$B$39="pvp",15,MAX(0.1,Skills!D5-IF(Skills!E5=TRUE,Inputs!$B$32,0))))+1)),0)</f>
        <v/>
      </c>
      <c r="S1239">
        <f>IFERROR(O1239/N1239,0)</f>
        <v/>
      </c>
    </row>
    <row r="1240">
      <c r="A1240">
        <f>Skills!A6</f>
        <v/>
      </c>
      <c r="B1240">
        <f>Skills!B6</f>
        <v/>
      </c>
      <c r="C1240">
        <f>Inputs!$B$3&gt;=69</f>
        <v/>
      </c>
      <c r="D1240">
        <f>IF(Skills!C6=1,60+Inputs!$B$25+Inputs!$B$29,IF(Skills!C6=2,90+Inputs!$B$26+Inputs!$B$29,IF(Skills!C6=3,120+Inputs!$B$27+Inputs!$B$29,MAX(0,(Inputs!$B$3-100)*3)+Inputs!$B$28+Inputs!$B$29)))</f>
        <v/>
      </c>
      <c r="E1240">
        <f>INDEX(FactorTable!$B$2:$Y$301, MATCH(ROUND(MIN(300,MAX(1,D1240)),0), FactorTable!$A$2:$A$301,0), Skills!M6+1)</f>
        <v/>
      </c>
      <c r="F1240">
        <f>IF(Skills!N6=TRUE,(Skills!L6/10)*(E1240/1000),Skills!L6/10)+Skills!O6</f>
        <v/>
      </c>
      <c r="G1240">
        <f>Skills!G6*IF(Skills!H6&gt;0,Skills!I6/Skills!H6,1)</f>
        <v/>
      </c>
      <c r="H1240">
        <f>1-(1-Skills!J6/100)^Skills!K6</f>
        <v/>
      </c>
      <c r="I1240" t="inlineStr">
        <is>
          <t>1</t>
        </is>
      </c>
      <c r="J1240">
        <f>((Inputs!$B$6*(1+Inputs!$B$7/100))+(((Inputs!$B$12*(1+Inputs!$B$13/100))-(Inputs!$B$12*(1+Inputs!$B$13/100)))+0.25*(Inputs!$B$14-Inputs!$B$14))*(1+Inputs!$B$7/100))*(F1240/100)</f>
        <v/>
      </c>
      <c r="K1240">
        <f>J1240*(1+((Inputs!$B$12*(1+Inputs!$B$13/100))*0.01+Inputs!$B$14*0.0025)/100)*(1+Inputs!$B$15/100)*(1+IF(Inputs!$B$39="pvp",0,(1-Summary!$B$55)*(Inputs!$B$20+0+Skills!P6+B1268)+Summary!$B$55*(Inputs!$B$21+Skills!Q6+B1268))/100)*(1+Inputs!$B$16/100)*(5000/(6000+Inputs!$B$43*(1-Inputs!$B$19/100)))*(1+(Inputs!$B$24+((C1264=TRUE)*(F1264-Calc!F30)))/100)*(1+1.0*IF(C1252=TRUE,F1252,0)/100)*(1+(IF(Skills!A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1240)</f>
        <v/>
      </c>
      <c r="L1240">
        <f>K1240*(MIN(Inputs!$B$22+((C1258=TRUE)*(F1258-Calc!F24)),Inputs!$B$23+((C1263=TRUE)*(F1263-Calc!F29)))/100+(Inputs!$B$23+((C1263=TRUE)*(F1263-Calc!F29)))/100)/2</f>
        <v/>
      </c>
      <c r="M1240">
        <f>L1240*(1+(Inputs!$B$10+((C1260=TRUE)*(F1260-Calc!F26))+B1274)/100)</f>
        <v/>
      </c>
      <c r="N1240">
        <f>L1240*(1-MIN((Inputs!$B$9+((C1259=TRUE)*(F1259-Calc!F25))+B1267),100)/100)+M1240*(MIN((Inputs!$B$9+((C1259=TRUE)*(F1259-Calc!F25))+B1267),100)/100)</f>
        <v/>
      </c>
      <c r="O1240">
        <f>IF(C1240,H1240*N1240*IF(AND(Inputs!$B$39&lt;&gt;"pvp",Inputs!$B$44&gt;0),((Skills!G6*((R1240-1)*IF(Skills!H6&gt;0,Skills!I6/Skills!H6,1)+IF(Skills!H6&gt;0,MIN(Skills!I6,MAX(0,MAX(0,Inputs!$B$44-B1278)-((R1240-1)*IF(Inputs!$B$39="pvp",15,MAX(0.1,Skills!D6-IF(Skills!E6=TRUE,Inputs!$B$32,0))))))/Skills!H6,1)))/Inputs!$B$44),G1240*Q1240)*IF(Inputs!$B$39="pvp",1,(1-Summary!$B$55)*(1)+Summary!$B$55*(MIN(Skills!W6,Inputs!$B$37))),0)</f>
        <v/>
      </c>
      <c r="P1240">
        <f>IF(B1279=0,0,O1240/B1279)</f>
        <v/>
      </c>
      <c r="Q1240">
        <f>IFERROR(1/IF(Inputs!$B$39="pvp",15,MAX(0.1,Skills!D6-IF(Skills!E6=TRUE,Inputs!$B$32,0))),0)</f>
        <v/>
      </c>
      <c r="R1240">
        <f>IF(AND(Inputs!$B$39&lt;&gt;"pvp",Inputs!$B$44&gt;0),IF(MAX(0,Inputs!$B$44-B1278)&lt;=0,0,(INT(MAX(0,Inputs!$B$44-B1278)/IF(Inputs!$B$39="pvp",15,MAX(0.1,Skills!D6-IF(Skills!E6=TRUE,Inputs!$B$32,0))))+1)),0)</f>
        <v/>
      </c>
      <c r="S1240">
        <f>IFERROR(O1240/N1240,0)</f>
        <v/>
      </c>
    </row>
    <row r="1241">
      <c r="A1241">
        <f>Skills!A7</f>
        <v/>
      </c>
      <c r="B1241">
        <f>Skills!B7</f>
        <v/>
      </c>
      <c r="C1241">
        <f>Inputs!$B$3&gt;=60</f>
        <v/>
      </c>
      <c r="D1241">
        <f>IF(Skills!C7=1,60+Inputs!$B$25+Inputs!$B$29,IF(Skills!C7=2,90+Inputs!$B$26+Inputs!$B$29,IF(Skills!C7=3,120+Inputs!$B$27+Inputs!$B$29,MAX(0,(Inputs!$B$3-100)*3)+Inputs!$B$28+Inputs!$B$29)))</f>
        <v/>
      </c>
      <c r="E1241">
        <f>INDEX(FactorTable!$B$2:$Y$301, MATCH(ROUND(MIN(300,MAX(1,D1241)),0), FactorTable!$A$2:$A$301,0), Skills!M7+1)</f>
        <v/>
      </c>
      <c r="F1241">
        <f>IF(Skills!N7=TRUE,(Skills!L7/10)*(E1241/1000),Skills!L7/10)+Skills!O7</f>
        <v/>
      </c>
      <c r="G1241">
        <f>Skills!G7*IF(Skills!H7&gt;0,Skills!I7/Skills!H7,1)</f>
        <v/>
      </c>
      <c r="H1241">
        <f>1-(1-Skills!J7/100)^Skills!K7</f>
        <v/>
      </c>
      <c r="I1241" t="inlineStr">
        <is>
          <t>1</t>
        </is>
      </c>
      <c r="J1241" t="inlineStr"/>
      <c r="K1241" t="inlineStr"/>
      <c r="L1241" t="inlineStr"/>
      <c r="M1241" t="inlineStr"/>
      <c r="N1241" t="inlineStr"/>
      <c r="O1241" t="n">
        <v>0</v>
      </c>
      <c r="P1241">
        <f>IF(B1279=0,0,O1241/B1279)</f>
        <v/>
      </c>
      <c r="Q1241" t="n">
        <v>0</v>
      </c>
      <c r="R1241" t="n">
        <v>0</v>
      </c>
      <c r="S1241">
        <f>IFERROR(O1241/N1241,0)</f>
        <v/>
      </c>
    </row>
    <row r="1242">
      <c r="A1242">
        <f>Skills!A8</f>
        <v/>
      </c>
      <c r="B1242">
        <f>Skills!B8</f>
        <v/>
      </c>
      <c r="C1242">
        <f>Inputs!$B$3&gt;=72</f>
        <v/>
      </c>
      <c r="D1242">
        <f>IF(Skills!C8=1,60+Inputs!$B$25+Inputs!$B$29,IF(Skills!C8=2,90+Inputs!$B$26+Inputs!$B$29,IF(Skills!C8=3,120+Inputs!$B$27+Inputs!$B$29,MAX(0,(Inputs!$B$3-100)*3)+Inputs!$B$28+Inputs!$B$29)))</f>
        <v/>
      </c>
      <c r="E1242">
        <f>INDEX(FactorTable!$B$2:$Y$301, MATCH(ROUND(MIN(300,MAX(1,D1242)),0), FactorTable!$A$2:$A$301,0), Skills!M8+1)</f>
        <v/>
      </c>
      <c r="F1242">
        <f>IF(Skills!N8=TRUE,(Skills!L8/10)*(E1242/1000),Skills!L8/10)+Skills!O8</f>
        <v/>
      </c>
      <c r="G1242">
        <f>Skills!G8*IF(Skills!H8&gt;0,Skills!I8/Skills!H8,1)</f>
        <v/>
      </c>
      <c r="H1242">
        <f>1-(1-Skills!J8/100)^Skills!K8</f>
        <v/>
      </c>
      <c r="I1242" t="inlineStr">
        <is>
          <t>1</t>
        </is>
      </c>
      <c r="J1242">
        <f>((Inputs!$B$6*(1+Inputs!$B$7/100))+(((Inputs!$B$12*(1+Inputs!$B$13/100))-(Inputs!$B$12*(1+Inputs!$B$13/100)))+0.25*(Inputs!$B$14-Inputs!$B$14))*(1+Inputs!$B$7/100))*(F1242/100)</f>
        <v/>
      </c>
      <c r="K1242">
        <f>J1242*(1+((Inputs!$B$12*(1+Inputs!$B$13/100))*0.01+Inputs!$B$14*0.0025)/100)*(1+Inputs!$B$15/100)*(1+IF(Inputs!$B$39="pvp",0,(1-Summary!$B$55)*(Inputs!$B$20+0+Skills!P8+B1268)+Summary!$B$55*(Inputs!$B$21+Skills!Q8+B1268))/100)*(1+Inputs!$B$16/100)*(5000/(6000+Inputs!$B$43*(1-Inputs!$B$19/100)))*(1+(Inputs!$B$24+((C1264=TRUE)*(F1264-Calc!F30)))/100)*(1+3.3333333333333335*IF(C1252=TRUE,F1252,0)/100)*(1+(IF(Skills!A8="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1242)</f>
        <v/>
      </c>
      <c r="L1242">
        <f>K1242*(MIN(Inputs!$B$22+((C1258=TRUE)*(F1258-Calc!F24)),Inputs!$B$23+((C1263=TRUE)*(F1263-Calc!F29)))/100+(Inputs!$B$23+((C1263=TRUE)*(F1263-Calc!F29)))/100)/2</f>
        <v/>
      </c>
      <c r="M1242">
        <f>L1242*(1+(Inputs!$B$10+((C1260=TRUE)*(F1260-Calc!F26))+B1274)/100)</f>
        <v/>
      </c>
      <c r="N1242">
        <f>L1242*(1-MIN((Inputs!$B$9+((C1259=TRUE)*(F1259-Calc!F25))+B1267),100)/100)+M1242*(MIN((Inputs!$B$9+((C1259=TRUE)*(F1259-Calc!F25))+B1267),100)/100)</f>
        <v/>
      </c>
      <c r="O1242">
        <f>IF(C1242,H1242*N1242*IF(AND(Inputs!$B$39&lt;&gt;"pvp",Inputs!$B$44&gt;0),((Skills!G8*((R1242-1)*IF(Skills!H8&gt;0,Skills!I8/Skills!H8,1)+IF(Skills!H8&gt;0,MIN(Skills!I8,MAX(0,MAX(0,Inputs!$B$44-B1278)-((R1242-1)*IF(Inputs!$B$39="pvp",15,MAX(0.1,Skills!D8-IF(Skills!E8=TRUE,Inputs!$B$32,0))))))/Skills!H8,1)))/Inputs!$B$44),G1242*Q1242)*IF(Inputs!$B$39="pvp",1,(1-Summary!$B$55)*(1)+Summary!$B$55*(MIN(Skills!W8,Inputs!$B$37))),0)</f>
        <v/>
      </c>
      <c r="P1242">
        <f>IF(B1279=0,0,O1242/B1279)</f>
        <v/>
      </c>
      <c r="Q1242">
        <f>IFERROR(1/IF(Inputs!$B$39="pvp",15,MAX(0.1,Skills!D8-IF(Skills!E8=TRUE,Inputs!$B$32,0))),0)</f>
        <v/>
      </c>
      <c r="R1242">
        <f>IF(AND(Inputs!$B$39&lt;&gt;"pvp",Inputs!$B$44&gt;0),IF(MAX(0,Inputs!$B$44-B1278)&lt;=0,0,(INT(MAX(0,Inputs!$B$44-B1278)/IF(Inputs!$B$39="pvp",15,MAX(0.1,Skills!D8-IF(Skills!E8=TRUE,Inputs!$B$32,0))))+1)),0)</f>
        <v/>
      </c>
      <c r="S1242">
        <f>IFERROR(O1242/N1242,0)</f>
        <v/>
      </c>
    </row>
    <row r="1243">
      <c r="A1243">
        <f>Skills!A9</f>
        <v/>
      </c>
      <c r="B1243">
        <f>Skills!B9</f>
        <v/>
      </c>
      <c r="C1243">
        <f>Inputs!$B$3&gt;=117</f>
        <v/>
      </c>
      <c r="D1243">
        <f>IF(Skills!C9=1,60+Inputs!$B$25+Inputs!$B$29,IF(Skills!C9=2,90+Inputs!$B$26+Inputs!$B$29,IF(Skills!C9=3,120+Inputs!$B$27+Inputs!$B$29,MAX(0,(Inputs!$B$3-100)*3)+Inputs!$B$28+Inputs!$B$29)))</f>
        <v/>
      </c>
      <c r="E1243">
        <f>INDEX(FactorTable!$B$2:$Y$301, MATCH(ROUND(MIN(300,MAX(1,D1243)),0), FactorTable!$A$2:$A$301,0), Skills!M9+1)</f>
        <v/>
      </c>
      <c r="F1243">
        <f>IF(Skills!N9=TRUE,(Skills!L9/10)*(E1243/1000),Skills!L9/10)+Skills!O9</f>
        <v/>
      </c>
      <c r="G1243">
        <f>Skills!G9*IF(Skills!H9&gt;0,Skills!I9/Skills!H9,1)</f>
        <v/>
      </c>
      <c r="H1243">
        <f>1-(1-Skills!J9/100)^Skills!K9</f>
        <v/>
      </c>
      <c r="I1243" t="inlineStr">
        <is>
          <t>1</t>
        </is>
      </c>
      <c r="J1243">
        <f>((Inputs!$B$6*(1+Inputs!$B$7/100))+(((Inputs!$B$12*(1+Inputs!$B$13/100))-(Inputs!$B$12*(1+Inputs!$B$13/100)))+0.25*(Inputs!$B$14-Inputs!$B$14))*(1+Inputs!$B$7/100))*(F1243/100)</f>
        <v/>
      </c>
      <c r="K1243">
        <f>J1243*(1+((Inputs!$B$12*(1+Inputs!$B$13/100))*0.01+Inputs!$B$14*0.0025)/100)*(1+Inputs!$B$15/100)*(1+IF(Inputs!$B$39="pvp",0,(1-Summary!$B$55)*(Inputs!$B$20+0+Skills!P9+B1268)+Summary!$B$55*(Inputs!$B$21+Skills!Q9+B1268))/100)*(1+Inputs!$B$16/100)*(5000/(6000+Inputs!$B$43*(1-Inputs!$B$19/100)))*(1+(Inputs!$B$24+((C1264=TRUE)*(F1264-Calc!F30)))/100)*(1+(IF(Skills!A9="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1243)</f>
        <v/>
      </c>
      <c r="L1243">
        <f>K1243*(MIN(Inputs!$B$22+((C1258=TRUE)*(F1258-Calc!F24)),Inputs!$B$23+((C1263=TRUE)*(F1263-Calc!F29)))/100+(Inputs!$B$23+((C1263=TRUE)*(F1263-Calc!F29)))/100)/2</f>
        <v/>
      </c>
      <c r="M1243">
        <f>L1243*(1+(Inputs!$B$10+((C1260=TRUE)*(F1260-Calc!F26))+B1274)/100)</f>
        <v/>
      </c>
      <c r="N1243">
        <f>L1243*(1-MIN((Inputs!$B$9+((C1259=TRUE)*(F1259-Calc!F25))+B1267),100)/100)+M1243*(MIN((Inputs!$B$9+((C1259=TRUE)*(F1259-Calc!F25))+B1267),100)/100)</f>
        <v/>
      </c>
      <c r="O1243">
        <f>IF(C1243,0.2*SUMPRODUCT((Skills!Z2:Z30=TRUE)*(C1236:C1264=TRUE)*S1236:S1264)*N1243,0)</f>
        <v/>
      </c>
      <c r="P1243">
        <f>IF(B1279=0,0,O1243/B1279)</f>
        <v/>
      </c>
      <c r="Q1243" t="n">
        <v>0</v>
      </c>
      <c r="R1243" t="n">
        <v>0</v>
      </c>
      <c r="S1243" t="n">
        <v>0</v>
      </c>
    </row>
    <row r="1244">
      <c r="A1244">
        <f>Skills!A10</f>
        <v/>
      </c>
      <c r="B1244">
        <f>Skills!B10</f>
        <v/>
      </c>
      <c r="C1244">
        <f>Inputs!$B$3&gt;=74</f>
        <v/>
      </c>
      <c r="D1244">
        <f>IF(Skills!C10=1,60+Inputs!$B$25+Inputs!$B$29,IF(Skills!C10=2,90+Inputs!$B$26+Inputs!$B$29,IF(Skills!C10=3,120+Inputs!$B$27+Inputs!$B$29,MAX(0,(Inputs!$B$3-100)*3)+Inputs!$B$28+Inputs!$B$29)))</f>
        <v/>
      </c>
      <c r="E1244">
        <f>INDEX(FactorTable!$B$2:$Y$301, MATCH(ROUND(MIN(300,MAX(1,D1244)),0), FactorTable!$A$2:$A$301,0), Skills!M10+1)</f>
        <v/>
      </c>
      <c r="F1244">
        <f>IF(Skills!N10=TRUE,(Skills!L10/10)*(E1244/1000),Skills!L10/10)+Skills!O10</f>
        <v/>
      </c>
      <c r="G1244">
        <f>Skills!G10*IF(Skills!H10&gt;0,Skills!I10/Skills!H10,1)</f>
        <v/>
      </c>
      <c r="H1244">
        <f>1-(1-Skills!J10/100)^Skills!K10</f>
        <v/>
      </c>
      <c r="I1244" t="inlineStr">
        <is>
          <t>1</t>
        </is>
      </c>
      <c r="J1244" t="inlineStr"/>
      <c r="K1244" t="inlineStr"/>
      <c r="L1244" t="inlineStr"/>
      <c r="M1244" t="inlineStr"/>
      <c r="N1244" t="inlineStr"/>
      <c r="O1244" t="n">
        <v>0</v>
      </c>
      <c r="P1244">
        <f>IF(B1279=0,0,O1244/B1279)</f>
        <v/>
      </c>
      <c r="Q1244">
        <f>IFERROR(1/IF(Inputs!$B$39="pvp",15,MAX(0.1,Skills!D10-IF(Skills!E10=TRUE,Inputs!$B$32,0))),0)</f>
        <v/>
      </c>
      <c r="R1244">
        <f>IF(AND(Inputs!$B$39&lt;&gt;"pvp",Inputs!$B$44&gt;0),IF(Inputs!$B$44&lt;=0,0,(INT(Inputs!$B$44/IF(Inputs!$B$39="pvp",15,MAX(0.1,Skills!D10-IF(Skills!E10=TRUE,Inputs!$B$32,0))))+1)),0)</f>
        <v/>
      </c>
      <c r="S1244">
        <f>IFERROR(O1244/N1244,0)</f>
        <v/>
      </c>
    </row>
    <row r="1245">
      <c r="A1245">
        <f>Skills!A11</f>
        <v/>
      </c>
      <c r="B1245">
        <f>Skills!B11</f>
        <v/>
      </c>
      <c r="C1245">
        <f>Inputs!$B$3&gt;=103</f>
        <v/>
      </c>
      <c r="D1245">
        <f>IF(Skills!C11=1,60+Inputs!$B$25+Inputs!$B$29,IF(Skills!C11=2,90+Inputs!$B$26+Inputs!$B$29,IF(Skills!C11=3,120+Inputs!$B$27+Inputs!$B$29,MAX(0,(Inputs!$B$3-100)*3)+Inputs!$B$28+Inputs!$B$29)))</f>
        <v/>
      </c>
      <c r="E1245">
        <f>INDEX(FactorTable!$B$2:$Y$301, MATCH(ROUND(MIN(300,MAX(1,D1245)),0), FactorTable!$A$2:$A$301,0), Skills!M11+1)</f>
        <v/>
      </c>
      <c r="F1245">
        <f>(Skills!L11/10)*(E1245/1000)+IF(Inputs!$B$3&gt;=134,50,0)+0.5*(30000/10)*(INDEX(FactorTable!$B$2:$Y$301, MATCH(ROUND(MIN(300,MAX(1,D1245)),0), FactorTable!$A$2:$A$301,0), 13)/1000)*B1277</f>
        <v/>
      </c>
      <c r="G1245">
        <f>Skills!G11*IF(Skills!H11&gt;0,Skills!I11/Skills!H11,1)</f>
        <v/>
      </c>
      <c r="H1245">
        <f>1-(1-Skills!J11/100)^Skills!K11</f>
        <v/>
      </c>
      <c r="I1245" t="inlineStr">
        <is>
          <t>1</t>
        </is>
      </c>
      <c r="J1245">
        <f>((Inputs!$B$6*(1+Inputs!$B$7/100))+(((Inputs!$B$12*(1+Inputs!$B$13/100))-(Inputs!$B$12*(1+Inputs!$B$13/100)))+0.25*(Inputs!$B$14-Inputs!$B$14))*(1+Inputs!$B$7/100))*(F1245/100)</f>
        <v/>
      </c>
      <c r="K1245">
        <f>J1245*(1+((Inputs!$B$12*(1+Inputs!$B$13/100))*0.01+Inputs!$B$14*0.0025)/100)*(1+Inputs!$B$15/100)*(1+IF(Inputs!$B$39="pvp",0,(1-Summary!$B$55)*(Inputs!$B$20+0+Skills!P11+B1268)+Summary!$B$55*(Inputs!$B$21+Skills!Q11+B1268))/100)*(1+Inputs!$B$16/100)*(5000/(6000+Inputs!$B$43*(1-Inputs!$B$19/100)))*(1+(Inputs!$B$24+((C1264=TRUE)*(F1264-Calc!F30)))/100)*(1+(IF(Skills!A11="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1245)</f>
        <v/>
      </c>
      <c r="L1245">
        <f>K1245*(MIN(Inputs!$B$22+((C1258=TRUE)*(F1258-Calc!F24)),Inputs!$B$23+((C1263=TRUE)*(F1263-Calc!F29)))/100+(Inputs!$B$23+((C1263=TRUE)*(F1263-Calc!F29)))/100)/2</f>
        <v/>
      </c>
      <c r="M1245">
        <f>L1245*(1+(Inputs!$B$10+((C1260=TRUE)*(F1260-Calc!F26))+B1274)/100)</f>
        <v/>
      </c>
      <c r="N1245">
        <f>L1245*(1-MIN((Inputs!$B$9+((C1259=TRUE)*(F1259-Calc!F25))+B1267),100)/100)+M1245*(MIN((Inputs!$B$9+((C1259=TRUE)*(F1259-Calc!F25))+B1267),100)/100)</f>
        <v/>
      </c>
      <c r="O1245">
        <f>IF(C1245,H1245*N1245*IF(AND(Inputs!$B$39&lt;&gt;"pvp",Inputs!$B$44&gt;0),((Skills!G11*((R1245-1)*IF(Skills!H11&gt;0,Skills!I11/Skills!H11,1)+IF(Skills!H11&gt;0,MIN(Skills!I11,MAX(0,MAX(0,Inputs!$B$44-B1278)-((R1245-1)*IF(Inputs!$B$39="pvp",15,MAX(0.1,Skills!D11-IF(Skills!E11=TRUE,Inputs!$B$32,0))))))/Skills!H11,1)))/Inputs!$B$44),G1245*Q1245)*IF(Inputs!$B$39="pvp",1,(1-Summary!$B$55)*(1)+Summary!$B$55*(MIN(Skills!W11,Inputs!$B$37))),0)</f>
        <v/>
      </c>
      <c r="P1245">
        <f>IF(B1279=0,0,O1245/B1279)</f>
        <v/>
      </c>
      <c r="Q1245">
        <f>IFERROR(1/IF(Inputs!$B$39="pvp",15,MAX(0.1,Skills!D11-IF(Skills!E11=TRUE,Inputs!$B$32,0))),0)</f>
        <v/>
      </c>
      <c r="R1245">
        <f>IF(AND(Inputs!$B$39&lt;&gt;"pvp",Inputs!$B$44&gt;0),IF(MAX(0,Inputs!$B$44-B1278)&lt;=0,0,(INT(MAX(0,Inputs!$B$44-B1278)/IF(Inputs!$B$39="pvp",15,MAX(0.1,Skills!D11-IF(Skills!E11=TRUE,Inputs!$B$32,0))))+1)),0)</f>
        <v/>
      </c>
      <c r="S1245">
        <f>IFERROR(O1245/N1245,0)</f>
        <v/>
      </c>
    </row>
    <row r="1246">
      <c r="A1246">
        <f>Skills!A12</f>
        <v/>
      </c>
      <c r="B1246">
        <f>Skills!B12</f>
        <v/>
      </c>
      <c r="C1246">
        <f>Inputs!$B$3&gt;=105</f>
        <v/>
      </c>
      <c r="D1246">
        <f>IF(Skills!C12=1,60+Inputs!$B$25+Inputs!$B$29,IF(Skills!C12=2,90+Inputs!$B$26+Inputs!$B$29,IF(Skills!C12=3,120+Inputs!$B$27+Inputs!$B$29,MAX(0,(Inputs!$B$3-100)*3)+Inputs!$B$28+Inputs!$B$29)))</f>
        <v/>
      </c>
      <c r="E1246">
        <f>INDEX(FactorTable!$B$2:$Y$301, MATCH(ROUND(MIN(300,MAX(1,D1246)),0), FactorTable!$A$2:$A$301,0), Skills!M12+1)</f>
        <v/>
      </c>
      <c r="F1246">
        <f>IF(Skills!N12=TRUE,(Skills!L12/10)*(E1246/1000),Skills!L12/10)+Skills!O12</f>
        <v/>
      </c>
      <c r="G1246">
        <f>Skills!G12*IF(Skills!H12&gt;0,Skills!I12/Skills!H12,1)</f>
        <v/>
      </c>
      <c r="H1246">
        <f>1-(1-Skills!J12/100)^Skills!K12</f>
        <v/>
      </c>
      <c r="I1246" t="inlineStr">
        <is>
          <t>1</t>
        </is>
      </c>
      <c r="J1246">
        <f>((Inputs!$B$6*(1+Inputs!$B$7/100))+(((Inputs!$B$12*(1+Inputs!$B$13/100))-(Inputs!$B$12*(1+Inputs!$B$13/100)))+0.25*(Inputs!$B$14-Inputs!$B$14))*(1+Inputs!$B$7/100))*(F1246/100)</f>
        <v/>
      </c>
      <c r="K1246">
        <f>J1246*(1+((Inputs!$B$12*(1+Inputs!$B$13/100))*0.01+Inputs!$B$14*0.0025)/100)*(1+Inputs!$B$15/100)*(1+IF(Inputs!$B$39="pvp",0,(1-Summary!$B$55)*(Inputs!$B$20+0+Skills!P12+B1268)+Summary!$B$55*(Inputs!$B$21+Skills!Q12+B1268))/100)*(1+Inputs!$B$16/100)*(5000/(6000+Inputs!$B$43*(1-Inputs!$B$19/100)))*(1+(Inputs!$B$24+((C1264=TRUE)*(F1264-Calc!F30)))/100)*(1+(IF(Skills!A12="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1246)</f>
        <v/>
      </c>
      <c r="L1246">
        <f>K1246*(MIN(Inputs!$B$22+((C1258=TRUE)*(F1258-Calc!F24)),Inputs!$B$23+((C1263=TRUE)*(F1263-Calc!F29)))/100+(Inputs!$B$23+((C1263=TRUE)*(F1263-Calc!F29)))/100)/2</f>
        <v/>
      </c>
      <c r="M1246">
        <f>L1246*(1+(Inputs!$B$10+((C1260=TRUE)*(F1260-Calc!F26))+B1274)/100)</f>
        <v/>
      </c>
      <c r="N1246">
        <f>L1246*(1-MIN((Inputs!$B$9+((C1259=TRUE)*(F1259-Calc!F25))+B1267),100)/100)+M1246*(MIN((Inputs!$B$9+((C1259=TRUE)*(F1259-Calc!F25))+B1267),100)/100)</f>
        <v/>
      </c>
      <c r="O1246">
        <f>IF(C1246,H1246*N1246*IF(AND(Inputs!$B$39&lt;&gt;"pvp",Inputs!$B$44&gt;0),((Skills!G12*((R1246-1)*IF(Skills!H12&gt;0,Skills!I12/Skills!H12,1)+IF(Skills!H12&gt;0,MIN(Skills!I12,MAX(0,MAX(0,Inputs!$B$44-B1278)-((R1246-1)*IF(Inputs!$B$39="pvp",15,MAX(0.1,Skills!D12-IF(Skills!E12=TRUE,Inputs!$B$32,0))))))/Skills!H12,1)))/Inputs!$B$44),G1246*Q1246)*IF(Inputs!$B$39="pvp",1,(1-Summary!$B$55)*(1)+Summary!$B$55*(MIN(Skills!W12,Inputs!$B$37))),0)</f>
        <v/>
      </c>
      <c r="P1246">
        <f>IF(B1279=0,0,O1246/B1279)</f>
        <v/>
      </c>
      <c r="Q1246">
        <f>IFERROR(1/IF(Inputs!$B$39="pvp",15,MAX(0.1,Skills!D12-IF(Skills!E12=TRUE,Inputs!$B$32,0))),0)</f>
        <v/>
      </c>
      <c r="R1246">
        <f>IF(AND(Inputs!$B$39&lt;&gt;"pvp",Inputs!$B$44&gt;0),IF(MAX(0,Inputs!$B$44-B1278)&lt;=0,0,(INT(MAX(0,Inputs!$B$44-B1278)/IF(Inputs!$B$39="pvp",15,MAX(0.1,Skills!D12-IF(Skills!E12=TRUE,Inputs!$B$32,0))))+1)),0)</f>
        <v/>
      </c>
      <c r="S1246">
        <f>IFERROR(O1246/N1246,0)</f>
        <v/>
      </c>
    </row>
    <row r="1247">
      <c r="A1247">
        <f>Skills!A13</f>
        <v/>
      </c>
      <c r="B1247">
        <f>Skills!B13</f>
        <v/>
      </c>
      <c r="C1247">
        <f>Inputs!$B$3&gt;=105</f>
        <v/>
      </c>
      <c r="D1247">
        <f>IF(Skills!C13=1,60+Inputs!$B$25+Inputs!$B$29,IF(Skills!C13=2,90+Inputs!$B$26+Inputs!$B$29,IF(Skills!C13=3,120+Inputs!$B$27+Inputs!$B$29,MAX(0,(Inputs!$B$3-100)*3)+Inputs!$B$28+Inputs!$B$29)))</f>
        <v/>
      </c>
      <c r="E1247">
        <f>INDEX(FactorTable!$B$2:$Y$301, MATCH(ROUND(MIN(300,MAX(1,D1247)),0), FactorTable!$A$2:$A$301,0), Skills!M13+1)</f>
        <v/>
      </c>
      <c r="F1247">
        <f>IF(Skills!N13=TRUE,(Skills!L13/10)*(E1247/1000),Skills!L13/10)+Skills!O13</f>
        <v/>
      </c>
      <c r="G1247">
        <f>Skills!G13*IF(Skills!H13&gt;0,Skills!I13/Skills!H13,1)</f>
        <v/>
      </c>
      <c r="H1247">
        <f>1-(1-Skills!J13/100)^Skills!K13</f>
        <v/>
      </c>
      <c r="I1247" t="inlineStr">
        <is>
          <t>1</t>
        </is>
      </c>
      <c r="J1247">
        <f>((Inputs!$B$6*(1+Inputs!$B$7/100))+(((Inputs!$B$12*(1+Inputs!$B$13/100))-(Inputs!$B$12*(1+Inputs!$B$13/100)))+0.25*(Inputs!$B$14-Inputs!$B$14))*(1+Inputs!$B$7/100))*(F1247/100)</f>
        <v/>
      </c>
      <c r="K1247">
        <f>J1247*(1+((Inputs!$B$12*(1+Inputs!$B$13/100))*0.01+Inputs!$B$14*0.0025)/100)*(1+Inputs!$B$15/100)*(1+IF(Inputs!$B$39="pvp",0,(1-Summary!$B$55)*(Inputs!$B$20+0+Skills!P13+B1268)+Summary!$B$55*(Inputs!$B$21+Skills!Q13+B1268))/100)*(1+Inputs!$B$16/100)*(5000/(6000+Inputs!$B$43*(1-Inputs!$B$19/100)))*(1+(Inputs!$B$24+((C1264=TRUE)*(F1264-Calc!F30)))/100)*(1+(IF(Skills!A13="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1247)</f>
        <v/>
      </c>
      <c r="L1247">
        <f>K1247*(MIN(Inputs!$B$22+((C1258=TRUE)*(F1258-Calc!F24)),Inputs!$B$23+((C1263=TRUE)*(F1263-Calc!F29)))/100+(Inputs!$B$23+((C1263=TRUE)*(F1263-Calc!F29)))/100)/2</f>
        <v/>
      </c>
      <c r="M1247">
        <f>L1247*(1+(Inputs!$B$10+((C1260=TRUE)*(F1260-Calc!F26))+B1274)/100)</f>
        <v/>
      </c>
      <c r="N1247">
        <f>L1247*(1-MIN((Inputs!$B$9+((C1259=TRUE)*(F1259-Calc!F25))+B1267),100)/100)+M1247*(MIN((Inputs!$B$9+((C1259=TRUE)*(F1259-Calc!F25))+B1267),100)/100)</f>
        <v/>
      </c>
      <c r="O1247">
        <f>IF(C1247,H1247*N1247*IF(AND(Inputs!$B$39&lt;&gt;"pvp",Inputs!$B$44&gt;0),((Skills!G13*((R1247-1)*IF(Skills!H13&gt;0,Skills!I13/Skills!H13,1)+IF(Skills!H13&gt;0,MIN(Skills!I13,MAX(0,MAX(0,Inputs!$B$44-B1278)-((R1247-1)*IF(Inputs!$B$39="pvp",15,MAX(0.1,Skills!D13-IF(Skills!E13=TRUE,Inputs!$B$32,0))))))/Skills!H13,1)))/Inputs!$B$44),G1247*Q1247)*IF(Inputs!$B$39="pvp",1,(1-Summary!$B$55)*(1)+Summary!$B$55*(MIN(Skills!W13,Inputs!$B$37))),0)</f>
        <v/>
      </c>
      <c r="P1247">
        <f>IF(B1279=0,0,O1247/B1279)</f>
        <v/>
      </c>
      <c r="Q1247">
        <f>IFERROR(1/IF(Inputs!$B$39="pvp",15,MAX(0.1,Skills!D13-IF(Skills!E13=TRUE,Inputs!$B$32,0))),0)</f>
        <v/>
      </c>
      <c r="R1247">
        <f>IF(AND(Inputs!$B$39&lt;&gt;"pvp",Inputs!$B$44&gt;0),IF(MAX(0,Inputs!$B$44-B1278)&lt;=0,0,(INT(MAX(0,Inputs!$B$44-B1278)/IF(Inputs!$B$39="pvp",15,MAX(0.1,Skills!D13-IF(Skills!E13=TRUE,Inputs!$B$32,0))))+1)),0)</f>
        <v/>
      </c>
      <c r="S1247">
        <f>IFERROR(O1247/N1247,0)</f>
        <v/>
      </c>
    </row>
    <row r="1248">
      <c r="A1248">
        <f>Skills!A14</f>
        <v/>
      </c>
      <c r="B1248">
        <f>Skills!B14</f>
        <v/>
      </c>
      <c r="C1248">
        <f>Inputs!$B$3&gt;=107</f>
        <v/>
      </c>
      <c r="D1248">
        <f>IF(Skills!C14=1,60+Inputs!$B$25+Inputs!$B$29,IF(Skills!C14=2,90+Inputs!$B$26+Inputs!$B$29,IF(Skills!C14=3,120+Inputs!$B$27+Inputs!$B$29,MAX(0,(Inputs!$B$3-100)*3)+Inputs!$B$28+Inputs!$B$29)))</f>
        <v/>
      </c>
      <c r="E1248">
        <f>INDEX(FactorTable!$B$2:$Y$301, MATCH(ROUND(MIN(300,MAX(1,D1248)),0), FactorTable!$A$2:$A$301,0), Skills!M14+1)</f>
        <v/>
      </c>
      <c r="F1248">
        <f>IF(Skills!N14=TRUE,(Skills!L14/10)*(E1248/1000),Skills!L14/10)+Skills!O14</f>
        <v/>
      </c>
      <c r="G1248">
        <f>Skills!G14*IF(Skills!H14&gt;0,Skills!I14/Skills!H14,1)</f>
        <v/>
      </c>
      <c r="H1248">
        <f>1-(1-Skills!J14/100)^Skills!K14</f>
        <v/>
      </c>
      <c r="I1248" t="inlineStr">
        <is>
          <t>1</t>
        </is>
      </c>
      <c r="J1248">
        <f>((Inputs!$B$6*(1+Inputs!$B$7/100))+(((Inputs!$B$12*(1+Inputs!$B$13/100))-(Inputs!$B$12*(1+Inputs!$B$13/100)))+0.25*(Inputs!$B$14-Inputs!$B$14))*(1+Inputs!$B$7/100))*(F1248/100)</f>
        <v/>
      </c>
      <c r="K1248">
        <f>J1248*(1+((Inputs!$B$12*(1+Inputs!$B$13/100))*0.01+Inputs!$B$14*0.0025)/100)*(1+Inputs!$B$15/100)*(1+IF(Inputs!$B$39="pvp",0,(1-Summary!$B$55)*(Inputs!$B$20+0+Skills!P14+B1268)+Summary!$B$55*(Inputs!$B$21+Skills!Q14+B1268))/100)*(1+Inputs!$B$16/100)*(5000/(6000+Inputs!$B$43*(1-Inputs!$B$19/100)))*(1+(Inputs!$B$24+((C1264=TRUE)*(F1264-Calc!F30)))/100)*(1+(IF(Skills!A14="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1248)</f>
        <v/>
      </c>
      <c r="L1248">
        <f>K1248*(MIN(Inputs!$B$22+((C1258=TRUE)*(F1258-Calc!F24)),Inputs!$B$23+((C1263=TRUE)*(F1263-Calc!F29)))/100+(Inputs!$B$23+((C1263=TRUE)*(F1263-Calc!F29)))/100)/2</f>
        <v/>
      </c>
      <c r="M1248">
        <f>L1248*(1+(Inputs!$B$10+((C1260=TRUE)*(F1260-Calc!F26))+B1274)/100)</f>
        <v/>
      </c>
      <c r="N1248">
        <f>L1248*(1-MIN((Inputs!$B$9+((C1259=TRUE)*(F1259-Calc!F25))+B1267),100)/100)+M1248*(MIN((Inputs!$B$9+((C1259=TRUE)*(F1259-Calc!F25))+B1267),100)/100)</f>
        <v/>
      </c>
      <c r="O1248">
        <f>IF(C1248,H1248*N1248*IF(AND(Inputs!$B$39&lt;&gt;"pvp",Inputs!$B$44&gt;0),((Skills!G14*((R1248-1)*IF(Skills!H14&gt;0,Skills!I14/Skills!H14,1)+IF(Skills!H14&gt;0,MIN(Skills!I14,MAX(0,MAX(0,Inputs!$B$44-B1278)-((R1248-1)*IF(Inputs!$B$39="pvp",15,MAX(0.1,Skills!D14-IF(Skills!E14=TRUE,Inputs!$B$32,0))))))/Skills!H14,1)))/Inputs!$B$44),G1248*Q1248)*IF(Inputs!$B$39="pvp",1,(1-Summary!$B$55)*(1)+Summary!$B$55*(MIN(MIN(5,0.25*B1271*Skills!D4)*Skills!V14,Inputs!$B$37))),0)</f>
        <v/>
      </c>
      <c r="P1248">
        <f>IF(B1279=0,0,O1248/B1279)</f>
        <v/>
      </c>
      <c r="Q1248">
        <f>IFERROR(1/IF(Inputs!$B$39="pvp",15,MAX(0.1,Skills!D14-IF(Skills!E14=TRUE,Inputs!$B$32,0))),0)</f>
        <v/>
      </c>
      <c r="R1248">
        <f>IF(AND(Inputs!$B$39&lt;&gt;"pvp",Inputs!$B$44&gt;0),IF(MAX(0,Inputs!$B$44-B1278)&lt;=0,0,(INT(MAX(0,Inputs!$B$44-B1278)/IF(Inputs!$B$39="pvp",15,MAX(0.1,Skills!D14-IF(Skills!E14=TRUE,Inputs!$B$32,0))))+1)),0)</f>
        <v/>
      </c>
      <c r="S1248">
        <f>IFERROR(O1248/N1248,0)</f>
        <v/>
      </c>
    </row>
    <row r="1249">
      <c r="A1249">
        <f>Skills!A15</f>
        <v/>
      </c>
      <c r="B1249">
        <f>Skills!B15</f>
        <v/>
      </c>
      <c r="C1249">
        <f>Inputs!$B$3&gt;=110</f>
        <v/>
      </c>
      <c r="D1249">
        <f>IF(Skills!C15=1,60+Inputs!$B$25+Inputs!$B$29,IF(Skills!C15=2,90+Inputs!$B$26+Inputs!$B$29,IF(Skills!C15=3,120+Inputs!$B$27+Inputs!$B$29,MAX(0,(Inputs!$B$3-100)*3)+Inputs!$B$28+Inputs!$B$29)))</f>
        <v/>
      </c>
      <c r="E1249">
        <f>INDEX(FactorTable!$B$2:$Y$301, MATCH(ROUND(MIN(300,MAX(1,D1249)),0), FactorTable!$A$2:$A$301,0), Skills!M15+1)</f>
        <v/>
      </c>
      <c r="F1249">
        <f>IF(Skills!N15=TRUE,(Skills!L15/10)*(E1249/1000),Skills!L15/10)+Skills!O15</f>
        <v/>
      </c>
      <c r="G1249">
        <f>Skills!G15*IF(Skills!H15&gt;0,Skills!I15/Skills!H15,1)</f>
        <v/>
      </c>
      <c r="H1249">
        <f>1-(1-Skills!J15/100)^Skills!K15</f>
        <v/>
      </c>
      <c r="I1249" t="inlineStr">
        <is>
          <t>1</t>
        </is>
      </c>
      <c r="J1249" t="inlineStr"/>
      <c r="K1249" t="inlineStr"/>
      <c r="L1249" t="inlineStr"/>
      <c r="M1249" t="inlineStr"/>
      <c r="N1249" t="inlineStr"/>
      <c r="O1249" t="n">
        <v>0</v>
      </c>
      <c r="P1249">
        <f>IF(B1279=0,0,O1249/B1279)</f>
        <v/>
      </c>
      <c r="Q1249">
        <f>IFERROR(1/IF(Inputs!$B$39="pvp",15,MAX(0.1,Skills!D15-IF(Skills!E15=TRUE,Inputs!$B$32,0))),0)</f>
        <v/>
      </c>
      <c r="R1249">
        <f>IF(AND(Inputs!$B$39&lt;&gt;"pvp",Inputs!$B$44&gt;0),IF(Inputs!$B$44&lt;=0,0,(INT(Inputs!$B$44/IF(Inputs!$B$39="pvp",15,MAX(0.1,Skills!D15-IF(Skills!E15=TRUE,Inputs!$B$32,0))))+1)),0)</f>
        <v/>
      </c>
      <c r="S1249">
        <f>IFERROR(O1249/N1249,0)</f>
        <v/>
      </c>
    </row>
    <row r="1250">
      <c r="A1250">
        <f>Skills!A16</f>
        <v/>
      </c>
      <c r="B1250">
        <f>Skills!B16</f>
        <v/>
      </c>
      <c r="C1250">
        <f>Inputs!$B$3&gt;=115</f>
        <v/>
      </c>
      <c r="D1250">
        <f>IF(Skills!C16=1,60+Inputs!$B$25+Inputs!$B$29,IF(Skills!C16=2,90+Inputs!$B$26+Inputs!$B$29,IF(Skills!C16=3,120+Inputs!$B$27+Inputs!$B$29,MAX(0,(Inputs!$B$3-100)*3)+Inputs!$B$28+Inputs!$B$29)))</f>
        <v/>
      </c>
      <c r="E1250">
        <f>INDEX(FactorTable!$B$2:$Y$301, MATCH(ROUND(MIN(300,MAX(1,D1250)),0), FactorTable!$A$2:$A$301,0), Skills!M16+1)</f>
        <v/>
      </c>
      <c r="F1250">
        <f>IF(Skills!N16=TRUE,(Skills!L16/10)*(E1250/1000),Skills!L16/10)+Skills!O16</f>
        <v/>
      </c>
      <c r="G1250">
        <f>Skills!G16*IF(Skills!H16&gt;0,Skills!I16/Skills!H16,1)</f>
        <v/>
      </c>
      <c r="H1250">
        <f>1-(1-Skills!J16/100)^Skills!K16</f>
        <v/>
      </c>
      <c r="I1250" t="inlineStr">
        <is>
          <t>1</t>
        </is>
      </c>
      <c r="J1250">
        <f>((Inputs!$B$6*(1+Inputs!$B$7/100))+(((Inputs!$B$12*(1+Inputs!$B$13/100))-(Inputs!$B$12*(1+Inputs!$B$13/100)))+0.25*(Inputs!$B$14-Inputs!$B$14))*(1+Inputs!$B$7/100))*(F1250/100)</f>
        <v/>
      </c>
      <c r="K1250">
        <f>J1250*(1+((Inputs!$B$12*(1+Inputs!$B$13/100))*0.01+Inputs!$B$14*0.0025)/100)*(1+Inputs!$B$15/100)*(1+IF(Inputs!$B$39="pvp",0,(1-Summary!$B$55)*(Inputs!$B$20+0+Skills!P16+B1268)+Summary!$B$55*(Inputs!$B$21+Skills!Q16+B1268))/100)*(1+Inputs!$B$16/100)*(5000/(6000+Inputs!$B$43*(1-Inputs!$B$19/100)))*(1+(Inputs!$B$24+((C1264=TRUE)*(F1264-Calc!F30)))/100)*(1+(IF(Skills!A16="CRUEL_STAB",Inputs!$B$17+((C1261=TRUE)*(F1261-Calc!F27)),Inputs!$B$18+((C1262=TRUE)*(F1262-Calc!F28))))/100)*(((1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B1269*I1250)</f>
        <v/>
      </c>
      <c r="L1250">
        <f>K1250*(MIN(Inputs!$B$22+((C1258=TRUE)*(F1258-Calc!F24)),Inputs!$B$23+((C1263=TRUE)*(F1263-Calc!F29)))/100+(Inputs!$B$23+((C1263=TRUE)*(F1263-Calc!F29)))/100)/2</f>
        <v/>
      </c>
      <c r="M1250">
        <f>L1250*(1+(Inputs!$B$10+((C1260=TRUE)*(F1260-Calc!F26))+B1274)/100)</f>
        <v/>
      </c>
      <c r="N1250">
        <f>L1250*(1-MIN((Inputs!$B$9+((C1259=TRUE)*(F1259-Calc!F25))+B1267),100)/100)+M1250*(MIN((Inputs!$B$9+((C1259=TRUE)*(F1259-Calc!F25))+B1267),100)/100)</f>
        <v/>
      </c>
      <c r="O1250">
        <f>IF(C1250,Inputs!$B$38*0.2*N1250,0)</f>
        <v/>
      </c>
      <c r="P1250">
        <f>IF(B1279=0,0,O1250/B1279)</f>
        <v/>
      </c>
      <c r="Q1250" t="n">
        <v>0</v>
      </c>
      <c r="R1250" t="n">
        <v>0</v>
      </c>
      <c r="S1250">
        <f>IFERROR(O1250/N1250,0)</f>
        <v/>
      </c>
    </row>
    <row r="1251">
      <c r="A1251">
        <f>Skills!A17</f>
        <v/>
      </c>
      <c r="B1251">
        <f>Skills!B17</f>
        <v/>
      </c>
      <c r="C1251">
        <f>Inputs!$B$3&gt;=115</f>
        <v/>
      </c>
      <c r="D1251">
        <f>IF(Skills!C17=1,60+Inputs!$B$25+Inputs!$B$29,IF(Skills!C17=2,90+Inputs!$B$26+Inputs!$B$29,IF(Skills!C17=3,120+Inputs!$B$27+Inputs!$B$29,MAX(0,(Inputs!$B$3-100)*3)+Inputs!$B$28+Inputs!$B$29)))</f>
        <v/>
      </c>
      <c r="E1251">
        <f>INDEX(FactorTable!$B$2:$Y$301, MATCH(ROUND(MIN(300,MAX(1,D1251)),0), FactorTable!$A$2:$A$301,0), Skills!M17+1)</f>
        <v/>
      </c>
      <c r="F1251">
        <f>IF(Skills!N17=TRUE,(Skills!L17/10)*(E1251/1000),Skills!L17/10)+Skills!O17</f>
        <v/>
      </c>
      <c r="G1251">
        <f>Skills!G17*IF(Skills!H17&gt;0,Skills!I17/Skills!H17,1)</f>
        <v/>
      </c>
      <c r="H1251">
        <f>1-(1-Skills!J17/100)^Skills!K17</f>
        <v/>
      </c>
      <c r="I1251" t="inlineStr">
        <is>
          <t>1</t>
        </is>
      </c>
      <c r="J1251" t="inlineStr"/>
      <c r="K1251" t="inlineStr"/>
      <c r="L1251" t="inlineStr"/>
      <c r="M1251" t="inlineStr"/>
      <c r="N1251" t="inlineStr"/>
      <c r="O1251" t="n">
        <v>0</v>
      </c>
      <c r="P1251">
        <f>IF(B1279=0,0,O1251/B1279)</f>
        <v/>
      </c>
      <c r="Q1251" t="n">
        <v>0</v>
      </c>
      <c r="R1251" t="n">
        <v>0</v>
      </c>
      <c r="S1251">
        <f>IFERROR(O1251/N1251,0)</f>
        <v/>
      </c>
    </row>
    <row r="1252">
      <c r="A1252">
        <f>Skills!A18</f>
        <v/>
      </c>
      <c r="B1252">
        <f>Skills!B18</f>
        <v/>
      </c>
      <c r="C1252">
        <f>Inputs!$B$3&gt;=100</f>
        <v/>
      </c>
      <c r="D1252">
        <f>IF(Skills!C18=1,60+Inputs!$B$25+Inputs!$B$29,IF(Skills!C18=2,90+Inputs!$B$26+Inputs!$B$29,IF(Skills!C18=3,120+Inputs!$B$27+Inputs!$B$29,MAX(0,(Inputs!$B$3-100)*3)+Inputs!$B$28+Inputs!$B$29)))</f>
        <v/>
      </c>
      <c r="E1252">
        <f>INDEX(FactorTable!$B$2:$Y$301, MATCH(ROUND(MIN(300,MAX(1,D1252)),0), FactorTable!$A$2:$A$301,0), Skills!M18+1)</f>
        <v/>
      </c>
      <c r="F1252">
        <f>IF(Skills!N18=TRUE,(Skills!L18/10)*(E1252/1000),Skills!L18/10)+Skills!O18</f>
        <v/>
      </c>
      <c r="G1252">
        <f>Skills!G18*IF(Skills!H18&gt;0,Skills!I18/Skills!H18,1)</f>
        <v/>
      </c>
      <c r="H1252">
        <f>1-(1-Skills!J18/100)^Skills!K18</f>
        <v/>
      </c>
      <c r="I1252" t="inlineStr">
        <is>
          <t>1</t>
        </is>
      </c>
      <c r="J1252" t="inlineStr"/>
      <c r="K1252" t="inlineStr"/>
      <c r="L1252" t="inlineStr"/>
      <c r="M1252" t="inlineStr"/>
      <c r="N1252" t="inlineStr"/>
      <c r="O1252" t="n">
        <v>0</v>
      </c>
      <c r="P1252">
        <f>IF(B1279=0,0,O1252/B1279)</f>
        <v/>
      </c>
      <c r="Q1252" t="n">
        <v>0</v>
      </c>
      <c r="R1252" t="n">
        <v>0</v>
      </c>
      <c r="S1252">
        <f>IFERROR(O1252/N1252,0)</f>
        <v/>
      </c>
    </row>
    <row r="1253">
      <c r="A1253">
        <f>Skills!A19</f>
        <v/>
      </c>
      <c r="B1253">
        <f>Skills!B19</f>
        <v/>
      </c>
      <c r="C1253">
        <f>TRUE</f>
        <v/>
      </c>
      <c r="D1253">
        <f>IF(Skills!C19=1,60+Inputs!$B$25+Inputs!$B$29,IF(Skills!C19=2,90+Inputs!$B$26+Inputs!$B$29,IF(Skills!C19=3,120+Inputs!$B$27+Inputs!$B$29,MAX(0,(Inputs!$B$3-100)*3)+Inputs!$B$28+Inputs!$B$29)))</f>
        <v/>
      </c>
      <c r="E1253">
        <f>INDEX(FactorTable!$B$2:$Y$301, MATCH(ROUND(MIN(300,MAX(1,D1253)),0), FactorTable!$A$2:$A$301,0), Skills!M19+1)</f>
        <v/>
      </c>
      <c r="F1253">
        <f>IF(Skills!N19=TRUE,(Skills!L19/10)*(E1253/1000),Skills!L19/10)+Skills!O19</f>
        <v/>
      </c>
      <c r="G1253">
        <f>Skills!G19*IF(Skills!H19&gt;0,Skills!I19/Skills!H19,1)</f>
        <v/>
      </c>
      <c r="H1253">
        <f>1-(1-Skills!J19/100)^Skills!K19</f>
        <v/>
      </c>
      <c r="I1253" t="inlineStr">
        <is>
          <t>1</t>
        </is>
      </c>
      <c r="J1253" t="inlineStr"/>
      <c r="K1253" t="inlineStr"/>
      <c r="L1253" t="inlineStr"/>
      <c r="M1253" t="inlineStr"/>
      <c r="N1253" t="inlineStr"/>
      <c r="O1253" t="n">
        <v>0</v>
      </c>
      <c r="P1253">
        <f>IF(B1279=0,0,O1253/B1279)</f>
        <v/>
      </c>
      <c r="Q1253">
        <f>IFERROR(1/IF(Inputs!$B$39="pvp",15,MAX(0.1,Skills!D19-IF(Skills!E19=TRUE,Inputs!$B$32,0))),0)</f>
        <v/>
      </c>
      <c r="R1253">
        <f>IF(AND(Inputs!$B$39&lt;&gt;"pvp",Inputs!$B$44&gt;0),IF(Inputs!$B$44&lt;=0,0,(INT(Inputs!$B$44/IF(Inputs!$B$39="pvp",15,MAX(0.1,Skills!D19-IF(Skills!E19=TRUE,Inputs!$B$32,0))))+1)),0)</f>
        <v/>
      </c>
      <c r="S1253">
        <f>IFERROR(O1253/N1253,0)</f>
        <v/>
      </c>
    </row>
    <row r="1254">
      <c r="A1254">
        <f>Skills!A20</f>
        <v/>
      </c>
      <c r="B1254">
        <f>Skills!B20</f>
        <v/>
      </c>
      <c r="C1254">
        <f>Inputs!$B$3&gt;=15</f>
        <v/>
      </c>
      <c r="D1254">
        <f>IF(Skills!C20=1,60+Inputs!$B$25+Inputs!$B$29,IF(Skills!C20=2,90+Inputs!$B$26+Inputs!$B$29,IF(Skills!C20=3,120+Inputs!$B$27+Inputs!$B$29,MAX(0,(Inputs!$B$3-100)*3)+Inputs!$B$28+Inputs!$B$29)))</f>
        <v/>
      </c>
      <c r="E1254">
        <f>INDEX(FactorTable!$B$2:$Y$301, MATCH(ROUND(MIN(300,MAX(1,D1254)),0), FactorTable!$A$2:$A$301,0), Skills!M20+1)</f>
        <v/>
      </c>
      <c r="F1254">
        <f>IF(Skills!N20=TRUE,(Skills!L20/10)*(E1254/1000),Skills!L20/10)+Skills!O20</f>
        <v/>
      </c>
      <c r="G1254">
        <f>Skills!G20*IF(Skills!H20&gt;0,Skills!I20/Skills!H20,1)</f>
        <v/>
      </c>
      <c r="H1254">
        <f>1-(1-Skills!J20/100)^Skills!K20</f>
        <v/>
      </c>
      <c r="I1254" t="inlineStr">
        <is>
          <t>1</t>
        </is>
      </c>
      <c r="J1254" t="inlineStr"/>
      <c r="K1254" t="inlineStr"/>
      <c r="L1254" t="inlineStr"/>
      <c r="M1254" t="inlineStr"/>
      <c r="N1254" t="inlineStr"/>
      <c r="O1254" t="n">
        <v>0</v>
      </c>
      <c r="P1254">
        <f>IF(B1279=0,0,O1254/B1279)</f>
        <v/>
      </c>
      <c r="Q1254">
        <f>IFERROR(1/IF(Inputs!$B$39="pvp",15,MAX(0.1,Skills!D20-IF(Skills!E20=TRUE,Inputs!$B$32,0))),0)</f>
        <v/>
      </c>
      <c r="R1254">
        <f>IF(AND(Inputs!$B$39&lt;&gt;"pvp",Inputs!$B$44&gt;0),IF(Inputs!$B$44&lt;=0,0,(INT(Inputs!$B$44/IF(Inputs!$B$39="pvp",15,MAX(0.1,Skills!D20-IF(Skills!E20=TRUE,Inputs!$B$32,0))))+1)),0)</f>
        <v/>
      </c>
      <c r="S1254">
        <f>IFERROR(O1254/N1254,0)</f>
        <v/>
      </c>
    </row>
    <row r="1255">
      <c r="A1255">
        <f>Skills!A21</f>
        <v/>
      </c>
      <c r="B1255">
        <f>Skills!B21</f>
        <v/>
      </c>
      <c r="C1255">
        <f>Inputs!$B$3&gt;=15</f>
        <v/>
      </c>
      <c r="D1255">
        <f>IF(Skills!C21=1,60+Inputs!$B$25+Inputs!$B$29,IF(Skills!C21=2,90+Inputs!$B$26+Inputs!$B$29,IF(Skills!C21=3,120+Inputs!$B$27+Inputs!$B$29,MAX(0,(Inputs!$B$3-100)*3)+Inputs!$B$28+Inputs!$B$29)))</f>
        <v/>
      </c>
      <c r="E1255">
        <f>INDEX(FactorTable!$B$2:$Y$301, MATCH(ROUND(MIN(300,MAX(1,D1255)),0), FactorTable!$A$2:$A$301,0), Skills!M21+1)</f>
        <v/>
      </c>
      <c r="F1255">
        <f>IF(Skills!N21=TRUE,(Skills!L21/10)*(E1255/1000),Skills!L21/10)+Skills!O21</f>
        <v/>
      </c>
      <c r="G1255">
        <f>Skills!G21*IF(Skills!H21&gt;0,Skills!I21/Skills!H21,1)</f>
        <v/>
      </c>
      <c r="H1255">
        <f>1-(1-Skills!J21/100)^Skills!K21</f>
        <v/>
      </c>
      <c r="I1255" t="inlineStr">
        <is>
          <t>1</t>
        </is>
      </c>
      <c r="J1255" t="inlineStr"/>
      <c r="K1255" t="inlineStr"/>
      <c r="L1255" t="inlineStr"/>
      <c r="M1255" t="inlineStr"/>
      <c r="N1255" t="inlineStr"/>
      <c r="O1255" t="n">
        <v>0</v>
      </c>
      <c r="P1255">
        <f>IF(B1279=0,0,O1255/B1279)</f>
        <v/>
      </c>
      <c r="Q1255">
        <f>IFERROR(1/IF(Inputs!$B$39="pvp",15,MAX(0.1,Skills!D21-IF(Skills!E21=TRUE,Inputs!$B$32,0))),0)</f>
        <v/>
      </c>
      <c r="R1255">
        <f>IF(AND(Inputs!$B$39&lt;&gt;"pvp",Inputs!$B$44&gt;0),IF(Inputs!$B$44&lt;=0,0,(INT(Inputs!$B$44/IF(Inputs!$B$39="pvp",15,MAX(0.1,Skills!D21-IF(Skills!E21=TRUE,Inputs!$B$32,0))))+1)),0)</f>
        <v/>
      </c>
      <c r="S1255">
        <f>IFERROR(O1255/N1255,0)</f>
        <v/>
      </c>
    </row>
    <row r="1256">
      <c r="A1256">
        <f>Skills!A22</f>
        <v/>
      </c>
      <c r="B1256">
        <f>Skills!B22</f>
        <v/>
      </c>
      <c r="C1256">
        <f>Inputs!$B$3&gt;=33</f>
        <v/>
      </c>
      <c r="D1256">
        <f>IF(Skills!C22=1,60+Inputs!$B$25+Inputs!$B$29,IF(Skills!C22=2,90+Inputs!$B$26+Inputs!$B$29,IF(Skills!C22=3,120+Inputs!$B$27+Inputs!$B$29,MAX(0,(Inputs!$B$3-100)*3)+Inputs!$B$28+Inputs!$B$29)))</f>
        <v/>
      </c>
      <c r="E1256">
        <f>INDEX(FactorTable!$B$2:$Y$301, MATCH(ROUND(MIN(300,MAX(1,D1256)),0), FactorTable!$A$2:$A$301,0), Skills!M22+1)</f>
        <v/>
      </c>
      <c r="F1256">
        <f>IF(Skills!N22=TRUE,(Skills!L22/10)*(E1256/1000),Skills!L22/10)+Skills!O22</f>
        <v/>
      </c>
      <c r="G1256">
        <f>Skills!G22*IF(Skills!H22&gt;0,Skills!I22/Skills!H22,1)</f>
        <v/>
      </c>
      <c r="H1256">
        <f>1-(1-Skills!J22/100)^Skills!K22</f>
        <v/>
      </c>
      <c r="I1256" t="inlineStr">
        <is>
          <t>1</t>
        </is>
      </c>
      <c r="J1256" t="inlineStr"/>
      <c r="K1256" t="inlineStr"/>
      <c r="L1256" t="inlineStr"/>
      <c r="M1256" t="inlineStr"/>
      <c r="N1256" t="inlineStr"/>
      <c r="O1256" t="n">
        <v>0</v>
      </c>
      <c r="P1256">
        <f>IF(B1279=0,0,O1256/B1279)</f>
        <v/>
      </c>
      <c r="Q1256" t="n">
        <v>0</v>
      </c>
      <c r="R1256" t="n">
        <v>0</v>
      </c>
      <c r="S1256">
        <f>IFERROR(O1256/N1256,0)</f>
        <v/>
      </c>
    </row>
    <row r="1257">
      <c r="A1257">
        <f>Skills!A23</f>
        <v/>
      </c>
      <c r="B1257">
        <f>Skills!B23</f>
        <v/>
      </c>
      <c r="C1257">
        <f>Inputs!$B$3&gt;=40</f>
        <v/>
      </c>
      <c r="D1257">
        <f>IF(Skills!C23=1,60+Inputs!$B$25+Inputs!$B$29,IF(Skills!C23=2,90+Inputs!$B$26+Inputs!$B$29,IF(Skills!C23=3,120+Inputs!$B$27+Inputs!$B$29,MAX(0,(Inputs!$B$3-100)*3)+Inputs!$B$28+Inputs!$B$29)))</f>
        <v/>
      </c>
      <c r="E1257">
        <f>INDEX(FactorTable!$B$2:$Y$301, MATCH(ROUND(MIN(300,MAX(1,D1257)),0), FactorTable!$A$2:$A$301,0), Skills!M23+1)</f>
        <v/>
      </c>
      <c r="F1257">
        <f>IF(Skills!N23=TRUE,(Skills!L23/10)*(E1257/1000),Skills!L23/10)+Skills!O23</f>
        <v/>
      </c>
      <c r="G1257">
        <f>Skills!G23*IF(Skills!H23&gt;0,Skills!I23/Skills!H23,1)</f>
        <v/>
      </c>
      <c r="H1257">
        <f>1-(1-Skills!J23/100)^Skills!K23</f>
        <v/>
      </c>
      <c r="I1257" t="inlineStr">
        <is>
          <t>1</t>
        </is>
      </c>
      <c r="J1257" t="inlineStr"/>
      <c r="K1257" t="inlineStr"/>
      <c r="L1257" t="inlineStr"/>
      <c r="M1257" t="inlineStr"/>
      <c r="N1257" t="inlineStr"/>
      <c r="O1257" t="n">
        <v>0</v>
      </c>
      <c r="P1257">
        <f>IF(B1279=0,0,O1257/B1279)</f>
        <v/>
      </c>
      <c r="Q1257" t="n">
        <v>0</v>
      </c>
      <c r="R1257" t="n">
        <v>0</v>
      </c>
      <c r="S1257">
        <f>IFERROR(O1257/N1257,0)</f>
        <v/>
      </c>
    </row>
    <row r="1258">
      <c r="A1258">
        <f>Skills!A24</f>
        <v/>
      </c>
      <c r="B1258">
        <f>Skills!B24</f>
        <v/>
      </c>
      <c r="C1258">
        <f>Inputs!$B$3&gt;=43</f>
        <v/>
      </c>
      <c r="D1258">
        <f>IF(Skills!C24=1,60+Inputs!$B$25+Inputs!$B$29,IF(Skills!C24=2,90+Inputs!$B$26+Inputs!$B$29,IF(Skills!C24=3,120+Inputs!$B$27+Inputs!$B$29,MAX(0,(Inputs!$B$3-100)*3)+Inputs!$B$28+Inputs!$B$29)))</f>
        <v/>
      </c>
      <c r="E1258">
        <f>INDEX(FactorTable!$B$2:$Y$301, MATCH(ROUND(MIN(300,MAX(1,D1258)),0), FactorTable!$A$2:$A$301,0), Skills!M24+1)</f>
        <v/>
      </c>
      <c r="F1258">
        <f>IF(Skills!N24=TRUE,(Skills!L24/10)*(E1258/1000),Skills!L24/10)+Skills!O24</f>
        <v/>
      </c>
      <c r="G1258">
        <f>Skills!G24*IF(Skills!H24&gt;0,Skills!I24/Skills!H24,1)</f>
        <v/>
      </c>
      <c r="H1258">
        <f>1-(1-Skills!J24/100)^Skills!K24</f>
        <v/>
      </c>
      <c r="I1258" t="inlineStr">
        <is>
          <t>1</t>
        </is>
      </c>
      <c r="J1258" t="inlineStr"/>
      <c r="K1258" t="inlineStr"/>
      <c r="L1258" t="inlineStr"/>
      <c r="M1258" t="inlineStr"/>
      <c r="N1258" t="inlineStr"/>
      <c r="O1258" t="n">
        <v>0</v>
      </c>
      <c r="P1258">
        <f>IF(B1279=0,0,O1258/B1279)</f>
        <v/>
      </c>
      <c r="Q1258" t="n">
        <v>0</v>
      </c>
      <c r="R1258" t="n">
        <v>0</v>
      </c>
      <c r="S1258">
        <f>IFERROR(O1258/N1258,0)</f>
        <v/>
      </c>
    </row>
    <row r="1259">
      <c r="A1259">
        <f>Skills!A25</f>
        <v/>
      </c>
      <c r="B1259">
        <f>Skills!B25</f>
        <v/>
      </c>
      <c r="C1259">
        <f>Inputs!$B$3&gt;=50</f>
        <v/>
      </c>
      <c r="D1259">
        <f>IF(Skills!C25=1,60+Inputs!$B$25+Inputs!$B$29,IF(Skills!C25=2,90+Inputs!$B$26+Inputs!$B$29,IF(Skills!C25=3,120+Inputs!$B$27+Inputs!$B$29,MAX(0,(Inputs!$B$3-100)*3)+Inputs!$B$28+Inputs!$B$29)))</f>
        <v/>
      </c>
      <c r="E1259">
        <f>INDEX(FactorTable!$B$2:$Y$301, MATCH(ROUND(MIN(300,MAX(1,D1259)),0), FactorTable!$A$2:$A$301,0), Skills!M25+1)</f>
        <v/>
      </c>
      <c r="F1259">
        <f>IF(Skills!N25=TRUE,(Skills!L25/10)*(E1259/1000),Skills!L25/10)+Skills!O25</f>
        <v/>
      </c>
      <c r="G1259">
        <f>Skills!G25*IF(Skills!H25&gt;0,Skills!I25/Skills!H25,1)</f>
        <v/>
      </c>
      <c r="H1259">
        <f>1-(1-Skills!J25/100)^Skills!K25</f>
        <v/>
      </c>
      <c r="I1259" t="inlineStr">
        <is>
          <t>1</t>
        </is>
      </c>
      <c r="J1259" t="inlineStr"/>
      <c r="K1259" t="inlineStr"/>
      <c r="L1259" t="inlineStr"/>
      <c r="M1259" t="inlineStr"/>
      <c r="N1259" t="inlineStr"/>
      <c r="O1259" t="n">
        <v>0</v>
      </c>
      <c r="P1259">
        <f>IF(B1279=0,0,O1259/B1279)</f>
        <v/>
      </c>
      <c r="Q1259" t="n">
        <v>0</v>
      </c>
      <c r="R1259" t="n">
        <v>0</v>
      </c>
      <c r="S1259">
        <f>IFERROR(O1259/N1259,0)</f>
        <v/>
      </c>
    </row>
    <row r="1260">
      <c r="A1260">
        <f>Skills!A26</f>
        <v/>
      </c>
      <c r="B1260">
        <f>Skills!B26</f>
        <v/>
      </c>
      <c r="C1260">
        <f>Inputs!$B$3&gt;=50</f>
        <v/>
      </c>
      <c r="D1260">
        <f>IF(Skills!C26=1,60+Inputs!$B$25+Inputs!$B$29,IF(Skills!C26=2,90+Inputs!$B$26+Inputs!$B$29,IF(Skills!C26=3,120+Inputs!$B$27+Inputs!$B$29,MAX(0,(Inputs!$B$3-100)*3)+Inputs!$B$28+Inputs!$B$29)))</f>
        <v/>
      </c>
      <c r="E1260">
        <f>INDEX(FactorTable!$B$2:$Y$301, MATCH(ROUND(MIN(300,MAX(1,D1260)),0), FactorTable!$A$2:$A$301,0), Skills!M26+1)</f>
        <v/>
      </c>
      <c r="F1260">
        <f>IF(Skills!N26=TRUE,(Skills!L26/10)*(E1260/1000),Skills!L26/10)+Skills!O26</f>
        <v/>
      </c>
      <c r="G1260">
        <f>Skills!G26*IF(Skills!H26&gt;0,Skills!I26/Skills!H26,1)</f>
        <v/>
      </c>
      <c r="H1260">
        <f>1-(1-Skills!J26/100)^Skills!K26</f>
        <v/>
      </c>
      <c r="I1260" t="inlineStr">
        <is>
          <t>1</t>
        </is>
      </c>
      <c r="J1260" t="inlineStr"/>
      <c r="K1260" t="inlineStr"/>
      <c r="L1260" t="inlineStr"/>
      <c r="M1260" t="inlineStr"/>
      <c r="N1260" t="inlineStr"/>
      <c r="O1260" t="n">
        <v>0</v>
      </c>
      <c r="P1260">
        <f>IF(B1279=0,0,O1260/B1279)</f>
        <v/>
      </c>
      <c r="Q1260" t="n">
        <v>0</v>
      </c>
      <c r="R1260" t="n">
        <v>0</v>
      </c>
      <c r="S1260">
        <f>IFERROR(O1260/N1260,0)</f>
        <v/>
      </c>
    </row>
    <row r="1261">
      <c r="A1261">
        <f>Skills!A27</f>
        <v/>
      </c>
      <c r="B1261">
        <f>Skills!B27</f>
        <v/>
      </c>
      <c r="C1261">
        <f>Inputs!$B$3&gt;=38</f>
        <v/>
      </c>
      <c r="D1261">
        <f>IF(Skills!C27=1,60+Inputs!$B$25+Inputs!$B$29,IF(Skills!C27=2,90+Inputs!$B$26+Inputs!$B$29,IF(Skills!C27=3,120+Inputs!$B$27+Inputs!$B$29,MAX(0,(Inputs!$B$3-100)*3)+Inputs!$B$28+Inputs!$B$29)))</f>
        <v/>
      </c>
      <c r="E1261">
        <f>INDEX(FactorTable!$B$2:$Y$301, MATCH(ROUND(MIN(300,MAX(1,D1261)),0), FactorTable!$A$2:$A$301,0), Skills!M27+1)</f>
        <v/>
      </c>
      <c r="F1261">
        <f>IF(Skills!N27=TRUE,(Skills!L27/10)*(E1261/1000),Skills!L27/10)+Skills!O27</f>
        <v/>
      </c>
      <c r="G1261">
        <f>Skills!G27*IF(Skills!H27&gt;0,Skills!I27/Skills!H27,1)</f>
        <v/>
      </c>
      <c r="H1261">
        <f>1-(1-Skills!J27/100)^Skills!K27</f>
        <v/>
      </c>
      <c r="I1261" t="inlineStr">
        <is>
          <t>1</t>
        </is>
      </c>
      <c r="J1261" t="inlineStr"/>
      <c r="K1261" t="inlineStr"/>
      <c r="L1261" t="inlineStr"/>
      <c r="M1261" t="inlineStr"/>
      <c r="N1261" t="inlineStr"/>
      <c r="O1261" t="n">
        <v>0</v>
      </c>
      <c r="P1261">
        <f>IF(B1279=0,0,O1261/B1279)</f>
        <v/>
      </c>
      <c r="Q1261" t="n">
        <v>0</v>
      </c>
      <c r="R1261" t="n">
        <v>0</v>
      </c>
      <c r="S1261">
        <f>IFERROR(O1261/N1261,0)</f>
        <v/>
      </c>
    </row>
    <row r="1262">
      <c r="A1262">
        <f>Skills!A28</f>
        <v/>
      </c>
      <c r="B1262">
        <f>Skills!B28</f>
        <v/>
      </c>
      <c r="C1262">
        <f>Inputs!$B$3&gt;=120</f>
        <v/>
      </c>
      <c r="D1262">
        <f>IF(Skills!C28=1,60+Inputs!$B$25+Inputs!$B$29,IF(Skills!C28=2,90+Inputs!$B$26+Inputs!$B$29,IF(Skills!C28=3,120+Inputs!$B$27+Inputs!$B$29,MAX(0,(Inputs!$B$3-100)*3)+Inputs!$B$28+Inputs!$B$29)))</f>
        <v/>
      </c>
      <c r="E1262">
        <f>INDEX(FactorTable!$B$2:$Y$301, MATCH(ROUND(MIN(300,MAX(1,D1262)),0), FactorTable!$A$2:$A$301,0), Skills!M28+1)</f>
        <v/>
      </c>
      <c r="F1262">
        <f>IF(Skills!N28=TRUE,(Skills!L28/10)*(E1262/1000),Skills!L28/10)+Skills!O28</f>
        <v/>
      </c>
      <c r="G1262">
        <f>Skills!G28*IF(Skills!H28&gt;0,Skills!I28/Skills!H28,1)</f>
        <v/>
      </c>
      <c r="H1262">
        <f>1-(1-Skills!J28/100)^Skills!K28</f>
        <v/>
      </c>
      <c r="I1262" t="inlineStr">
        <is>
          <t>1</t>
        </is>
      </c>
      <c r="J1262" t="inlineStr"/>
      <c r="K1262" t="inlineStr"/>
      <c r="L1262" t="inlineStr"/>
      <c r="M1262" t="inlineStr"/>
      <c r="N1262" t="inlineStr"/>
      <c r="O1262" t="n">
        <v>0</v>
      </c>
      <c r="P1262">
        <f>IF(B1279=0,0,O1262/B1279)</f>
        <v/>
      </c>
      <c r="Q1262" t="n">
        <v>0</v>
      </c>
      <c r="R1262" t="n">
        <v>0</v>
      </c>
      <c r="S1262">
        <f>IFERROR(O1262/N1262,0)</f>
        <v/>
      </c>
    </row>
    <row r="1263">
      <c r="A1263">
        <f>Skills!A29</f>
        <v/>
      </c>
      <c r="B1263">
        <f>Skills!B29</f>
        <v/>
      </c>
      <c r="C1263">
        <f>Inputs!$B$3&gt;=120</f>
        <v/>
      </c>
      <c r="D1263">
        <f>IF(Skills!C29=1,60+Inputs!$B$25+Inputs!$B$29,IF(Skills!C29=2,90+Inputs!$B$26+Inputs!$B$29,IF(Skills!C29=3,120+Inputs!$B$27+Inputs!$B$29,MAX(0,(Inputs!$B$3-100)*3)+Inputs!$B$28+Inputs!$B$29)))</f>
        <v/>
      </c>
      <c r="E1263">
        <f>INDEX(FactorTable!$B$2:$Y$301, MATCH(ROUND(MIN(300,MAX(1,D1263)),0), FactorTable!$A$2:$A$301,0), Skills!M29+1)</f>
        <v/>
      </c>
      <c r="F1263">
        <f>IF(Skills!N29=TRUE,(Skills!L29/10)*(E1263/1000),Skills!L29/10)+Skills!O29</f>
        <v/>
      </c>
      <c r="G1263">
        <f>Skills!G29*IF(Skills!H29&gt;0,Skills!I29/Skills!H29,1)</f>
        <v/>
      </c>
      <c r="H1263">
        <f>1-(1-Skills!J29/100)^Skills!K29</f>
        <v/>
      </c>
      <c r="I1263" t="inlineStr">
        <is>
          <t>1</t>
        </is>
      </c>
      <c r="J1263" t="inlineStr"/>
      <c r="K1263" t="inlineStr"/>
      <c r="L1263" t="inlineStr"/>
      <c r="M1263" t="inlineStr"/>
      <c r="N1263" t="inlineStr"/>
      <c r="O1263" t="n">
        <v>0</v>
      </c>
      <c r="P1263">
        <f>IF(B1279=0,0,O1263/B1279)</f>
        <v/>
      </c>
      <c r="Q1263" t="n">
        <v>0</v>
      </c>
      <c r="R1263" t="n">
        <v>0</v>
      </c>
      <c r="S1263">
        <f>IFERROR(O1263/N1263,0)</f>
        <v/>
      </c>
    </row>
    <row r="1264">
      <c r="A1264">
        <f>Skills!A30</f>
        <v/>
      </c>
      <c r="B1264">
        <f>Skills!B30</f>
        <v/>
      </c>
      <c r="C1264">
        <f>Inputs!$B$3&gt;=125</f>
        <v/>
      </c>
      <c r="D1264">
        <f>IF(Skills!C30=1,60+Inputs!$B$25+Inputs!$B$29,IF(Skills!C30=2,90+Inputs!$B$26+Inputs!$B$29,IF(Skills!C30=3,120+Inputs!$B$27+Inputs!$B$29,MAX(0,(Inputs!$B$3-100)*3)+Inputs!$B$28+Inputs!$B$29)))</f>
        <v/>
      </c>
      <c r="E1264">
        <f>INDEX(FactorTable!$B$2:$Y$301, MATCH(ROUND(MIN(300,MAX(1,D1264)),0), FactorTable!$A$2:$A$301,0), Skills!M30+1)</f>
        <v/>
      </c>
      <c r="F1264">
        <f>IF(Skills!N30=TRUE,(Skills!L30/10)*(E1264/1000),Skills!L30/10)+Skills!O30</f>
        <v/>
      </c>
      <c r="G1264">
        <f>Skills!G30*IF(Skills!H30&gt;0,Skills!I30/Skills!H30,1)</f>
        <v/>
      </c>
      <c r="H1264">
        <f>1-(1-Skills!J30/100)^Skills!K30</f>
        <v/>
      </c>
      <c r="I1264" t="inlineStr">
        <is>
          <t>1</t>
        </is>
      </c>
      <c r="J1264" t="inlineStr"/>
      <c r="K1264" t="inlineStr"/>
      <c r="L1264" t="inlineStr"/>
      <c r="M1264" t="inlineStr"/>
      <c r="N1264" t="inlineStr"/>
      <c r="O1264" t="n">
        <v>0</v>
      </c>
      <c r="P1264">
        <f>IF(B1279=0,0,O1264/B1279)</f>
        <v/>
      </c>
      <c r="Q1264" t="n">
        <v>0</v>
      </c>
      <c r="R1264" t="n">
        <v>0</v>
      </c>
      <c r="S1264">
        <f>IFERROR(O1264/N1264,0)</f>
        <v/>
      </c>
    </row>
    <row r="1266">
      <c r="A1266" t="inlineStr">
        <is>
          <t>Average Buff Multiplier</t>
        </is>
      </c>
      <c r="B1266">
        <f>(1+(((C1255=TRUE)*F1255*IF(AND(Inputs!$B$39&lt;&gt;"pvp",Inputs!$B$44&gt;0),(((R1255-1)*(Skills!Y21*(1+(Inputs!$B$34+1)/100))+MIN((Skills!Y21*(1+(Inputs!$B$34+1)/100)),MAX(0,Inputs!$B$44-((R1255-1)*Skills!D21))))/Inputs!$B$44),IF(Inputs!$B$39="pvp",MIN((Skills!Y21*(1+(Inputs!$B$34+1)/100)),15)/15,(Skills!Y21*(1+(Inputs!$B$34+1)/100))/Skills!D21)))+((C1257=TRUE)*(F1257-Calc!F23))+((C1251=TRUE)*(F1251-Calc!F17)))/100)*(1+((C1244=TRUE)*F1244*IF(AND(Inputs!$B$39&lt;&gt;"pvp",Inputs!$B$44&gt;0),(((R1244-1)*(Skills!Y10*(1+(Inputs!$B$34+1)/100))+MIN((Skills!Y10*(1+(Inputs!$B$34+1)/100)),MAX(0,Inputs!$B$44-((R1244-1)*Skills!D10))))/Inputs!$B$44),IF(Inputs!$B$39="pvp",MIN((Skills!Y10*(1+(Inputs!$B$34+1)/100)),15)/15,(Skills!Y10*(1+(Inputs!$B$34+1)/100))/Skills!D10)))/100)*(1+((C1249=TRUE)*F1249*IF(AND(Inputs!$B$39&lt;&gt;"pvp",Inputs!$B$44&gt;0),(((R1249-1)*(Skills!Y15*(1+(Inputs!$B$34+1)/100))+MIN((Skills!Y15*(1+(Inputs!$B$34+1)/100)),MAX(0,Inputs!$B$44-((R1249-1)*Skills!D15))))/Inputs!$B$44),IF(Inputs!$B$39="pvp",MIN((Skills!Y15*(1+(Inputs!$B$34+1)/100)),15)/15,(Skills!Y15*(1+(Inputs!$B$34+1)/100))/Skills!D15)))/100)</f>
        <v/>
      </c>
    </row>
    <row r="1267">
      <c r="A1267" t="inlineStr">
        <is>
          <t>Global Crit Rate Bonus %</t>
        </is>
      </c>
      <c r="B1267">
        <f>((C1254=TRUE)*F1254*IF(AND(Inputs!$B$39&lt;&gt;"pvp",Inputs!$B$44&gt;0),(((R1254-1)*(Skills!Y20*(1+(Inputs!$B$34+1)/100))+MIN((Skills!Y20*(1+(Inputs!$B$34+1)/100)),MAX(0,Inputs!$B$44-((R1254-1)*Skills!D20))))/Inputs!$B$44),IF(Inputs!$B$39="pvp",MIN((Skills!Y20*(1+(Inputs!$B$34+1)/100)),15)/15,(Skills!Y20*(1+(Inputs!$B$34+1)/100))/Skills!D20)))</f>
        <v/>
      </c>
    </row>
    <row r="1268">
      <c r="A1268" t="inlineStr">
        <is>
          <t>Global Monster Damage-Taken Bonus %</t>
        </is>
      </c>
      <c r="B1268">
        <f>IF(Inputs!$B$3&gt;=82,15,0)</f>
        <v/>
      </c>
    </row>
    <row r="1269">
      <c r="A1269" t="inlineStr">
        <is>
          <t>Shadow Partner Average Multiplier</t>
        </is>
      </c>
      <c r="B1269">
        <f>1+((C1241=TRUE)*F1241*(1+3.3333333333333335*IF(C1252=TRUE,F1252,0)/100)*I1241*Skills!J7/100)/100</f>
        <v/>
      </c>
    </row>
    <row r="1270">
      <c r="A1270" t="inlineStr">
        <is>
          <t>Attack Speed Buff Bonus %</t>
        </is>
      </c>
      <c r="B1270">
        <f>((C1253=TRUE)*F1253*IF(AND(Inputs!$B$39&lt;&gt;"pvp",Inputs!$B$44&gt;0),(((R1253-1)*(Skills!Y19*(1+(Inputs!$B$34+1)/100))+MIN((Skills!Y19*(1+(Inputs!$B$34+1)/100)),MAX(0,Inputs!$B$44-((R1253-1)*Skills!D19))))/Inputs!$B$44),IF(Inputs!$B$39="pvp",MIN((Skills!Y19*(1+(Inputs!$B$34+1)/100)),15)/15,(Skills!Y19*(1+(Inputs!$B$34+1)/100))/Skills!D19)))+((C1237=TRUE)*F1237*3)</f>
        <v/>
      </c>
    </row>
    <row r="1271">
      <c r="A1271" t="inlineStr">
        <is>
          <t>Actions Per Second</t>
        </is>
      </c>
      <c r="B1271">
        <f>1+MIN(150,150*(1-(1-(Inputs!$B$11+((C1256=TRUE)*(F1256-Calc!F22)))/150)*(1-B1270/150)))/100</f>
        <v/>
      </c>
    </row>
    <row r="1272">
      <c r="A1272" t="inlineStr">
        <is>
          <t>Skill + Buff Cast Rate</t>
        </is>
      </c>
      <c r="B1272">
        <f>IF(AND(Inputs!$B$39&lt;&gt;"pvp",Inputs!$B$44&gt;0),SUMPRODUCT((Skills!E2:E30=TRUE)*(C1236:C1264=TRUE)*R1236:R1264*Skills!F2:F30)/Inputs!$B$44,SUMPRODUCT((Skills!E2:E30=TRUE)*(C1236:C1264=TRUE)*Q1236:Q1264*Skills!F2:F30))</f>
        <v/>
      </c>
    </row>
    <row r="1273">
      <c r="A1273" t="inlineStr">
        <is>
          <t>Cruel Stab Casts Per Second</t>
        </is>
      </c>
      <c r="B1273">
        <f>MAX(0,B1271-B1272)</f>
        <v/>
      </c>
    </row>
    <row r="1274">
      <c r="A1274" t="inlineStr">
        <is>
          <t>Global Critical Damage Bonus % (Smokescreen Mastery Lv.113)</t>
        </is>
      </c>
      <c r="B1274">
        <f>IF(Inputs!$B$3&gt;=113,30,0)*IF(AND(Inputs!$B$39&lt;&gt;"pvp",Inputs!$B$44&gt;0),(((R1249-1)*(Skills!Y15*(1+(Inputs!$B$34+1)/100))+MIN((Skills!Y15*(1+(Inputs!$B$34+1)/100)),MAX(0,Inputs!$B$44-((R1249-1)*Skills!D15))))/Inputs!$B$44),IF(Inputs!$B$39="pvp",MIN((Skills!Y15*(1+(Inputs!$B$34+1)/100)),15)/15,(Skills!Y15*(1+(Inputs!$B$34+1)/100))/Skills!D15))</f>
        <v/>
      </c>
    </row>
    <row r="1275">
      <c r="A1275" t="inlineStr">
        <is>
          <t>Meso Explosion average stack count</t>
        </is>
      </c>
      <c r="B1275">
        <f>MIN(10,0.5*B1271*Skills!D4)</f>
        <v/>
      </c>
    </row>
    <row r="1276">
      <c r="A1276" t="inlineStr">
        <is>
          <t>Blood Money average stack count</t>
        </is>
      </c>
      <c r="B1276">
        <f>MIN(5,0.25*B1271*Skills!D4)</f>
        <v/>
      </c>
    </row>
    <row r="1277">
      <c r="A1277" t="inlineStr">
        <is>
          <t>Assassinate Murderous Intent Multiplier</t>
        </is>
      </c>
      <c r="B1277">
        <f>1+IFERROR(MIN(1,Q1248*2/Q1245),0)</f>
        <v/>
      </c>
    </row>
    <row r="1278">
      <c r="A1278" t="inlineStr">
        <is>
          <t>Buff-Casting Startup Delay (s, fixed-duration only)</t>
        </is>
      </c>
      <c r="B1278">
        <f>IF(AND(Inputs!$B$39&lt;&gt;"pvp",Inputs!$B$44&gt;0),SUMPRODUCT((Skills!Y2:Y30&gt;0)*(Skills!E2:E30=TRUE)*(C1236:C1264=TRUE))/B1271,0)</f>
        <v/>
      </c>
    </row>
    <row r="1279">
      <c r="A1279" s="5" t="inlineStr">
        <is>
          <t>TOTAL DPS</t>
        </is>
      </c>
      <c r="B1279" s="5">
        <f>SUM(O1236:O1264)</f>
        <v/>
      </c>
    </row>
    <row r="1282">
      <c r="A1282" s="5" t="inlineStr">
        <is>
          <t>Stat: Incoming Hit Rate (hits/sec, Shadow Shifter only)</t>
        </is>
      </c>
    </row>
    <row r="1283">
      <c r="A1283" s="9" t="inlineStr">
        <is>
          <t>Key</t>
        </is>
      </c>
      <c r="B1283" s="9" t="inlineStr">
        <is>
          <t>Name</t>
        </is>
      </c>
      <c r="C1283" s="9" t="inlineStr">
        <is>
          <t>Unlocked</t>
        </is>
      </c>
      <c r="D1283" s="9" t="inlineStr">
        <is>
          <t>InputLevel</t>
        </is>
      </c>
      <c r="E1283" s="9" t="inlineStr">
        <is>
          <t>Factor</t>
        </is>
      </c>
      <c r="F1283" s="9" t="inlineStr">
        <is>
          <t>CoefficientPercent</t>
        </is>
      </c>
      <c r="G1283" s="9" t="inlineStr">
        <is>
          <t>EffectiveHits</t>
        </is>
      </c>
      <c r="H1283" s="9" t="inlineStr">
        <is>
          <t>ProcProbability</t>
        </is>
      </c>
      <c r="I1283" s="9" t="inlineStr">
        <is>
          <t>MapleHeroMultiplier</t>
        </is>
      </c>
      <c r="J1283" s="9" t="inlineStr">
        <is>
          <t>BaseDamage</t>
        </is>
      </c>
      <c r="K1283" s="9" t="inlineStr">
        <is>
          <t>BaseHitDamage</t>
        </is>
      </c>
      <c r="L1283" s="9" t="inlineStr">
        <is>
          <t>NonCritAvg</t>
        </is>
      </c>
      <c r="M1283" s="9" t="inlineStr">
        <is>
          <t>CritAvg</t>
        </is>
      </c>
      <c r="N1283" s="9" t="inlineStr">
        <is>
          <t>ExpectedDamage(perHit)</t>
        </is>
      </c>
      <c r="O1283" s="9" t="inlineStr">
        <is>
          <t>DPS</t>
        </is>
      </c>
      <c r="P1283" s="9" t="inlineStr">
        <is>
          <t>% of Total</t>
        </is>
      </c>
      <c r="Q1283" s="9" t="inlineStr">
        <is>
          <t>InvCooldown</t>
        </is>
      </c>
      <c r="R1283" s="9" t="inlineStr">
        <is>
          <t>CastsInFight</t>
        </is>
      </c>
      <c r="S1283" s="9" t="inlineStr">
        <is>
          <t>HitRate(perSec)</t>
        </is>
      </c>
      <c r="U1283" t="inlineStr">
        <is>
          <t>helpers</t>
        </is>
      </c>
    </row>
    <row r="1284">
      <c r="A1284">
        <f>Skills!A2</f>
        <v/>
      </c>
      <c r="B1284">
        <f>Skills!B2</f>
        <v/>
      </c>
      <c r="C1284">
        <f>Inputs!$B$3&gt;=100</f>
        <v/>
      </c>
      <c r="D1284" t="inlineStr"/>
      <c r="E1284" t="inlineStr"/>
      <c r="F1284">
        <f>U1286+Skills!O2</f>
        <v/>
      </c>
      <c r="G1284">
        <f>Skills!G2*IF(Skills!H2&gt;0,Skills!I2/Skills!H2,1)</f>
        <v/>
      </c>
      <c r="H1284">
        <f>1-(1-Skills!J2/100)^Skills!K2</f>
        <v/>
      </c>
      <c r="I1284" t="inlineStr">
        <is>
          <t>1</t>
        </is>
      </c>
      <c r="J1284">
        <f>((Inputs!$B$6*(1+Inputs!$B$7/100))+(((Inputs!$B$12*(1+Inputs!$B$13/100))-(Inputs!$B$12*(1+Inputs!$B$13/100)))+0.25*(Inputs!$B$14-Inputs!$B$14))*(1+Inputs!$B$7/100))*(F1284/100)</f>
        <v/>
      </c>
      <c r="K1284">
        <f>J1284*(1+((Inputs!$B$12*(1+Inputs!$B$13/100))*0.01+Inputs!$B$14*0.0025)/100)*(1+Inputs!$B$15/100)*(1+IF(Inputs!$B$39="pvp",0,(1-Summary!$B$55)*(Inputs!$B$20+0+Skills!P2+B1316)+Summary!$B$55*(Inputs!$B$21+Skills!Q2+B1316))/100)*(1+Inputs!$B$16/100)*(5000/(6000+Inputs!$B$43*(1-Inputs!$B$19/100)))*(1+(Inputs!$B$24+((C1312=TRUE)*(F1312-Calc!F30)))/100)*(1+(IF(Skills!A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1284)</f>
        <v/>
      </c>
      <c r="L1284">
        <f>K1284*(MIN(Inputs!$B$22+((C1306=TRUE)*(F1306-Calc!F24)),Inputs!$B$23+((C1311=TRUE)*(F1311-Calc!F29)))/100+(Inputs!$B$23+((C1311=TRUE)*(F1311-Calc!F29)))/100)/2</f>
        <v/>
      </c>
      <c r="M1284">
        <f>L1284*(1+(Inputs!$B$10+((C1308=TRUE)*(F1308-Calc!F26))+B1322)/100)</f>
        <v/>
      </c>
      <c r="N1284">
        <f>L1284*(1-MIN((Inputs!$B$9+((C1307=TRUE)*(F1307-Calc!F25))+B1315),100)/100)+M1284*(MIN((Inputs!$B$9+((C1307=TRUE)*(F1307-Calc!F25))+B1315),100)/100)</f>
        <v/>
      </c>
      <c r="O1284">
        <f>IF(C1284,Skills!G2*N1284*B1321*IF(Inputs!$B$39="pvp",1,(1-Summary!$B$55)*(1)+Summary!$B$55*(MIN((6+Inputs!$B$33),Inputs!$B$37))),0)</f>
        <v/>
      </c>
      <c r="P1284">
        <f>IF(B1327=0,0,O1284/B1327)</f>
        <v/>
      </c>
      <c r="Q1284" t="n">
        <v>0</v>
      </c>
      <c r="R1284" t="n">
        <v>0</v>
      </c>
      <c r="S1284">
        <f>IFERROR(O1284/N1284,0)</f>
        <v/>
      </c>
      <c r="U1284">
        <f>MAX(0,(Inputs!$B$3-100)*3)+Inputs!$B$28+Inputs!$B$29</f>
        <v/>
      </c>
    </row>
    <row r="1285">
      <c r="A1285">
        <f>Skills!A3</f>
        <v/>
      </c>
      <c r="B1285">
        <f>Skills!B3</f>
        <v/>
      </c>
      <c r="C1285">
        <f>Inputs!$B$3&gt;=35</f>
        <v/>
      </c>
      <c r="D1285">
        <f>IF(Skills!C3=1,60+Inputs!$B$25+Inputs!$B$29,IF(Skills!C3=2,90+Inputs!$B$26+Inputs!$B$29,IF(Skills!C3=3,120+Inputs!$B$27+Inputs!$B$29,MAX(0,(Inputs!$B$3-100)*3)+Inputs!$B$28+Inputs!$B$29)))</f>
        <v/>
      </c>
      <c r="E1285">
        <f>INDEX(FactorTable!$B$2:$Y$301, MATCH(ROUND(MIN(300,MAX(1,D1285)),0), FactorTable!$A$2:$A$301,0), Skills!M3+1)</f>
        <v/>
      </c>
      <c r="F1285">
        <f>IF(Skills!N3=TRUE,(Skills!L3/10)*(E1285/1000),Skills!L3/10)+Skills!O3</f>
        <v/>
      </c>
      <c r="G1285">
        <f>Skills!G3*IF(Skills!H3&gt;0,Skills!I3/Skills!H3,1)</f>
        <v/>
      </c>
      <c r="H1285">
        <f>1-(1-Skills!J3/100)^Skills!K3</f>
        <v/>
      </c>
      <c r="I1285" t="inlineStr">
        <is>
          <t>1</t>
        </is>
      </c>
      <c r="J1285" t="inlineStr"/>
      <c r="K1285" t="inlineStr"/>
      <c r="L1285" t="inlineStr"/>
      <c r="M1285" t="inlineStr"/>
      <c r="N1285" t="inlineStr"/>
      <c r="O1285" t="n">
        <v>0</v>
      </c>
      <c r="P1285">
        <f>IF(B1327=0,0,O1285/B1327)</f>
        <v/>
      </c>
      <c r="Q1285" t="n">
        <v>0</v>
      </c>
      <c r="R1285" t="n">
        <v>0</v>
      </c>
      <c r="S1285">
        <f>IFERROR(O1285/N1285,0)</f>
        <v/>
      </c>
      <c r="U1285">
        <f>INDEX(FactorTable!$B$2:$Y$301, MATCH(ROUND(MIN(300,MAX(1,U1284)),0), FactorTable!$A$2:$A$301,0), 22)</f>
        <v/>
      </c>
    </row>
    <row r="1286">
      <c r="A1286">
        <f>Skills!A4</f>
        <v/>
      </c>
      <c r="B1286">
        <f>Skills!B4</f>
        <v/>
      </c>
      <c r="C1286">
        <f>Inputs!$B$3&gt;=66</f>
        <v/>
      </c>
      <c r="D1286">
        <f>IF(Skills!C4=1,60+Inputs!$B$25+Inputs!$B$29,IF(Skills!C4=2,90+Inputs!$B$26+Inputs!$B$29,IF(Skills!C4=3,120+Inputs!$B$27+Inputs!$B$29,MAX(0,(Inputs!$B$3-100)*3)+Inputs!$B$28+Inputs!$B$29)))</f>
        <v/>
      </c>
      <c r="E1286">
        <f>INDEX(FactorTable!$B$2:$Y$301, MATCH(ROUND(MIN(300,MAX(1,D1286)),0), FactorTable!$A$2:$A$301,0), Skills!M4+1)</f>
        <v/>
      </c>
      <c r="F1286">
        <f>IF(Skills!N4=TRUE,(Skills!L4/10)*(E1286/1000),Skills!L4/10)+Skills!O4</f>
        <v/>
      </c>
      <c r="G1286">
        <f>Skills!G4*IF(Skills!H4&gt;0,Skills!I4/Skills!H4,1)</f>
        <v/>
      </c>
      <c r="H1286">
        <f>1-(1-Skills!J4/100)^Skills!K4</f>
        <v/>
      </c>
      <c r="I1286" t="inlineStr">
        <is>
          <t>1</t>
        </is>
      </c>
      <c r="J1286">
        <f>((Inputs!$B$6*(1+Inputs!$B$7/100))+(((Inputs!$B$12*(1+Inputs!$B$13/100))-(Inputs!$B$12*(1+Inputs!$B$13/100)))+0.25*(Inputs!$B$14-Inputs!$B$14))*(1+Inputs!$B$7/100))*(F1286/100)</f>
        <v/>
      </c>
      <c r="K1286">
        <f>J1286*(1+((Inputs!$B$12*(1+Inputs!$B$13/100))*0.01+Inputs!$B$14*0.0025)/100)*(1+Inputs!$B$15/100)*(1+IF(Inputs!$B$39="pvp",0,(1-Summary!$B$55)*(Inputs!$B$20+0+Skills!P4+B1316)+Summary!$B$55*(Inputs!$B$21+Skills!Q4+B1316))/100)*(1+Inputs!$B$16/100)*(5000/(6000+Inputs!$B$43*(1-Inputs!$B$19/100)))*(1+(Inputs!$B$24+((C1312=TRUE)*(F1312-Calc!F30)))/100)*(1+(IF(Skills!A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1286)</f>
        <v/>
      </c>
      <c r="L1286">
        <f>K1286*(MIN(Inputs!$B$22+((C1306=TRUE)*(F1306-Calc!F24)),Inputs!$B$23+((C1311=TRUE)*(F1311-Calc!F29)))/100+(Inputs!$B$23+((C1311=TRUE)*(F1311-Calc!F29)))/100)/2</f>
        <v/>
      </c>
      <c r="M1286">
        <f>L1286*(1+(Inputs!$B$10+((C1308=TRUE)*(F1308-Calc!F26))+B1322)/100)</f>
        <v/>
      </c>
      <c r="N1286">
        <f>L1286*(1-MIN((Inputs!$B$9+((C1307=TRUE)*(F1307-Calc!F25))+B1315),100)/100)+M1286*(MIN((Inputs!$B$9+((C1307=TRUE)*(F1307-Calc!F25))+B1315),100)/100)</f>
        <v/>
      </c>
      <c r="O1286">
        <f>IF(C1286,H1286*N1286*IF(AND(Inputs!$B$39&lt;&gt;"pvp",Inputs!$B$44&gt;0),((Skills!G4*((R1286-1)*IF(Skills!H4&gt;0,Skills!I4/Skills!H4,1)+IF(Skills!H4&gt;0,MIN(Skills!I4,MAX(0,MAX(0,Inputs!$B$44-B1326)-((R1286-1)*IF(Inputs!$B$39="pvp",15,MAX(0.1,Skills!D4-IF(Skills!E4=TRUE,Inputs!$B$32,0))))))/Skills!H4,1)))/Inputs!$B$44),G1286*Q1286)*IF(Inputs!$B$39="pvp",1,(1-Summary!$B$55)*(1)+Summary!$B$55*(MIN(MIN(10,0.5*B1319*Skills!D4),Inputs!$B$37))),0)</f>
        <v/>
      </c>
      <c r="P1286">
        <f>IF(B1327=0,0,O1286/B1327)</f>
        <v/>
      </c>
      <c r="Q1286">
        <f>IFERROR(1/IF(Inputs!$B$39="pvp",15,MAX(0.1,Skills!D4-IF(Skills!E4=TRUE,Inputs!$B$32,0))),0)</f>
        <v/>
      </c>
      <c r="R1286">
        <f>IF(AND(Inputs!$B$39&lt;&gt;"pvp",Inputs!$B$44&gt;0),IF(MAX(0,Inputs!$B$44-B1326)&lt;=0,0,(INT(MAX(0,Inputs!$B$44-B1326)/IF(Inputs!$B$39="pvp",15,MAX(0.1,Skills!D4-IF(Skills!E4=TRUE,Inputs!$B$32,0))))+1)),0)</f>
        <v/>
      </c>
      <c r="S1286">
        <f>IFERROR(O1286/N1286,0)</f>
        <v/>
      </c>
      <c r="U1286">
        <f>290*U1285/1000</f>
        <v/>
      </c>
    </row>
    <row r="1287">
      <c r="A1287">
        <f>Skills!A5</f>
        <v/>
      </c>
      <c r="B1287">
        <f>Skills!B5</f>
        <v/>
      </c>
      <c r="C1287">
        <f>Inputs!$B$3&gt;=63</f>
        <v/>
      </c>
      <c r="D1287">
        <f>IF(Skills!C5=1,60+Inputs!$B$25+Inputs!$B$29,IF(Skills!C5=2,90+Inputs!$B$26+Inputs!$B$29,IF(Skills!C5=3,120+Inputs!$B$27+Inputs!$B$29,MAX(0,(Inputs!$B$3-100)*3)+Inputs!$B$28+Inputs!$B$29)))</f>
        <v/>
      </c>
      <c r="E1287">
        <f>INDEX(FactorTable!$B$2:$Y$301, MATCH(ROUND(MIN(300,MAX(1,D1287)),0), FactorTable!$A$2:$A$301,0), Skills!M5+1)</f>
        <v/>
      </c>
      <c r="F1287">
        <f>IF(Skills!N5=TRUE,(Skills!L5/10)*(E1287/1000),Skills!L5/10)+Skills!O5</f>
        <v/>
      </c>
      <c r="G1287">
        <f>Skills!G5*IF(Skills!H5&gt;0,Skills!I5/Skills!H5,1)</f>
        <v/>
      </c>
      <c r="H1287">
        <f>1-(1-Skills!J5/100)^Skills!K5</f>
        <v/>
      </c>
      <c r="I1287" t="inlineStr">
        <is>
          <t>1</t>
        </is>
      </c>
      <c r="J1287">
        <f>((Inputs!$B$6*(1+Inputs!$B$7/100))+(((Inputs!$B$12*(1+Inputs!$B$13/100))-(Inputs!$B$12*(1+Inputs!$B$13/100)))+0.25*(Inputs!$B$14-Inputs!$B$14))*(1+Inputs!$B$7/100))*(F1287/100)</f>
        <v/>
      </c>
      <c r="K1287">
        <f>J1287*(1+((Inputs!$B$12*(1+Inputs!$B$13/100))*0.01+Inputs!$B$14*0.0025)/100)*(1+Inputs!$B$15/100)*(1+IF(Inputs!$B$39="pvp",0,(1-Summary!$B$55)*(Inputs!$B$20+0+Skills!P5+B1316)+Summary!$B$55*(Inputs!$B$21+Skills!Q5+B1316))/100)*(1+Inputs!$B$16/100)*(5000/(6000+Inputs!$B$43*(1-Inputs!$B$19/100)))*(1+(Inputs!$B$24+((C1312=TRUE)*(F1312-Calc!F30)))/100)*(1+2.6666666666666665*IF(C1300=TRUE,F1300,0)/100)*(1+(IF(Skills!A5="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1287)</f>
        <v/>
      </c>
      <c r="L1287">
        <f>K1287*(MIN(Inputs!$B$22+((C1306=TRUE)*(F1306-Calc!F24)),Inputs!$B$23+((C1311=TRUE)*(F1311-Calc!F29)))/100+(Inputs!$B$23+((C1311=TRUE)*(F1311-Calc!F29)))/100)/2</f>
        <v/>
      </c>
      <c r="M1287">
        <f>L1287*(1+(Inputs!$B$10+((C1308=TRUE)*(F1308-Calc!F26))+B1322)/100)</f>
        <v/>
      </c>
      <c r="N1287">
        <f>L1287*(1-MIN((Inputs!$B$9+((C1307=TRUE)*(F1307-Calc!F25))+B1315),100)/100)+M1287*(MIN((Inputs!$B$9+((C1307=TRUE)*(F1307-Calc!F25))+B1315),100)/100)</f>
        <v/>
      </c>
      <c r="O1287">
        <f>IF(C1287,H1287*N1287*IF(AND(Inputs!$B$39&lt;&gt;"pvp",Inputs!$B$44&gt;0),((Skills!G5*((R1287-1)*IF(Skills!H5&gt;0,Skills!I5/Skills!H5,1)+IF(Skills!H5&gt;0,MIN(Skills!I5,MAX(0,MAX(0,Inputs!$B$44-B1326)-((R1287-1)*IF(Inputs!$B$39="pvp",15,MAX(0.1,Skills!D5-IF(Skills!E5=TRUE,Inputs!$B$32,0))))))/Skills!H5,1)))/Inputs!$B$44),G1287*Q1287)*IF(Inputs!$B$39="pvp",1,(1-Summary!$B$55)*(1)+Summary!$B$55*(MIN(Skills!W5,Inputs!$B$37))),0)</f>
        <v/>
      </c>
      <c r="P1287">
        <f>IF(B1327=0,0,O1287/B1327)</f>
        <v/>
      </c>
      <c r="Q1287">
        <f>IFERROR(1/IF(Inputs!$B$39="pvp",15,MAX(0.1,Skills!D5-IF(Skills!E5=TRUE,Inputs!$B$32,0))),0)</f>
        <v/>
      </c>
      <c r="R1287">
        <f>IF(AND(Inputs!$B$39&lt;&gt;"pvp",Inputs!$B$44&gt;0),IF(MAX(0,Inputs!$B$44-B1326)&lt;=0,0,(INT(MAX(0,Inputs!$B$44-B1326)/IF(Inputs!$B$39="pvp",15,MAX(0.1,Skills!D5-IF(Skills!E5=TRUE,Inputs!$B$32,0))))+1)),0)</f>
        <v/>
      </c>
      <c r="S1287">
        <f>IFERROR(O1287/N1287,0)</f>
        <v/>
      </c>
    </row>
    <row r="1288">
      <c r="A1288">
        <f>Skills!A6</f>
        <v/>
      </c>
      <c r="B1288">
        <f>Skills!B6</f>
        <v/>
      </c>
      <c r="C1288">
        <f>Inputs!$B$3&gt;=69</f>
        <v/>
      </c>
      <c r="D1288">
        <f>IF(Skills!C6=1,60+Inputs!$B$25+Inputs!$B$29,IF(Skills!C6=2,90+Inputs!$B$26+Inputs!$B$29,IF(Skills!C6=3,120+Inputs!$B$27+Inputs!$B$29,MAX(0,(Inputs!$B$3-100)*3)+Inputs!$B$28+Inputs!$B$29)))</f>
        <v/>
      </c>
      <c r="E1288">
        <f>INDEX(FactorTable!$B$2:$Y$301, MATCH(ROUND(MIN(300,MAX(1,D1288)),0), FactorTable!$A$2:$A$301,0), Skills!M6+1)</f>
        <v/>
      </c>
      <c r="F1288">
        <f>IF(Skills!N6=TRUE,(Skills!L6/10)*(E1288/1000),Skills!L6/10)+Skills!O6</f>
        <v/>
      </c>
      <c r="G1288">
        <f>Skills!G6*IF(Skills!H6&gt;0,Skills!I6/Skills!H6,1)</f>
        <v/>
      </c>
      <c r="H1288">
        <f>1-(1-Skills!J6/100)^Skills!K6</f>
        <v/>
      </c>
      <c r="I1288" t="inlineStr">
        <is>
          <t>1</t>
        </is>
      </c>
      <c r="J1288">
        <f>((Inputs!$B$6*(1+Inputs!$B$7/100))+(((Inputs!$B$12*(1+Inputs!$B$13/100))-(Inputs!$B$12*(1+Inputs!$B$13/100)))+0.25*(Inputs!$B$14-Inputs!$B$14))*(1+Inputs!$B$7/100))*(F1288/100)</f>
        <v/>
      </c>
      <c r="K1288">
        <f>J1288*(1+((Inputs!$B$12*(1+Inputs!$B$13/100))*0.01+Inputs!$B$14*0.0025)/100)*(1+Inputs!$B$15/100)*(1+IF(Inputs!$B$39="pvp",0,(1-Summary!$B$55)*(Inputs!$B$20+0+Skills!P6+B1316)+Summary!$B$55*(Inputs!$B$21+Skills!Q6+B1316))/100)*(1+Inputs!$B$16/100)*(5000/(6000+Inputs!$B$43*(1-Inputs!$B$19/100)))*(1+(Inputs!$B$24+((C1312=TRUE)*(F1312-Calc!F30)))/100)*(1+1.0*IF(C1300=TRUE,F1300,0)/100)*(1+(IF(Skills!A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1288)</f>
        <v/>
      </c>
      <c r="L1288">
        <f>K1288*(MIN(Inputs!$B$22+((C1306=TRUE)*(F1306-Calc!F24)),Inputs!$B$23+((C1311=TRUE)*(F1311-Calc!F29)))/100+(Inputs!$B$23+((C1311=TRUE)*(F1311-Calc!F29)))/100)/2</f>
        <v/>
      </c>
      <c r="M1288">
        <f>L1288*(1+(Inputs!$B$10+((C1308=TRUE)*(F1308-Calc!F26))+B1322)/100)</f>
        <v/>
      </c>
      <c r="N1288">
        <f>L1288*(1-MIN((Inputs!$B$9+((C1307=TRUE)*(F1307-Calc!F25))+B1315),100)/100)+M1288*(MIN((Inputs!$B$9+((C1307=TRUE)*(F1307-Calc!F25))+B1315),100)/100)</f>
        <v/>
      </c>
      <c r="O1288">
        <f>IF(C1288,H1288*N1288*IF(AND(Inputs!$B$39&lt;&gt;"pvp",Inputs!$B$44&gt;0),((Skills!G6*((R1288-1)*IF(Skills!H6&gt;0,Skills!I6/Skills!H6,1)+IF(Skills!H6&gt;0,MIN(Skills!I6,MAX(0,MAX(0,Inputs!$B$44-B1326)-((R1288-1)*IF(Inputs!$B$39="pvp",15,MAX(0.1,Skills!D6-IF(Skills!E6=TRUE,Inputs!$B$32,0))))))/Skills!H6,1)))/Inputs!$B$44),G1288*Q1288)*IF(Inputs!$B$39="pvp",1,(1-Summary!$B$55)*(1)+Summary!$B$55*(MIN(Skills!W6,Inputs!$B$37))),0)</f>
        <v/>
      </c>
      <c r="P1288">
        <f>IF(B1327=0,0,O1288/B1327)</f>
        <v/>
      </c>
      <c r="Q1288">
        <f>IFERROR(1/IF(Inputs!$B$39="pvp",15,MAX(0.1,Skills!D6-IF(Skills!E6=TRUE,Inputs!$B$32,0))),0)</f>
        <v/>
      </c>
      <c r="R1288">
        <f>IF(AND(Inputs!$B$39&lt;&gt;"pvp",Inputs!$B$44&gt;0),IF(MAX(0,Inputs!$B$44-B1326)&lt;=0,0,(INT(MAX(0,Inputs!$B$44-B1326)/IF(Inputs!$B$39="pvp",15,MAX(0.1,Skills!D6-IF(Skills!E6=TRUE,Inputs!$B$32,0))))+1)),0)</f>
        <v/>
      </c>
      <c r="S1288">
        <f>IFERROR(O1288/N1288,0)</f>
        <v/>
      </c>
    </row>
    <row r="1289">
      <c r="A1289">
        <f>Skills!A7</f>
        <v/>
      </c>
      <c r="B1289">
        <f>Skills!B7</f>
        <v/>
      </c>
      <c r="C1289">
        <f>Inputs!$B$3&gt;=60</f>
        <v/>
      </c>
      <c r="D1289">
        <f>IF(Skills!C7=1,60+Inputs!$B$25+Inputs!$B$29,IF(Skills!C7=2,90+Inputs!$B$26+Inputs!$B$29,IF(Skills!C7=3,120+Inputs!$B$27+Inputs!$B$29,MAX(0,(Inputs!$B$3-100)*3)+Inputs!$B$28+Inputs!$B$29)))</f>
        <v/>
      </c>
      <c r="E1289">
        <f>INDEX(FactorTable!$B$2:$Y$301, MATCH(ROUND(MIN(300,MAX(1,D1289)),0), FactorTable!$A$2:$A$301,0), Skills!M7+1)</f>
        <v/>
      </c>
      <c r="F1289">
        <f>IF(Skills!N7=TRUE,(Skills!L7/10)*(E1289/1000),Skills!L7/10)+Skills!O7</f>
        <v/>
      </c>
      <c r="G1289">
        <f>Skills!G7*IF(Skills!H7&gt;0,Skills!I7/Skills!H7,1)</f>
        <v/>
      </c>
      <c r="H1289">
        <f>1-(1-Skills!J7/100)^Skills!K7</f>
        <v/>
      </c>
      <c r="I1289" t="inlineStr">
        <is>
          <t>1</t>
        </is>
      </c>
      <c r="J1289" t="inlineStr"/>
      <c r="K1289" t="inlineStr"/>
      <c r="L1289" t="inlineStr"/>
      <c r="M1289" t="inlineStr"/>
      <c r="N1289" t="inlineStr"/>
      <c r="O1289" t="n">
        <v>0</v>
      </c>
      <c r="P1289">
        <f>IF(B1327=0,0,O1289/B1327)</f>
        <v/>
      </c>
      <c r="Q1289" t="n">
        <v>0</v>
      </c>
      <c r="R1289" t="n">
        <v>0</v>
      </c>
      <c r="S1289">
        <f>IFERROR(O1289/N1289,0)</f>
        <v/>
      </c>
    </row>
    <row r="1290">
      <c r="A1290">
        <f>Skills!A8</f>
        <v/>
      </c>
      <c r="B1290">
        <f>Skills!B8</f>
        <v/>
      </c>
      <c r="C1290">
        <f>Inputs!$B$3&gt;=72</f>
        <v/>
      </c>
      <c r="D1290">
        <f>IF(Skills!C8=1,60+Inputs!$B$25+Inputs!$B$29,IF(Skills!C8=2,90+Inputs!$B$26+Inputs!$B$29,IF(Skills!C8=3,120+Inputs!$B$27+Inputs!$B$29,MAX(0,(Inputs!$B$3-100)*3)+Inputs!$B$28+Inputs!$B$29)))</f>
        <v/>
      </c>
      <c r="E1290">
        <f>INDEX(FactorTable!$B$2:$Y$301, MATCH(ROUND(MIN(300,MAX(1,D1290)),0), FactorTable!$A$2:$A$301,0), Skills!M8+1)</f>
        <v/>
      </c>
      <c r="F1290">
        <f>IF(Skills!N8=TRUE,(Skills!L8/10)*(E1290/1000),Skills!L8/10)+Skills!O8</f>
        <v/>
      </c>
      <c r="G1290">
        <f>Skills!G8*IF(Skills!H8&gt;0,Skills!I8/Skills!H8,1)</f>
        <v/>
      </c>
      <c r="H1290">
        <f>1-(1-Skills!J8/100)^Skills!K8</f>
        <v/>
      </c>
      <c r="I1290" t="inlineStr">
        <is>
          <t>1</t>
        </is>
      </c>
      <c r="J1290">
        <f>((Inputs!$B$6*(1+Inputs!$B$7/100))+(((Inputs!$B$12*(1+Inputs!$B$13/100))-(Inputs!$B$12*(1+Inputs!$B$13/100)))+0.25*(Inputs!$B$14-Inputs!$B$14))*(1+Inputs!$B$7/100))*(F1290/100)</f>
        <v/>
      </c>
      <c r="K1290">
        <f>J1290*(1+((Inputs!$B$12*(1+Inputs!$B$13/100))*0.01+Inputs!$B$14*0.0025)/100)*(1+Inputs!$B$15/100)*(1+IF(Inputs!$B$39="pvp",0,(1-Summary!$B$55)*(Inputs!$B$20+0+Skills!P8+B1316)+Summary!$B$55*(Inputs!$B$21+Skills!Q8+B1316))/100)*(1+Inputs!$B$16/100)*(5000/(6000+Inputs!$B$43*(1-Inputs!$B$19/100)))*(1+(Inputs!$B$24+((C1312=TRUE)*(F1312-Calc!F30)))/100)*(1+3.3333333333333335*IF(C1300=TRUE,F1300,0)/100)*(1+(IF(Skills!A8="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1290)</f>
        <v/>
      </c>
      <c r="L1290">
        <f>K1290*(MIN(Inputs!$B$22+((C1306=TRUE)*(F1306-Calc!F24)),Inputs!$B$23+((C1311=TRUE)*(F1311-Calc!F29)))/100+(Inputs!$B$23+((C1311=TRUE)*(F1311-Calc!F29)))/100)/2</f>
        <v/>
      </c>
      <c r="M1290">
        <f>L1290*(1+(Inputs!$B$10+((C1308=TRUE)*(F1308-Calc!F26))+B1322)/100)</f>
        <v/>
      </c>
      <c r="N1290">
        <f>L1290*(1-MIN((Inputs!$B$9+((C1307=TRUE)*(F1307-Calc!F25))+B1315),100)/100)+M1290*(MIN((Inputs!$B$9+((C1307=TRUE)*(F1307-Calc!F25))+B1315),100)/100)</f>
        <v/>
      </c>
      <c r="O1290">
        <f>IF(C1290,H1290*N1290*IF(AND(Inputs!$B$39&lt;&gt;"pvp",Inputs!$B$44&gt;0),((Skills!G8*((R1290-1)*IF(Skills!H8&gt;0,Skills!I8/Skills!H8,1)+IF(Skills!H8&gt;0,MIN(Skills!I8,MAX(0,MAX(0,Inputs!$B$44-B1326)-((R1290-1)*IF(Inputs!$B$39="pvp",15,MAX(0.1,Skills!D8-IF(Skills!E8=TRUE,Inputs!$B$32,0))))))/Skills!H8,1)))/Inputs!$B$44),G1290*Q1290)*IF(Inputs!$B$39="pvp",1,(1-Summary!$B$55)*(1)+Summary!$B$55*(MIN(Skills!W8,Inputs!$B$37))),0)</f>
        <v/>
      </c>
      <c r="P1290">
        <f>IF(B1327=0,0,O1290/B1327)</f>
        <v/>
      </c>
      <c r="Q1290">
        <f>IFERROR(1/IF(Inputs!$B$39="pvp",15,MAX(0.1,Skills!D8-IF(Skills!E8=TRUE,Inputs!$B$32,0))),0)</f>
        <v/>
      </c>
      <c r="R1290">
        <f>IF(AND(Inputs!$B$39&lt;&gt;"pvp",Inputs!$B$44&gt;0),IF(MAX(0,Inputs!$B$44-B1326)&lt;=0,0,(INT(MAX(0,Inputs!$B$44-B1326)/IF(Inputs!$B$39="pvp",15,MAX(0.1,Skills!D8-IF(Skills!E8=TRUE,Inputs!$B$32,0))))+1)),0)</f>
        <v/>
      </c>
      <c r="S1290">
        <f>IFERROR(O1290/N1290,0)</f>
        <v/>
      </c>
    </row>
    <row r="1291">
      <c r="A1291">
        <f>Skills!A9</f>
        <v/>
      </c>
      <c r="B1291">
        <f>Skills!B9</f>
        <v/>
      </c>
      <c r="C1291">
        <f>Inputs!$B$3&gt;=117</f>
        <v/>
      </c>
      <c r="D1291">
        <f>IF(Skills!C9=1,60+Inputs!$B$25+Inputs!$B$29,IF(Skills!C9=2,90+Inputs!$B$26+Inputs!$B$29,IF(Skills!C9=3,120+Inputs!$B$27+Inputs!$B$29,MAX(0,(Inputs!$B$3-100)*3)+Inputs!$B$28+Inputs!$B$29)))</f>
        <v/>
      </c>
      <c r="E1291">
        <f>INDEX(FactorTable!$B$2:$Y$301, MATCH(ROUND(MIN(300,MAX(1,D1291)),0), FactorTable!$A$2:$A$301,0), Skills!M9+1)</f>
        <v/>
      </c>
      <c r="F1291">
        <f>IF(Skills!N9=TRUE,(Skills!L9/10)*(E1291/1000),Skills!L9/10)+Skills!O9</f>
        <v/>
      </c>
      <c r="G1291">
        <f>Skills!G9*IF(Skills!H9&gt;0,Skills!I9/Skills!H9,1)</f>
        <v/>
      </c>
      <c r="H1291">
        <f>1-(1-Skills!J9/100)^Skills!K9</f>
        <v/>
      </c>
      <c r="I1291" t="inlineStr">
        <is>
          <t>1</t>
        </is>
      </c>
      <c r="J1291">
        <f>((Inputs!$B$6*(1+Inputs!$B$7/100))+(((Inputs!$B$12*(1+Inputs!$B$13/100))-(Inputs!$B$12*(1+Inputs!$B$13/100)))+0.25*(Inputs!$B$14-Inputs!$B$14))*(1+Inputs!$B$7/100))*(F1291/100)</f>
        <v/>
      </c>
      <c r="K1291">
        <f>J1291*(1+((Inputs!$B$12*(1+Inputs!$B$13/100))*0.01+Inputs!$B$14*0.0025)/100)*(1+Inputs!$B$15/100)*(1+IF(Inputs!$B$39="pvp",0,(1-Summary!$B$55)*(Inputs!$B$20+0+Skills!P9+B1316)+Summary!$B$55*(Inputs!$B$21+Skills!Q9+B1316))/100)*(1+Inputs!$B$16/100)*(5000/(6000+Inputs!$B$43*(1-Inputs!$B$19/100)))*(1+(Inputs!$B$24+((C1312=TRUE)*(F1312-Calc!F30)))/100)*(1+(IF(Skills!A9="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1291)</f>
        <v/>
      </c>
      <c r="L1291">
        <f>K1291*(MIN(Inputs!$B$22+((C1306=TRUE)*(F1306-Calc!F24)),Inputs!$B$23+((C1311=TRUE)*(F1311-Calc!F29)))/100+(Inputs!$B$23+((C1311=TRUE)*(F1311-Calc!F29)))/100)/2</f>
        <v/>
      </c>
      <c r="M1291">
        <f>L1291*(1+(Inputs!$B$10+((C1308=TRUE)*(F1308-Calc!F26))+B1322)/100)</f>
        <v/>
      </c>
      <c r="N1291">
        <f>L1291*(1-MIN((Inputs!$B$9+((C1307=TRUE)*(F1307-Calc!F25))+B1315),100)/100)+M1291*(MIN((Inputs!$B$9+((C1307=TRUE)*(F1307-Calc!F25))+B1315),100)/100)</f>
        <v/>
      </c>
      <c r="O1291">
        <f>IF(C1291,0.2*SUMPRODUCT((Skills!Z2:Z30=TRUE)*(C1284:C1312=TRUE)*S1284:S1312)*N1291,0)</f>
        <v/>
      </c>
      <c r="P1291">
        <f>IF(B1327=0,0,O1291/B1327)</f>
        <v/>
      </c>
      <c r="Q1291" t="n">
        <v>0</v>
      </c>
      <c r="R1291" t="n">
        <v>0</v>
      </c>
      <c r="S1291" t="n">
        <v>0</v>
      </c>
    </row>
    <row r="1292">
      <c r="A1292">
        <f>Skills!A10</f>
        <v/>
      </c>
      <c r="B1292">
        <f>Skills!B10</f>
        <v/>
      </c>
      <c r="C1292">
        <f>Inputs!$B$3&gt;=74</f>
        <v/>
      </c>
      <c r="D1292">
        <f>IF(Skills!C10=1,60+Inputs!$B$25+Inputs!$B$29,IF(Skills!C10=2,90+Inputs!$B$26+Inputs!$B$29,IF(Skills!C10=3,120+Inputs!$B$27+Inputs!$B$29,MAX(0,(Inputs!$B$3-100)*3)+Inputs!$B$28+Inputs!$B$29)))</f>
        <v/>
      </c>
      <c r="E1292">
        <f>INDEX(FactorTable!$B$2:$Y$301, MATCH(ROUND(MIN(300,MAX(1,D1292)),0), FactorTable!$A$2:$A$301,0), Skills!M10+1)</f>
        <v/>
      </c>
      <c r="F1292">
        <f>IF(Skills!N10=TRUE,(Skills!L10/10)*(E1292/1000),Skills!L10/10)+Skills!O10</f>
        <v/>
      </c>
      <c r="G1292">
        <f>Skills!G10*IF(Skills!H10&gt;0,Skills!I10/Skills!H10,1)</f>
        <v/>
      </c>
      <c r="H1292">
        <f>1-(1-Skills!J10/100)^Skills!K10</f>
        <v/>
      </c>
      <c r="I1292" t="inlineStr">
        <is>
          <t>1</t>
        </is>
      </c>
      <c r="J1292" t="inlineStr"/>
      <c r="K1292" t="inlineStr"/>
      <c r="L1292" t="inlineStr"/>
      <c r="M1292" t="inlineStr"/>
      <c r="N1292" t="inlineStr"/>
      <c r="O1292" t="n">
        <v>0</v>
      </c>
      <c r="P1292">
        <f>IF(B1327=0,0,O1292/B1327)</f>
        <v/>
      </c>
      <c r="Q1292">
        <f>IFERROR(1/IF(Inputs!$B$39="pvp",15,MAX(0.1,Skills!D10-IF(Skills!E10=TRUE,Inputs!$B$32,0))),0)</f>
        <v/>
      </c>
      <c r="R1292">
        <f>IF(AND(Inputs!$B$39&lt;&gt;"pvp",Inputs!$B$44&gt;0),IF(Inputs!$B$44&lt;=0,0,(INT(Inputs!$B$44/IF(Inputs!$B$39="pvp",15,MAX(0.1,Skills!D10-IF(Skills!E10=TRUE,Inputs!$B$32,0))))+1)),0)</f>
        <v/>
      </c>
      <c r="S1292">
        <f>IFERROR(O1292/N1292,0)</f>
        <v/>
      </c>
    </row>
    <row r="1293">
      <c r="A1293">
        <f>Skills!A11</f>
        <v/>
      </c>
      <c r="B1293">
        <f>Skills!B11</f>
        <v/>
      </c>
      <c r="C1293">
        <f>Inputs!$B$3&gt;=103</f>
        <v/>
      </c>
      <c r="D1293">
        <f>IF(Skills!C11=1,60+Inputs!$B$25+Inputs!$B$29,IF(Skills!C11=2,90+Inputs!$B$26+Inputs!$B$29,IF(Skills!C11=3,120+Inputs!$B$27+Inputs!$B$29,MAX(0,(Inputs!$B$3-100)*3)+Inputs!$B$28+Inputs!$B$29)))</f>
        <v/>
      </c>
      <c r="E1293">
        <f>INDEX(FactorTable!$B$2:$Y$301, MATCH(ROUND(MIN(300,MAX(1,D1293)),0), FactorTable!$A$2:$A$301,0), Skills!M11+1)</f>
        <v/>
      </c>
      <c r="F1293">
        <f>(Skills!L11/10)*(E1293/1000)+IF(Inputs!$B$3&gt;=134,50,0)+0.5*(30000/10)*(INDEX(FactorTable!$B$2:$Y$301, MATCH(ROUND(MIN(300,MAX(1,D1293)),0), FactorTable!$A$2:$A$301,0), 13)/1000)*B1325</f>
        <v/>
      </c>
      <c r="G1293">
        <f>Skills!G11*IF(Skills!H11&gt;0,Skills!I11/Skills!H11,1)</f>
        <v/>
      </c>
      <c r="H1293">
        <f>1-(1-Skills!J11/100)^Skills!K11</f>
        <v/>
      </c>
      <c r="I1293" t="inlineStr">
        <is>
          <t>1</t>
        </is>
      </c>
      <c r="J1293">
        <f>((Inputs!$B$6*(1+Inputs!$B$7/100))+(((Inputs!$B$12*(1+Inputs!$B$13/100))-(Inputs!$B$12*(1+Inputs!$B$13/100)))+0.25*(Inputs!$B$14-Inputs!$B$14))*(1+Inputs!$B$7/100))*(F1293/100)</f>
        <v/>
      </c>
      <c r="K1293">
        <f>J1293*(1+((Inputs!$B$12*(1+Inputs!$B$13/100))*0.01+Inputs!$B$14*0.0025)/100)*(1+Inputs!$B$15/100)*(1+IF(Inputs!$B$39="pvp",0,(1-Summary!$B$55)*(Inputs!$B$20+0+Skills!P11+B1316)+Summary!$B$55*(Inputs!$B$21+Skills!Q11+B1316))/100)*(1+Inputs!$B$16/100)*(5000/(6000+Inputs!$B$43*(1-Inputs!$B$19/100)))*(1+(Inputs!$B$24+((C1312=TRUE)*(F1312-Calc!F30)))/100)*(1+(IF(Skills!A11="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1293)</f>
        <v/>
      </c>
      <c r="L1293">
        <f>K1293*(MIN(Inputs!$B$22+((C1306=TRUE)*(F1306-Calc!F24)),Inputs!$B$23+((C1311=TRUE)*(F1311-Calc!F29)))/100+(Inputs!$B$23+((C1311=TRUE)*(F1311-Calc!F29)))/100)/2</f>
        <v/>
      </c>
      <c r="M1293">
        <f>L1293*(1+(Inputs!$B$10+((C1308=TRUE)*(F1308-Calc!F26))+B1322)/100)</f>
        <v/>
      </c>
      <c r="N1293">
        <f>L1293*(1-MIN((Inputs!$B$9+((C1307=TRUE)*(F1307-Calc!F25))+B1315),100)/100)+M1293*(MIN((Inputs!$B$9+((C1307=TRUE)*(F1307-Calc!F25))+B1315),100)/100)</f>
        <v/>
      </c>
      <c r="O1293">
        <f>IF(C1293,H1293*N1293*IF(AND(Inputs!$B$39&lt;&gt;"pvp",Inputs!$B$44&gt;0),((Skills!G11*((R1293-1)*IF(Skills!H11&gt;0,Skills!I11/Skills!H11,1)+IF(Skills!H11&gt;0,MIN(Skills!I11,MAX(0,MAX(0,Inputs!$B$44-B1326)-((R1293-1)*IF(Inputs!$B$39="pvp",15,MAX(0.1,Skills!D11-IF(Skills!E11=TRUE,Inputs!$B$32,0))))))/Skills!H11,1)))/Inputs!$B$44),G1293*Q1293)*IF(Inputs!$B$39="pvp",1,(1-Summary!$B$55)*(1)+Summary!$B$55*(MIN(Skills!W11,Inputs!$B$37))),0)</f>
        <v/>
      </c>
      <c r="P1293">
        <f>IF(B1327=0,0,O1293/B1327)</f>
        <v/>
      </c>
      <c r="Q1293">
        <f>IFERROR(1/IF(Inputs!$B$39="pvp",15,MAX(0.1,Skills!D11-IF(Skills!E11=TRUE,Inputs!$B$32,0))),0)</f>
        <v/>
      </c>
      <c r="R1293">
        <f>IF(AND(Inputs!$B$39&lt;&gt;"pvp",Inputs!$B$44&gt;0),IF(MAX(0,Inputs!$B$44-B1326)&lt;=0,0,(INT(MAX(0,Inputs!$B$44-B1326)/IF(Inputs!$B$39="pvp",15,MAX(0.1,Skills!D11-IF(Skills!E11=TRUE,Inputs!$B$32,0))))+1)),0)</f>
        <v/>
      </c>
      <c r="S1293">
        <f>IFERROR(O1293/N1293,0)</f>
        <v/>
      </c>
    </row>
    <row r="1294">
      <c r="A1294">
        <f>Skills!A12</f>
        <v/>
      </c>
      <c r="B1294">
        <f>Skills!B12</f>
        <v/>
      </c>
      <c r="C1294">
        <f>Inputs!$B$3&gt;=105</f>
        <v/>
      </c>
      <c r="D1294">
        <f>IF(Skills!C12=1,60+Inputs!$B$25+Inputs!$B$29,IF(Skills!C12=2,90+Inputs!$B$26+Inputs!$B$29,IF(Skills!C12=3,120+Inputs!$B$27+Inputs!$B$29,MAX(0,(Inputs!$B$3-100)*3)+Inputs!$B$28+Inputs!$B$29)))</f>
        <v/>
      </c>
      <c r="E1294">
        <f>INDEX(FactorTable!$B$2:$Y$301, MATCH(ROUND(MIN(300,MAX(1,D1294)),0), FactorTable!$A$2:$A$301,0), Skills!M12+1)</f>
        <v/>
      </c>
      <c r="F1294">
        <f>IF(Skills!N12=TRUE,(Skills!L12/10)*(E1294/1000),Skills!L12/10)+Skills!O12</f>
        <v/>
      </c>
      <c r="G1294">
        <f>Skills!G12*IF(Skills!H12&gt;0,Skills!I12/Skills!H12,1)</f>
        <v/>
      </c>
      <c r="H1294">
        <f>1-(1-Skills!J12/100)^Skills!K12</f>
        <v/>
      </c>
      <c r="I1294" t="inlineStr">
        <is>
          <t>1</t>
        </is>
      </c>
      <c r="J1294">
        <f>((Inputs!$B$6*(1+Inputs!$B$7/100))+(((Inputs!$B$12*(1+Inputs!$B$13/100))-(Inputs!$B$12*(1+Inputs!$B$13/100)))+0.25*(Inputs!$B$14-Inputs!$B$14))*(1+Inputs!$B$7/100))*(F1294/100)</f>
        <v/>
      </c>
      <c r="K1294">
        <f>J1294*(1+((Inputs!$B$12*(1+Inputs!$B$13/100))*0.01+Inputs!$B$14*0.0025)/100)*(1+Inputs!$B$15/100)*(1+IF(Inputs!$B$39="pvp",0,(1-Summary!$B$55)*(Inputs!$B$20+0+Skills!P12+B1316)+Summary!$B$55*(Inputs!$B$21+Skills!Q12+B1316))/100)*(1+Inputs!$B$16/100)*(5000/(6000+Inputs!$B$43*(1-Inputs!$B$19/100)))*(1+(Inputs!$B$24+((C1312=TRUE)*(F1312-Calc!F30)))/100)*(1+(IF(Skills!A12="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1294)</f>
        <v/>
      </c>
      <c r="L1294">
        <f>K1294*(MIN(Inputs!$B$22+((C1306=TRUE)*(F1306-Calc!F24)),Inputs!$B$23+((C1311=TRUE)*(F1311-Calc!F29)))/100+(Inputs!$B$23+((C1311=TRUE)*(F1311-Calc!F29)))/100)/2</f>
        <v/>
      </c>
      <c r="M1294">
        <f>L1294*(1+(Inputs!$B$10+((C1308=TRUE)*(F1308-Calc!F26))+B1322)/100)</f>
        <v/>
      </c>
      <c r="N1294">
        <f>L1294*(1-MIN((Inputs!$B$9+((C1307=TRUE)*(F1307-Calc!F25))+B1315),100)/100)+M1294*(MIN((Inputs!$B$9+((C1307=TRUE)*(F1307-Calc!F25))+B1315),100)/100)</f>
        <v/>
      </c>
      <c r="O1294">
        <f>IF(C1294,H1294*N1294*IF(AND(Inputs!$B$39&lt;&gt;"pvp",Inputs!$B$44&gt;0),((Skills!G12*((R1294-1)*IF(Skills!H12&gt;0,Skills!I12/Skills!H12,1)+IF(Skills!H12&gt;0,MIN(Skills!I12,MAX(0,MAX(0,Inputs!$B$44-B1326)-((R1294-1)*IF(Inputs!$B$39="pvp",15,MAX(0.1,Skills!D12-IF(Skills!E12=TRUE,Inputs!$B$32,0))))))/Skills!H12,1)))/Inputs!$B$44),G1294*Q1294)*IF(Inputs!$B$39="pvp",1,(1-Summary!$B$55)*(1)+Summary!$B$55*(MIN(Skills!W12,Inputs!$B$37))),0)</f>
        <v/>
      </c>
      <c r="P1294">
        <f>IF(B1327=0,0,O1294/B1327)</f>
        <v/>
      </c>
      <c r="Q1294">
        <f>IFERROR(1/IF(Inputs!$B$39="pvp",15,MAX(0.1,Skills!D12-IF(Skills!E12=TRUE,Inputs!$B$32,0))),0)</f>
        <v/>
      </c>
      <c r="R1294">
        <f>IF(AND(Inputs!$B$39&lt;&gt;"pvp",Inputs!$B$44&gt;0),IF(MAX(0,Inputs!$B$44-B1326)&lt;=0,0,(INT(MAX(0,Inputs!$B$44-B1326)/IF(Inputs!$B$39="pvp",15,MAX(0.1,Skills!D12-IF(Skills!E12=TRUE,Inputs!$B$32,0))))+1)),0)</f>
        <v/>
      </c>
      <c r="S1294">
        <f>IFERROR(O1294/N1294,0)</f>
        <v/>
      </c>
    </row>
    <row r="1295">
      <c r="A1295">
        <f>Skills!A13</f>
        <v/>
      </c>
      <c r="B1295">
        <f>Skills!B13</f>
        <v/>
      </c>
      <c r="C1295">
        <f>Inputs!$B$3&gt;=105</f>
        <v/>
      </c>
      <c r="D1295">
        <f>IF(Skills!C13=1,60+Inputs!$B$25+Inputs!$B$29,IF(Skills!C13=2,90+Inputs!$B$26+Inputs!$B$29,IF(Skills!C13=3,120+Inputs!$B$27+Inputs!$B$29,MAX(0,(Inputs!$B$3-100)*3)+Inputs!$B$28+Inputs!$B$29)))</f>
        <v/>
      </c>
      <c r="E1295">
        <f>INDEX(FactorTable!$B$2:$Y$301, MATCH(ROUND(MIN(300,MAX(1,D1295)),0), FactorTable!$A$2:$A$301,0), Skills!M13+1)</f>
        <v/>
      </c>
      <c r="F1295">
        <f>IF(Skills!N13=TRUE,(Skills!L13/10)*(E1295/1000),Skills!L13/10)+Skills!O13</f>
        <v/>
      </c>
      <c r="G1295">
        <f>Skills!G13*IF(Skills!H13&gt;0,Skills!I13/Skills!H13,1)</f>
        <v/>
      </c>
      <c r="H1295">
        <f>1-(1-Skills!J13/100)^Skills!K13</f>
        <v/>
      </c>
      <c r="I1295" t="inlineStr">
        <is>
          <t>1</t>
        </is>
      </c>
      <c r="J1295">
        <f>((Inputs!$B$6*(1+Inputs!$B$7/100))+(((Inputs!$B$12*(1+Inputs!$B$13/100))-(Inputs!$B$12*(1+Inputs!$B$13/100)))+0.25*(Inputs!$B$14-Inputs!$B$14))*(1+Inputs!$B$7/100))*(F1295/100)</f>
        <v/>
      </c>
      <c r="K1295">
        <f>J1295*(1+((Inputs!$B$12*(1+Inputs!$B$13/100))*0.01+Inputs!$B$14*0.0025)/100)*(1+Inputs!$B$15/100)*(1+IF(Inputs!$B$39="pvp",0,(1-Summary!$B$55)*(Inputs!$B$20+0+Skills!P13+B1316)+Summary!$B$55*(Inputs!$B$21+Skills!Q13+B1316))/100)*(1+Inputs!$B$16/100)*(5000/(6000+Inputs!$B$43*(1-Inputs!$B$19/100)))*(1+(Inputs!$B$24+((C1312=TRUE)*(F1312-Calc!F30)))/100)*(1+(IF(Skills!A13="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1295)</f>
        <v/>
      </c>
      <c r="L1295">
        <f>K1295*(MIN(Inputs!$B$22+((C1306=TRUE)*(F1306-Calc!F24)),Inputs!$B$23+((C1311=TRUE)*(F1311-Calc!F29)))/100+(Inputs!$B$23+((C1311=TRUE)*(F1311-Calc!F29)))/100)/2</f>
        <v/>
      </c>
      <c r="M1295">
        <f>L1295*(1+(Inputs!$B$10+((C1308=TRUE)*(F1308-Calc!F26))+B1322)/100)</f>
        <v/>
      </c>
      <c r="N1295">
        <f>L1295*(1-MIN((Inputs!$B$9+((C1307=TRUE)*(F1307-Calc!F25))+B1315),100)/100)+M1295*(MIN((Inputs!$B$9+((C1307=TRUE)*(F1307-Calc!F25))+B1315),100)/100)</f>
        <v/>
      </c>
      <c r="O1295">
        <f>IF(C1295,H1295*N1295*IF(AND(Inputs!$B$39&lt;&gt;"pvp",Inputs!$B$44&gt;0),((Skills!G13*((R1295-1)*IF(Skills!H13&gt;0,Skills!I13/Skills!H13,1)+IF(Skills!H13&gt;0,MIN(Skills!I13,MAX(0,MAX(0,Inputs!$B$44-B1326)-((R1295-1)*IF(Inputs!$B$39="pvp",15,MAX(0.1,Skills!D13-IF(Skills!E13=TRUE,Inputs!$B$32,0))))))/Skills!H13,1)))/Inputs!$B$44),G1295*Q1295)*IF(Inputs!$B$39="pvp",1,(1-Summary!$B$55)*(1)+Summary!$B$55*(MIN(Skills!W13,Inputs!$B$37))),0)</f>
        <v/>
      </c>
      <c r="P1295">
        <f>IF(B1327=0,0,O1295/B1327)</f>
        <v/>
      </c>
      <c r="Q1295">
        <f>IFERROR(1/IF(Inputs!$B$39="pvp",15,MAX(0.1,Skills!D13-IF(Skills!E13=TRUE,Inputs!$B$32,0))),0)</f>
        <v/>
      </c>
      <c r="R1295">
        <f>IF(AND(Inputs!$B$39&lt;&gt;"pvp",Inputs!$B$44&gt;0),IF(MAX(0,Inputs!$B$44-B1326)&lt;=0,0,(INT(MAX(0,Inputs!$B$44-B1326)/IF(Inputs!$B$39="pvp",15,MAX(0.1,Skills!D13-IF(Skills!E13=TRUE,Inputs!$B$32,0))))+1)),0)</f>
        <v/>
      </c>
      <c r="S1295">
        <f>IFERROR(O1295/N1295,0)</f>
        <v/>
      </c>
    </row>
    <row r="1296">
      <c r="A1296">
        <f>Skills!A14</f>
        <v/>
      </c>
      <c r="B1296">
        <f>Skills!B14</f>
        <v/>
      </c>
      <c r="C1296">
        <f>Inputs!$B$3&gt;=107</f>
        <v/>
      </c>
      <c r="D1296">
        <f>IF(Skills!C14=1,60+Inputs!$B$25+Inputs!$B$29,IF(Skills!C14=2,90+Inputs!$B$26+Inputs!$B$29,IF(Skills!C14=3,120+Inputs!$B$27+Inputs!$B$29,MAX(0,(Inputs!$B$3-100)*3)+Inputs!$B$28+Inputs!$B$29)))</f>
        <v/>
      </c>
      <c r="E1296">
        <f>INDEX(FactorTable!$B$2:$Y$301, MATCH(ROUND(MIN(300,MAX(1,D1296)),0), FactorTable!$A$2:$A$301,0), Skills!M14+1)</f>
        <v/>
      </c>
      <c r="F1296">
        <f>IF(Skills!N14=TRUE,(Skills!L14/10)*(E1296/1000),Skills!L14/10)+Skills!O14</f>
        <v/>
      </c>
      <c r="G1296">
        <f>Skills!G14*IF(Skills!H14&gt;0,Skills!I14/Skills!H14,1)</f>
        <v/>
      </c>
      <c r="H1296">
        <f>1-(1-Skills!J14/100)^Skills!K14</f>
        <v/>
      </c>
      <c r="I1296" t="inlineStr">
        <is>
          <t>1</t>
        </is>
      </c>
      <c r="J1296">
        <f>((Inputs!$B$6*(1+Inputs!$B$7/100))+(((Inputs!$B$12*(1+Inputs!$B$13/100))-(Inputs!$B$12*(1+Inputs!$B$13/100)))+0.25*(Inputs!$B$14-Inputs!$B$14))*(1+Inputs!$B$7/100))*(F1296/100)</f>
        <v/>
      </c>
      <c r="K1296">
        <f>J1296*(1+((Inputs!$B$12*(1+Inputs!$B$13/100))*0.01+Inputs!$B$14*0.0025)/100)*(1+Inputs!$B$15/100)*(1+IF(Inputs!$B$39="pvp",0,(1-Summary!$B$55)*(Inputs!$B$20+0+Skills!P14+B1316)+Summary!$B$55*(Inputs!$B$21+Skills!Q14+B1316))/100)*(1+Inputs!$B$16/100)*(5000/(6000+Inputs!$B$43*(1-Inputs!$B$19/100)))*(1+(Inputs!$B$24+((C1312=TRUE)*(F1312-Calc!F30)))/100)*(1+(IF(Skills!A14="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1296)</f>
        <v/>
      </c>
      <c r="L1296">
        <f>K1296*(MIN(Inputs!$B$22+((C1306=TRUE)*(F1306-Calc!F24)),Inputs!$B$23+((C1311=TRUE)*(F1311-Calc!F29)))/100+(Inputs!$B$23+((C1311=TRUE)*(F1311-Calc!F29)))/100)/2</f>
        <v/>
      </c>
      <c r="M1296">
        <f>L1296*(1+(Inputs!$B$10+((C1308=TRUE)*(F1308-Calc!F26))+B1322)/100)</f>
        <v/>
      </c>
      <c r="N1296">
        <f>L1296*(1-MIN((Inputs!$B$9+((C1307=TRUE)*(F1307-Calc!F25))+B1315),100)/100)+M1296*(MIN((Inputs!$B$9+((C1307=TRUE)*(F1307-Calc!F25))+B1315),100)/100)</f>
        <v/>
      </c>
      <c r="O1296">
        <f>IF(C1296,H1296*N1296*IF(AND(Inputs!$B$39&lt;&gt;"pvp",Inputs!$B$44&gt;0),((Skills!G14*((R1296-1)*IF(Skills!H14&gt;0,Skills!I14/Skills!H14,1)+IF(Skills!H14&gt;0,MIN(Skills!I14,MAX(0,MAX(0,Inputs!$B$44-B1326)-((R1296-1)*IF(Inputs!$B$39="pvp",15,MAX(0.1,Skills!D14-IF(Skills!E14=TRUE,Inputs!$B$32,0))))))/Skills!H14,1)))/Inputs!$B$44),G1296*Q1296)*IF(Inputs!$B$39="pvp",1,(1-Summary!$B$55)*(1)+Summary!$B$55*(MIN(MIN(5,0.25*B1319*Skills!D4)*Skills!V14,Inputs!$B$37))),0)</f>
        <v/>
      </c>
      <c r="P1296">
        <f>IF(B1327=0,0,O1296/B1327)</f>
        <v/>
      </c>
      <c r="Q1296">
        <f>IFERROR(1/IF(Inputs!$B$39="pvp",15,MAX(0.1,Skills!D14-IF(Skills!E14=TRUE,Inputs!$B$32,0))),0)</f>
        <v/>
      </c>
      <c r="R1296">
        <f>IF(AND(Inputs!$B$39&lt;&gt;"pvp",Inputs!$B$44&gt;0),IF(MAX(0,Inputs!$B$44-B1326)&lt;=0,0,(INT(MAX(0,Inputs!$B$44-B1326)/IF(Inputs!$B$39="pvp",15,MAX(0.1,Skills!D14-IF(Skills!E14=TRUE,Inputs!$B$32,0))))+1)),0)</f>
        <v/>
      </c>
      <c r="S1296">
        <f>IFERROR(O1296/N1296,0)</f>
        <v/>
      </c>
    </row>
    <row r="1297">
      <c r="A1297">
        <f>Skills!A15</f>
        <v/>
      </c>
      <c r="B1297">
        <f>Skills!B15</f>
        <v/>
      </c>
      <c r="C1297">
        <f>Inputs!$B$3&gt;=110</f>
        <v/>
      </c>
      <c r="D1297">
        <f>IF(Skills!C15=1,60+Inputs!$B$25+Inputs!$B$29,IF(Skills!C15=2,90+Inputs!$B$26+Inputs!$B$29,IF(Skills!C15=3,120+Inputs!$B$27+Inputs!$B$29,MAX(0,(Inputs!$B$3-100)*3)+Inputs!$B$28+Inputs!$B$29)))</f>
        <v/>
      </c>
      <c r="E1297">
        <f>INDEX(FactorTable!$B$2:$Y$301, MATCH(ROUND(MIN(300,MAX(1,D1297)),0), FactorTable!$A$2:$A$301,0), Skills!M15+1)</f>
        <v/>
      </c>
      <c r="F1297">
        <f>IF(Skills!N15=TRUE,(Skills!L15/10)*(E1297/1000),Skills!L15/10)+Skills!O15</f>
        <v/>
      </c>
      <c r="G1297">
        <f>Skills!G15*IF(Skills!H15&gt;0,Skills!I15/Skills!H15,1)</f>
        <v/>
      </c>
      <c r="H1297">
        <f>1-(1-Skills!J15/100)^Skills!K15</f>
        <v/>
      </c>
      <c r="I1297" t="inlineStr">
        <is>
          <t>1</t>
        </is>
      </c>
      <c r="J1297" t="inlineStr"/>
      <c r="K1297" t="inlineStr"/>
      <c r="L1297" t="inlineStr"/>
      <c r="M1297" t="inlineStr"/>
      <c r="N1297" t="inlineStr"/>
      <c r="O1297" t="n">
        <v>0</v>
      </c>
      <c r="P1297">
        <f>IF(B1327=0,0,O1297/B1327)</f>
        <v/>
      </c>
      <c r="Q1297">
        <f>IFERROR(1/IF(Inputs!$B$39="pvp",15,MAX(0.1,Skills!D15-IF(Skills!E15=TRUE,Inputs!$B$32,0))),0)</f>
        <v/>
      </c>
      <c r="R1297">
        <f>IF(AND(Inputs!$B$39&lt;&gt;"pvp",Inputs!$B$44&gt;0),IF(Inputs!$B$44&lt;=0,0,(INT(Inputs!$B$44/IF(Inputs!$B$39="pvp",15,MAX(0.1,Skills!D15-IF(Skills!E15=TRUE,Inputs!$B$32,0))))+1)),0)</f>
        <v/>
      </c>
      <c r="S1297">
        <f>IFERROR(O1297/N1297,0)</f>
        <v/>
      </c>
    </row>
    <row r="1298">
      <c r="A1298">
        <f>Skills!A16</f>
        <v/>
      </c>
      <c r="B1298">
        <f>Skills!B16</f>
        <v/>
      </c>
      <c r="C1298">
        <f>Inputs!$B$3&gt;=115</f>
        <v/>
      </c>
      <c r="D1298">
        <f>IF(Skills!C16=1,60+Inputs!$B$25+Inputs!$B$29,IF(Skills!C16=2,90+Inputs!$B$26+Inputs!$B$29,IF(Skills!C16=3,120+Inputs!$B$27+Inputs!$B$29,MAX(0,(Inputs!$B$3-100)*3)+Inputs!$B$28+Inputs!$B$29)))</f>
        <v/>
      </c>
      <c r="E1298">
        <f>INDEX(FactorTable!$B$2:$Y$301, MATCH(ROUND(MIN(300,MAX(1,D1298)),0), FactorTable!$A$2:$A$301,0), Skills!M16+1)</f>
        <v/>
      </c>
      <c r="F1298">
        <f>IF(Skills!N16=TRUE,(Skills!L16/10)*(E1298/1000),Skills!L16/10)+Skills!O16</f>
        <v/>
      </c>
      <c r="G1298">
        <f>Skills!G16*IF(Skills!H16&gt;0,Skills!I16/Skills!H16,1)</f>
        <v/>
      </c>
      <c r="H1298">
        <f>1-(1-Skills!J16/100)^Skills!K16</f>
        <v/>
      </c>
      <c r="I1298" t="inlineStr">
        <is>
          <t>1</t>
        </is>
      </c>
      <c r="J1298">
        <f>((Inputs!$B$6*(1+Inputs!$B$7/100))+(((Inputs!$B$12*(1+Inputs!$B$13/100))-(Inputs!$B$12*(1+Inputs!$B$13/100)))+0.25*(Inputs!$B$14-Inputs!$B$14))*(1+Inputs!$B$7/100))*(F1298/100)</f>
        <v/>
      </c>
      <c r="K1298">
        <f>J1298*(1+((Inputs!$B$12*(1+Inputs!$B$13/100))*0.01+Inputs!$B$14*0.0025)/100)*(1+Inputs!$B$15/100)*(1+IF(Inputs!$B$39="pvp",0,(1-Summary!$B$55)*(Inputs!$B$20+0+Skills!P16+B1316)+Summary!$B$55*(Inputs!$B$21+Skills!Q16+B1316))/100)*(1+Inputs!$B$16/100)*(5000/(6000+Inputs!$B$43*(1-Inputs!$B$19/100)))*(1+(Inputs!$B$24+((C1312=TRUE)*(F1312-Calc!F30)))/100)*(1+(IF(Skills!A16="CRUEL_STAB",Inputs!$B$17+((C1309=TRUE)*(F1309-Calc!F27)),Inputs!$B$18+((C1310=TRUE)*(F1310-Calc!F28))))/100)*(((1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B1317*I1298)</f>
        <v/>
      </c>
      <c r="L1298">
        <f>K1298*(MIN(Inputs!$B$22+((C1306=TRUE)*(F1306-Calc!F24)),Inputs!$B$23+((C1311=TRUE)*(F1311-Calc!F29)))/100+(Inputs!$B$23+((C1311=TRUE)*(F1311-Calc!F29)))/100)/2</f>
        <v/>
      </c>
      <c r="M1298">
        <f>L1298*(1+(Inputs!$B$10+((C1308=TRUE)*(F1308-Calc!F26))+B1322)/100)</f>
        <v/>
      </c>
      <c r="N1298">
        <f>L1298*(1-MIN((Inputs!$B$9+((C1307=TRUE)*(F1307-Calc!F25))+B1315),100)/100)+M1298*(MIN((Inputs!$B$9+((C1307=TRUE)*(F1307-Calc!F25))+B1315),100)/100)</f>
        <v/>
      </c>
      <c r="O1298">
        <f>IF(C1298,(Inputs!$B$38+1)*0.2*N1298,0)</f>
        <v/>
      </c>
      <c r="P1298">
        <f>IF(B1327=0,0,O1298/B1327)</f>
        <v/>
      </c>
      <c r="Q1298" t="n">
        <v>0</v>
      </c>
      <c r="R1298" t="n">
        <v>0</v>
      </c>
      <c r="S1298">
        <f>IFERROR(O1298/N1298,0)</f>
        <v/>
      </c>
    </row>
    <row r="1299">
      <c r="A1299">
        <f>Skills!A17</f>
        <v/>
      </c>
      <c r="B1299">
        <f>Skills!B17</f>
        <v/>
      </c>
      <c r="C1299">
        <f>Inputs!$B$3&gt;=115</f>
        <v/>
      </c>
      <c r="D1299">
        <f>IF(Skills!C17=1,60+Inputs!$B$25+Inputs!$B$29,IF(Skills!C17=2,90+Inputs!$B$26+Inputs!$B$29,IF(Skills!C17=3,120+Inputs!$B$27+Inputs!$B$29,MAX(0,(Inputs!$B$3-100)*3)+Inputs!$B$28+Inputs!$B$29)))</f>
        <v/>
      </c>
      <c r="E1299">
        <f>INDEX(FactorTable!$B$2:$Y$301, MATCH(ROUND(MIN(300,MAX(1,D1299)),0), FactorTable!$A$2:$A$301,0), Skills!M17+1)</f>
        <v/>
      </c>
      <c r="F1299">
        <f>IF(Skills!N17=TRUE,(Skills!L17/10)*(E1299/1000),Skills!L17/10)+Skills!O17</f>
        <v/>
      </c>
      <c r="G1299">
        <f>Skills!G17*IF(Skills!H17&gt;0,Skills!I17/Skills!H17,1)</f>
        <v/>
      </c>
      <c r="H1299">
        <f>1-(1-Skills!J17/100)^Skills!K17</f>
        <v/>
      </c>
      <c r="I1299" t="inlineStr">
        <is>
          <t>1</t>
        </is>
      </c>
      <c r="J1299" t="inlineStr"/>
      <c r="K1299" t="inlineStr"/>
      <c r="L1299" t="inlineStr"/>
      <c r="M1299" t="inlineStr"/>
      <c r="N1299" t="inlineStr"/>
      <c r="O1299" t="n">
        <v>0</v>
      </c>
      <c r="P1299">
        <f>IF(B1327=0,0,O1299/B1327)</f>
        <v/>
      </c>
      <c r="Q1299" t="n">
        <v>0</v>
      </c>
      <c r="R1299" t="n">
        <v>0</v>
      </c>
      <c r="S1299">
        <f>IFERROR(O1299/N1299,0)</f>
        <v/>
      </c>
    </row>
    <row r="1300">
      <c r="A1300">
        <f>Skills!A18</f>
        <v/>
      </c>
      <c r="B1300">
        <f>Skills!B18</f>
        <v/>
      </c>
      <c r="C1300">
        <f>Inputs!$B$3&gt;=100</f>
        <v/>
      </c>
      <c r="D1300">
        <f>IF(Skills!C18=1,60+Inputs!$B$25+Inputs!$B$29,IF(Skills!C18=2,90+Inputs!$B$26+Inputs!$B$29,IF(Skills!C18=3,120+Inputs!$B$27+Inputs!$B$29,MAX(0,(Inputs!$B$3-100)*3)+Inputs!$B$28+Inputs!$B$29)))</f>
        <v/>
      </c>
      <c r="E1300">
        <f>INDEX(FactorTable!$B$2:$Y$301, MATCH(ROUND(MIN(300,MAX(1,D1300)),0), FactorTable!$A$2:$A$301,0), Skills!M18+1)</f>
        <v/>
      </c>
      <c r="F1300">
        <f>IF(Skills!N18=TRUE,(Skills!L18/10)*(E1300/1000),Skills!L18/10)+Skills!O18</f>
        <v/>
      </c>
      <c r="G1300">
        <f>Skills!G18*IF(Skills!H18&gt;0,Skills!I18/Skills!H18,1)</f>
        <v/>
      </c>
      <c r="H1300">
        <f>1-(1-Skills!J18/100)^Skills!K18</f>
        <v/>
      </c>
      <c r="I1300" t="inlineStr">
        <is>
          <t>1</t>
        </is>
      </c>
      <c r="J1300" t="inlineStr"/>
      <c r="K1300" t="inlineStr"/>
      <c r="L1300" t="inlineStr"/>
      <c r="M1300" t="inlineStr"/>
      <c r="N1300" t="inlineStr"/>
      <c r="O1300" t="n">
        <v>0</v>
      </c>
      <c r="P1300">
        <f>IF(B1327=0,0,O1300/B1327)</f>
        <v/>
      </c>
      <c r="Q1300" t="n">
        <v>0</v>
      </c>
      <c r="R1300" t="n">
        <v>0</v>
      </c>
      <c r="S1300">
        <f>IFERROR(O1300/N1300,0)</f>
        <v/>
      </c>
    </row>
    <row r="1301">
      <c r="A1301">
        <f>Skills!A19</f>
        <v/>
      </c>
      <c r="B1301">
        <f>Skills!B19</f>
        <v/>
      </c>
      <c r="C1301">
        <f>TRUE</f>
        <v/>
      </c>
      <c r="D1301">
        <f>IF(Skills!C19=1,60+Inputs!$B$25+Inputs!$B$29,IF(Skills!C19=2,90+Inputs!$B$26+Inputs!$B$29,IF(Skills!C19=3,120+Inputs!$B$27+Inputs!$B$29,MAX(0,(Inputs!$B$3-100)*3)+Inputs!$B$28+Inputs!$B$29)))</f>
        <v/>
      </c>
      <c r="E1301">
        <f>INDEX(FactorTable!$B$2:$Y$301, MATCH(ROUND(MIN(300,MAX(1,D1301)),0), FactorTable!$A$2:$A$301,0), Skills!M19+1)</f>
        <v/>
      </c>
      <c r="F1301">
        <f>IF(Skills!N19=TRUE,(Skills!L19/10)*(E1301/1000),Skills!L19/10)+Skills!O19</f>
        <v/>
      </c>
      <c r="G1301">
        <f>Skills!G19*IF(Skills!H19&gt;0,Skills!I19/Skills!H19,1)</f>
        <v/>
      </c>
      <c r="H1301">
        <f>1-(1-Skills!J19/100)^Skills!K19</f>
        <v/>
      </c>
      <c r="I1301" t="inlineStr">
        <is>
          <t>1</t>
        </is>
      </c>
      <c r="J1301" t="inlineStr"/>
      <c r="K1301" t="inlineStr"/>
      <c r="L1301" t="inlineStr"/>
      <c r="M1301" t="inlineStr"/>
      <c r="N1301" t="inlineStr"/>
      <c r="O1301" t="n">
        <v>0</v>
      </c>
      <c r="P1301">
        <f>IF(B1327=0,0,O1301/B1327)</f>
        <v/>
      </c>
      <c r="Q1301">
        <f>IFERROR(1/IF(Inputs!$B$39="pvp",15,MAX(0.1,Skills!D19-IF(Skills!E19=TRUE,Inputs!$B$32,0))),0)</f>
        <v/>
      </c>
      <c r="R1301">
        <f>IF(AND(Inputs!$B$39&lt;&gt;"pvp",Inputs!$B$44&gt;0),IF(Inputs!$B$44&lt;=0,0,(INT(Inputs!$B$44/IF(Inputs!$B$39="pvp",15,MAX(0.1,Skills!D19-IF(Skills!E19=TRUE,Inputs!$B$32,0))))+1)),0)</f>
        <v/>
      </c>
      <c r="S1301">
        <f>IFERROR(O1301/N1301,0)</f>
        <v/>
      </c>
    </row>
    <row r="1302">
      <c r="A1302">
        <f>Skills!A20</f>
        <v/>
      </c>
      <c r="B1302">
        <f>Skills!B20</f>
        <v/>
      </c>
      <c r="C1302">
        <f>Inputs!$B$3&gt;=15</f>
        <v/>
      </c>
      <c r="D1302">
        <f>IF(Skills!C20=1,60+Inputs!$B$25+Inputs!$B$29,IF(Skills!C20=2,90+Inputs!$B$26+Inputs!$B$29,IF(Skills!C20=3,120+Inputs!$B$27+Inputs!$B$29,MAX(0,(Inputs!$B$3-100)*3)+Inputs!$B$28+Inputs!$B$29)))</f>
        <v/>
      </c>
      <c r="E1302">
        <f>INDEX(FactorTable!$B$2:$Y$301, MATCH(ROUND(MIN(300,MAX(1,D1302)),0), FactorTable!$A$2:$A$301,0), Skills!M20+1)</f>
        <v/>
      </c>
      <c r="F1302">
        <f>IF(Skills!N20=TRUE,(Skills!L20/10)*(E1302/1000),Skills!L20/10)+Skills!O20</f>
        <v/>
      </c>
      <c r="G1302">
        <f>Skills!G20*IF(Skills!H20&gt;0,Skills!I20/Skills!H20,1)</f>
        <v/>
      </c>
      <c r="H1302">
        <f>1-(1-Skills!J20/100)^Skills!K20</f>
        <v/>
      </c>
      <c r="I1302" t="inlineStr">
        <is>
          <t>1</t>
        </is>
      </c>
      <c r="J1302" t="inlineStr"/>
      <c r="K1302" t="inlineStr"/>
      <c r="L1302" t="inlineStr"/>
      <c r="M1302" t="inlineStr"/>
      <c r="N1302" t="inlineStr"/>
      <c r="O1302" t="n">
        <v>0</v>
      </c>
      <c r="P1302">
        <f>IF(B1327=0,0,O1302/B1327)</f>
        <v/>
      </c>
      <c r="Q1302">
        <f>IFERROR(1/IF(Inputs!$B$39="pvp",15,MAX(0.1,Skills!D20-IF(Skills!E20=TRUE,Inputs!$B$32,0))),0)</f>
        <v/>
      </c>
      <c r="R1302">
        <f>IF(AND(Inputs!$B$39&lt;&gt;"pvp",Inputs!$B$44&gt;0),IF(Inputs!$B$44&lt;=0,0,(INT(Inputs!$B$44/IF(Inputs!$B$39="pvp",15,MAX(0.1,Skills!D20-IF(Skills!E20=TRUE,Inputs!$B$32,0))))+1)),0)</f>
        <v/>
      </c>
      <c r="S1302">
        <f>IFERROR(O1302/N1302,0)</f>
        <v/>
      </c>
    </row>
    <row r="1303">
      <c r="A1303">
        <f>Skills!A21</f>
        <v/>
      </c>
      <c r="B1303">
        <f>Skills!B21</f>
        <v/>
      </c>
      <c r="C1303">
        <f>Inputs!$B$3&gt;=15</f>
        <v/>
      </c>
      <c r="D1303">
        <f>IF(Skills!C21=1,60+Inputs!$B$25+Inputs!$B$29,IF(Skills!C21=2,90+Inputs!$B$26+Inputs!$B$29,IF(Skills!C21=3,120+Inputs!$B$27+Inputs!$B$29,MAX(0,(Inputs!$B$3-100)*3)+Inputs!$B$28+Inputs!$B$29)))</f>
        <v/>
      </c>
      <c r="E1303">
        <f>INDEX(FactorTable!$B$2:$Y$301, MATCH(ROUND(MIN(300,MAX(1,D1303)),0), FactorTable!$A$2:$A$301,0), Skills!M21+1)</f>
        <v/>
      </c>
      <c r="F1303">
        <f>IF(Skills!N21=TRUE,(Skills!L21/10)*(E1303/1000),Skills!L21/10)+Skills!O21</f>
        <v/>
      </c>
      <c r="G1303">
        <f>Skills!G21*IF(Skills!H21&gt;0,Skills!I21/Skills!H21,1)</f>
        <v/>
      </c>
      <c r="H1303">
        <f>1-(1-Skills!J21/100)^Skills!K21</f>
        <v/>
      </c>
      <c r="I1303" t="inlineStr">
        <is>
          <t>1</t>
        </is>
      </c>
      <c r="J1303" t="inlineStr"/>
      <c r="K1303" t="inlineStr"/>
      <c r="L1303" t="inlineStr"/>
      <c r="M1303" t="inlineStr"/>
      <c r="N1303" t="inlineStr"/>
      <c r="O1303" t="n">
        <v>0</v>
      </c>
      <c r="P1303">
        <f>IF(B1327=0,0,O1303/B1327)</f>
        <v/>
      </c>
      <c r="Q1303">
        <f>IFERROR(1/IF(Inputs!$B$39="pvp",15,MAX(0.1,Skills!D21-IF(Skills!E21=TRUE,Inputs!$B$32,0))),0)</f>
        <v/>
      </c>
      <c r="R1303">
        <f>IF(AND(Inputs!$B$39&lt;&gt;"pvp",Inputs!$B$44&gt;0),IF(Inputs!$B$44&lt;=0,0,(INT(Inputs!$B$44/IF(Inputs!$B$39="pvp",15,MAX(0.1,Skills!D21-IF(Skills!E21=TRUE,Inputs!$B$32,0))))+1)),0)</f>
        <v/>
      </c>
      <c r="S1303">
        <f>IFERROR(O1303/N1303,0)</f>
        <v/>
      </c>
    </row>
    <row r="1304">
      <c r="A1304">
        <f>Skills!A22</f>
        <v/>
      </c>
      <c r="B1304">
        <f>Skills!B22</f>
        <v/>
      </c>
      <c r="C1304">
        <f>Inputs!$B$3&gt;=33</f>
        <v/>
      </c>
      <c r="D1304">
        <f>IF(Skills!C22=1,60+Inputs!$B$25+Inputs!$B$29,IF(Skills!C22=2,90+Inputs!$B$26+Inputs!$B$29,IF(Skills!C22=3,120+Inputs!$B$27+Inputs!$B$29,MAX(0,(Inputs!$B$3-100)*3)+Inputs!$B$28+Inputs!$B$29)))</f>
        <v/>
      </c>
      <c r="E1304">
        <f>INDEX(FactorTable!$B$2:$Y$301, MATCH(ROUND(MIN(300,MAX(1,D1304)),0), FactorTable!$A$2:$A$301,0), Skills!M22+1)</f>
        <v/>
      </c>
      <c r="F1304">
        <f>IF(Skills!N22=TRUE,(Skills!L22/10)*(E1304/1000),Skills!L22/10)+Skills!O22</f>
        <v/>
      </c>
      <c r="G1304">
        <f>Skills!G22*IF(Skills!H22&gt;0,Skills!I22/Skills!H22,1)</f>
        <v/>
      </c>
      <c r="H1304">
        <f>1-(1-Skills!J22/100)^Skills!K22</f>
        <v/>
      </c>
      <c r="I1304" t="inlineStr">
        <is>
          <t>1</t>
        </is>
      </c>
      <c r="J1304" t="inlineStr"/>
      <c r="K1304" t="inlineStr"/>
      <c r="L1304" t="inlineStr"/>
      <c r="M1304" t="inlineStr"/>
      <c r="N1304" t="inlineStr"/>
      <c r="O1304" t="n">
        <v>0</v>
      </c>
      <c r="P1304">
        <f>IF(B1327=0,0,O1304/B1327)</f>
        <v/>
      </c>
      <c r="Q1304" t="n">
        <v>0</v>
      </c>
      <c r="R1304" t="n">
        <v>0</v>
      </c>
      <c r="S1304">
        <f>IFERROR(O1304/N1304,0)</f>
        <v/>
      </c>
    </row>
    <row r="1305">
      <c r="A1305">
        <f>Skills!A23</f>
        <v/>
      </c>
      <c r="B1305">
        <f>Skills!B23</f>
        <v/>
      </c>
      <c r="C1305">
        <f>Inputs!$B$3&gt;=40</f>
        <v/>
      </c>
      <c r="D1305">
        <f>IF(Skills!C23=1,60+Inputs!$B$25+Inputs!$B$29,IF(Skills!C23=2,90+Inputs!$B$26+Inputs!$B$29,IF(Skills!C23=3,120+Inputs!$B$27+Inputs!$B$29,MAX(0,(Inputs!$B$3-100)*3)+Inputs!$B$28+Inputs!$B$29)))</f>
        <v/>
      </c>
      <c r="E1305">
        <f>INDEX(FactorTable!$B$2:$Y$301, MATCH(ROUND(MIN(300,MAX(1,D1305)),0), FactorTable!$A$2:$A$301,0), Skills!M23+1)</f>
        <v/>
      </c>
      <c r="F1305">
        <f>IF(Skills!N23=TRUE,(Skills!L23/10)*(E1305/1000),Skills!L23/10)+Skills!O23</f>
        <v/>
      </c>
      <c r="G1305">
        <f>Skills!G23*IF(Skills!H23&gt;0,Skills!I23/Skills!H23,1)</f>
        <v/>
      </c>
      <c r="H1305">
        <f>1-(1-Skills!J23/100)^Skills!K23</f>
        <v/>
      </c>
      <c r="I1305" t="inlineStr">
        <is>
          <t>1</t>
        </is>
      </c>
      <c r="J1305" t="inlineStr"/>
      <c r="K1305" t="inlineStr"/>
      <c r="L1305" t="inlineStr"/>
      <c r="M1305" t="inlineStr"/>
      <c r="N1305" t="inlineStr"/>
      <c r="O1305" t="n">
        <v>0</v>
      </c>
      <c r="P1305">
        <f>IF(B1327=0,0,O1305/B1327)</f>
        <v/>
      </c>
      <c r="Q1305" t="n">
        <v>0</v>
      </c>
      <c r="R1305" t="n">
        <v>0</v>
      </c>
      <c r="S1305">
        <f>IFERROR(O1305/N1305,0)</f>
        <v/>
      </c>
    </row>
    <row r="1306">
      <c r="A1306">
        <f>Skills!A24</f>
        <v/>
      </c>
      <c r="B1306">
        <f>Skills!B24</f>
        <v/>
      </c>
      <c r="C1306">
        <f>Inputs!$B$3&gt;=43</f>
        <v/>
      </c>
      <c r="D1306">
        <f>IF(Skills!C24=1,60+Inputs!$B$25+Inputs!$B$29,IF(Skills!C24=2,90+Inputs!$B$26+Inputs!$B$29,IF(Skills!C24=3,120+Inputs!$B$27+Inputs!$B$29,MAX(0,(Inputs!$B$3-100)*3)+Inputs!$B$28+Inputs!$B$29)))</f>
        <v/>
      </c>
      <c r="E1306">
        <f>INDEX(FactorTable!$B$2:$Y$301, MATCH(ROUND(MIN(300,MAX(1,D1306)),0), FactorTable!$A$2:$A$301,0), Skills!M24+1)</f>
        <v/>
      </c>
      <c r="F1306">
        <f>IF(Skills!N24=TRUE,(Skills!L24/10)*(E1306/1000),Skills!L24/10)+Skills!O24</f>
        <v/>
      </c>
      <c r="G1306">
        <f>Skills!G24*IF(Skills!H24&gt;0,Skills!I24/Skills!H24,1)</f>
        <v/>
      </c>
      <c r="H1306">
        <f>1-(1-Skills!J24/100)^Skills!K24</f>
        <v/>
      </c>
      <c r="I1306" t="inlineStr">
        <is>
          <t>1</t>
        </is>
      </c>
      <c r="J1306" t="inlineStr"/>
      <c r="K1306" t="inlineStr"/>
      <c r="L1306" t="inlineStr"/>
      <c r="M1306" t="inlineStr"/>
      <c r="N1306" t="inlineStr"/>
      <c r="O1306" t="n">
        <v>0</v>
      </c>
      <c r="P1306">
        <f>IF(B1327=0,0,O1306/B1327)</f>
        <v/>
      </c>
      <c r="Q1306" t="n">
        <v>0</v>
      </c>
      <c r="R1306" t="n">
        <v>0</v>
      </c>
      <c r="S1306">
        <f>IFERROR(O1306/N1306,0)</f>
        <v/>
      </c>
    </row>
    <row r="1307">
      <c r="A1307">
        <f>Skills!A25</f>
        <v/>
      </c>
      <c r="B1307">
        <f>Skills!B25</f>
        <v/>
      </c>
      <c r="C1307">
        <f>Inputs!$B$3&gt;=50</f>
        <v/>
      </c>
      <c r="D1307">
        <f>IF(Skills!C25=1,60+Inputs!$B$25+Inputs!$B$29,IF(Skills!C25=2,90+Inputs!$B$26+Inputs!$B$29,IF(Skills!C25=3,120+Inputs!$B$27+Inputs!$B$29,MAX(0,(Inputs!$B$3-100)*3)+Inputs!$B$28+Inputs!$B$29)))</f>
        <v/>
      </c>
      <c r="E1307">
        <f>INDEX(FactorTable!$B$2:$Y$301, MATCH(ROUND(MIN(300,MAX(1,D1307)),0), FactorTable!$A$2:$A$301,0), Skills!M25+1)</f>
        <v/>
      </c>
      <c r="F1307">
        <f>IF(Skills!N25=TRUE,(Skills!L25/10)*(E1307/1000),Skills!L25/10)+Skills!O25</f>
        <v/>
      </c>
      <c r="G1307">
        <f>Skills!G25*IF(Skills!H25&gt;0,Skills!I25/Skills!H25,1)</f>
        <v/>
      </c>
      <c r="H1307">
        <f>1-(1-Skills!J25/100)^Skills!K25</f>
        <v/>
      </c>
      <c r="I1307" t="inlineStr">
        <is>
          <t>1</t>
        </is>
      </c>
      <c r="J1307" t="inlineStr"/>
      <c r="K1307" t="inlineStr"/>
      <c r="L1307" t="inlineStr"/>
      <c r="M1307" t="inlineStr"/>
      <c r="N1307" t="inlineStr"/>
      <c r="O1307" t="n">
        <v>0</v>
      </c>
      <c r="P1307">
        <f>IF(B1327=0,0,O1307/B1327)</f>
        <v/>
      </c>
      <c r="Q1307" t="n">
        <v>0</v>
      </c>
      <c r="R1307" t="n">
        <v>0</v>
      </c>
      <c r="S1307">
        <f>IFERROR(O1307/N1307,0)</f>
        <v/>
      </c>
    </row>
    <row r="1308">
      <c r="A1308">
        <f>Skills!A26</f>
        <v/>
      </c>
      <c r="B1308">
        <f>Skills!B26</f>
        <v/>
      </c>
      <c r="C1308">
        <f>Inputs!$B$3&gt;=50</f>
        <v/>
      </c>
      <c r="D1308">
        <f>IF(Skills!C26=1,60+Inputs!$B$25+Inputs!$B$29,IF(Skills!C26=2,90+Inputs!$B$26+Inputs!$B$29,IF(Skills!C26=3,120+Inputs!$B$27+Inputs!$B$29,MAX(0,(Inputs!$B$3-100)*3)+Inputs!$B$28+Inputs!$B$29)))</f>
        <v/>
      </c>
      <c r="E1308">
        <f>INDEX(FactorTable!$B$2:$Y$301, MATCH(ROUND(MIN(300,MAX(1,D1308)),0), FactorTable!$A$2:$A$301,0), Skills!M26+1)</f>
        <v/>
      </c>
      <c r="F1308">
        <f>IF(Skills!N26=TRUE,(Skills!L26/10)*(E1308/1000),Skills!L26/10)+Skills!O26</f>
        <v/>
      </c>
      <c r="G1308">
        <f>Skills!G26*IF(Skills!H26&gt;0,Skills!I26/Skills!H26,1)</f>
        <v/>
      </c>
      <c r="H1308">
        <f>1-(1-Skills!J26/100)^Skills!K26</f>
        <v/>
      </c>
      <c r="I1308" t="inlineStr">
        <is>
          <t>1</t>
        </is>
      </c>
      <c r="J1308" t="inlineStr"/>
      <c r="K1308" t="inlineStr"/>
      <c r="L1308" t="inlineStr"/>
      <c r="M1308" t="inlineStr"/>
      <c r="N1308" t="inlineStr"/>
      <c r="O1308" t="n">
        <v>0</v>
      </c>
      <c r="P1308">
        <f>IF(B1327=0,0,O1308/B1327)</f>
        <v/>
      </c>
      <c r="Q1308" t="n">
        <v>0</v>
      </c>
      <c r="R1308" t="n">
        <v>0</v>
      </c>
      <c r="S1308">
        <f>IFERROR(O1308/N1308,0)</f>
        <v/>
      </c>
    </row>
    <row r="1309">
      <c r="A1309">
        <f>Skills!A27</f>
        <v/>
      </c>
      <c r="B1309">
        <f>Skills!B27</f>
        <v/>
      </c>
      <c r="C1309">
        <f>Inputs!$B$3&gt;=38</f>
        <v/>
      </c>
      <c r="D1309">
        <f>IF(Skills!C27=1,60+Inputs!$B$25+Inputs!$B$29,IF(Skills!C27=2,90+Inputs!$B$26+Inputs!$B$29,IF(Skills!C27=3,120+Inputs!$B$27+Inputs!$B$29,MAX(0,(Inputs!$B$3-100)*3)+Inputs!$B$28+Inputs!$B$29)))</f>
        <v/>
      </c>
      <c r="E1309">
        <f>INDEX(FactorTable!$B$2:$Y$301, MATCH(ROUND(MIN(300,MAX(1,D1309)),0), FactorTable!$A$2:$A$301,0), Skills!M27+1)</f>
        <v/>
      </c>
      <c r="F1309">
        <f>IF(Skills!N27=TRUE,(Skills!L27/10)*(E1309/1000),Skills!L27/10)+Skills!O27</f>
        <v/>
      </c>
      <c r="G1309">
        <f>Skills!G27*IF(Skills!H27&gt;0,Skills!I27/Skills!H27,1)</f>
        <v/>
      </c>
      <c r="H1309">
        <f>1-(1-Skills!J27/100)^Skills!K27</f>
        <v/>
      </c>
      <c r="I1309" t="inlineStr">
        <is>
          <t>1</t>
        </is>
      </c>
      <c r="J1309" t="inlineStr"/>
      <c r="K1309" t="inlineStr"/>
      <c r="L1309" t="inlineStr"/>
      <c r="M1309" t="inlineStr"/>
      <c r="N1309" t="inlineStr"/>
      <c r="O1309" t="n">
        <v>0</v>
      </c>
      <c r="P1309">
        <f>IF(B1327=0,0,O1309/B1327)</f>
        <v/>
      </c>
      <c r="Q1309" t="n">
        <v>0</v>
      </c>
      <c r="R1309" t="n">
        <v>0</v>
      </c>
      <c r="S1309">
        <f>IFERROR(O1309/N1309,0)</f>
        <v/>
      </c>
    </row>
    <row r="1310">
      <c r="A1310">
        <f>Skills!A28</f>
        <v/>
      </c>
      <c r="B1310">
        <f>Skills!B28</f>
        <v/>
      </c>
      <c r="C1310">
        <f>Inputs!$B$3&gt;=120</f>
        <v/>
      </c>
      <c r="D1310">
        <f>IF(Skills!C28=1,60+Inputs!$B$25+Inputs!$B$29,IF(Skills!C28=2,90+Inputs!$B$26+Inputs!$B$29,IF(Skills!C28=3,120+Inputs!$B$27+Inputs!$B$29,MAX(0,(Inputs!$B$3-100)*3)+Inputs!$B$28+Inputs!$B$29)))</f>
        <v/>
      </c>
      <c r="E1310">
        <f>INDEX(FactorTable!$B$2:$Y$301, MATCH(ROUND(MIN(300,MAX(1,D1310)),0), FactorTable!$A$2:$A$301,0), Skills!M28+1)</f>
        <v/>
      </c>
      <c r="F1310">
        <f>IF(Skills!N28=TRUE,(Skills!L28/10)*(E1310/1000),Skills!L28/10)+Skills!O28</f>
        <v/>
      </c>
      <c r="G1310">
        <f>Skills!G28*IF(Skills!H28&gt;0,Skills!I28/Skills!H28,1)</f>
        <v/>
      </c>
      <c r="H1310">
        <f>1-(1-Skills!J28/100)^Skills!K28</f>
        <v/>
      </c>
      <c r="I1310" t="inlineStr">
        <is>
          <t>1</t>
        </is>
      </c>
      <c r="J1310" t="inlineStr"/>
      <c r="K1310" t="inlineStr"/>
      <c r="L1310" t="inlineStr"/>
      <c r="M1310" t="inlineStr"/>
      <c r="N1310" t="inlineStr"/>
      <c r="O1310" t="n">
        <v>0</v>
      </c>
      <c r="P1310">
        <f>IF(B1327=0,0,O1310/B1327)</f>
        <v/>
      </c>
      <c r="Q1310" t="n">
        <v>0</v>
      </c>
      <c r="R1310" t="n">
        <v>0</v>
      </c>
      <c r="S1310">
        <f>IFERROR(O1310/N1310,0)</f>
        <v/>
      </c>
    </row>
    <row r="1311">
      <c r="A1311">
        <f>Skills!A29</f>
        <v/>
      </c>
      <c r="B1311">
        <f>Skills!B29</f>
        <v/>
      </c>
      <c r="C1311">
        <f>Inputs!$B$3&gt;=120</f>
        <v/>
      </c>
      <c r="D1311">
        <f>IF(Skills!C29=1,60+Inputs!$B$25+Inputs!$B$29,IF(Skills!C29=2,90+Inputs!$B$26+Inputs!$B$29,IF(Skills!C29=3,120+Inputs!$B$27+Inputs!$B$29,MAX(0,(Inputs!$B$3-100)*3)+Inputs!$B$28+Inputs!$B$29)))</f>
        <v/>
      </c>
      <c r="E1311">
        <f>INDEX(FactorTable!$B$2:$Y$301, MATCH(ROUND(MIN(300,MAX(1,D1311)),0), FactorTable!$A$2:$A$301,0), Skills!M29+1)</f>
        <v/>
      </c>
      <c r="F1311">
        <f>IF(Skills!N29=TRUE,(Skills!L29/10)*(E1311/1000),Skills!L29/10)+Skills!O29</f>
        <v/>
      </c>
      <c r="G1311">
        <f>Skills!G29*IF(Skills!H29&gt;0,Skills!I29/Skills!H29,1)</f>
        <v/>
      </c>
      <c r="H1311">
        <f>1-(1-Skills!J29/100)^Skills!K29</f>
        <v/>
      </c>
      <c r="I1311" t="inlineStr">
        <is>
          <t>1</t>
        </is>
      </c>
      <c r="J1311" t="inlineStr"/>
      <c r="K1311" t="inlineStr"/>
      <c r="L1311" t="inlineStr"/>
      <c r="M1311" t="inlineStr"/>
      <c r="N1311" t="inlineStr"/>
      <c r="O1311" t="n">
        <v>0</v>
      </c>
      <c r="P1311">
        <f>IF(B1327=0,0,O1311/B1327)</f>
        <v/>
      </c>
      <c r="Q1311" t="n">
        <v>0</v>
      </c>
      <c r="R1311" t="n">
        <v>0</v>
      </c>
      <c r="S1311">
        <f>IFERROR(O1311/N1311,0)</f>
        <v/>
      </c>
    </row>
    <row r="1312">
      <c r="A1312">
        <f>Skills!A30</f>
        <v/>
      </c>
      <c r="B1312">
        <f>Skills!B30</f>
        <v/>
      </c>
      <c r="C1312">
        <f>Inputs!$B$3&gt;=125</f>
        <v/>
      </c>
      <c r="D1312">
        <f>IF(Skills!C30=1,60+Inputs!$B$25+Inputs!$B$29,IF(Skills!C30=2,90+Inputs!$B$26+Inputs!$B$29,IF(Skills!C30=3,120+Inputs!$B$27+Inputs!$B$29,MAX(0,(Inputs!$B$3-100)*3)+Inputs!$B$28+Inputs!$B$29)))</f>
        <v/>
      </c>
      <c r="E1312">
        <f>INDEX(FactorTable!$B$2:$Y$301, MATCH(ROUND(MIN(300,MAX(1,D1312)),0), FactorTable!$A$2:$A$301,0), Skills!M30+1)</f>
        <v/>
      </c>
      <c r="F1312">
        <f>IF(Skills!N30=TRUE,(Skills!L30/10)*(E1312/1000),Skills!L30/10)+Skills!O30</f>
        <v/>
      </c>
      <c r="G1312">
        <f>Skills!G30*IF(Skills!H30&gt;0,Skills!I30/Skills!H30,1)</f>
        <v/>
      </c>
      <c r="H1312">
        <f>1-(1-Skills!J30/100)^Skills!K30</f>
        <v/>
      </c>
      <c r="I1312" t="inlineStr">
        <is>
          <t>1</t>
        </is>
      </c>
      <c r="J1312" t="inlineStr"/>
      <c r="K1312" t="inlineStr"/>
      <c r="L1312" t="inlineStr"/>
      <c r="M1312" t="inlineStr"/>
      <c r="N1312" t="inlineStr"/>
      <c r="O1312" t="n">
        <v>0</v>
      </c>
      <c r="P1312">
        <f>IF(B1327=0,0,O1312/B1327)</f>
        <v/>
      </c>
      <c r="Q1312" t="n">
        <v>0</v>
      </c>
      <c r="R1312" t="n">
        <v>0</v>
      </c>
      <c r="S1312">
        <f>IFERROR(O1312/N1312,0)</f>
        <v/>
      </c>
    </row>
    <row r="1314">
      <c r="A1314" t="inlineStr">
        <is>
          <t>Average Buff Multiplier</t>
        </is>
      </c>
      <c r="B1314">
        <f>(1+(((C1303=TRUE)*F1303*IF(AND(Inputs!$B$39&lt;&gt;"pvp",Inputs!$B$44&gt;0),(((R1303-1)*(Skills!Y21*(1+Inputs!$B$34/100))+MIN((Skills!Y21*(1+Inputs!$B$34/100)),MAX(0,Inputs!$B$44-((R1303-1)*Skills!D21))))/Inputs!$B$44),IF(Inputs!$B$39="pvp",MIN((Skills!Y21*(1+Inputs!$B$34/100)),15)/15,(Skills!Y21*(1+Inputs!$B$34/100))/Skills!D21)))+((C1305=TRUE)*(F1305-Calc!F23))+((C1299=TRUE)*(F1299-Calc!F17)))/100)*(1+((C1292=TRUE)*F1292*IF(AND(Inputs!$B$39&lt;&gt;"pvp",Inputs!$B$44&gt;0),(((R1292-1)*(Skills!Y10*(1+Inputs!$B$34/100))+MIN((Skills!Y10*(1+Inputs!$B$34/100)),MAX(0,Inputs!$B$44-((R1292-1)*Skills!D10))))/Inputs!$B$44),IF(Inputs!$B$39="pvp",MIN((Skills!Y10*(1+Inputs!$B$34/100)),15)/15,(Skills!Y10*(1+Inputs!$B$34/100))/Skills!D10)))/100)*(1+((C1297=TRUE)*F1297*IF(AND(Inputs!$B$39&lt;&gt;"pvp",Inputs!$B$44&gt;0),(((R1297-1)*(Skills!Y15*(1+Inputs!$B$34/100))+MIN((Skills!Y15*(1+Inputs!$B$34/100)),MAX(0,Inputs!$B$44-((R1297-1)*Skills!D15))))/Inputs!$B$44),IF(Inputs!$B$39="pvp",MIN((Skills!Y15*(1+Inputs!$B$34/100)),15)/15,(Skills!Y15*(1+Inputs!$B$34/100))/Skills!D15)))/100)</f>
        <v/>
      </c>
    </row>
    <row r="1315">
      <c r="A1315" t="inlineStr">
        <is>
          <t>Global Crit Rate Bonus %</t>
        </is>
      </c>
      <c r="B1315">
        <f>((C1302=TRUE)*F1302*IF(AND(Inputs!$B$39&lt;&gt;"pvp",Inputs!$B$44&gt;0),(((R1302-1)*(Skills!Y20*(1+Inputs!$B$34/100))+MIN((Skills!Y20*(1+Inputs!$B$34/100)),MAX(0,Inputs!$B$44-((R1302-1)*Skills!D20))))/Inputs!$B$44),IF(Inputs!$B$39="pvp",MIN((Skills!Y20*(1+Inputs!$B$34/100)),15)/15,(Skills!Y20*(1+Inputs!$B$34/100))/Skills!D20)))</f>
        <v/>
      </c>
    </row>
    <row r="1316">
      <c r="A1316" t="inlineStr">
        <is>
          <t>Global Monster Damage-Taken Bonus %</t>
        </is>
      </c>
      <c r="B1316">
        <f>IF(Inputs!$B$3&gt;=82,15,0)</f>
        <v/>
      </c>
    </row>
    <row r="1317">
      <c r="A1317" t="inlineStr">
        <is>
          <t>Shadow Partner Average Multiplier</t>
        </is>
      </c>
      <c r="B1317">
        <f>1+((C1289=TRUE)*F1289*(1+3.3333333333333335*IF(C1300=TRUE,F1300,0)/100)*I1289*Skills!J7/100)/100</f>
        <v/>
      </c>
    </row>
    <row r="1318">
      <c r="A1318" t="inlineStr">
        <is>
          <t>Attack Speed Buff Bonus %</t>
        </is>
      </c>
      <c r="B1318">
        <f>((C1301=TRUE)*F1301*IF(AND(Inputs!$B$39&lt;&gt;"pvp",Inputs!$B$44&gt;0),(((R1301-1)*(Skills!Y19*(1+Inputs!$B$34/100))+MIN((Skills!Y19*(1+Inputs!$B$34/100)),MAX(0,Inputs!$B$44-((R1301-1)*Skills!D19))))/Inputs!$B$44),IF(Inputs!$B$39="pvp",MIN((Skills!Y19*(1+Inputs!$B$34/100)),15)/15,(Skills!Y19*(1+Inputs!$B$34/100))/Skills!D19)))+((C1285=TRUE)*F1285*3)</f>
        <v/>
      </c>
    </row>
    <row r="1319">
      <c r="A1319" t="inlineStr">
        <is>
          <t>Actions Per Second</t>
        </is>
      </c>
      <c r="B1319">
        <f>1+MIN(150,150*(1-(1-(Inputs!$B$11+((C1304=TRUE)*(F1304-Calc!F22)))/150)*(1-B1318/150)))/100</f>
        <v/>
      </c>
    </row>
    <row r="1320">
      <c r="A1320" t="inlineStr">
        <is>
          <t>Skill + Buff Cast Rate</t>
        </is>
      </c>
      <c r="B1320">
        <f>IF(AND(Inputs!$B$39&lt;&gt;"pvp",Inputs!$B$44&gt;0),SUMPRODUCT((Skills!E2:E30=TRUE)*(C1284:C1312=TRUE)*R1284:R1312*Skills!F2:F30)/Inputs!$B$44,SUMPRODUCT((Skills!E2:E30=TRUE)*(C1284:C1312=TRUE)*Q1284:Q1312*Skills!F2:F30))</f>
        <v/>
      </c>
    </row>
    <row r="1321">
      <c r="A1321" t="inlineStr">
        <is>
          <t>Cruel Stab Casts Per Second</t>
        </is>
      </c>
      <c r="B1321">
        <f>MAX(0,B1319-B1320)</f>
        <v/>
      </c>
    </row>
    <row r="1322">
      <c r="A1322" t="inlineStr">
        <is>
          <t>Global Critical Damage Bonus % (Smokescreen Mastery Lv.113)</t>
        </is>
      </c>
      <c r="B1322">
        <f>IF(Inputs!$B$3&gt;=113,30,0)*IF(AND(Inputs!$B$39&lt;&gt;"pvp",Inputs!$B$44&gt;0),(((R1297-1)*(Skills!Y15*(1+Inputs!$B$34/100))+MIN((Skills!Y15*(1+Inputs!$B$34/100)),MAX(0,Inputs!$B$44-((R1297-1)*Skills!D15))))/Inputs!$B$44),IF(Inputs!$B$39="pvp",MIN((Skills!Y15*(1+Inputs!$B$34/100)),15)/15,(Skills!Y15*(1+Inputs!$B$34/100))/Skills!D15))</f>
        <v/>
      </c>
    </row>
    <row r="1323">
      <c r="A1323" t="inlineStr">
        <is>
          <t>Meso Explosion average stack count</t>
        </is>
      </c>
      <c r="B1323">
        <f>MIN(10,0.5*B1319*Skills!D4)</f>
        <v/>
      </c>
    </row>
    <row r="1324">
      <c r="A1324" t="inlineStr">
        <is>
          <t>Blood Money average stack count</t>
        </is>
      </c>
      <c r="B1324">
        <f>MIN(5,0.25*B1319*Skills!D4)</f>
        <v/>
      </c>
    </row>
    <row r="1325">
      <c r="A1325" t="inlineStr">
        <is>
          <t>Assassinate Murderous Intent Multiplier</t>
        </is>
      </c>
      <c r="B1325">
        <f>1+IFERROR(MIN(1,Q1296*2/Q1293),0)</f>
        <v/>
      </c>
    </row>
    <row r="1326">
      <c r="A1326" t="inlineStr">
        <is>
          <t>Buff-Casting Startup Delay (s, fixed-duration only)</t>
        </is>
      </c>
      <c r="B1326">
        <f>IF(AND(Inputs!$B$39&lt;&gt;"pvp",Inputs!$B$44&gt;0),SUMPRODUCT((Skills!Y2:Y30&gt;0)*(Skills!E2:E30=TRUE)*(C1284:C1312=TRUE))/B1319,0)</f>
        <v/>
      </c>
    </row>
    <row r="1327">
      <c r="A1327" s="5" t="inlineStr">
        <is>
          <t>TOTAL DPS</t>
        </is>
      </c>
      <c r="B1327" s="5">
        <f>SUM(O1284:O1312)</f>
        <v/>
      </c>
    </row>
    <row r="1330">
      <c r="A1330" s="7" t="inlineStr">
        <is>
          <t>Cooldown Reduction Milestone Sweep (absolute CDR seconds, fixed-duration content only)</t>
        </is>
      </c>
    </row>
    <row r="1331">
      <c r="A1331" s="9" t="inlineStr">
        <is>
          <t>CDR (s)</t>
        </is>
      </c>
      <c r="B1331" s="9" t="inlineStr">
        <is>
          <t>Total DPS</t>
        </is>
      </c>
      <c r="C1331" s="9" t="inlineStr">
        <is>
          <t>DPS Gain (vs prior step)</t>
        </is>
      </c>
      <c r="D1331" s="9" t="inlineStr">
        <is>
          <t>% Gain (vs current CDR)</t>
        </is>
      </c>
    </row>
    <row r="1332">
      <c r="A1332" t="n">
        <v>0.5</v>
      </c>
      <c r="B1332">
        <f>B1389</f>
        <v/>
      </c>
      <c r="C1332" t="n">
        <v>0</v>
      </c>
      <c r="D1332">
        <f>IF(Summary!$B$3=0,0,(B1332-Summary!$B$3)/Summary!$B$3*100)</f>
        <v/>
      </c>
    </row>
    <row r="1333">
      <c r="A1333" t="n">
        <v>1</v>
      </c>
      <c r="B1333">
        <f>B1437</f>
        <v/>
      </c>
      <c r="C1333">
        <f>B1333-B1332</f>
        <v/>
      </c>
      <c r="D1333">
        <f>IF(Summary!$B$3=0,0,(B1333-Summary!$B$3)/Summary!$B$3*100)</f>
        <v/>
      </c>
    </row>
    <row r="1334">
      <c r="A1334" t="n">
        <v>1.5</v>
      </c>
      <c r="B1334">
        <f>B1485</f>
        <v/>
      </c>
      <c r="C1334">
        <f>B1334-B1333</f>
        <v/>
      </c>
      <c r="D1334">
        <f>IF(Summary!$B$3=0,0,(B1334-Summary!$B$3)/Summary!$B$3*100)</f>
        <v/>
      </c>
    </row>
    <row r="1335">
      <c r="A1335" t="n">
        <v>2</v>
      </c>
      <c r="B1335">
        <f>B1533</f>
        <v/>
      </c>
      <c r="C1335">
        <f>B1335-B1334</f>
        <v/>
      </c>
      <c r="D1335">
        <f>IF(Summary!$B$3=0,0,(B1335-Summary!$B$3)/Summary!$B$3*100)</f>
        <v/>
      </c>
    </row>
    <row r="1336">
      <c r="A1336" t="n">
        <v>2.5</v>
      </c>
      <c r="B1336">
        <f>B1581</f>
        <v/>
      </c>
      <c r="C1336">
        <f>B1336-B1335</f>
        <v/>
      </c>
      <c r="D1336">
        <f>IF(Summary!$B$3=0,0,(B1336-Summary!$B$3)/Summary!$B$3*100)</f>
        <v/>
      </c>
    </row>
    <row r="1337">
      <c r="A1337" t="n">
        <v>3</v>
      </c>
      <c r="B1337">
        <f>B1629</f>
        <v/>
      </c>
      <c r="C1337">
        <f>B1337-B1336</f>
        <v/>
      </c>
      <c r="D1337">
        <f>IF(Summary!$B$3=0,0,(B1337-Summary!$B$3)/Summary!$B$3*100)</f>
        <v/>
      </c>
    </row>
    <row r="1338">
      <c r="A1338" t="n">
        <v>3.5</v>
      </c>
      <c r="B1338">
        <f>B1677</f>
        <v/>
      </c>
      <c r="C1338">
        <f>B1338-B1337</f>
        <v/>
      </c>
      <c r="D1338">
        <f>IF(Summary!$B$3=0,0,(B1338-Summary!$B$3)/Summary!$B$3*100)</f>
        <v/>
      </c>
    </row>
    <row r="1339">
      <c r="A1339" t="n">
        <v>4</v>
      </c>
      <c r="B1339">
        <f>B1725</f>
        <v/>
      </c>
      <c r="C1339">
        <f>B1339-B1338</f>
        <v/>
      </c>
      <c r="D1339">
        <f>IF(Summary!$B$3=0,0,(B1339-Summary!$B$3)/Summary!$B$3*100)</f>
        <v/>
      </c>
    </row>
    <row r="1340">
      <c r="A1340" t="n">
        <v>4.5</v>
      </c>
      <c r="B1340">
        <f>B1773</f>
        <v/>
      </c>
      <c r="C1340">
        <f>B1340-B1339</f>
        <v/>
      </c>
      <c r="D1340">
        <f>IF(Summary!$B$3=0,0,(B1340-Summary!$B$3)/Summary!$B$3*100)</f>
        <v/>
      </c>
    </row>
    <row r="1341">
      <c r="A1341" t="n">
        <v>5</v>
      </c>
      <c r="B1341">
        <f>B1821</f>
        <v/>
      </c>
      <c r="C1341">
        <f>B1341-B1340</f>
        <v/>
      </c>
      <c r="D1341">
        <f>IF(Summary!$B$3=0,0,(B1341-Summary!$B$3)/Summary!$B$3*100)</f>
        <v/>
      </c>
    </row>
    <row r="1344">
      <c r="A1344" s="5" t="inlineStr">
        <is>
          <t>Stat: CDR = 0.5s</t>
        </is>
      </c>
    </row>
    <row r="1345">
      <c r="A1345" s="9" t="inlineStr">
        <is>
          <t>Key</t>
        </is>
      </c>
      <c r="B1345" s="9" t="inlineStr">
        <is>
          <t>Name</t>
        </is>
      </c>
      <c r="C1345" s="9" t="inlineStr">
        <is>
          <t>Unlocked</t>
        </is>
      </c>
      <c r="D1345" s="9" t="inlineStr">
        <is>
          <t>InputLevel</t>
        </is>
      </c>
      <c r="E1345" s="9" t="inlineStr">
        <is>
          <t>Factor</t>
        </is>
      </c>
      <c r="F1345" s="9" t="inlineStr">
        <is>
          <t>CoefficientPercent</t>
        </is>
      </c>
      <c r="G1345" s="9" t="inlineStr">
        <is>
          <t>EffectiveHits</t>
        </is>
      </c>
      <c r="H1345" s="9" t="inlineStr">
        <is>
          <t>ProcProbability</t>
        </is>
      </c>
      <c r="I1345" s="9" t="inlineStr">
        <is>
          <t>MapleHeroMultiplier</t>
        </is>
      </c>
      <c r="J1345" s="9" t="inlineStr">
        <is>
          <t>BaseDamage</t>
        </is>
      </c>
      <c r="K1345" s="9" t="inlineStr">
        <is>
          <t>BaseHitDamage</t>
        </is>
      </c>
      <c r="L1345" s="9" t="inlineStr">
        <is>
          <t>NonCritAvg</t>
        </is>
      </c>
      <c r="M1345" s="9" t="inlineStr">
        <is>
          <t>CritAvg</t>
        </is>
      </c>
      <c r="N1345" s="9" t="inlineStr">
        <is>
          <t>ExpectedDamage(perHit)</t>
        </is>
      </c>
      <c r="O1345" s="9" t="inlineStr">
        <is>
          <t>DPS</t>
        </is>
      </c>
      <c r="P1345" s="9" t="inlineStr">
        <is>
          <t>% of Total</t>
        </is>
      </c>
      <c r="Q1345" s="9" t="inlineStr">
        <is>
          <t>InvCooldown</t>
        </is>
      </c>
      <c r="R1345" s="9" t="inlineStr">
        <is>
          <t>CastsInFight</t>
        </is>
      </c>
      <c r="S1345" s="9" t="inlineStr">
        <is>
          <t>HitRate(perSec)</t>
        </is>
      </c>
      <c r="U1345" t="inlineStr">
        <is>
          <t>helpers</t>
        </is>
      </c>
    </row>
    <row r="1346">
      <c r="A1346">
        <f>Skills!A2</f>
        <v/>
      </c>
      <c r="B1346">
        <f>Skills!B2</f>
        <v/>
      </c>
      <c r="C1346">
        <f>Inputs!$B$3&gt;=100</f>
        <v/>
      </c>
      <c r="D1346" t="inlineStr"/>
      <c r="E1346" t="inlineStr"/>
      <c r="F1346">
        <f>U1348+Skills!O2</f>
        <v/>
      </c>
      <c r="G1346">
        <f>Skills!G2*IF(Skills!H2&gt;0,Skills!I2/Skills!H2,1)</f>
        <v/>
      </c>
      <c r="H1346">
        <f>1-(1-Skills!J2/100)^Skills!K2</f>
        <v/>
      </c>
      <c r="I1346" t="inlineStr">
        <is>
          <t>1</t>
        </is>
      </c>
      <c r="J1346">
        <f>((Inputs!$B$6*(1+Inputs!$B$7/100))+(((Inputs!$B$12*(1+Inputs!$B$13/100))-(Inputs!$B$12*(1+Inputs!$B$13/100)))+0.25*(Inputs!$B$14-Inputs!$B$14))*(1+Inputs!$B$7/100))*(F1346/100)</f>
        <v/>
      </c>
      <c r="K1346">
        <f>J1346*(1+((Inputs!$B$12*(1+Inputs!$B$13/100))*0.01+Inputs!$B$14*0.0025)/100)*(1+Inputs!$B$15/100)*(1+IF(Inputs!$B$39="pvp",0,(1-Summary!$B$55)*(Inputs!$B$20+0+Skills!P2+B1378)+Summary!$B$55*(Inputs!$B$21+Skills!Q2+B1378))/100)*(1+Inputs!$B$16/100)*(5000/(6000+Inputs!$B$43*(1-Inputs!$B$19/100)))*(1+(Inputs!$B$24+((C1374=TRUE)*(F1374-Calc!F30)))/100)*(1+(IF(Skills!A2="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1346)</f>
        <v/>
      </c>
      <c r="L1346">
        <f>K1346*(MIN(Inputs!$B$22+((C1368=TRUE)*(F1368-Calc!F24)),Inputs!$B$23+((C1373=TRUE)*(F1373-Calc!F29)))/100+(Inputs!$B$23+((C1373=TRUE)*(F1373-Calc!F29)))/100)/2</f>
        <v/>
      </c>
      <c r="M1346">
        <f>L1346*(1+(Inputs!$B$10+((C1370=TRUE)*(F1370-Calc!F26))+B1384)/100)</f>
        <v/>
      </c>
      <c r="N1346">
        <f>L1346*(1-MIN((Inputs!$B$9+((C1369=TRUE)*(F1369-Calc!F25))+B1377),100)/100)+M1346*(MIN((Inputs!$B$9+((C1369=TRUE)*(F1369-Calc!F25))+B1377),100)/100)</f>
        <v/>
      </c>
      <c r="O1346">
        <f>IF(C1346,Skills!G2*N1346*B1383*IF(Inputs!$B$39="pvp",1,(1-Summary!$B$55)*(1)+Summary!$B$55*(MIN((6+Inputs!$B$33),Inputs!$B$37))),0)</f>
        <v/>
      </c>
      <c r="P1346">
        <f>IF(B1389=0,0,O1346/B1389)</f>
        <v/>
      </c>
      <c r="Q1346" t="n">
        <v>0</v>
      </c>
      <c r="R1346" t="n">
        <v>0</v>
      </c>
      <c r="S1346">
        <f>IFERROR(O1346/N1346,0)</f>
        <v/>
      </c>
      <c r="U1346">
        <f>MAX(0,(Inputs!$B$3-100)*3)+Inputs!$B$28+Inputs!$B$29</f>
        <v/>
      </c>
    </row>
    <row r="1347">
      <c r="A1347">
        <f>Skills!A3</f>
        <v/>
      </c>
      <c r="B1347">
        <f>Skills!B3</f>
        <v/>
      </c>
      <c r="C1347">
        <f>Inputs!$B$3&gt;=35</f>
        <v/>
      </c>
      <c r="D1347">
        <f>IF(Skills!C3=1,60+Inputs!$B$25+Inputs!$B$29,IF(Skills!C3=2,90+Inputs!$B$26+Inputs!$B$29,IF(Skills!C3=3,120+Inputs!$B$27+Inputs!$B$29,MAX(0,(Inputs!$B$3-100)*3)+Inputs!$B$28+Inputs!$B$29)))</f>
        <v/>
      </c>
      <c r="E1347">
        <f>INDEX(FactorTable!$B$2:$Y$301, MATCH(ROUND(MIN(300,MAX(1,D1347)),0), FactorTable!$A$2:$A$301,0), Skills!M3+1)</f>
        <v/>
      </c>
      <c r="F1347">
        <f>IF(Skills!N3=TRUE,(Skills!L3/10)*(E1347/1000),Skills!L3/10)+Skills!O3</f>
        <v/>
      </c>
      <c r="G1347">
        <f>Skills!G3*IF(Skills!H3&gt;0,Skills!I3/Skills!H3,1)</f>
        <v/>
      </c>
      <c r="H1347">
        <f>1-(1-Skills!J3/100)^Skills!K3</f>
        <v/>
      </c>
      <c r="I1347" t="inlineStr">
        <is>
          <t>1</t>
        </is>
      </c>
      <c r="J1347" t="inlineStr"/>
      <c r="K1347" t="inlineStr"/>
      <c r="L1347" t="inlineStr"/>
      <c r="M1347" t="inlineStr"/>
      <c r="N1347" t="inlineStr"/>
      <c r="O1347" t="n">
        <v>0</v>
      </c>
      <c r="P1347">
        <f>IF(B1389=0,0,O1347/B1389)</f>
        <v/>
      </c>
      <c r="Q1347" t="n">
        <v>0</v>
      </c>
      <c r="R1347" t="n">
        <v>0</v>
      </c>
      <c r="S1347">
        <f>IFERROR(O1347/N1347,0)</f>
        <v/>
      </c>
      <c r="U1347">
        <f>INDEX(FactorTable!$B$2:$Y$301, MATCH(ROUND(MIN(300,MAX(1,U1346)),0), FactorTable!$A$2:$A$301,0), 22)</f>
        <v/>
      </c>
    </row>
    <row r="1348">
      <c r="A1348">
        <f>Skills!A4</f>
        <v/>
      </c>
      <c r="B1348">
        <f>Skills!B4</f>
        <v/>
      </c>
      <c r="C1348">
        <f>Inputs!$B$3&gt;=66</f>
        <v/>
      </c>
      <c r="D1348">
        <f>IF(Skills!C4=1,60+Inputs!$B$25+Inputs!$B$29,IF(Skills!C4=2,90+Inputs!$B$26+Inputs!$B$29,IF(Skills!C4=3,120+Inputs!$B$27+Inputs!$B$29,MAX(0,(Inputs!$B$3-100)*3)+Inputs!$B$28+Inputs!$B$29)))</f>
        <v/>
      </c>
      <c r="E1348">
        <f>INDEX(FactorTable!$B$2:$Y$301, MATCH(ROUND(MIN(300,MAX(1,D1348)),0), FactorTable!$A$2:$A$301,0), Skills!M4+1)</f>
        <v/>
      </c>
      <c r="F1348">
        <f>IF(Skills!N4=TRUE,(Skills!L4/10)*(E1348/1000),Skills!L4/10)+Skills!O4</f>
        <v/>
      </c>
      <c r="G1348">
        <f>Skills!G4*IF(Skills!H4&gt;0,Skills!I4/Skills!H4,1)</f>
        <v/>
      </c>
      <c r="H1348">
        <f>1-(1-Skills!J4/100)^Skills!K4</f>
        <v/>
      </c>
      <c r="I1348" t="inlineStr">
        <is>
          <t>1</t>
        </is>
      </c>
      <c r="J1348">
        <f>((Inputs!$B$6*(1+Inputs!$B$7/100))+(((Inputs!$B$12*(1+Inputs!$B$13/100))-(Inputs!$B$12*(1+Inputs!$B$13/100)))+0.25*(Inputs!$B$14-Inputs!$B$14))*(1+Inputs!$B$7/100))*(F1348/100)</f>
        <v/>
      </c>
      <c r="K1348">
        <f>J1348*(1+((Inputs!$B$12*(1+Inputs!$B$13/100))*0.01+Inputs!$B$14*0.0025)/100)*(1+Inputs!$B$15/100)*(1+IF(Inputs!$B$39="pvp",0,(1-Summary!$B$55)*(Inputs!$B$20+0+Skills!P4+B1378)+Summary!$B$55*(Inputs!$B$21+Skills!Q4+B1378))/100)*(1+Inputs!$B$16/100)*(5000/(6000+Inputs!$B$43*(1-Inputs!$B$19/100)))*(1+(Inputs!$B$24+((C1374=TRUE)*(F1374-Calc!F30)))/100)*(1+(IF(Skills!A4="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1348)</f>
        <v/>
      </c>
      <c r="L1348">
        <f>K1348*(MIN(Inputs!$B$22+((C1368=TRUE)*(F1368-Calc!F24)),Inputs!$B$23+((C1373=TRUE)*(F1373-Calc!F29)))/100+(Inputs!$B$23+((C1373=TRUE)*(F1373-Calc!F29)))/100)/2</f>
        <v/>
      </c>
      <c r="M1348">
        <f>L1348*(1+(Inputs!$B$10+((C1370=TRUE)*(F1370-Calc!F26))+B1384)/100)</f>
        <v/>
      </c>
      <c r="N1348">
        <f>L1348*(1-MIN((Inputs!$B$9+((C1369=TRUE)*(F1369-Calc!F25))+B1377),100)/100)+M1348*(MIN((Inputs!$B$9+((C1369=TRUE)*(F1369-Calc!F25))+B1377),100)/100)</f>
        <v/>
      </c>
      <c r="O1348">
        <f>IF(C1348,H1348*N1348*IF(AND(Inputs!$B$39&lt;&gt;"pvp",Inputs!$B$44&gt;0),((Skills!G4*((R1348-1)*IF(Skills!H4&gt;0,Skills!I4/Skills!H4,1)+IF(Skills!H4&gt;0,MIN(Skills!I4,MAX(0,MAX(0,Inputs!$B$44-B1388)-((R1348-1)*IF(Inputs!$B$39="pvp",15,MAX(0.1,Skills!D4-IF(Skills!E4=TRUE,0.5,0))))))/Skills!H4,1)))/Inputs!$B$44),G1348*Q1348)*IF(Inputs!$B$39="pvp",1,(1-Summary!$B$55)*(1)+Summary!$B$55*(MIN(MIN(10,0.5*B1381*Skills!D4),Inputs!$B$37))),0)</f>
        <v/>
      </c>
      <c r="P1348">
        <f>IF(B1389=0,0,O1348/B1389)</f>
        <v/>
      </c>
      <c r="Q1348">
        <f>IFERROR(1/IF(Inputs!$B$39="pvp",15,MAX(0.1,Skills!D4-IF(Skills!E4=TRUE,0.5,0))),0)</f>
        <v/>
      </c>
      <c r="R1348">
        <f>IF(AND(Inputs!$B$39&lt;&gt;"pvp",Inputs!$B$44&gt;0),IF(MAX(0,Inputs!$B$44-B1388)&lt;=0,0,(INT(MAX(0,Inputs!$B$44-B1388)/IF(Inputs!$B$39="pvp",15,MAX(0.1,Skills!D4-IF(Skills!E4=TRUE,0.5,0))))+1)),0)</f>
        <v/>
      </c>
      <c r="S1348">
        <f>IFERROR(O1348/N1348,0)</f>
        <v/>
      </c>
      <c r="U1348">
        <f>290*U1347/1000</f>
        <v/>
      </c>
    </row>
    <row r="1349">
      <c r="A1349">
        <f>Skills!A5</f>
        <v/>
      </c>
      <c r="B1349">
        <f>Skills!B5</f>
        <v/>
      </c>
      <c r="C1349">
        <f>Inputs!$B$3&gt;=63</f>
        <v/>
      </c>
      <c r="D1349">
        <f>IF(Skills!C5=1,60+Inputs!$B$25+Inputs!$B$29,IF(Skills!C5=2,90+Inputs!$B$26+Inputs!$B$29,IF(Skills!C5=3,120+Inputs!$B$27+Inputs!$B$29,MAX(0,(Inputs!$B$3-100)*3)+Inputs!$B$28+Inputs!$B$29)))</f>
        <v/>
      </c>
      <c r="E1349">
        <f>INDEX(FactorTable!$B$2:$Y$301, MATCH(ROUND(MIN(300,MAX(1,D1349)),0), FactorTable!$A$2:$A$301,0), Skills!M5+1)</f>
        <v/>
      </c>
      <c r="F1349">
        <f>IF(Skills!N5=TRUE,(Skills!L5/10)*(E1349/1000),Skills!L5/10)+Skills!O5</f>
        <v/>
      </c>
      <c r="G1349">
        <f>Skills!G5*IF(Skills!H5&gt;0,Skills!I5/Skills!H5,1)</f>
        <v/>
      </c>
      <c r="H1349">
        <f>1-(1-Skills!J5/100)^Skills!K5</f>
        <v/>
      </c>
      <c r="I1349" t="inlineStr">
        <is>
          <t>1</t>
        </is>
      </c>
      <c r="J1349">
        <f>((Inputs!$B$6*(1+Inputs!$B$7/100))+(((Inputs!$B$12*(1+Inputs!$B$13/100))-(Inputs!$B$12*(1+Inputs!$B$13/100)))+0.25*(Inputs!$B$14-Inputs!$B$14))*(1+Inputs!$B$7/100))*(F1349/100)</f>
        <v/>
      </c>
      <c r="K1349">
        <f>J1349*(1+((Inputs!$B$12*(1+Inputs!$B$13/100))*0.01+Inputs!$B$14*0.0025)/100)*(1+Inputs!$B$15/100)*(1+IF(Inputs!$B$39="pvp",0,(1-Summary!$B$55)*(Inputs!$B$20+0+Skills!P5+B1378)+Summary!$B$55*(Inputs!$B$21+Skills!Q5+B1378))/100)*(1+Inputs!$B$16/100)*(5000/(6000+Inputs!$B$43*(1-Inputs!$B$19/100)))*(1+(Inputs!$B$24+((C1374=TRUE)*(F1374-Calc!F30)))/100)*(1+2.6666666666666665*IF(C1362=TRUE,F1362,0)/100)*(1+(IF(Skills!A5="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1349)</f>
        <v/>
      </c>
      <c r="L1349">
        <f>K1349*(MIN(Inputs!$B$22+((C1368=TRUE)*(F1368-Calc!F24)),Inputs!$B$23+((C1373=TRUE)*(F1373-Calc!F29)))/100+(Inputs!$B$23+((C1373=TRUE)*(F1373-Calc!F29)))/100)/2</f>
        <v/>
      </c>
      <c r="M1349">
        <f>L1349*(1+(Inputs!$B$10+((C1370=TRUE)*(F1370-Calc!F26))+B1384)/100)</f>
        <v/>
      </c>
      <c r="N1349">
        <f>L1349*(1-MIN((Inputs!$B$9+((C1369=TRUE)*(F1369-Calc!F25))+B1377),100)/100)+M1349*(MIN((Inputs!$B$9+((C1369=TRUE)*(F1369-Calc!F25))+B1377),100)/100)</f>
        <v/>
      </c>
      <c r="O1349">
        <f>IF(C1349,H1349*N1349*IF(AND(Inputs!$B$39&lt;&gt;"pvp",Inputs!$B$44&gt;0),((Skills!G5*((R1349-1)*IF(Skills!H5&gt;0,Skills!I5/Skills!H5,1)+IF(Skills!H5&gt;0,MIN(Skills!I5,MAX(0,MAX(0,Inputs!$B$44-B1388)-((R1349-1)*IF(Inputs!$B$39="pvp",15,MAX(0.1,Skills!D5-IF(Skills!E5=TRUE,0.5,0))))))/Skills!H5,1)))/Inputs!$B$44),G1349*Q1349)*IF(Inputs!$B$39="pvp",1,(1-Summary!$B$55)*(1)+Summary!$B$55*(MIN(Skills!W5,Inputs!$B$37))),0)</f>
        <v/>
      </c>
      <c r="P1349">
        <f>IF(B1389=0,0,O1349/B1389)</f>
        <v/>
      </c>
      <c r="Q1349">
        <f>IFERROR(1/IF(Inputs!$B$39="pvp",15,MAX(0.1,Skills!D5-IF(Skills!E5=TRUE,0.5,0))),0)</f>
        <v/>
      </c>
      <c r="R1349">
        <f>IF(AND(Inputs!$B$39&lt;&gt;"pvp",Inputs!$B$44&gt;0),IF(MAX(0,Inputs!$B$44-B1388)&lt;=0,0,(INT(MAX(0,Inputs!$B$44-B1388)/IF(Inputs!$B$39="pvp",15,MAX(0.1,Skills!D5-IF(Skills!E5=TRUE,0.5,0))))+1)),0)</f>
        <v/>
      </c>
      <c r="S1349">
        <f>IFERROR(O1349/N1349,0)</f>
        <v/>
      </c>
    </row>
    <row r="1350">
      <c r="A1350">
        <f>Skills!A6</f>
        <v/>
      </c>
      <c r="B1350">
        <f>Skills!B6</f>
        <v/>
      </c>
      <c r="C1350">
        <f>Inputs!$B$3&gt;=69</f>
        <v/>
      </c>
      <c r="D1350">
        <f>IF(Skills!C6=1,60+Inputs!$B$25+Inputs!$B$29,IF(Skills!C6=2,90+Inputs!$B$26+Inputs!$B$29,IF(Skills!C6=3,120+Inputs!$B$27+Inputs!$B$29,MAX(0,(Inputs!$B$3-100)*3)+Inputs!$B$28+Inputs!$B$29)))</f>
        <v/>
      </c>
      <c r="E1350">
        <f>INDEX(FactorTable!$B$2:$Y$301, MATCH(ROUND(MIN(300,MAX(1,D1350)),0), FactorTable!$A$2:$A$301,0), Skills!M6+1)</f>
        <v/>
      </c>
      <c r="F1350">
        <f>IF(Skills!N6=TRUE,(Skills!L6/10)*(E1350/1000),Skills!L6/10)+Skills!O6</f>
        <v/>
      </c>
      <c r="G1350">
        <f>Skills!G6*IF(Skills!H6&gt;0,Skills!I6/Skills!H6,1)</f>
        <v/>
      </c>
      <c r="H1350">
        <f>1-(1-Skills!J6/100)^Skills!K6</f>
        <v/>
      </c>
      <c r="I1350" t="inlineStr">
        <is>
          <t>1</t>
        </is>
      </c>
      <c r="J1350">
        <f>((Inputs!$B$6*(1+Inputs!$B$7/100))+(((Inputs!$B$12*(1+Inputs!$B$13/100))-(Inputs!$B$12*(1+Inputs!$B$13/100)))+0.25*(Inputs!$B$14-Inputs!$B$14))*(1+Inputs!$B$7/100))*(F1350/100)</f>
        <v/>
      </c>
      <c r="K1350">
        <f>J1350*(1+((Inputs!$B$12*(1+Inputs!$B$13/100))*0.01+Inputs!$B$14*0.0025)/100)*(1+Inputs!$B$15/100)*(1+IF(Inputs!$B$39="pvp",0,(1-Summary!$B$55)*(Inputs!$B$20+0+Skills!P6+B1378)+Summary!$B$55*(Inputs!$B$21+Skills!Q6+B1378))/100)*(1+Inputs!$B$16/100)*(5000/(6000+Inputs!$B$43*(1-Inputs!$B$19/100)))*(1+(Inputs!$B$24+((C1374=TRUE)*(F1374-Calc!F30)))/100)*(1+1.0*IF(C1362=TRUE,F1362,0)/100)*(1+(IF(Skills!A6="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1350)</f>
        <v/>
      </c>
      <c r="L1350">
        <f>K1350*(MIN(Inputs!$B$22+((C1368=TRUE)*(F1368-Calc!F24)),Inputs!$B$23+((C1373=TRUE)*(F1373-Calc!F29)))/100+(Inputs!$B$23+((C1373=TRUE)*(F1373-Calc!F29)))/100)/2</f>
        <v/>
      </c>
      <c r="M1350">
        <f>L1350*(1+(Inputs!$B$10+((C1370=TRUE)*(F1370-Calc!F26))+B1384)/100)</f>
        <v/>
      </c>
      <c r="N1350">
        <f>L1350*(1-MIN((Inputs!$B$9+((C1369=TRUE)*(F1369-Calc!F25))+B1377),100)/100)+M1350*(MIN((Inputs!$B$9+((C1369=TRUE)*(F1369-Calc!F25))+B1377),100)/100)</f>
        <v/>
      </c>
      <c r="O1350">
        <f>IF(C1350,H1350*N1350*IF(AND(Inputs!$B$39&lt;&gt;"pvp",Inputs!$B$44&gt;0),((Skills!G6*((R1350-1)*IF(Skills!H6&gt;0,Skills!I6/Skills!H6,1)+IF(Skills!H6&gt;0,MIN(Skills!I6,MAX(0,MAX(0,Inputs!$B$44-B1388)-((R1350-1)*IF(Inputs!$B$39="pvp",15,MAX(0.1,Skills!D6-IF(Skills!E6=TRUE,0.5,0))))))/Skills!H6,1)))/Inputs!$B$44),G1350*Q1350)*IF(Inputs!$B$39="pvp",1,(1-Summary!$B$55)*(1)+Summary!$B$55*(MIN(Skills!W6,Inputs!$B$37))),0)</f>
        <v/>
      </c>
      <c r="P1350">
        <f>IF(B1389=0,0,O1350/B1389)</f>
        <v/>
      </c>
      <c r="Q1350">
        <f>IFERROR(1/IF(Inputs!$B$39="pvp",15,MAX(0.1,Skills!D6-IF(Skills!E6=TRUE,0.5,0))),0)</f>
        <v/>
      </c>
      <c r="R1350">
        <f>IF(AND(Inputs!$B$39&lt;&gt;"pvp",Inputs!$B$44&gt;0),IF(MAX(0,Inputs!$B$44-B1388)&lt;=0,0,(INT(MAX(0,Inputs!$B$44-B1388)/IF(Inputs!$B$39="pvp",15,MAX(0.1,Skills!D6-IF(Skills!E6=TRUE,0.5,0))))+1)),0)</f>
        <v/>
      </c>
      <c r="S1350">
        <f>IFERROR(O1350/N1350,0)</f>
        <v/>
      </c>
    </row>
    <row r="1351">
      <c r="A1351">
        <f>Skills!A7</f>
        <v/>
      </c>
      <c r="B1351">
        <f>Skills!B7</f>
        <v/>
      </c>
      <c r="C1351">
        <f>Inputs!$B$3&gt;=60</f>
        <v/>
      </c>
      <c r="D1351">
        <f>IF(Skills!C7=1,60+Inputs!$B$25+Inputs!$B$29,IF(Skills!C7=2,90+Inputs!$B$26+Inputs!$B$29,IF(Skills!C7=3,120+Inputs!$B$27+Inputs!$B$29,MAX(0,(Inputs!$B$3-100)*3)+Inputs!$B$28+Inputs!$B$29)))</f>
        <v/>
      </c>
      <c r="E1351">
        <f>INDEX(FactorTable!$B$2:$Y$301, MATCH(ROUND(MIN(300,MAX(1,D1351)),0), FactorTable!$A$2:$A$301,0), Skills!M7+1)</f>
        <v/>
      </c>
      <c r="F1351">
        <f>IF(Skills!N7=TRUE,(Skills!L7/10)*(E1351/1000),Skills!L7/10)+Skills!O7</f>
        <v/>
      </c>
      <c r="G1351">
        <f>Skills!G7*IF(Skills!H7&gt;0,Skills!I7/Skills!H7,1)</f>
        <v/>
      </c>
      <c r="H1351">
        <f>1-(1-Skills!J7/100)^Skills!K7</f>
        <v/>
      </c>
      <c r="I1351" t="inlineStr">
        <is>
          <t>1</t>
        </is>
      </c>
      <c r="J1351" t="inlineStr"/>
      <c r="K1351" t="inlineStr"/>
      <c r="L1351" t="inlineStr"/>
      <c r="M1351" t="inlineStr"/>
      <c r="N1351" t="inlineStr"/>
      <c r="O1351" t="n">
        <v>0</v>
      </c>
      <c r="P1351">
        <f>IF(B1389=0,0,O1351/B1389)</f>
        <v/>
      </c>
      <c r="Q1351" t="n">
        <v>0</v>
      </c>
      <c r="R1351" t="n">
        <v>0</v>
      </c>
      <c r="S1351">
        <f>IFERROR(O1351/N1351,0)</f>
        <v/>
      </c>
    </row>
    <row r="1352">
      <c r="A1352">
        <f>Skills!A8</f>
        <v/>
      </c>
      <c r="B1352">
        <f>Skills!B8</f>
        <v/>
      </c>
      <c r="C1352">
        <f>Inputs!$B$3&gt;=72</f>
        <v/>
      </c>
      <c r="D1352">
        <f>IF(Skills!C8=1,60+Inputs!$B$25+Inputs!$B$29,IF(Skills!C8=2,90+Inputs!$B$26+Inputs!$B$29,IF(Skills!C8=3,120+Inputs!$B$27+Inputs!$B$29,MAX(0,(Inputs!$B$3-100)*3)+Inputs!$B$28+Inputs!$B$29)))</f>
        <v/>
      </c>
      <c r="E1352">
        <f>INDEX(FactorTable!$B$2:$Y$301, MATCH(ROUND(MIN(300,MAX(1,D1352)),0), FactorTable!$A$2:$A$301,0), Skills!M8+1)</f>
        <v/>
      </c>
      <c r="F1352">
        <f>IF(Skills!N8=TRUE,(Skills!L8/10)*(E1352/1000),Skills!L8/10)+Skills!O8</f>
        <v/>
      </c>
      <c r="G1352">
        <f>Skills!G8*IF(Skills!H8&gt;0,Skills!I8/Skills!H8,1)</f>
        <v/>
      </c>
      <c r="H1352">
        <f>1-(1-Skills!J8/100)^Skills!K8</f>
        <v/>
      </c>
      <c r="I1352" t="inlineStr">
        <is>
          <t>1</t>
        </is>
      </c>
      <c r="J1352">
        <f>((Inputs!$B$6*(1+Inputs!$B$7/100))+(((Inputs!$B$12*(1+Inputs!$B$13/100))-(Inputs!$B$12*(1+Inputs!$B$13/100)))+0.25*(Inputs!$B$14-Inputs!$B$14))*(1+Inputs!$B$7/100))*(F1352/100)</f>
        <v/>
      </c>
      <c r="K1352">
        <f>J1352*(1+((Inputs!$B$12*(1+Inputs!$B$13/100))*0.01+Inputs!$B$14*0.0025)/100)*(1+Inputs!$B$15/100)*(1+IF(Inputs!$B$39="pvp",0,(1-Summary!$B$55)*(Inputs!$B$20+0+Skills!P8+B1378)+Summary!$B$55*(Inputs!$B$21+Skills!Q8+B1378))/100)*(1+Inputs!$B$16/100)*(5000/(6000+Inputs!$B$43*(1-Inputs!$B$19/100)))*(1+(Inputs!$B$24+((C1374=TRUE)*(F1374-Calc!F30)))/100)*(1+3.3333333333333335*IF(C1362=TRUE,F1362,0)/100)*(1+(IF(Skills!A8="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1352)</f>
        <v/>
      </c>
      <c r="L1352">
        <f>K1352*(MIN(Inputs!$B$22+((C1368=TRUE)*(F1368-Calc!F24)),Inputs!$B$23+((C1373=TRUE)*(F1373-Calc!F29)))/100+(Inputs!$B$23+((C1373=TRUE)*(F1373-Calc!F29)))/100)/2</f>
        <v/>
      </c>
      <c r="M1352">
        <f>L1352*(1+(Inputs!$B$10+((C1370=TRUE)*(F1370-Calc!F26))+B1384)/100)</f>
        <v/>
      </c>
      <c r="N1352">
        <f>L1352*(1-MIN((Inputs!$B$9+((C1369=TRUE)*(F1369-Calc!F25))+B1377),100)/100)+M1352*(MIN((Inputs!$B$9+((C1369=TRUE)*(F1369-Calc!F25))+B1377),100)/100)</f>
        <v/>
      </c>
      <c r="O1352">
        <f>IF(C1352,H1352*N1352*IF(AND(Inputs!$B$39&lt;&gt;"pvp",Inputs!$B$44&gt;0),((Skills!G8*((R1352-1)*IF(Skills!H8&gt;0,Skills!I8/Skills!H8,1)+IF(Skills!H8&gt;0,MIN(Skills!I8,MAX(0,MAX(0,Inputs!$B$44-B1388)-((R1352-1)*IF(Inputs!$B$39="pvp",15,MAX(0.1,Skills!D8-IF(Skills!E8=TRUE,0.5,0))))))/Skills!H8,1)))/Inputs!$B$44),G1352*Q1352)*IF(Inputs!$B$39="pvp",1,(1-Summary!$B$55)*(1)+Summary!$B$55*(MIN(Skills!W8,Inputs!$B$37))),0)</f>
        <v/>
      </c>
      <c r="P1352">
        <f>IF(B1389=0,0,O1352/B1389)</f>
        <v/>
      </c>
      <c r="Q1352">
        <f>IFERROR(1/IF(Inputs!$B$39="pvp",15,MAX(0.1,Skills!D8-IF(Skills!E8=TRUE,0.5,0))),0)</f>
        <v/>
      </c>
      <c r="R1352">
        <f>IF(AND(Inputs!$B$39&lt;&gt;"pvp",Inputs!$B$44&gt;0),IF(MAX(0,Inputs!$B$44-B1388)&lt;=0,0,(INT(MAX(0,Inputs!$B$44-B1388)/IF(Inputs!$B$39="pvp",15,MAX(0.1,Skills!D8-IF(Skills!E8=TRUE,0.5,0))))+1)),0)</f>
        <v/>
      </c>
      <c r="S1352">
        <f>IFERROR(O1352/N1352,0)</f>
        <v/>
      </c>
    </row>
    <row r="1353">
      <c r="A1353">
        <f>Skills!A9</f>
        <v/>
      </c>
      <c r="B1353">
        <f>Skills!B9</f>
        <v/>
      </c>
      <c r="C1353">
        <f>Inputs!$B$3&gt;=117</f>
        <v/>
      </c>
      <c r="D1353">
        <f>IF(Skills!C9=1,60+Inputs!$B$25+Inputs!$B$29,IF(Skills!C9=2,90+Inputs!$B$26+Inputs!$B$29,IF(Skills!C9=3,120+Inputs!$B$27+Inputs!$B$29,MAX(0,(Inputs!$B$3-100)*3)+Inputs!$B$28+Inputs!$B$29)))</f>
        <v/>
      </c>
      <c r="E1353">
        <f>INDEX(FactorTable!$B$2:$Y$301, MATCH(ROUND(MIN(300,MAX(1,D1353)),0), FactorTable!$A$2:$A$301,0), Skills!M9+1)</f>
        <v/>
      </c>
      <c r="F1353">
        <f>IF(Skills!N9=TRUE,(Skills!L9/10)*(E1353/1000),Skills!L9/10)+Skills!O9</f>
        <v/>
      </c>
      <c r="G1353">
        <f>Skills!G9*IF(Skills!H9&gt;0,Skills!I9/Skills!H9,1)</f>
        <v/>
      </c>
      <c r="H1353">
        <f>1-(1-Skills!J9/100)^Skills!K9</f>
        <v/>
      </c>
      <c r="I1353" t="inlineStr">
        <is>
          <t>1</t>
        </is>
      </c>
      <c r="J1353">
        <f>((Inputs!$B$6*(1+Inputs!$B$7/100))+(((Inputs!$B$12*(1+Inputs!$B$13/100))-(Inputs!$B$12*(1+Inputs!$B$13/100)))+0.25*(Inputs!$B$14-Inputs!$B$14))*(1+Inputs!$B$7/100))*(F1353/100)</f>
        <v/>
      </c>
      <c r="K1353">
        <f>J1353*(1+((Inputs!$B$12*(1+Inputs!$B$13/100))*0.01+Inputs!$B$14*0.0025)/100)*(1+Inputs!$B$15/100)*(1+IF(Inputs!$B$39="pvp",0,(1-Summary!$B$55)*(Inputs!$B$20+0+Skills!P9+B1378)+Summary!$B$55*(Inputs!$B$21+Skills!Q9+B1378))/100)*(1+Inputs!$B$16/100)*(5000/(6000+Inputs!$B$43*(1-Inputs!$B$19/100)))*(1+(Inputs!$B$24+((C1374=TRUE)*(F1374-Calc!F30)))/100)*(1+(IF(Skills!A9="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1353)</f>
        <v/>
      </c>
      <c r="L1353">
        <f>K1353*(MIN(Inputs!$B$22+((C1368=TRUE)*(F1368-Calc!F24)),Inputs!$B$23+((C1373=TRUE)*(F1373-Calc!F29)))/100+(Inputs!$B$23+((C1373=TRUE)*(F1373-Calc!F29)))/100)/2</f>
        <v/>
      </c>
      <c r="M1353">
        <f>L1353*(1+(Inputs!$B$10+((C1370=TRUE)*(F1370-Calc!F26))+B1384)/100)</f>
        <v/>
      </c>
      <c r="N1353">
        <f>L1353*(1-MIN((Inputs!$B$9+((C1369=TRUE)*(F1369-Calc!F25))+B1377),100)/100)+M1353*(MIN((Inputs!$B$9+((C1369=TRUE)*(F1369-Calc!F25))+B1377),100)/100)</f>
        <v/>
      </c>
      <c r="O1353">
        <f>IF(C1353,0.2*SUMPRODUCT((Skills!Z2:Z30=TRUE)*(C1346:C1374=TRUE)*S1346:S1374)*N1353,0)</f>
        <v/>
      </c>
      <c r="P1353">
        <f>IF(B1389=0,0,O1353/B1389)</f>
        <v/>
      </c>
      <c r="Q1353" t="n">
        <v>0</v>
      </c>
      <c r="R1353" t="n">
        <v>0</v>
      </c>
      <c r="S1353" t="n">
        <v>0</v>
      </c>
    </row>
    <row r="1354">
      <c r="A1354">
        <f>Skills!A10</f>
        <v/>
      </c>
      <c r="B1354">
        <f>Skills!B10</f>
        <v/>
      </c>
      <c r="C1354">
        <f>Inputs!$B$3&gt;=74</f>
        <v/>
      </c>
      <c r="D1354">
        <f>IF(Skills!C10=1,60+Inputs!$B$25+Inputs!$B$29,IF(Skills!C10=2,90+Inputs!$B$26+Inputs!$B$29,IF(Skills!C10=3,120+Inputs!$B$27+Inputs!$B$29,MAX(0,(Inputs!$B$3-100)*3)+Inputs!$B$28+Inputs!$B$29)))</f>
        <v/>
      </c>
      <c r="E1354">
        <f>INDEX(FactorTable!$B$2:$Y$301, MATCH(ROUND(MIN(300,MAX(1,D1354)),0), FactorTable!$A$2:$A$301,0), Skills!M10+1)</f>
        <v/>
      </c>
      <c r="F1354">
        <f>IF(Skills!N10=TRUE,(Skills!L10/10)*(E1354/1000),Skills!L10/10)+Skills!O10</f>
        <v/>
      </c>
      <c r="G1354">
        <f>Skills!G10*IF(Skills!H10&gt;0,Skills!I10/Skills!H10,1)</f>
        <v/>
      </c>
      <c r="H1354">
        <f>1-(1-Skills!J10/100)^Skills!K10</f>
        <v/>
      </c>
      <c r="I1354" t="inlineStr">
        <is>
          <t>1</t>
        </is>
      </c>
      <c r="J1354" t="inlineStr"/>
      <c r="K1354" t="inlineStr"/>
      <c r="L1354" t="inlineStr"/>
      <c r="M1354" t="inlineStr"/>
      <c r="N1354" t="inlineStr"/>
      <c r="O1354" t="n">
        <v>0</v>
      </c>
      <c r="P1354">
        <f>IF(B1389=0,0,O1354/B1389)</f>
        <v/>
      </c>
      <c r="Q1354">
        <f>IFERROR(1/IF(Inputs!$B$39="pvp",15,MAX(0.1,Skills!D10-IF(Skills!E10=TRUE,0.5,0))),0)</f>
        <v/>
      </c>
      <c r="R1354">
        <f>IF(AND(Inputs!$B$39&lt;&gt;"pvp",Inputs!$B$44&gt;0),IF(Inputs!$B$44&lt;=0,0,(INT(Inputs!$B$44/IF(Inputs!$B$39="pvp",15,MAX(0.1,Skills!D10-IF(Skills!E10=TRUE,0.5,0))))+1)),0)</f>
        <v/>
      </c>
      <c r="S1354">
        <f>IFERROR(O1354/N1354,0)</f>
        <v/>
      </c>
    </row>
    <row r="1355">
      <c r="A1355">
        <f>Skills!A11</f>
        <v/>
      </c>
      <c r="B1355">
        <f>Skills!B11</f>
        <v/>
      </c>
      <c r="C1355">
        <f>Inputs!$B$3&gt;=103</f>
        <v/>
      </c>
      <c r="D1355">
        <f>IF(Skills!C11=1,60+Inputs!$B$25+Inputs!$B$29,IF(Skills!C11=2,90+Inputs!$B$26+Inputs!$B$29,IF(Skills!C11=3,120+Inputs!$B$27+Inputs!$B$29,MAX(0,(Inputs!$B$3-100)*3)+Inputs!$B$28+Inputs!$B$29)))</f>
        <v/>
      </c>
      <c r="E1355">
        <f>INDEX(FactorTable!$B$2:$Y$301, MATCH(ROUND(MIN(300,MAX(1,D1355)),0), FactorTable!$A$2:$A$301,0), Skills!M11+1)</f>
        <v/>
      </c>
      <c r="F1355">
        <f>(Skills!L11/10)*(E1355/1000)+IF(Inputs!$B$3&gt;=134,50,0)+0.5*(30000/10)*(INDEX(FactorTable!$B$2:$Y$301, MATCH(ROUND(MIN(300,MAX(1,D1355)),0), FactorTable!$A$2:$A$301,0), 13)/1000)*B1387</f>
        <v/>
      </c>
      <c r="G1355">
        <f>Skills!G11*IF(Skills!H11&gt;0,Skills!I11/Skills!H11,1)</f>
        <v/>
      </c>
      <c r="H1355">
        <f>1-(1-Skills!J11/100)^Skills!K11</f>
        <v/>
      </c>
      <c r="I1355" t="inlineStr">
        <is>
          <t>1</t>
        </is>
      </c>
      <c r="J1355">
        <f>((Inputs!$B$6*(1+Inputs!$B$7/100))+(((Inputs!$B$12*(1+Inputs!$B$13/100))-(Inputs!$B$12*(1+Inputs!$B$13/100)))+0.25*(Inputs!$B$14-Inputs!$B$14))*(1+Inputs!$B$7/100))*(F1355/100)</f>
        <v/>
      </c>
      <c r="K1355">
        <f>J1355*(1+((Inputs!$B$12*(1+Inputs!$B$13/100))*0.01+Inputs!$B$14*0.0025)/100)*(1+Inputs!$B$15/100)*(1+IF(Inputs!$B$39="pvp",0,(1-Summary!$B$55)*(Inputs!$B$20+0+Skills!P11+B1378)+Summary!$B$55*(Inputs!$B$21+Skills!Q11+B1378))/100)*(1+Inputs!$B$16/100)*(5000/(6000+Inputs!$B$43*(1-Inputs!$B$19/100)))*(1+(Inputs!$B$24+((C1374=TRUE)*(F1374-Calc!F30)))/100)*(1+(IF(Skills!A11="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1355)</f>
        <v/>
      </c>
      <c r="L1355">
        <f>K1355*(MIN(Inputs!$B$22+((C1368=TRUE)*(F1368-Calc!F24)),Inputs!$B$23+((C1373=TRUE)*(F1373-Calc!F29)))/100+(Inputs!$B$23+((C1373=TRUE)*(F1373-Calc!F29)))/100)/2</f>
        <v/>
      </c>
      <c r="M1355">
        <f>L1355*(1+(Inputs!$B$10+((C1370=TRUE)*(F1370-Calc!F26))+B1384)/100)</f>
        <v/>
      </c>
      <c r="N1355">
        <f>L1355*(1-MIN((Inputs!$B$9+((C1369=TRUE)*(F1369-Calc!F25))+B1377),100)/100)+M1355*(MIN((Inputs!$B$9+((C1369=TRUE)*(F1369-Calc!F25))+B1377),100)/100)</f>
        <v/>
      </c>
      <c r="O1355">
        <f>IF(C1355,H1355*N1355*IF(AND(Inputs!$B$39&lt;&gt;"pvp",Inputs!$B$44&gt;0),((Skills!G11*((R1355-1)*IF(Skills!H11&gt;0,Skills!I11/Skills!H11,1)+IF(Skills!H11&gt;0,MIN(Skills!I11,MAX(0,MAX(0,Inputs!$B$44-B1388)-((R1355-1)*IF(Inputs!$B$39="pvp",15,MAX(0.1,Skills!D11-IF(Skills!E11=TRUE,0.5,0))))))/Skills!H11,1)))/Inputs!$B$44),G1355*Q1355)*IF(Inputs!$B$39="pvp",1,(1-Summary!$B$55)*(1)+Summary!$B$55*(MIN(Skills!W11,Inputs!$B$37))),0)</f>
        <v/>
      </c>
      <c r="P1355">
        <f>IF(B1389=0,0,O1355/B1389)</f>
        <v/>
      </c>
      <c r="Q1355">
        <f>IFERROR(1/IF(Inputs!$B$39="pvp",15,MAX(0.1,Skills!D11-IF(Skills!E11=TRUE,0.5,0))),0)</f>
        <v/>
      </c>
      <c r="R1355">
        <f>IF(AND(Inputs!$B$39&lt;&gt;"pvp",Inputs!$B$44&gt;0),IF(MAX(0,Inputs!$B$44-B1388)&lt;=0,0,(INT(MAX(0,Inputs!$B$44-B1388)/IF(Inputs!$B$39="pvp",15,MAX(0.1,Skills!D11-IF(Skills!E11=TRUE,0.5,0))))+1)),0)</f>
        <v/>
      </c>
      <c r="S1355">
        <f>IFERROR(O1355/N1355,0)</f>
        <v/>
      </c>
    </row>
    <row r="1356">
      <c r="A1356">
        <f>Skills!A12</f>
        <v/>
      </c>
      <c r="B1356">
        <f>Skills!B12</f>
        <v/>
      </c>
      <c r="C1356">
        <f>Inputs!$B$3&gt;=105</f>
        <v/>
      </c>
      <c r="D1356">
        <f>IF(Skills!C12=1,60+Inputs!$B$25+Inputs!$B$29,IF(Skills!C12=2,90+Inputs!$B$26+Inputs!$B$29,IF(Skills!C12=3,120+Inputs!$B$27+Inputs!$B$29,MAX(0,(Inputs!$B$3-100)*3)+Inputs!$B$28+Inputs!$B$29)))</f>
        <v/>
      </c>
      <c r="E1356">
        <f>INDEX(FactorTable!$B$2:$Y$301, MATCH(ROUND(MIN(300,MAX(1,D1356)),0), FactorTable!$A$2:$A$301,0), Skills!M12+1)</f>
        <v/>
      </c>
      <c r="F1356">
        <f>IF(Skills!N12=TRUE,(Skills!L12/10)*(E1356/1000),Skills!L12/10)+Skills!O12</f>
        <v/>
      </c>
      <c r="G1356">
        <f>Skills!G12*IF(Skills!H12&gt;0,Skills!I12/Skills!H12,1)</f>
        <v/>
      </c>
      <c r="H1356">
        <f>1-(1-Skills!J12/100)^Skills!K12</f>
        <v/>
      </c>
      <c r="I1356" t="inlineStr">
        <is>
          <t>1</t>
        </is>
      </c>
      <c r="J1356">
        <f>((Inputs!$B$6*(1+Inputs!$B$7/100))+(((Inputs!$B$12*(1+Inputs!$B$13/100))-(Inputs!$B$12*(1+Inputs!$B$13/100)))+0.25*(Inputs!$B$14-Inputs!$B$14))*(1+Inputs!$B$7/100))*(F1356/100)</f>
        <v/>
      </c>
      <c r="K1356">
        <f>J1356*(1+((Inputs!$B$12*(1+Inputs!$B$13/100))*0.01+Inputs!$B$14*0.0025)/100)*(1+Inputs!$B$15/100)*(1+IF(Inputs!$B$39="pvp",0,(1-Summary!$B$55)*(Inputs!$B$20+0+Skills!P12+B1378)+Summary!$B$55*(Inputs!$B$21+Skills!Q12+B1378))/100)*(1+Inputs!$B$16/100)*(5000/(6000+Inputs!$B$43*(1-Inputs!$B$19/100)))*(1+(Inputs!$B$24+((C1374=TRUE)*(F1374-Calc!F30)))/100)*(1+(IF(Skills!A12="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1356)</f>
        <v/>
      </c>
      <c r="L1356">
        <f>K1356*(MIN(Inputs!$B$22+((C1368=TRUE)*(F1368-Calc!F24)),Inputs!$B$23+((C1373=TRUE)*(F1373-Calc!F29)))/100+(Inputs!$B$23+((C1373=TRUE)*(F1373-Calc!F29)))/100)/2</f>
        <v/>
      </c>
      <c r="M1356">
        <f>L1356*(1+(Inputs!$B$10+((C1370=TRUE)*(F1370-Calc!F26))+B1384)/100)</f>
        <v/>
      </c>
      <c r="N1356">
        <f>L1356*(1-MIN((Inputs!$B$9+((C1369=TRUE)*(F1369-Calc!F25))+B1377),100)/100)+M1356*(MIN((Inputs!$B$9+((C1369=TRUE)*(F1369-Calc!F25))+B1377),100)/100)</f>
        <v/>
      </c>
      <c r="O1356">
        <f>IF(C1356,H1356*N1356*IF(AND(Inputs!$B$39&lt;&gt;"pvp",Inputs!$B$44&gt;0),((Skills!G12*((R1356-1)*IF(Skills!H12&gt;0,Skills!I12/Skills!H12,1)+IF(Skills!H12&gt;0,MIN(Skills!I12,MAX(0,MAX(0,Inputs!$B$44-B1388)-((R1356-1)*IF(Inputs!$B$39="pvp",15,MAX(0.1,Skills!D12-IF(Skills!E12=TRUE,0.5,0))))))/Skills!H12,1)))/Inputs!$B$44),G1356*Q1356)*IF(Inputs!$B$39="pvp",1,(1-Summary!$B$55)*(1)+Summary!$B$55*(MIN(Skills!W12,Inputs!$B$37))),0)</f>
        <v/>
      </c>
      <c r="P1356">
        <f>IF(B1389=0,0,O1356/B1389)</f>
        <v/>
      </c>
      <c r="Q1356">
        <f>IFERROR(1/IF(Inputs!$B$39="pvp",15,MAX(0.1,Skills!D12-IF(Skills!E12=TRUE,0.5,0))),0)</f>
        <v/>
      </c>
      <c r="R1356">
        <f>IF(AND(Inputs!$B$39&lt;&gt;"pvp",Inputs!$B$44&gt;0),IF(MAX(0,Inputs!$B$44-B1388)&lt;=0,0,(INT(MAX(0,Inputs!$B$44-B1388)/IF(Inputs!$B$39="pvp",15,MAX(0.1,Skills!D12-IF(Skills!E12=TRUE,0.5,0))))+1)),0)</f>
        <v/>
      </c>
      <c r="S1356">
        <f>IFERROR(O1356/N1356,0)</f>
        <v/>
      </c>
    </row>
    <row r="1357">
      <c r="A1357">
        <f>Skills!A13</f>
        <v/>
      </c>
      <c r="B1357">
        <f>Skills!B13</f>
        <v/>
      </c>
      <c r="C1357">
        <f>Inputs!$B$3&gt;=105</f>
        <v/>
      </c>
      <c r="D1357">
        <f>IF(Skills!C13=1,60+Inputs!$B$25+Inputs!$B$29,IF(Skills!C13=2,90+Inputs!$B$26+Inputs!$B$29,IF(Skills!C13=3,120+Inputs!$B$27+Inputs!$B$29,MAX(0,(Inputs!$B$3-100)*3)+Inputs!$B$28+Inputs!$B$29)))</f>
        <v/>
      </c>
      <c r="E1357">
        <f>INDEX(FactorTable!$B$2:$Y$301, MATCH(ROUND(MIN(300,MAX(1,D1357)),0), FactorTable!$A$2:$A$301,0), Skills!M13+1)</f>
        <v/>
      </c>
      <c r="F1357">
        <f>IF(Skills!N13=TRUE,(Skills!L13/10)*(E1357/1000),Skills!L13/10)+Skills!O13</f>
        <v/>
      </c>
      <c r="G1357">
        <f>Skills!G13*IF(Skills!H13&gt;0,Skills!I13/Skills!H13,1)</f>
        <v/>
      </c>
      <c r="H1357">
        <f>1-(1-Skills!J13/100)^Skills!K13</f>
        <v/>
      </c>
      <c r="I1357" t="inlineStr">
        <is>
          <t>1</t>
        </is>
      </c>
      <c r="J1357">
        <f>((Inputs!$B$6*(1+Inputs!$B$7/100))+(((Inputs!$B$12*(1+Inputs!$B$13/100))-(Inputs!$B$12*(1+Inputs!$B$13/100)))+0.25*(Inputs!$B$14-Inputs!$B$14))*(1+Inputs!$B$7/100))*(F1357/100)</f>
        <v/>
      </c>
      <c r="K1357">
        <f>J1357*(1+((Inputs!$B$12*(1+Inputs!$B$13/100))*0.01+Inputs!$B$14*0.0025)/100)*(1+Inputs!$B$15/100)*(1+IF(Inputs!$B$39="pvp",0,(1-Summary!$B$55)*(Inputs!$B$20+0+Skills!P13+B1378)+Summary!$B$55*(Inputs!$B$21+Skills!Q13+B1378))/100)*(1+Inputs!$B$16/100)*(5000/(6000+Inputs!$B$43*(1-Inputs!$B$19/100)))*(1+(Inputs!$B$24+((C1374=TRUE)*(F1374-Calc!F30)))/100)*(1+(IF(Skills!A13="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1357)</f>
        <v/>
      </c>
      <c r="L1357">
        <f>K1357*(MIN(Inputs!$B$22+((C1368=TRUE)*(F1368-Calc!F24)),Inputs!$B$23+((C1373=TRUE)*(F1373-Calc!F29)))/100+(Inputs!$B$23+((C1373=TRUE)*(F1373-Calc!F29)))/100)/2</f>
        <v/>
      </c>
      <c r="M1357">
        <f>L1357*(1+(Inputs!$B$10+((C1370=TRUE)*(F1370-Calc!F26))+B1384)/100)</f>
        <v/>
      </c>
      <c r="N1357">
        <f>L1357*(1-MIN((Inputs!$B$9+((C1369=TRUE)*(F1369-Calc!F25))+B1377),100)/100)+M1357*(MIN((Inputs!$B$9+((C1369=TRUE)*(F1369-Calc!F25))+B1377),100)/100)</f>
        <v/>
      </c>
      <c r="O1357">
        <f>IF(C1357,H1357*N1357*IF(AND(Inputs!$B$39&lt;&gt;"pvp",Inputs!$B$44&gt;0),((Skills!G13*((R1357-1)*IF(Skills!H13&gt;0,Skills!I13/Skills!H13,1)+IF(Skills!H13&gt;0,MIN(Skills!I13,MAX(0,MAX(0,Inputs!$B$44-B1388)-((R1357-1)*IF(Inputs!$B$39="pvp",15,MAX(0.1,Skills!D13-IF(Skills!E13=TRUE,0.5,0))))))/Skills!H13,1)))/Inputs!$B$44),G1357*Q1357)*IF(Inputs!$B$39="pvp",1,(1-Summary!$B$55)*(1)+Summary!$B$55*(MIN(Skills!W13,Inputs!$B$37))),0)</f>
        <v/>
      </c>
      <c r="P1357">
        <f>IF(B1389=0,0,O1357/B1389)</f>
        <v/>
      </c>
      <c r="Q1357">
        <f>IFERROR(1/IF(Inputs!$B$39="pvp",15,MAX(0.1,Skills!D13-IF(Skills!E13=TRUE,0.5,0))),0)</f>
        <v/>
      </c>
      <c r="R1357">
        <f>IF(AND(Inputs!$B$39&lt;&gt;"pvp",Inputs!$B$44&gt;0),IF(MAX(0,Inputs!$B$44-B1388)&lt;=0,0,(INT(MAX(0,Inputs!$B$44-B1388)/IF(Inputs!$B$39="pvp",15,MAX(0.1,Skills!D13-IF(Skills!E13=TRUE,0.5,0))))+1)),0)</f>
        <v/>
      </c>
      <c r="S1357">
        <f>IFERROR(O1357/N1357,0)</f>
        <v/>
      </c>
    </row>
    <row r="1358">
      <c r="A1358">
        <f>Skills!A14</f>
        <v/>
      </c>
      <c r="B1358">
        <f>Skills!B14</f>
        <v/>
      </c>
      <c r="C1358">
        <f>Inputs!$B$3&gt;=107</f>
        <v/>
      </c>
      <c r="D1358">
        <f>IF(Skills!C14=1,60+Inputs!$B$25+Inputs!$B$29,IF(Skills!C14=2,90+Inputs!$B$26+Inputs!$B$29,IF(Skills!C14=3,120+Inputs!$B$27+Inputs!$B$29,MAX(0,(Inputs!$B$3-100)*3)+Inputs!$B$28+Inputs!$B$29)))</f>
        <v/>
      </c>
      <c r="E1358">
        <f>INDEX(FactorTable!$B$2:$Y$301, MATCH(ROUND(MIN(300,MAX(1,D1358)),0), FactorTable!$A$2:$A$301,0), Skills!M14+1)</f>
        <v/>
      </c>
      <c r="F1358">
        <f>IF(Skills!N14=TRUE,(Skills!L14/10)*(E1358/1000),Skills!L14/10)+Skills!O14</f>
        <v/>
      </c>
      <c r="G1358">
        <f>Skills!G14*IF(Skills!H14&gt;0,Skills!I14/Skills!H14,1)</f>
        <v/>
      </c>
      <c r="H1358">
        <f>1-(1-Skills!J14/100)^Skills!K14</f>
        <v/>
      </c>
      <c r="I1358" t="inlineStr">
        <is>
          <t>1</t>
        </is>
      </c>
      <c r="J1358">
        <f>((Inputs!$B$6*(1+Inputs!$B$7/100))+(((Inputs!$B$12*(1+Inputs!$B$13/100))-(Inputs!$B$12*(1+Inputs!$B$13/100)))+0.25*(Inputs!$B$14-Inputs!$B$14))*(1+Inputs!$B$7/100))*(F1358/100)</f>
        <v/>
      </c>
      <c r="K1358">
        <f>J1358*(1+((Inputs!$B$12*(1+Inputs!$B$13/100))*0.01+Inputs!$B$14*0.0025)/100)*(1+Inputs!$B$15/100)*(1+IF(Inputs!$B$39="pvp",0,(1-Summary!$B$55)*(Inputs!$B$20+0+Skills!P14+B1378)+Summary!$B$55*(Inputs!$B$21+Skills!Q14+B1378))/100)*(1+Inputs!$B$16/100)*(5000/(6000+Inputs!$B$43*(1-Inputs!$B$19/100)))*(1+(Inputs!$B$24+((C1374=TRUE)*(F1374-Calc!F30)))/100)*(1+(IF(Skills!A14="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1358)</f>
        <v/>
      </c>
      <c r="L1358">
        <f>K1358*(MIN(Inputs!$B$22+((C1368=TRUE)*(F1368-Calc!F24)),Inputs!$B$23+((C1373=TRUE)*(F1373-Calc!F29)))/100+(Inputs!$B$23+((C1373=TRUE)*(F1373-Calc!F29)))/100)/2</f>
        <v/>
      </c>
      <c r="M1358">
        <f>L1358*(1+(Inputs!$B$10+((C1370=TRUE)*(F1370-Calc!F26))+B1384)/100)</f>
        <v/>
      </c>
      <c r="N1358">
        <f>L1358*(1-MIN((Inputs!$B$9+((C1369=TRUE)*(F1369-Calc!F25))+B1377),100)/100)+M1358*(MIN((Inputs!$B$9+((C1369=TRUE)*(F1369-Calc!F25))+B1377),100)/100)</f>
        <v/>
      </c>
      <c r="O1358">
        <f>IF(C1358,H1358*N1358*IF(AND(Inputs!$B$39&lt;&gt;"pvp",Inputs!$B$44&gt;0),((Skills!G14*((R1358-1)*IF(Skills!H14&gt;0,Skills!I14/Skills!H14,1)+IF(Skills!H14&gt;0,MIN(Skills!I14,MAX(0,MAX(0,Inputs!$B$44-B1388)-((R1358-1)*IF(Inputs!$B$39="pvp",15,MAX(0.1,Skills!D14-IF(Skills!E14=TRUE,0.5,0))))))/Skills!H14,1)))/Inputs!$B$44),G1358*Q1358)*IF(Inputs!$B$39="pvp",1,(1-Summary!$B$55)*(1)+Summary!$B$55*(MIN(MIN(5,0.25*B1381*Skills!D4)*Skills!V14,Inputs!$B$37))),0)</f>
        <v/>
      </c>
      <c r="P1358">
        <f>IF(B1389=0,0,O1358/B1389)</f>
        <v/>
      </c>
      <c r="Q1358">
        <f>IFERROR(1/IF(Inputs!$B$39="pvp",15,MAX(0.1,Skills!D14-IF(Skills!E14=TRUE,0.5,0))),0)</f>
        <v/>
      </c>
      <c r="R1358">
        <f>IF(AND(Inputs!$B$39&lt;&gt;"pvp",Inputs!$B$44&gt;0),IF(MAX(0,Inputs!$B$44-B1388)&lt;=0,0,(INT(MAX(0,Inputs!$B$44-B1388)/IF(Inputs!$B$39="pvp",15,MAX(0.1,Skills!D14-IF(Skills!E14=TRUE,0.5,0))))+1)),0)</f>
        <v/>
      </c>
      <c r="S1358">
        <f>IFERROR(O1358/N1358,0)</f>
        <v/>
      </c>
    </row>
    <row r="1359">
      <c r="A1359">
        <f>Skills!A15</f>
        <v/>
      </c>
      <c r="B1359">
        <f>Skills!B15</f>
        <v/>
      </c>
      <c r="C1359">
        <f>Inputs!$B$3&gt;=110</f>
        <v/>
      </c>
      <c r="D1359">
        <f>IF(Skills!C15=1,60+Inputs!$B$25+Inputs!$B$29,IF(Skills!C15=2,90+Inputs!$B$26+Inputs!$B$29,IF(Skills!C15=3,120+Inputs!$B$27+Inputs!$B$29,MAX(0,(Inputs!$B$3-100)*3)+Inputs!$B$28+Inputs!$B$29)))</f>
        <v/>
      </c>
      <c r="E1359">
        <f>INDEX(FactorTable!$B$2:$Y$301, MATCH(ROUND(MIN(300,MAX(1,D1359)),0), FactorTable!$A$2:$A$301,0), Skills!M15+1)</f>
        <v/>
      </c>
      <c r="F1359">
        <f>IF(Skills!N15=TRUE,(Skills!L15/10)*(E1359/1000),Skills!L15/10)+Skills!O15</f>
        <v/>
      </c>
      <c r="G1359">
        <f>Skills!G15*IF(Skills!H15&gt;0,Skills!I15/Skills!H15,1)</f>
        <v/>
      </c>
      <c r="H1359">
        <f>1-(1-Skills!J15/100)^Skills!K15</f>
        <v/>
      </c>
      <c r="I1359" t="inlineStr">
        <is>
          <t>1</t>
        </is>
      </c>
      <c r="J1359" t="inlineStr"/>
      <c r="K1359" t="inlineStr"/>
      <c r="L1359" t="inlineStr"/>
      <c r="M1359" t="inlineStr"/>
      <c r="N1359" t="inlineStr"/>
      <c r="O1359" t="n">
        <v>0</v>
      </c>
      <c r="P1359">
        <f>IF(B1389=0,0,O1359/B1389)</f>
        <v/>
      </c>
      <c r="Q1359">
        <f>IFERROR(1/IF(Inputs!$B$39="pvp",15,MAX(0.1,Skills!D15-IF(Skills!E15=TRUE,0.5,0))),0)</f>
        <v/>
      </c>
      <c r="R1359">
        <f>IF(AND(Inputs!$B$39&lt;&gt;"pvp",Inputs!$B$44&gt;0),IF(Inputs!$B$44&lt;=0,0,(INT(Inputs!$B$44/IF(Inputs!$B$39="pvp",15,MAX(0.1,Skills!D15-IF(Skills!E15=TRUE,0.5,0))))+1)),0)</f>
        <v/>
      </c>
      <c r="S1359">
        <f>IFERROR(O1359/N1359,0)</f>
        <v/>
      </c>
    </row>
    <row r="1360">
      <c r="A1360">
        <f>Skills!A16</f>
        <v/>
      </c>
      <c r="B1360">
        <f>Skills!B16</f>
        <v/>
      </c>
      <c r="C1360">
        <f>Inputs!$B$3&gt;=115</f>
        <v/>
      </c>
      <c r="D1360">
        <f>IF(Skills!C16=1,60+Inputs!$B$25+Inputs!$B$29,IF(Skills!C16=2,90+Inputs!$B$26+Inputs!$B$29,IF(Skills!C16=3,120+Inputs!$B$27+Inputs!$B$29,MAX(0,(Inputs!$B$3-100)*3)+Inputs!$B$28+Inputs!$B$29)))</f>
        <v/>
      </c>
      <c r="E1360">
        <f>INDEX(FactorTable!$B$2:$Y$301, MATCH(ROUND(MIN(300,MAX(1,D1360)),0), FactorTable!$A$2:$A$301,0), Skills!M16+1)</f>
        <v/>
      </c>
      <c r="F1360">
        <f>IF(Skills!N16=TRUE,(Skills!L16/10)*(E1360/1000),Skills!L16/10)+Skills!O16</f>
        <v/>
      </c>
      <c r="G1360">
        <f>Skills!G16*IF(Skills!H16&gt;0,Skills!I16/Skills!H16,1)</f>
        <v/>
      </c>
      <c r="H1360">
        <f>1-(1-Skills!J16/100)^Skills!K16</f>
        <v/>
      </c>
      <c r="I1360" t="inlineStr">
        <is>
          <t>1</t>
        </is>
      </c>
      <c r="J1360">
        <f>((Inputs!$B$6*(1+Inputs!$B$7/100))+(((Inputs!$B$12*(1+Inputs!$B$13/100))-(Inputs!$B$12*(1+Inputs!$B$13/100)))+0.25*(Inputs!$B$14-Inputs!$B$14))*(1+Inputs!$B$7/100))*(F1360/100)</f>
        <v/>
      </c>
      <c r="K1360">
        <f>J1360*(1+((Inputs!$B$12*(1+Inputs!$B$13/100))*0.01+Inputs!$B$14*0.0025)/100)*(1+Inputs!$B$15/100)*(1+IF(Inputs!$B$39="pvp",0,(1-Summary!$B$55)*(Inputs!$B$20+0+Skills!P16+B1378)+Summary!$B$55*(Inputs!$B$21+Skills!Q16+B1378))/100)*(1+Inputs!$B$16/100)*(5000/(6000+Inputs!$B$43*(1-Inputs!$B$19/100)))*(1+(Inputs!$B$24+((C1374=TRUE)*(F1374-Calc!F30)))/100)*(1+(IF(Skills!A16="CRUEL_STAB",Inputs!$B$17+((C1371=TRUE)*(F1371-Calc!F27)),Inputs!$B$18+((C1372=TRUE)*(F1372-Calc!F28))))/100)*(((1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B1379*I1360)</f>
        <v/>
      </c>
      <c r="L1360">
        <f>K1360*(MIN(Inputs!$B$22+((C1368=TRUE)*(F1368-Calc!F24)),Inputs!$B$23+((C1373=TRUE)*(F1373-Calc!F29)))/100+(Inputs!$B$23+((C1373=TRUE)*(F1373-Calc!F29)))/100)/2</f>
        <v/>
      </c>
      <c r="M1360">
        <f>L1360*(1+(Inputs!$B$10+((C1370=TRUE)*(F1370-Calc!F26))+B1384)/100)</f>
        <v/>
      </c>
      <c r="N1360">
        <f>L1360*(1-MIN((Inputs!$B$9+((C1369=TRUE)*(F1369-Calc!F25))+B1377),100)/100)+M1360*(MIN((Inputs!$B$9+((C1369=TRUE)*(F1369-Calc!F25))+B1377),100)/100)</f>
        <v/>
      </c>
      <c r="O1360">
        <f>IF(C1360,Inputs!$B$38*0.2*N1360,0)</f>
        <v/>
      </c>
      <c r="P1360">
        <f>IF(B1389=0,0,O1360/B1389)</f>
        <v/>
      </c>
      <c r="Q1360" t="n">
        <v>0</v>
      </c>
      <c r="R1360" t="n">
        <v>0</v>
      </c>
      <c r="S1360">
        <f>IFERROR(O1360/N1360,0)</f>
        <v/>
      </c>
    </row>
    <row r="1361">
      <c r="A1361">
        <f>Skills!A17</f>
        <v/>
      </c>
      <c r="B1361">
        <f>Skills!B17</f>
        <v/>
      </c>
      <c r="C1361">
        <f>Inputs!$B$3&gt;=115</f>
        <v/>
      </c>
      <c r="D1361">
        <f>IF(Skills!C17=1,60+Inputs!$B$25+Inputs!$B$29,IF(Skills!C17=2,90+Inputs!$B$26+Inputs!$B$29,IF(Skills!C17=3,120+Inputs!$B$27+Inputs!$B$29,MAX(0,(Inputs!$B$3-100)*3)+Inputs!$B$28+Inputs!$B$29)))</f>
        <v/>
      </c>
      <c r="E1361">
        <f>INDEX(FactorTable!$B$2:$Y$301, MATCH(ROUND(MIN(300,MAX(1,D1361)),0), FactorTable!$A$2:$A$301,0), Skills!M17+1)</f>
        <v/>
      </c>
      <c r="F1361">
        <f>IF(Skills!N17=TRUE,(Skills!L17/10)*(E1361/1000),Skills!L17/10)+Skills!O17</f>
        <v/>
      </c>
      <c r="G1361">
        <f>Skills!G17*IF(Skills!H17&gt;0,Skills!I17/Skills!H17,1)</f>
        <v/>
      </c>
      <c r="H1361">
        <f>1-(1-Skills!J17/100)^Skills!K17</f>
        <v/>
      </c>
      <c r="I1361" t="inlineStr">
        <is>
          <t>1</t>
        </is>
      </c>
      <c r="J1361" t="inlineStr"/>
      <c r="K1361" t="inlineStr"/>
      <c r="L1361" t="inlineStr"/>
      <c r="M1361" t="inlineStr"/>
      <c r="N1361" t="inlineStr"/>
      <c r="O1361" t="n">
        <v>0</v>
      </c>
      <c r="P1361">
        <f>IF(B1389=0,0,O1361/B1389)</f>
        <v/>
      </c>
      <c r="Q1361" t="n">
        <v>0</v>
      </c>
      <c r="R1361" t="n">
        <v>0</v>
      </c>
      <c r="S1361">
        <f>IFERROR(O1361/N1361,0)</f>
        <v/>
      </c>
    </row>
    <row r="1362">
      <c r="A1362">
        <f>Skills!A18</f>
        <v/>
      </c>
      <c r="B1362">
        <f>Skills!B18</f>
        <v/>
      </c>
      <c r="C1362">
        <f>Inputs!$B$3&gt;=100</f>
        <v/>
      </c>
      <c r="D1362">
        <f>IF(Skills!C18=1,60+Inputs!$B$25+Inputs!$B$29,IF(Skills!C18=2,90+Inputs!$B$26+Inputs!$B$29,IF(Skills!C18=3,120+Inputs!$B$27+Inputs!$B$29,MAX(0,(Inputs!$B$3-100)*3)+Inputs!$B$28+Inputs!$B$29)))</f>
        <v/>
      </c>
      <c r="E1362">
        <f>INDEX(FactorTable!$B$2:$Y$301, MATCH(ROUND(MIN(300,MAX(1,D1362)),0), FactorTable!$A$2:$A$301,0), Skills!M18+1)</f>
        <v/>
      </c>
      <c r="F1362">
        <f>IF(Skills!N18=TRUE,(Skills!L18/10)*(E1362/1000),Skills!L18/10)+Skills!O18</f>
        <v/>
      </c>
      <c r="G1362">
        <f>Skills!G18*IF(Skills!H18&gt;0,Skills!I18/Skills!H18,1)</f>
        <v/>
      </c>
      <c r="H1362">
        <f>1-(1-Skills!J18/100)^Skills!K18</f>
        <v/>
      </c>
      <c r="I1362" t="inlineStr">
        <is>
          <t>1</t>
        </is>
      </c>
      <c r="J1362" t="inlineStr"/>
      <c r="K1362" t="inlineStr"/>
      <c r="L1362" t="inlineStr"/>
      <c r="M1362" t="inlineStr"/>
      <c r="N1362" t="inlineStr"/>
      <c r="O1362" t="n">
        <v>0</v>
      </c>
      <c r="P1362">
        <f>IF(B1389=0,0,O1362/B1389)</f>
        <v/>
      </c>
      <c r="Q1362" t="n">
        <v>0</v>
      </c>
      <c r="R1362" t="n">
        <v>0</v>
      </c>
      <c r="S1362">
        <f>IFERROR(O1362/N1362,0)</f>
        <v/>
      </c>
    </row>
    <row r="1363">
      <c r="A1363">
        <f>Skills!A19</f>
        <v/>
      </c>
      <c r="B1363">
        <f>Skills!B19</f>
        <v/>
      </c>
      <c r="C1363">
        <f>TRUE</f>
        <v/>
      </c>
      <c r="D1363">
        <f>IF(Skills!C19=1,60+Inputs!$B$25+Inputs!$B$29,IF(Skills!C19=2,90+Inputs!$B$26+Inputs!$B$29,IF(Skills!C19=3,120+Inputs!$B$27+Inputs!$B$29,MAX(0,(Inputs!$B$3-100)*3)+Inputs!$B$28+Inputs!$B$29)))</f>
        <v/>
      </c>
      <c r="E1363">
        <f>INDEX(FactorTable!$B$2:$Y$301, MATCH(ROUND(MIN(300,MAX(1,D1363)),0), FactorTable!$A$2:$A$301,0), Skills!M19+1)</f>
        <v/>
      </c>
      <c r="F1363">
        <f>IF(Skills!N19=TRUE,(Skills!L19/10)*(E1363/1000),Skills!L19/10)+Skills!O19</f>
        <v/>
      </c>
      <c r="G1363">
        <f>Skills!G19*IF(Skills!H19&gt;0,Skills!I19/Skills!H19,1)</f>
        <v/>
      </c>
      <c r="H1363">
        <f>1-(1-Skills!J19/100)^Skills!K19</f>
        <v/>
      </c>
      <c r="I1363" t="inlineStr">
        <is>
          <t>1</t>
        </is>
      </c>
      <c r="J1363" t="inlineStr"/>
      <c r="K1363" t="inlineStr"/>
      <c r="L1363" t="inlineStr"/>
      <c r="M1363" t="inlineStr"/>
      <c r="N1363" t="inlineStr"/>
      <c r="O1363" t="n">
        <v>0</v>
      </c>
      <c r="P1363">
        <f>IF(B1389=0,0,O1363/B1389)</f>
        <v/>
      </c>
      <c r="Q1363">
        <f>IFERROR(1/IF(Inputs!$B$39="pvp",15,MAX(0.1,Skills!D19-IF(Skills!E19=TRUE,0.5,0))),0)</f>
        <v/>
      </c>
      <c r="R1363">
        <f>IF(AND(Inputs!$B$39&lt;&gt;"pvp",Inputs!$B$44&gt;0),IF(Inputs!$B$44&lt;=0,0,(INT(Inputs!$B$44/IF(Inputs!$B$39="pvp",15,MAX(0.1,Skills!D19-IF(Skills!E19=TRUE,0.5,0))))+1)),0)</f>
        <v/>
      </c>
      <c r="S1363">
        <f>IFERROR(O1363/N1363,0)</f>
        <v/>
      </c>
    </row>
    <row r="1364">
      <c r="A1364">
        <f>Skills!A20</f>
        <v/>
      </c>
      <c r="B1364">
        <f>Skills!B20</f>
        <v/>
      </c>
      <c r="C1364">
        <f>Inputs!$B$3&gt;=15</f>
        <v/>
      </c>
      <c r="D1364">
        <f>IF(Skills!C20=1,60+Inputs!$B$25+Inputs!$B$29,IF(Skills!C20=2,90+Inputs!$B$26+Inputs!$B$29,IF(Skills!C20=3,120+Inputs!$B$27+Inputs!$B$29,MAX(0,(Inputs!$B$3-100)*3)+Inputs!$B$28+Inputs!$B$29)))</f>
        <v/>
      </c>
      <c r="E1364">
        <f>INDEX(FactorTable!$B$2:$Y$301, MATCH(ROUND(MIN(300,MAX(1,D1364)),0), FactorTable!$A$2:$A$301,0), Skills!M20+1)</f>
        <v/>
      </c>
      <c r="F1364">
        <f>IF(Skills!N20=TRUE,(Skills!L20/10)*(E1364/1000),Skills!L20/10)+Skills!O20</f>
        <v/>
      </c>
      <c r="G1364">
        <f>Skills!G20*IF(Skills!H20&gt;0,Skills!I20/Skills!H20,1)</f>
        <v/>
      </c>
      <c r="H1364">
        <f>1-(1-Skills!J20/100)^Skills!K20</f>
        <v/>
      </c>
      <c r="I1364" t="inlineStr">
        <is>
          <t>1</t>
        </is>
      </c>
      <c r="J1364" t="inlineStr"/>
      <c r="K1364" t="inlineStr"/>
      <c r="L1364" t="inlineStr"/>
      <c r="M1364" t="inlineStr"/>
      <c r="N1364" t="inlineStr"/>
      <c r="O1364" t="n">
        <v>0</v>
      </c>
      <c r="P1364">
        <f>IF(B1389=0,0,O1364/B1389)</f>
        <v/>
      </c>
      <c r="Q1364">
        <f>IFERROR(1/IF(Inputs!$B$39="pvp",15,MAX(0.1,Skills!D20-IF(Skills!E20=TRUE,0.5,0))),0)</f>
        <v/>
      </c>
      <c r="R1364">
        <f>IF(AND(Inputs!$B$39&lt;&gt;"pvp",Inputs!$B$44&gt;0),IF(Inputs!$B$44&lt;=0,0,(INT(Inputs!$B$44/IF(Inputs!$B$39="pvp",15,MAX(0.1,Skills!D20-IF(Skills!E20=TRUE,0.5,0))))+1)),0)</f>
        <v/>
      </c>
      <c r="S1364">
        <f>IFERROR(O1364/N1364,0)</f>
        <v/>
      </c>
    </row>
    <row r="1365">
      <c r="A1365">
        <f>Skills!A21</f>
        <v/>
      </c>
      <c r="B1365">
        <f>Skills!B21</f>
        <v/>
      </c>
      <c r="C1365">
        <f>Inputs!$B$3&gt;=15</f>
        <v/>
      </c>
      <c r="D1365">
        <f>IF(Skills!C21=1,60+Inputs!$B$25+Inputs!$B$29,IF(Skills!C21=2,90+Inputs!$B$26+Inputs!$B$29,IF(Skills!C21=3,120+Inputs!$B$27+Inputs!$B$29,MAX(0,(Inputs!$B$3-100)*3)+Inputs!$B$28+Inputs!$B$29)))</f>
        <v/>
      </c>
      <c r="E1365">
        <f>INDEX(FactorTable!$B$2:$Y$301, MATCH(ROUND(MIN(300,MAX(1,D1365)),0), FactorTable!$A$2:$A$301,0), Skills!M21+1)</f>
        <v/>
      </c>
      <c r="F1365">
        <f>IF(Skills!N21=TRUE,(Skills!L21/10)*(E1365/1000),Skills!L21/10)+Skills!O21</f>
        <v/>
      </c>
      <c r="G1365">
        <f>Skills!G21*IF(Skills!H21&gt;0,Skills!I21/Skills!H21,1)</f>
        <v/>
      </c>
      <c r="H1365">
        <f>1-(1-Skills!J21/100)^Skills!K21</f>
        <v/>
      </c>
      <c r="I1365" t="inlineStr">
        <is>
          <t>1</t>
        </is>
      </c>
      <c r="J1365" t="inlineStr"/>
      <c r="K1365" t="inlineStr"/>
      <c r="L1365" t="inlineStr"/>
      <c r="M1365" t="inlineStr"/>
      <c r="N1365" t="inlineStr"/>
      <c r="O1365" t="n">
        <v>0</v>
      </c>
      <c r="P1365">
        <f>IF(B1389=0,0,O1365/B1389)</f>
        <v/>
      </c>
      <c r="Q1365">
        <f>IFERROR(1/IF(Inputs!$B$39="pvp",15,MAX(0.1,Skills!D21-IF(Skills!E21=TRUE,0.5,0))),0)</f>
        <v/>
      </c>
      <c r="R1365">
        <f>IF(AND(Inputs!$B$39&lt;&gt;"pvp",Inputs!$B$44&gt;0),IF(Inputs!$B$44&lt;=0,0,(INT(Inputs!$B$44/IF(Inputs!$B$39="pvp",15,MAX(0.1,Skills!D21-IF(Skills!E21=TRUE,0.5,0))))+1)),0)</f>
        <v/>
      </c>
      <c r="S1365">
        <f>IFERROR(O1365/N1365,0)</f>
        <v/>
      </c>
    </row>
    <row r="1366">
      <c r="A1366">
        <f>Skills!A22</f>
        <v/>
      </c>
      <c r="B1366">
        <f>Skills!B22</f>
        <v/>
      </c>
      <c r="C1366">
        <f>Inputs!$B$3&gt;=33</f>
        <v/>
      </c>
      <c r="D1366">
        <f>IF(Skills!C22=1,60+Inputs!$B$25+Inputs!$B$29,IF(Skills!C22=2,90+Inputs!$B$26+Inputs!$B$29,IF(Skills!C22=3,120+Inputs!$B$27+Inputs!$B$29,MAX(0,(Inputs!$B$3-100)*3)+Inputs!$B$28+Inputs!$B$29)))</f>
        <v/>
      </c>
      <c r="E1366">
        <f>INDEX(FactorTable!$B$2:$Y$301, MATCH(ROUND(MIN(300,MAX(1,D1366)),0), FactorTable!$A$2:$A$301,0), Skills!M22+1)</f>
        <v/>
      </c>
      <c r="F1366">
        <f>IF(Skills!N22=TRUE,(Skills!L22/10)*(E1366/1000),Skills!L22/10)+Skills!O22</f>
        <v/>
      </c>
      <c r="G1366">
        <f>Skills!G22*IF(Skills!H22&gt;0,Skills!I22/Skills!H22,1)</f>
        <v/>
      </c>
      <c r="H1366">
        <f>1-(1-Skills!J22/100)^Skills!K22</f>
        <v/>
      </c>
      <c r="I1366" t="inlineStr">
        <is>
          <t>1</t>
        </is>
      </c>
      <c r="J1366" t="inlineStr"/>
      <c r="K1366" t="inlineStr"/>
      <c r="L1366" t="inlineStr"/>
      <c r="M1366" t="inlineStr"/>
      <c r="N1366" t="inlineStr"/>
      <c r="O1366" t="n">
        <v>0</v>
      </c>
      <c r="P1366">
        <f>IF(B1389=0,0,O1366/B1389)</f>
        <v/>
      </c>
      <c r="Q1366" t="n">
        <v>0</v>
      </c>
      <c r="R1366" t="n">
        <v>0</v>
      </c>
      <c r="S1366">
        <f>IFERROR(O1366/N1366,0)</f>
        <v/>
      </c>
    </row>
    <row r="1367">
      <c r="A1367">
        <f>Skills!A23</f>
        <v/>
      </c>
      <c r="B1367">
        <f>Skills!B23</f>
        <v/>
      </c>
      <c r="C1367">
        <f>Inputs!$B$3&gt;=40</f>
        <v/>
      </c>
      <c r="D1367">
        <f>IF(Skills!C23=1,60+Inputs!$B$25+Inputs!$B$29,IF(Skills!C23=2,90+Inputs!$B$26+Inputs!$B$29,IF(Skills!C23=3,120+Inputs!$B$27+Inputs!$B$29,MAX(0,(Inputs!$B$3-100)*3)+Inputs!$B$28+Inputs!$B$29)))</f>
        <v/>
      </c>
      <c r="E1367">
        <f>INDEX(FactorTable!$B$2:$Y$301, MATCH(ROUND(MIN(300,MAX(1,D1367)),0), FactorTable!$A$2:$A$301,0), Skills!M23+1)</f>
        <v/>
      </c>
      <c r="F1367">
        <f>IF(Skills!N23=TRUE,(Skills!L23/10)*(E1367/1000),Skills!L23/10)+Skills!O23</f>
        <v/>
      </c>
      <c r="G1367">
        <f>Skills!G23*IF(Skills!H23&gt;0,Skills!I23/Skills!H23,1)</f>
        <v/>
      </c>
      <c r="H1367">
        <f>1-(1-Skills!J23/100)^Skills!K23</f>
        <v/>
      </c>
      <c r="I1367" t="inlineStr">
        <is>
          <t>1</t>
        </is>
      </c>
      <c r="J1367" t="inlineStr"/>
      <c r="K1367" t="inlineStr"/>
      <c r="L1367" t="inlineStr"/>
      <c r="M1367" t="inlineStr"/>
      <c r="N1367" t="inlineStr"/>
      <c r="O1367" t="n">
        <v>0</v>
      </c>
      <c r="P1367">
        <f>IF(B1389=0,0,O1367/B1389)</f>
        <v/>
      </c>
      <c r="Q1367" t="n">
        <v>0</v>
      </c>
      <c r="R1367" t="n">
        <v>0</v>
      </c>
      <c r="S1367">
        <f>IFERROR(O1367/N1367,0)</f>
        <v/>
      </c>
    </row>
    <row r="1368">
      <c r="A1368">
        <f>Skills!A24</f>
        <v/>
      </c>
      <c r="B1368">
        <f>Skills!B24</f>
        <v/>
      </c>
      <c r="C1368">
        <f>Inputs!$B$3&gt;=43</f>
        <v/>
      </c>
      <c r="D1368">
        <f>IF(Skills!C24=1,60+Inputs!$B$25+Inputs!$B$29,IF(Skills!C24=2,90+Inputs!$B$26+Inputs!$B$29,IF(Skills!C24=3,120+Inputs!$B$27+Inputs!$B$29,MAX(0,(Inputs!$B$3-100)*3)+Inputs!$B$28+Inputs!$B$29)))</f>
        <v/>
      </c>
      <c r="E1368">
        <f>INDEX(FactorTable!$B$2:$Y$301, MATCH(ROUND(MIN(300,MAX(1,D1368)),0), FactorTable!$A$2:$A$301,0), Skills!M24+1)</f>
        <v/>
      </c>
      <c r="F1368">
        <f>IF(Skills!N24=TRUE,(Skills!L24/10)*(E1368/1000),Skills!L24/10)+Skills!O24</f>
        <v/>
      </c>
      <c r="G1368">
        <f>Skills!G24*IF(Skills!H24&gt;0,Skills!I24/Skills!H24,1)</f>
        <v/>
      </c>
      <c r="H1368">
        <f>1-(1-Skills!J24/100)^Skills!K24</f>
        <v/>
      </c>
      <c r="I1368" t="inlineStr">
        <is>
          <t>1</t>
        </is>
      </c>
      <c r="J1368" t="inlineStr"/>
      <c r="K1368" t="inlineStr"/>
      <c r="L1368" t="inlineStr"/>
      <c r="M1368" t="inlineStr"/>
      <c r="N1368" t="inlineStr"/>
      <c r="O1368" t="n">
        <v>0</v>
      </c>
      <c r="P1368">
        <f>IF(B1389=0,0,O1368/B1389)</f>
        <v/>
      </c>
      <c r="Q1368" t="n">
        <v>0</v>
      </c>
      <c r="R1368" t="n">
        <v>0</v>
      </c>
      <c r="S1368">
        <f>IFERROR(O1368/N1368,0)</f>
        <v/>
      </c>
    </row>
    <row r="1369">
      <c r="A1369">
        <f>Skills!A25</f>
        <v/>
      </c>
      <c r="B1369">
        <f>Skills!B25</f>
        <v/>
      </c>
      <c r="C1369">
        <f>Inputs!$B$3&gt;=50</f>
        <v/>
      </c>
      <c r="D1369">
        <f>IF(Skills!C25=1,60+Inputs!$B$25+Inputs!$B$29,IF(Skills!C25=2,90+Inputs!$B$26+Inputs!$B$29,IF(Skills!C25=3,120+Inputs!$B$27+Inputs!$B$29,MAX(0,(Inputs!$B$3-100)*3)+Inputs!$B$28+Inputs!$B$29)))</f>
        <v/>
      </c>
      <c r="E1369">
        <f>INDEX(FactorTable!$B$2:$Y$301, MATCH(ROUND(MIN(300,MAX(1,D1369)),0), FactorTable!$A$2:$A$301,0), Skills!M25+1)</f>
        <v/>
      </c>
      <c r="F1369">
        <f>IF(Skills!N25=TRUE,(Skills!L25/10)*(E1369/1000),Skills!L25/10)+Skills!O25</f>
        <v/>
      </c>
      <c r="G1369">
        <f>Skills!G25*IF(Skills!H25&gt;0,Skills!I25/Skills!H25,1)</f>
        <v/>
      </c>
      <c r="H1369">
        <f>1-(1-Skills!J25/100)^Skills!K25</f>
        <v/>
      </c>
      <c r="I1369" t="inlineStr">
        <is>
          <t>1</t>
        </is>
      </c>
      <c r="J1369" t="inlineStr"/>
      <c r="K1369" t="inlineStr"/>
      <c r="L1369" t="inlineStr"/>
      <c r="M1369" t="inlineStr"/>
      <c r="N1369" t="inlineStr"/>
      <c r="O1369" t="n">
        <v>0</v>
      </c>
      <c r="P1369">
        <f>IF(B1389=0,0,O1369/B1389)</f>
        <v/>
      </c>
      <c r="Q1369" t="n">
        <v>0</v>
      </c>
      <c r="R1369" t="n">
        <v>0</v>
      </c>
      <c r="S1369">
        <f>IFERROR(O1369/N1369,0)</f>
        <v/>
      </c>
    </row>
    <row r="1370">
      <c r="A1370">
        <f>Skills!A26</f>
        <v/>
      </c>
      <c r="B1370">
        <f>Skills!B26</f>
        <v/>
      </c>
      <c r="C1370">
        <f>Inputs!$B$3&gt;=50</f>
        <v/>
      </c>
      <c r="D1370">
        <f>IF(Skills!C26=1,60+Inputs!$B$25+Inputs!$B$29,IF(Skills!C26=2,90+Inputs!$B$26+Inputs!$B$29,IF(Skills!C26=3,120+Inputs!$B$27+Inputs!$B$29,MAX(0,(Inputs!$B$3-100)*3)+Inputs!$B$28+Inputs!$B$29)))</f>
        <v/>
      </c>
      <c r="E1370">
        <f>INDEX(FactorTable!$B$2:$Y$301, MATCH(ROUND(MIN(300,MAX(1,D1370)),0), FactorTable!$A$2:$A$301,0), Skills!M26+1)</f>
        <v/>
      </c>
      <c r="F1370">
        <f>IF(Skills!N26=TRUE,(Skills!L26/10)*(E1370/1000),Skills!L26/10)+Skills!O26</f>
        <v/>
      </c>
      <c r="G1370">
        <f>Skills!G26*IF(Skills!H26&gt;0,Skills!I26/Skills!H26,1)</f>
        <v/>
      </c>
      <c r="H1370">
        <f>1-(1-Skills!J26/100)^Skills!K26</f>
        <v/>
      </c>
      <c r="I1370" t="inlineStr">
        <is>
          <t>1</t>
        </is>
      </c>
      <c r="J1370" t="inlineStr"/>
      <c r="K1370" t="inlineStr"/>
      <c r="L1370" t="inlineStr"/>
      <c r="M1370" t="inlineStr"/>
      <c r="N1370" t="inlineStr"/>
      <c r="O1370" t="n">
        <v>0</v>
      </c>
      <c r="P1370">
        <f>IF(B1389=0,0,O1370/B1389)</f>
        <v/>
      </c>
      <c r="Q1370" t="n">
        <v>0</v>
      </c>
      <c r="R1370" t="n">
        <v>0</v>
      </c>
      <c r="S1370">
        <f>IFERROR(O1370/N1370,0)</f>
        <v/>
      </c>
    </row>
    <row r="1371">
      <c r="A1371">
        <f>Skills!A27</f>
        <v/>
      </c>
      <c r="B1371">
        <f>Skills!B27</f>
        <v/>
      </c>
      <c r="C1371">
        <f>Inputs!$B$3&gt;=38</f>
        <v/>
      </c>
      <c r="D1371">
        <f>IF(Skills!C27=1,60+Inputs!$B$25+Inputs!$B$29,IF(Skills!C27=2,90+Inputs!$B$26+Inputs!$B$29,IF(Skills!C27=3,120+Inputs!$B$27+Inputs!$B$29,MAX(0,(Inputs!$B$3-100)*3)+Inputs!$B$28+Inputs!$B$29)))</f>
        <v/>
      </c>
      <c r="E1371">
        <f>INDEX(FactorTable!$B$2:$Y$301, MATCH(ROUND(MIN(300,MAX(1,D1371)),0), FactorTable!$A$2:$A$301,0), Skills!M27+1)</f>
        <v/>
      </c>
      <c r="F1371">
        <f>IF(Skills!N27=TRUE,(Skills!L27/10)*(E1371/1000),Skills!L27/10)+Skills!O27</f>
        <v/>
      </c>
      <c r="G1371">
        <f>Skills!G27*IF(Skills!H27&gt;0,Skills!I27/Skills!H27,1)</f>
        <v/>
      </c>
      <c r="H1371">
        <f>1-(1-Skills!J27/100)^Skills!K27</f>
        <v/>
      </c>
      <c r="I1371" t="inlineStr">
        <is>
          <t>1</t>
        </is>
      </c>
      <c r="J1371" t="inlineStr"/>
      <c r="K1371" t="inlineStr"/>
      <c r="L1371" t="inlineStr"/>
      <c r="M1371" t="inlineStr"/>
      <c r="N1371" t="inlineStr"/>
      <c r="O1371" t="n">
        <v>0</v>
      </c>
      <c r="P1371">
        <f>IF(B1389=0,0,O1371/B1389)</f>
        <v/>
      </c>
      <c r="Q1371" t="n">
        <v>0</v>
      </c>
      <c r="R1371" t="n">
        <v>0</v>
      </c>
      <c r="S1371">
        <f>IFERROR(O1371/N1371,0)</f>
        <v/>
      </c>
    </row>
    <row r="1372">
      <c r="A1372">
        <f>Skills!A28</f>
        <v/>
      </c>
      <c r="B1372">
        <f>Skills!B28</f>
        <v/>
      </c>
      <c r="C1372">
        <f>Inputs!$B$3&gt;=120</f>
        <v/>
      </c>
      <c r="D1372">
        <f>IF(Skills!C28=1,60+Inputs!$B$25+Inputs!$B$29,IF(Skills!C28=2,90+Inputs!$B$26+Inputs!$B$29,IF(Skills!C28=3,120+Inputs!$B$27+Inputs!$B$29,MAX(0,(Inputs!$B$3-100)*3)+Inputs!$B$28+Inputs!$B$29)))</f>
        <v/>
      </c>
      <c r="E1372">
        <f>INDEX(FactorTable!$B$2:$Y$301, MATCH(ROUND(MIN(300,MAX(1,D1372)),0), FactorTable!$A$2:$A$301,0), Skills!M28+1)</f>
        <v/>
      </c>
      <c r="F1372">
        <f>IF(Skills!N28=TRUE,(Skills!L28/10)*(E1372/1000),Skills!L28/10)+Skills!O28</f>
        <v/>
      </c>
      <c r="G1372">
        <f>Skills!G28*IF(Skills!H28&gt;0,Skills!I28/Skills!H28,1)</f>
        <v/>
      </c>
      <c r="H1372">
        <f>1-(1-Skills!J28/100)^Skills!K28</f>
        <v/>
      </c>
      <c r="I1372" t="inlineStr">
        <is>
          <t>1</t>
        </is>
      </c>
      <c r="J1372" t="inlineStr"/>
      <c r="K1372" t="inlineStr"/>
      <c r="L1372" t="inlineStr"/>
      <c r="M1372" t="inlineStr"/>
      <c r="N1372" t="inlineStr"/>
      <c r="O1372" t="n">
        <v>0</v>
      </c>
      <c r="P1372">
        <f>IF(B1389=0,0,O1372/B1389)</f>
        <v/>
      </c>
      <c r="Q1372" t="n">
        <v>0</v>
      </c>
      <c r="R1372" t="n">
        <v>0</v>
      </c>
      <c r="S1372">
        <f>IFERROR(O1372/N1372,0)</f>
        <v/>
      </c>
    </row>
    <row r="1373">
      <c r="A1373">
        <f>Skills!A29</f>
        <v/>
      </c>
      <c r="B1373">
        <f>Skills!B29</f>
        <v/>
      </c>
      <c r="C1373">
        <f>Inputs!$B$3&gt;=120</f>
        <v/>
      </c>
      <c r="D1373">
        <f>IF(Skills!C29=1,60+Inputs!$B$25+Inputs!$B$29,IF(Skills!C29=2,90+Inputs!$B$26+Inputs!$B$29,IF(Skills!C29=3,120+Inputs!$B$27+Inputs!$B$29,MAX(0,(Inputs!$B$3-100)*3)+Inputs!$B$28+Inputs!$B$29)))</f>
        <v/>
      </c>
      <c r="E1373">
        <f>INDEX(FactorTable!$B$2:$Y$301, MATCH(ROUND(MIN(300,MAX(1,D1373)),0), FactorTable!$A$2:$A$301,0), Skills!M29+1)</f>
        <v/>
      </c>
      <c r="F1373">
        <f>IF(Skills!N29=TRUE,(Skills!L29/10)*(E1373/1000),Skills!L29/10)+Skills!O29</f>
        <v/>
      </c>
      <c r="G1373">
        <f>Skills!G29*IF(Skills!H29&gt;0,Skills!I29/Skills!H29,1)</f>
        <v/>
      </c>
      <c r="H1373">
        <f>1-(1-Skills!J29/100)^Skills!K29</f>
        <v/>
      </c>
      <c r="I1373" t="inlineStr">
        <is>
          <t>1</t>
        </is>
      </c>
      <c r="J1373" t="inlineStr"/>
      <c r="K1373" t="inlineStr"/>
      <c r="L1373" t="inlineStr"/>
      <c r="M1373" t="inlineStr"/>
      <c r="N1373" t="inlineStr"/>
      <c r="O1373" t="n">
        <v>0</v>
      </c>
      <c r="P1373">
        <f>IF(B1389=0,0,O1373/B1389)</f>
        <v/>
      </c>
      <c r="Q1373" t="n">
        <v>0</v>
      </c>
      <c r="R1373" t="n">
        <v>0</v>
      </c>
      <c r="S1373">
        <f>IFERROR(O1373/N1373,0)</f>
        <v/>
      </c>
    </row>
    <row r="1374">
      <c r="A1374">
        <f>Skills!A30</f>
        <v/>
      </c>
      <c r="B1374">
        <f>Skills!B30</f>
        <v/>
      </c>
      <c r="C1374">
        <f>Inputs!$B$3&gt;=125</f>
        <v/>
      </c>
      <c r="D1374">
        <f>IF(Skills!C30=1,60+Inputs!$B$25+Inputs!$B$29,IF(Skills!C30=2,90+Inputs!$B$26+Inputs!$B$29,IF(Skills!C30=3,120+Inputs!$B$27+Inputs!$B$29,MAX(0,(Inputs!$B$3-100)*3)+Inputs!$B$28+Inputs!$B$29)))</f>
        <v/>
      </c>
      <c r="E1374">
        <f>INDEX(FactorTable!$B$2:$Y$301, MATCH(ROUND(MIN(300,MAX(1,D1374)),0), FactorTable!$A$2:$A$301,0), Skills!M30+1)</f>
        <v/>
      </c>
      <c r="F1374">
        <f>IF(Skills!N30=TRUE,(Skills!L30/10)*(E1374/1000),Skills!L30/10)+Skills!O30</f>
        <v/>
      </c>
      <c r="G1374">
        <f>Skills!G30*IF(Skills!H30&gt;0,Skills!I30/Skills!H30,1)</f>
        <v/>
      </c>
      <c r="H1374">
        <f>1-(1-Skills!J30/100)^Skills!K30</f>
        <v/>
      </c>
      <c r="I1374" t="inlineStr">
        <is>
          <t>1</t>
        </is>
      </c>
      <c r="J1374" t="inlineStr"/>
      <c r="K1374" t="inlineStr"/>
      <c r="L1374" t="inlineStr"/>
      <c r="M1374" t="inlineStr"/>
      <c r="N1374" t="inlineStr"/>
      <c r="O1374" t="n">
        <v>0</v>
      </c>
      <c r="P1374">
        <f>IF(B1389=0,0,O1374/B1389)</f>
        <v/>
      </c>
      <c r="Q1374" t="n">
        <v>0</v>
      </c>
      <c r="R1374" t="n">
        <v>0</v>
      </c>
      <c r="S1374">
        <f>IFERROR(O1374/N1374,0)</f>
        <v/>
      </c>
    </row>
    <row r="1376">
      <c r="A1376" t="inlineStr">
        <is>
          <t>Average Buff Multiplier</t>
        </is>
      </c>
      <c r="B1376">
        <f>(1+(((C1365=TRUE)*F1365*IF(AND(Inputs!$B$39&lt;&gt;"pvp",Inputs!$B$44&gt;0),(((R1365-1)*(Skills!Y21*(1+Inputs!$B$34/100))+MIN((Skills!Y21*(1+Inputs!$B$34/100)),MAX(0,Inputs!$B$44-((R1365-1)*Skills!D21))))/Inputs!$B$44),IF(Inputs!$B$39="pvp",MIN((Skills!Y21*(1+Inputs!$B$34/100)),15)/15,(Skills!Y21*(1+Inputs!$B$34/100))/Skills!D21)))+((C1367=TRUE)*(F1367-Calc!F23))+((C1361=TRUE)*(F1361-Calc!F17)))/100)*(1+((C1354=TRUE)*F1354*IF(AND(Inputs!$B$39&lt;&gt;"pvp",Inputs!$B$44&gt;0),(((R1354-1)*(Skills!Y10*(1+Inputs!$B$34/100))+MIN((Skills!Y10*(1+Inputs!$B$34/100)),MAX(0,Inputs!$B$44-((R1354-1)*Skills!D10))))/Inputs!$B$44),IF(Inputs!$B$39="pvp",MIN((Skills!Y10*(1+Inputs!$B$34/100)),15)/15,(Skills!Y10*(1+Inputs!$B$34/100))/Skills!D10)))/100)*(1+((C1359=TRUE)*F1359*IF(AND(Inputs!$B$39&lt;&gt;"pvp",Inputs!$B$44&gt;0),(((R1359-1)*(Skills!Y15*(1+Inputs!$B$34/100))+MIN((Skills!Y15*(1+Inputs!$B$34/100)),MAX(0,Inputs!$B$44-((R1359-1)*Skills!D15))))/Inputs!$B$44),IF(Inputs!$B$39="pvp",MIN((Skills!Y15*(1+Inputs!$B$34/100)),15)/15,(Skills!Y15*(1+Inputs!$B$34/100))/Skills!D15)))/100)</f>
        <v/>
      </c>
    </row>
    <row r="1377">
      <c r="A1377" t="inlineStr">
        <is>
          <t>Global Crit Rate Bonus %</t>
        </is>
      </c>
      <c r="B1377">
        <f>((C1364=TRUE)*F1364*IF(AND(Inputs!$B$39&lt;&gt;"pvp",Inputs!$B$44&gt;0),(((R1364-1)*(Skills!Y20*(1+Inputs!$B$34/100))+MIN((Skills!Y20*(1+Inputs!$B$34/100)),MAX(0,Inputs!$B$44-((R1364-1)*Skills!D20))))/Inputs!$B$44),IF(Inputs!$B$39="pvp",MIN((Skills!Y20*(1+Inputs!$B$34/100)),15)/15,(Skills!Y20*(1+Inputs!$B$34/100))/Skills!D20)))</f>
        <v/>
      </c>
    </row>
    <row r="1378">
      <c r="A1378" t="inlineStr">
        <is>
          <t>Global Monster Damage-Taken Bonus %</t>
        </is>
      </c>
      <c r="B1378">
        <f>IF(Inputs!$B$3&gt;=82,15,0)</f>
        <v/>
      </c>
    </row>
    <row r="1379">
      <c r="A1379" t="inlineStr">
        <is>
          <t>Shadow Partner Average Multiplier</t>
        </is>
      </c>
      <c r="B1379">
        <f>1+((C1351=TRUE)*F1351*(1+3.3333333333333335*IF(C1362=TRUE,F1362,0)/100)*I1351*Skills!J7/100)/100</f>
        <v/>
      </c>
    </row>
    <row r="1380">
      <c r="A1380" t="inlineStr">
        <is>
          <t>Attack Speed Buff Bonus %</t>
        </is>
      </c>
      <c r="B1380">
        <f>((C1363=TRUE)*F1363*IF(AND(Inputs!$B$39&lt;&gt;"pvp",Inputs!$B$44&gt;0),(((R1363-1)*(Skills!Y19*(1+Inputs!$B$34/100))+MIN((Skills!Y19*(1+Inputs!$B$34/100)),MAX(0,Inputs!$B$44-((R1363-1)*Skills!D19))))/Inputs!$B$44),IF(Inputs!$B$39="pvp",MIN((Skills!Y19*(1+Inputs!$B$34/100)),15)/15,(Skills!Y19*(1+Inputs!$B$34/100))/Skills!D19)))+((C1347=TRUE)*F1347*3)</f>
        <v/>
      </c>
    </row>
    <row r="1381">
      <c r="A1381" t="inlineStr">
        <is>
          <t>Actions Per Second</t>
        </is>
      </c>
      <c r="B1381">
        <f>1+MIN(150,150*(1-(1-(Inputs!$B$11+((C1366=TRUE)*(F1366-Calc!F22)))/150)*(1-B1380/150)))/100</f>
        <v/>
      </c>
    </row>
    <row r="1382">
      <c r="A1382" t="inlineStr">
        <is>
          <t>Skill + Buff Cast Rate</t>
        </is>
      </c>
      <c r="B1382">
        <f>IF(AND(Inputs!$B$39&lt;&gt;"pvp",Inputs!$B$44&gt;0),SUMPRODUCT((Skills!E2:E30=TRUE)*(C1346:C1374=TRUE)*R1346:R1374*Skills!F2:F30)/Inputs!$B$44,SUMPRODUCT((Skills!E2:E30=TRUE)*(C1346:C1374=TRUE)*Q1346:Q1374*Skills!F2:F30))</f>
        <v/>
      </c>
    </row>
    <row r="1383">
      <c r="A1383" t="inlineStr">
        <is>
          <t>Cruel Stab Casts Per Second</t>
        </is>
      </c>
      <c r="B1383">
        <f>MAX(0,B1381-B1382)</f>
        <v/>
      </c>
    </row>
    <row r="1384">
      <c r="A1384" t="inlineStr">
        <is>
          <t>Global Critical Damage Bonus % (Smokescreen Mastery Lv.113)</t>
        </is>
      </c>
      <c r="B1384">
        <f>IF(Inputs!$B$3&gt;=113,30,0)*IF(AND(Inputs!$B$39&lt;&gt;"pvp",Inputs!$B$44&gt;0),(((R1359-1)*(Skills!Y15*(1+Inputs!$B$34/100))+MIN((Skills!Y15*(1+Inputs!$B$34/100)),MAX(0,Inputs!$B$44-((R1359-1)*Skills!D15))))/Inputs!$B$44),IF(Inputs!$B$39="pvp",MIN((Skills!Y15*(1+Inputs!$B$34/100)),15)/15,(Skills!Y15*(1+Inputs!$B$34/100))/Skills!D15))</f>
        <v/>
      </c>
    </row>
    <row r="1385">
      <c r="A1385" t="inlineStr">
        <is>
          <t>Meso Explosion average stack count</t>
        </is>
      </c>
      <c r="B1385">
        <f>MIN(10,0.5*B1381*Skills!D4)</f>
        <v/>
      </c>
    </row>
    <row r="1386">
      <c r="A1386" t="inlineStr">
        <is>
          <t>Blood Money average stack count</t>
        </is>
      </c>
      <c r="B1386">
        <f>MIN(5,0.25*B1381*Skills!D4)</f>
        <v/>
      </c>
    </row>
    <row r="1387">
      <c r="A1387" t="inlineStr">
        <is>
          <t>Assassinate Murderous Intent Multiplier</t>
        </is>
      </c>
      <c r="B1387">
        <f>1+IFERROR(MIN(1,Q1358*2/Q1355),0)</f>
        <v/>
      </c>
    </row>
    <row r="1388">
      <c r="A1388" t="inlineStr">
        <is>
          <t>Buff-Casting Startup Delay (s, fixed-duration only)</t>
        </is>
      </c>
      <c r="B1388">
        <f>IF(AND(Inputs!$B$39&lt;&gt;"pvp",Inputs!$B$44&gt;0),SUMPRODUCT((Skills!Y2:Y30&gt;0)*(Skills!E2:E30=TRUE)*(C1346:C1374=TRUE))/B1381,0)</f>
        <v/>
      </c>
    </row>
    <row r="1389">
      <c r="A1389" s="5" t="inlineStr">
        <is>
          <t>TOTAL DPS</t>
        </is>
      </c>
      <c r="B1389" s="5">
        <f>SUM(O1346:O1374)</f>
        <v/>
      </c>
    </row>
    <row r="1392">
      <c r="A1392" s="5" t="inlineStr">
        <is>
          <t>Stat: CDR = 1.0s</t>
        </is>
      </c>
    </row>
    <row r="1393">
      <c r="A1393" s="9" t="inlineStr">
        <is>
          <t>Key</t>
        </is>
      </c>
      <c r="B1393" s="9" t="inlineStr">
        <is>
          <t>Name</t>
        </is>
      </c>
      <c r="C1393" s="9" t="inlineStr">
        <is>
          <t>Unlocked</t>
        </is>
      </c>
      <c r="D1393" s="9" t="inlineStr">
        <is>
          <t>InputLevel</t>
        </is>
      </c>
      <c r="E1393" s="9" t="inlineStr">
        <is>
          <t>Factor</t>
        </is>
      </c>
      <c r="F1393" s="9" t="inlineStr">
        <is>
          <t>CoefficientPercent</t>
        </is>
      </c>
      <c r="G1393" s="9" t="inlineStr">
        <is>
          <t>EffectiveHits</t>
        </is>
      </c>
      <c r="H1393" s="9" t="inlineStr">
        <is>
          <t>ProcProbability</t>
        </is>
      </c>
      <c r="I1393" s="9" t="inlineStr">
        <is>
          <t>MapleHeroMultiplier</t>
        </is>
      </c>
      <c r="J1393" s="9" t="inlineStr">
        <is>
          <t>BaseDamage</t>
        </is>
      </c>
      <c r="K1393" s="9" t="inlineStr">
        <is>
          <t>BaseHitDamage</t>
        </is>
      </c>
      <c r="L1393" s="9" t="inlineStr">
        <is>
          <t>NonCritAvg</t>
        </is>
      </c>
      <c r="M1393" s="9" t="inlineStr">
        <is>
          <t>CritAvg</t>
        </is>
      </c>
      <c r="N1393" s="9" t="inlineStr">
        <is>
          <t>ExpectedDamage(perHit)</t>
        </is>
      </c>
      <c r="O1393" s="9" t="inlineStr">
        <is>
          <t>DPS</t>
        </is>
      </c>
      <c r="P1393" s="9" t="inlineStr">
        <is>
          <t>% of Total</t>
        </is>
      </c>
      <c r="Q1393" s="9" t="inlineStr">
        <is>
          <t>InvCooldown</t>
        </is>
      </c>
      <c r="R1393" s="9" t="inlineStr">
        <is>
          <t>CastsInFight</t>
        </is>
      </c>
      <c r="S1393" s="9" t="inlineStr">
        <is>
          <t>HitRate(perSec)</t>
        </is>
      </c>
      <c r="U1393" t="inlineStr">
        <is>
          <t>helpers</t>
        </is>
      </c>
    </row>
    <row r="1394">
      <c r="A1394">
        <f>Skills!A2</f>
        <v/>
      </c>
      <c r="B1394">
        <f>Skills!B2</f>
        <v/>
      </c>
      <c r="C1394">
        <f>Inputs!$B$3&gt;=100</f>
        <v/>
      </c>
      <c r="D1394" t="inlineStr"/>
      <c r="E1394" t="inlineStr"/>
      <c r="F1394">
        <f>U1396+Skills!O2</f>
        <v/>
      </c>
      <c r="G1394">
        <f>Skills!G2*IF(Skills!H2&gt;0,Skills!I2/Skills!H2,1)</f>
        <v/>
      </c>
      <c r="H1394">
        <f>1-(1-Skills!J2/100)^Skills!K2</f>
        <v/>
      </c>
      <c r="I1394" t="inlineStr">
        <is>
          <t>1</t>
        </is>
      </c>
      <c r="J1394">
        <f>((Inputs!$B$6*(1+Inputs!$B$7/100))+(((Inputs!$B$12*(1+Inputs!$B$13/100))-(Inputs!$B$12*(1+Inputs!$B$13/100)))+0.25*(Inputs!$B$14-Inputs!$B$14))*(1+Inputs!$B$7/100))*(F1394/100)</f>
        <v/>
      </c>
      <c r="K1394">
        <f>J1394*(1+((Inputs!$B$12*(1+Inputs!$B$13/100))*0.01+Inputs!$B$14*0.0025)/100)*(1+Inputs!$B$15/100)*(1+IF(Inputs!$B$39="pvp",0,(1-Summary!$B$55)*(Inputs!$B$20+0+Skills!P2+B1426)+Summary!$B$55*(Inputs!$B$21+Skills!Q2+B1426))/100)*(1+Inputs!$B$16/100)*(5000/(6000+Inputs!$B$43*(1-Inputs!$B$19/100)))*(1+(Inputs!$B$24+((C1422=TRUE)*(F1422-Calc!F30)))/100)*(1+(IF(Skills!A2="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1394)</f>
        <v/>
      </c>
      <c r="L1394">
        <f>K1394*(MIN(Inputs!$B$22+((C1416=TRUE)*(F1416-Calc!F24)),Inputs!$B$23+((C1421=TRUE)*(F1421-Calc!F29)))/100+(Inputs!$B$23+((C1421=TRUE)*(F1421-Calc!F29)))/100)/2</f>
        <v/>
      </c>
      <c r="M1394">
        <f>L1394*(1+(Inputs!$B$10+((C1418=TRUE)*(F1418-Calc!F26))+B1432)/100)</f>
        <v/>
      </c>
      <c r="N1394">
        <f>L1394*(1-MIN((Inputs!$B$9+((C1417=TRUE)*(F1417-Calc!F25))+B1425),100)/100)+M1394*(MIN((Inputs!$B$9+((C1417=TRUE)*(F1417-Calc!F25))+B1425),100)/100)</f>
        <v/>
      </c>
      <c r="O1394">
        <f>IF(C1394,Skills!G2*N1394*B1431*IF(Inputs!$B$39="pvp",1,(1-Summary!$B$55)*(1)+Summary!$B$55*(MIN((6+Inputs!$B$33),Inputs!$B$37))),0)</f>
        <v/>
      </c>
      <c r="P1394">
        <f>IF(B1437=0,0,O1394/B1437)</f>
        <v/>
      </c>
      <c r="Q1394" t="n">
        <v>0</v>
      </c>
      <c r="R1394" t="n">
        <v>0</v>
      </c>
      <c r="S1394">
        <f>IFERROR(O1394/N1394,0)</f>
        <v/>
      </c>
      <c r="U1394">
        <f>MAX(0,(Inputs!$B$3-100)*3)+Inputs!$B$28+Inputs!$B$29</f>
        <v/>
      </c>
    </row>
    <row r="1395">
      <c r="A1395">
        <f>Skills!A3</f>
        <v/>
      </c>
      <c r="B1395">
        <f>Skills!B3</f>
        <v/>
      </c>
      <c r="C1395">
        <f>Inputs!$B$3&gt;=35</f>
        <v/>
      </c>
      <c r="D1395">
        <f>IF(Skills!C3=1,60+Inputs!$B$25+Inputs!$B$29,IF(Skills!C3=2,90+Inputs!$B$26+Inputs!$B$29,IF(Skills!C3=3,120+Inputs!$B$27+Inputs!$B$29,MAX(0,(Inputs!$B$3-100)*3)+Inputs!$B$28+Inputs!$B$29)))</f>
        <v/>
      </c>
      <c r="E1395">
        <f>INDEX(FactorTable!$B$2:$Y$301, MATCH(ROUND(MIN(300,MAX(1,D1395)),0), FactorTable!$A$2:$A$301,0), Skills!M3+1)</f>
        <v/>
      </c>
      <c r="F1395">
        <f>IF(Skills!N3=TRUE,(Skills!L3/10)*(E1395/1000),Skills!L3/10)+Skills!O3</f>
        <v/>
      </c>
      <c r="G1395">
        <f>Skills!G3*IF(Skills!H3&gt;0,Skills!I3/Skills!H3,1)</f>
        <v/>
      </c>
      <c r="H1395">
        <f>1-(1-Skills!J3/100)^Skills!K3</f>
        <v/>
      </c>
      <c r="I1395" t="inlineStr">
        <is>
          <t>1</t>
        </is>
      </c>
      <c r="J1395" t="inlineStr"/>
      <c r="K1395" t="inlineStr"/>
      <c r="L1395" t="inlineStr"/>
      <c r="M1395" t="inlineStr"/>
      <c r="N1395" t="inlineStr"/>
      <c r="O1395" t="n">
        <v>0</v>
      </c>
      <c r="P1395">
        <f>IF(B1437=0,0,O1395/B1437)</f>
        <v/>
      </c>
      <c r="Q1395" t="n">
        <v>0</v>
      </c>
      <c r="R1395" t="n">
        <v>0</v>
      </c>
      <c r="S1395">
        <f>IFERROR(O1395/N1395,0)</f>
        <v/>
      </c>
      <c r="U1395">
        <f>INDEX(FactorTable!$B$2:$Y$301, MATCH(ROUND(MIN(300,MAX(1,U1394)),0), FactorTable!$A$2:$A$301,0), 22)</f>
        <v/>
      </c>
    </row>
    <row r="1396">
      <c r="A1396">
        <f>Skills!A4</f>
        <v/>
      </c>
      <c r="B1396">
        <f>Skills!B4</f>
        <v/>
      </c>
      <c r="C1396">
        <f>Inputs!$B$3&gt;=66</f>
        <v/>
      </c>
      <c r="D1396">
        <f>IF(Skills!C4=1,60+Inputs!$B$25+Inputs!$B$29,IF(Skills!C4=2,90+Inputs!$B$26+Inputs!$B$29,IF(Skills!C4=3,120+Inputs!$B$27+Inputs!$B$29,MAX(0,(Inputs!$B$3-100)*3)+Inputs!$B$28+Inputs!$B$29)))</f>
        <v/>
      </c>
      <c r="E1396">
        <f>INDEX(FactorTable!$B$2:$Y$301, MATCH(ROUND(MIN(300,MAX(1,D1396)),0), FactorTable!$A$2:$A$301,0), Skills!M4+1)</f>
        <v/>
      </c>
      <c r="F1396">
        <f>IF(Skills!N4=TRUE,(Skills!L4/10)*(E1396/1000),Skills!L4/10)+Skills!O4</f>
        <v/>
      </c>
      <c r="G1396">
        <f>Skills!G4*IF(Skills!H4&gt;0,Skills!I4/Skills!H4,1)</f>
        <v/>
      </c>
      <c r="H1396">
        <f>1-(1-Skills!J4/100)^Skills!K4</f>
        <v/>
      </c>
      <c r="I1396" t="inlineStr">
        <is>
          <t>1</t>
        </is>
      </c>
      <c r="J1396">
        <f>((Inputs!$B$6*(1+Inputs!$B$7/100))+(((Inputs!$B$12*(1+Inputs!$B$13/100))-(Inputs!$B$12*(1+Inputs!$B$13/100)))+0.25*(Inputs!$B$14-Inputs!$B$14))*(1+Inputs!$B$7/100))*(F1396/100)</f>
        <v/>
      </c>
      <c r="K1396">
        <f>J1396*(1+((Inputs!$B$12*(1+Inputs!$B$13/100))*0.01+Inputs!$B$14*0.0025)/100)*(1+Inputs!$B$15/100)*(1+IF(Inputs!$B$39="pvp",0,(1-Summary!$B$55)*(Inputs!$B$20+0+Skills!P4+B1426)+Summary!$B$55*(Inputs!$B$21+Skills!Q4+B1426))/100)*(1+Inputs!$B$16/100)*(5000/(6000+Inputs!$B$43*(1-Inputs!$B$19/100)))*(1+(Inputs!$B$24+((C1422=TRUE)*(F1422-Calc!F30)))/100)*(1+(IF(Skills!A4="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1396)</f>
        <v/>
      </c>
      <c r="L1396">
        <f>K1396*(MIN(Inputs!$B$22+((C1416=TRUE)*(F1416-Calc!F24)),Inputs!$B$23+((C1421=TRUE)*(F1421-Calc!F29)))/100+(Inputs!$B$23+((C1421=TRUE)*(F1421-Calc!F29)))/100)/2</f>
        <v/>
      </c>
      <c r="M1396">
        <f>L1396*(1+(Inputs!$B$10+((C1418=TRUE)*(F1418-Calc!F26))+B1432)/100)</f>
        <v/>
      </c>
      <c r="N1396">
        <f>L1396*(1-MIN((Inputs!$B$9+((C1417=TRUE)*(F1417-Calc!F25))+B1425),100)/100)+M1396*(MIN((Inputs!$B$9+((C1417=TRUE)*(F1417-Calc!F25))+B1425),100)/100)</f>
        <v/>
      </c>
      <c r="O1396">
        <f>IF(C1396,H1396*N1396*IF(AND(Inputs!$B$39&lt;&gt;"pvp",Inputs!$B$44&gt;0),((Skills!G4*((R1396-1)*IF(Skills!H4&gt;0,Skills!I4/Skills!H4,1)+IF(Skills!H4&gt;0,MIN(Skills!I4,MAX(0,MAX(0,Inputs!$B$44-B1436)-((R1396-1)*IF(Inputs!$B$39="pvp",15,MAX(0.1,Skills!D4-IF(Skills!E4=TRUE,1.0,0))))))/Skills!H4,1)))/Inputs!$B$44),G1396*Q1396)*IF(Inputs!$B$39="pvp",1,(1-Summary!$B$55)*(1)+Summary!$B$55*(MIN(MIN(10,0.5*B1429*Skills!D4),Inputs!$B$37))),0)</f>
        <v/>
      </c>
      <c r="P1396">
        <f>IF(B1437=0,0,O1396/B1437)</f>
        <v/>
      </c>
      <c r="Q1396">
        <f>IFERROR(1/IF(Inputs!$B$39="pvp",15,MAX(0.1,Skills!D4-IF(Skills!E4=TRUE,1.0,0))),0)</f>
        <v/>
      </c>
      <c r="R1396">
        <f>IF(AND(Inputs!$B$39&lt;&gt;"pvp",Inputs!$B$44&gt;0),IF(MAX(0,Inputs!$B$44-B1436)&lt;=0,0,(INT(MAX(0,Inputs!$B$44-B1436)/IF(Inputs!$B$39="pvp",15,MAX(0.1,Skills!D4-IF(Skills!E4=TRUE,1.0,0))))+1)),0)</f>
        <v/>
      </c>
      <c r="S1396">
        <f>IFERROR(O1396/N1396,0)</f>
        <v/>
      </c>
      <c r="U1396">
        <f>290*U1395/1000</f>
        <v/>
      </c>
    </row>
    <row r="1397">
      <c r="A1397">
        <f>Skills!A5</f>
        <v/>
      </c>
      <c r="B1397">
        <f>Skills!B5</f>
        <v/>
      </c>
      <c r="C1397">
        <f>Inputs!$B$3&gt;=63</f>
        <v/>
      </c>
      <c r="D1397">
        <f>IF(Skills!C5=1,60+Inputs!$B$25+Inputs!$B$29,IF(Skills!C5=2,90+Inputs!$B$26+Inputs!$B$29,IF(Skills!C5=3,120+Inputs!$B$27+Inputs!$B$29,MAX(0,(Inputs!$B$3-100)*3)+Inputs!$B$28+Inputs!$B$29)))</f>
        <v/>
      </c>
      <c r="E1397">
        <f>INDEX(FactorTable!$B$2:$Y$301, MATCH(ROUND(MIN(300,MAX(1,D1397)),0), FactorTable!$A$2:$A$301,0), Skills!M5+1)</f>
        <v/>
      </c>
      <c r="F1397">
        <f>IF(Skills!N5=TRUE,(Skills!L5/10)*(E1397/1000),Skills!L5/10)+Skills!O5</f>
        <v/>
      </c>
      <c r="G1397">
        <f>Skills!G5*IF(Skills!H5&gt;0,Skills!I5/Skills!H5,1)</f>
        <v/>
      </c>
      <c r="H1397">
        <f>1-(1-Skills!J5/100)^Skills!K5</f>
        <v/>
      </c>
      <c r="I1397" t="inlineStr">
        <is>
          <t>1</t>
        </is>
      </c>
      <c r="J1397">
        <f>((Inputs!$B$6*(1+Inputs!$B$7/100))+(((Inputs!$B$12*(1+Inputs!$B$13/100))-(Inputs!$B$12*(1+Inputs!$B$13/100)))+0.25*(Inputs!$B$14-Inputs!$B$14))*(1+Inputs!$B$7/100))*(F1397/100)</f>
        <v/>
      </c>
      <c r="K1397">
        <f>J1397*(1+((Inputs!$B$12*(1+Inputs!$B$13/100))*0.01+Inputs!$B$14*0.0025)/100)*(1+Inputs!$B$15/100)*(1+IF(Inputs!$B$39="pvp",0,(1-Summary!$B$55)*(Inputs!$B$20+0+Skills!P5+B1426)+Summary!$B$55*(Inputs!$B$21+Skills!Q5+B1426))/100)*(1+Inputs!$B$16/100)*(5000/(6000+Inputs!$B$43*(1-Inputs!$B$19/100)))*(1+(Inputs!$B$24+((C1422=TRUE)*(F1422-Calc!F30)))/100)*(1+2.6666666666666665*IF(C1410=TRUE,F1410,0)/100)*(1+(IF(Skills!A5="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1397)</f>
        <v/>
      </c>
      <c r="L1397">
        <f>K1397*(MIN(Inputs!$B$22+((C1416=TRUE)*(F1416-Calc!F24)),Inputs!$B$23+((C1421=TRUE)*(F1421-Calc!F29)))/100+(Inputs!$B$23+((C1421=TRUE)*(F1421-Calc!F29)))/100)/2</f>
        <v/>
      </c>
      <c r="M1397">
        <f>L1397*(1+(Inputs!$B$10+((C1418=TRUE)*(F1418-Calc!F26))+B1432)/100)</f>
        <v/>
      </c>
      <c r="N1397">
        <f>L1397*(1-MIN((Inputs!$B$9+((C1417=TRUE)*(F1417-Calc!F25))+B1425),100)/100)+M1397*(MIN((Inputs!$B$9+((C1417=TRUE)*(F1417-Calc!F25))+B1425),100)/100)</f>
        <v/>
      </c>
      <c r="O1397">
        <f>IF(C1397,H1397*N1397*IF(AND(Inputs!$B$39&lt;&gt;"pvp",Inputs!$B$44&gt;0),((Skills!G5*((R1397-1)*IF(Skills!H5&gt;0,Skills!I5/Skills!H5,1)+IF(Skills!H5&gt;0,MIN(Skills!I5,MAX(0,MAX(0,Inputs!$B$44-B1436)-((R1397-1)*IF(Inputs!$B$39="pvp",15,MAX(0.1,Skills!D5-IF(Skills!E5=TRUE,1.0,0))))))/Skills!H5,1)))/Inputs!$B$44),G1397*Q1397)*IF(Inputs!$B$39="pvp",1,(1-Summary!$B$55)*(1)+Summary!$B$55*(MIN(Skills!W5,Inputs!$B$37))),0)</f>
        <v/>
      </c>
      <c r="P1397">
        <f>IF(B1437=0,0,O1397/B1437)</f>
        <v/>
      </c>
      <c r="Q1397">
        <f>IFERROR(1/IF(Inputs!$B$39="pvp",15,MAX(0.1,Skills!D5-IF(Skills!E5=TRUE,1.0,0))),0)</f>
        <v/>
      </c>
      <c r="R1397">
        <f>IF(AND(Inputs!$B$39&lt;&gt;"pvp",Inputs!$B$44&gt;0),IF(MAX(0,Inputs!$B$44-B1436)&lt;=0,0,(INT(MAX(0,Inputs!$B$44-B1436)/IF(Inputs!$B$39="pvp",15,MAX(0.1,Skills!D5-IF(Skills!E5=TRUE,1.0,0))))+1)),0)</f>
        <v/>
      </c>
      <c r="S1397">
        <f>IFERROR(O1397/N1397,0)</f>
        <v/>
      </c>
    </row>
    <row r="1398">
      <c r="A1398">
        <f>Skills!A6</f>
        <v/>
      </c>
      <c r="B1398">
        <f>Skills!B6</f>
        <v/>
      </c>
      <c r="C1398">
        <f>Inputs!$B$3&gt;=69</f>
        <v/>
      </c>
      <c r="D1398">
        <f>IF(Skills!C6=1,60+Inputs!$B$25+Inputs!$B$29,IF(Skills!C6=2,90+Inputs!$B$26+Inputs!$B$29,IF(Skills!C6=3,120+Inputs!$B$27+Inputs!$B$29,MAX(0,(Inputs!$B$3-100)*3)+Inputs!$B$28+Inputs!$B$29)))</f>
        <v/>
      </c>
      <c r="E1398">
        <f>INDEX(FactorTable!$B$2:$Y$301, MATCH(ROUND(MIN(300,MAX(1,D1398)),0), FactorTable!$A$2:$A$301,0), Skills!M6+1)</f>
        <v/>
      </c>
      <c r="F1398">
        <f>IF(Skills!N6=TRUE,(Skills!L6/10)*(E1398/1000),Skills!L6/10)+Skills!O6</f>
        <v/>
      </c>
      <c r="G1398">
        <f>Skills!G6*IF(Skills!H6&gt;0,Skills!I6/Skills!H6,1)</f>
        <v/>
      </c>
      <c r="H1398">
        <f>1-(1-Skills!J6/100)^Skills!K6</f>
        <v/>
      </c>
      <c r="I1398" t="inlineStr">
        <is>
          <t>1</t>
        </is>
      </c>
      <c r="J1398">
        <f>((Inputs!$B$6*(1+Inputs!$B$7/100))+(((Inputs!$B$12*(1+Inputs!$B$13/100))-(Inputs!$B$12*(1+Inputs!$B$13/100)))+0.25*(Inputs!$B$14-Inputs!$B$14))*(1+Inputs!$B$7/100))*(F1398/100)</f>
        <v/>
      </c>
      <c r="K1398">
        <f>J1398*(1+((Inputs!$B$12*(1+Inputs!$B$13/100))*0.01+Inputs!$B$14*0.0025)/100)*(1+Inputs!$B$15/100)*(1+IF(Inputs!$B$39="pvp",0,(1-Summary!$B$55)*(Inputs!$B$20+0+Skills!P6+B1426)+Summary!$B$55*(Inputs!$B$21+Skills!Q6+B1426))/100)*(1+Inputs!$B$16/100)*(5000/(6000+Inputs!$B$43*(1-Inputs!$B$19/100)))*(1+(Inputs!$B$24+((C1422=TRUE)*(F1422-Calc!F30)))/100)*(1+1.0*IF(C1410=TRUE,F1410,0)/100)*(1+(IF(Skills!A6="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1398)</f>
        <v/>
      </c>
      <c r="L1398">
        <f>K1398*(MIN(Inputs!$B$22+((C1416=TRUE)*(F1416-Calc!F24)),Inputs!$B$23+((C1421=TRUE)*(F1421-Calc!F29)))/100+(Inputs!$B$23+((C1421=TRUE)*(F1421-Calc!F29)))/100)/2</f>
        <v/>
      </c>
      <c r="M1398">
        <f>L1398*(1+(Inputs!$B$10+((C1418=TRUE)*(F1418-Calc!F26))+B1432)/100)</f>
        <v/>
      </c>
      <c r="N1398">
        <f>L1398*(1-MIN((Inputs!$B$9+((C1417=TRUE)*(F1417-Calc!F25))+B1425),100)/100)+M1398*(MIN((Inputs!$B$9+((C1417=TRUE)*(F1417-Calc!F25))+B1425),100)/100)</f>
        <v/>
      </c>
      <c r="O1398">
        <f>IF(C1398,H1398*N1398*IF(AND(Inputs!$B$39&lt;&gt;"pvp",Inputs!$B$44&gt;0),((Skills!G6*((R1398-1)*IF(Skills!H6&gt;0,Skills!I6/Skills!H6,1)+IF(Skills!H6&gt;0,MIN(Skills!I6,MAX(0,MAX(0,Inputs!$B$44-B1436)-((R1398-1)*IF(Inputs!$B$39="pvp",15,MAX(0.1,Skills!D6-IF(Skills!E6=TRUE,1.0,0))))))/Skills!H6,1)))/Inputs!$B$44),G1398*Q1398)*IF(Inputs!$B$39="pvp",1,(1-Summary!$B$55)*(1)+Summary!$B$55*(MIN(Skills!W6,Inputs!$B$37))),0)</f>
        <v/>
      </c>
      <c r="P1398">
        <f>IF(B1437=0,0,O1398/B1437)</f>
        <v/>
      </c>
      <c r="Q1398">
        <f>IFERROR(1/IF(Inputs!$B$39="pvp",15,MAX(0.1,Skills!D6-IF(Skills!E6=TRUE,1.0,0))),0)</f>
        <v/>
      </c>
      <c r="R1398">
        <f>IF(AND(Inputs!$B$39&lt;&gt;"pvp",Inputs!$B$44&gt;0),IF(MAX(0,Inputs!$B$44-B1436)&lt;=0,0,(INT(MAX(0,Inputs!$B$44-B1436)/IF(Inputs!$B$39="pvp",15,MAX(0.1,Skills!D6-IF(Skills!E6=TRUE,1.0,0))))+1)),0)</f>
        <v/>
      </c>
      <c r="S1398">
        <f>IFERROR(O1398/N1398,0)</f>
        <v/>
      </c>
    </row>
    <row r="1399">
      <c r="A1399">
        <f>Skills!A7</f>
        <v/>
      </c>
      <c r="B1399">
        <f>Skills!B7</f>
        <v/>
      </c>
      <c r="C1399">
        <f>Inputs!$B$3&gt;=60</f>
        <v/>
      </c>
      <c r="D1399">
        <f>IF(Skills!C7=1,60+Inputs!$B$25+Inputs!$B$29,IF(Skills!C7=2,90+Inputs!$B$26+Inputs!$B$29,IF(Skills!C7=3,120+Inputs!$B$27+Inputs!$B$29,MAX(0,(Inputs!$B$3-100)*3)+Inputs!$B$28+Inputs!$B$29)))</f>
        <v/>
      </c>
      <c r="E1399">
        <f>INDEX(FactorTable!$B$2:$Y$301, MATCH(ROUND(MIN(300,MAX(1,D1399)),0), FactorTable!$A$2:$A$301,0), Skills!M7+1)</f>
        <v/>
      </c>
      <c r="F1399">
        <f>IF(Skills!N7=TRUE,(Skills!L7/10)*(E1399/1000),Skills!L7/10)+Skills!O7</f>
        <v/>
      </c>
      <c r="G1399">
        <f>Skills!G7*IF(Skills!H7&gt;0,Skills!I7/Skills!H7,1)</f>
        <v/>
      </c>
      <c r="H1399">
        <f>1-(1-Skills!J7/100)^Skills!K7</f>
        <v/>
      </c>
      <c r="I1399" t="inlineStr">
        <is>
          <t>1</t>
        </is>
      </c>
      <c r="J1399" t="inlineStr"/>
      <c r="K1399" t="inlineStr"/>
      <c r="L1399" t="inlineStr"/>
      <c r="M1399" t="inlineStr"/>
      <c r="N1399" t="inlineStr"/>
      <c r="O1399" t="n">
        <v>0</v>
      </c>
      <c r="P1399">
        <f>IF(B1437=0,0,O1399/B1437)</f>
        <v/>
      </c>
      <c r="Q1399" t="n">
        <v>0</v>
      </c>
      <c r="R1399" t="n">
        <v>0</v>
      </c>
      <c r="S1399">
        <f>IFERROR(O1399/N1399,0)</f>
        <v/>
      </c>
    </row>
    <row r="1400">
      <c r="A1400">
        <f>Skills!A8</f>
        <v/>
      </c>
      <c r="B1400">
        <f>Skills!B8</f>
        <v/>
      </c>
      <c r="C1400">
        <f>Inputs!$B$3&gt;=72</f>
        <v/>
      </c>
      <c r="D1400">
        <f>IF(Skills!C8=1,60+Inputs!$B$25+Inputs!$B$29,IF(Skills!C8=2,90+Inputs!$B$26+Inputs!$B$29,IF(Skills!C8=3,120+Inputs!$B$27+Inputs!$B$29,MAX(0,(Inputs!$B$3-100)*3)+Inputs!$B$28+Inputs!$B$29)))</f>
        <v/>
      </c>
      <c r="E1400">
        <f>INDEX(FactorTable!$B$2:$Y$301, MATCH(ROUND(MIN(300,MAX(1,D1400)),0), FactorTable!$A$2:$A$301,0), Skills!M8+1)</f>
        <v/>
      </c>
      <c r="F1400">
        <f>IF(Skills!N8=TRUE,(Skills!L8/10)*(E1400/1000),Skills!L8/10)+Skills!O8</f>
        <v/>
      </c>
      <c r="G1400">
        <f>Skills!G8*IF(Skills!H8&gt;0,Skills!I8/Skills!H8,1)</f>
        <v/>
      </c>
      <c r="H1400">
        <f>1-(1-Skills!J8/100)^Skills!K8</f>
        <v/>
      </c>
      <c r="I1400" t="inlineStr">
        <is>
          <t>1</t>
        </is>
      </c>
      <c r="J1400">
        <f>((Inputs!$B$6*(1+Inputs!$B$7/100))+(((Inputs!$B$12*(1+Inputs!$B$13/100))-(Inputs!$B$12*(1+Inputs!$B$13/100)))+0.25*(Inputs!$B$14-Inputs!$B$14))*(1+Inputs!$B$7/100))*(F1400/100)</f>
        <v/>
      </c>
      <c r="K1400">
        <f>J1400*(1+((Inputs!$B$12*(1+Inputs!$B$13/100))*0.01+Inputs!$B$14*0.0025)/100)*(1+Inputs!$B$15/100)*(1+IF(Inputs!$B$39="pvp",0,(1-Summary!$B$55)*(Inputs!$B$20+0+Skills!P8+B1426)+Summary!$B$55*(Inputs!$B$21+Skills!Q8+B1426))/100)*(1+Inputs!$B$16/100)*(5000/(6000+Inputs!$B$43*(1-Inputs!$B$19/100)))*(1+(Inputs!$B$24+((C1422=TRUE)*(F1422-Calc!F30)))/100)*(1+3.3333333333333335*IF(C1410=TRUE,F1410,0)/100)*(1+(IF(Skills!A8="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1400)</f>
        <v/>
      </c>
      <c r="L1400">
        <f>K1400*(MIN(Inputs!$B$22+((C1416=TRUE)*(F1416-Calc!F24)),Inputs!$B$23+((C1421=TRUE)*(F1421-Calc!F29)))/100+(Inputs!$B$23+((C1421=TRUE)*(F1421-Calc!F29)))/100)/2</f>
        <v/>
      </c>
      <c r="M1400">
        <f>L1400*(1+(Inputs!$B$10+((C1418=TRUE)*(F1418-Calc!F26))+B1432)/100)</f>
        <v/>
      </c>
      <c r="N1400">
        <f>L1400*(1-MIN((Inputs!$B$9+((C1417=TRUE)*(F1417-Calc!F25))+B1425),100)/100)+M1400*(MIN((Inputs!$B$9+((C1417=TRUE)*(F1417-Calc!F25))+B1425),100)/100)</f>
        <v/>
      </c>
      <c r="O1400">
        <f>IF(C1400,H1400*N1400*IF(AND(Inputs!$B$39&lt;&gt;"pvp",Inputs!$B$44&gt;0),((Skills!G8*((R1400-1)*IF(Skills!H8&gt;0,Skills!I8/Skills!H8,1)+IF(Skills!H8&gt;0,MIN(Skills!I8,MAX(0,MAX(0,Inputs!$B$44-B1436)-((R1400-1)*IF(Inputs!$B$39="pvp",15,MAX(0.1,Skills!D8-IF(Skills!E8=TRUE,1.0,0))))))/Skills!H8,1)))/Inputs!$B$44),G1400*Q1400)*IF(Inputs!$B$39="pvp",1,(1-Summary!$B$55)*(1)+Summary!$B$55*(MIN(Skills!W8,Inputs!$B$37))),0)</f>
        <v/>
      </c>
      <c r="P1400">
        <f>IF(B1437=0,0,O1400/B1437)</f>
        <v/>
      </c>
      <c r="Q1400">
        <f>IFERROR(1/IF(Inputs!$B$39="pvp",15,MAX(0.1,Skills!D8-IF(Skills!E8=TRUE,1.0,0))),0)</f>
        <v/>
      </c>
      <c r="R1400">
        <f>IF(AND(Inputs!$B$39&lt;&gt;"pvp",Inputs!$B$44&gt;0),IF(MAX(0,Inputs!$B$44-B1436)&lt;=0,0,(INT(MAX(0,Inputs!$B$44-B1436)/IF(Inputs!$B$39="pvp",15,MAX(0.1,Skills!D8-IF(Skills!E8=TRUE,1.0,0))))+1)),0)</f>
        <v/>
      </c>
      <c r="S1400">
        <f>IFERROR(O1400/N1400,0)</f>
        <v/>
      </c>
    </row>
    <row r="1401">
      <c r="A1401">
        <f>Skills!A9</f>
        <v/>
      </c>
      <c r="B1401">
        <f>Skills!B9</f>
        <v/>
      </c>
      <c r="C1401">
        <f>Inputs!$B$3&gt;=117</f>
        <v/>
      </c>
      <c r="D1401">
        <f>IF(Skills!C9=1,60+Inputs!$B$25+Inputs!$B$29,IF(Skills!C9=2,90+Inputs!$B$26+Inputs!$B$29,IF(Skills!C9=3,120+Inputs!$B$27+Inputs!$B$29,MAX(0,(Inputs!$B$3-100)*3)+Inputs!$B$28+Inputs!$B$29)))</f>
        <v/>
      </c>
      <c r="E1401">
        <f>INDEX(FactorTable!$B$2:$Y$301, MATCH(ROUND(MIN(300,MAX(1,D1401)),0), FactorTable!$A$2:$A$301,0), Skills!M9+1)</f>
        <v/>
      </c>
      <c r="F1401">
        <f>IF(Skills!N9=TRUE,(Skills!L9/10)*(E1401/1000),Skills!L9/10)+Skills!O9</f>
        <v/>
      </c>
      <c r="G1401">
        <f>Skills!G9*IF(Skills!H9&gt;0,Skills!I9/Skills!H9,1)</f>
        <v/>
      </c>
      <c r="H1401">
        <f>1-(1-Skills!J9/100)^Skills!K9</f>
        <v/>
      </c>
      <c r="I1401" t="inlineStr">
        <is>
          <t>1</t>
        </is>
      </c>
      <c r="J1401">
        <f>((Inputs!$B$6*(1+Inputs!$B$7/100))+(((Inputs!$B$12*(1+Inputs!$B$13/100))-(Inputs!$B$12*(1+Inputs!$B$13/100)))+0.25*(Inputs!$B$14-Inputs!$B$14))*(1+Inputs!$B$7/100))*(F1401/100)</f>
        <v/>
      </c>
      <c r="K1401">
        <f>J1401*(1+((Inputs!$B$12*(1+Inputs!$B$13/100))*0.01+Inputs!$B$14*0.0025)/100)*(1+Inputs!$B$15/100)*(1+IF(Inputs!$B$39="pvp",0,(1-Summary!$B$55)*(Inputs!$B$20+0+Skills!P9+B1426)+Summary!$B$55*(Inputs!$B$21+Skills!Q9+B1426))/100)*(1+Inputs!$B$16/100)*(5000/(6000+Inputs!$B$43*(1-Inputs!$B$19/100)))*(1+(Inputs!$B$24+((C1422=TRUE)*(F1422-Calc!F30)))/100)*(1+(IF(Skills!A9="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1401)</f>
        <v/>
      </c>
      <c r="L1401">
        <f>K1401*(MIN(Inputs!$B$22+((C1416=TRUE)*(F1416-Calc!F24)),Inputs!$B$23+((C1421=TRUE)*(F1421-Calc!F29)))/100+(Inputs!$B$23+((C1421=TRUE)*(F1421-Calc!F29)))/100)/2</f>
        <v/>
      </c>
      <c r="M1401">
        <f>L1401*(1+(Inputs!$B$10+((C1418=TRUE)*(F1418-Calc!F26))+B1432)/100)</f>
        <v/>
      </c>
      <c r="N1401">
        <f>L1401*(1-MIN((Inputs!$B$9+((C1417=TRUE)*(F1417-Calc!F25))+B1425),100)/100)+M1401*(MIN((Inputs!$B$9+((C1417=TRUE)*(F1417-Calc!F25))+B1425),100)/100)</f>
        <v/>
      </c>
      <c r="O1401">
        <f>IF(C1401,0.2*SUMPRODUCT((Skills!Z2:Z30=TRUE)*(C1394:C1422=TRUE)*S1394:S1422)*N1401,0)</f>
        <v/>
      </c>
      <c r="P1401">
        <f>IF(B1437=0,0,O1401/B1437)</f>
        <v/>
      </c>
      <c r="Q1401" t="n">
        <v>0</v>
      </c>
      <c r="R1401" t="n">
        <v>0</v>
      </c>
      <c r="S1401" t="n">
        <v>0</v>
      </c>
    </row>
    <row r="1402">
      <c r="A1402">
        <f>Skills!A10</f>
        <v/>
      </c>
      <c r="B1402">
        <f>Skills!B10</f>
        <v/>
      </c>
      <c r="C1402">
        <f>Inputs!$B$3&gt;=74</f>
        <v/>
      </c>
      <c r="D1402">
        <f>IF(Skills!C10=1,60+Inputs!$B$25+Inputs!$B$29,IF(Skills!C10=2,90+Inputs!$B$26+Inputs!$B$29,IF(Skills!C10=3,120+Inputs!$B$27+Inputs!$B$29,MAX(0,(Inputs!$B$3-100)*3)+Inputs!$B$28+Inputs!$B$29)))</f>
        <v/>
      </c>
      <c r="E1402">
        <f>INDEX(FactorTable!$B$2:$Y$301, MATCH(ROUND(MIN(300,MAX(1,D1402)),0), FactorTable!$A$2:$A$301,0), Skills!M10+1)</f>
        <v/>
      </c>
      <c r="F1402">
        <f>IF(Skills!N10=TRUE,(Skills!L10/10)*(E1402/1000),Skills!L10/10)+Skills!O10</f>
        <v/>
      </c>
      <c r="G1402">
        <f>Skills!G10*IF(Skills!H10&gt;0,Skills!I10/Skills!H10,1)</f>
        <v/>
      </c>
      <c r="H1402">
        <f>1-(1-Skills!J10/100)^Skills!K10</f>
        <v/>
      </c>
      <c r="I1402" t="inlineStr">
        <is>
          <t>1</t>
        </is>
      </c>
      <c r="J1402" t="inlineStr"/>
      <c r="K1402" t="inlineStr"/>
      <c r="L1402" t="inlineStr"/>
      <c r="M1402" t="inlineStr"/>
      <c r="N1402" t="inlineStr"/>
      <c r="O1402" t="n">
        <v>0</v>
      </c>
      <c r="P1402">
        <f>IF(B1437=0,0,O1402/B1437)</f>
        <v/>
      </c>
      <c r="Q1402">
        <f>IFERROR(1/IF(Inputs!$B$39="pvp",15,MAX(0.1,Skills!D10-IF(Skills!E10=TRUE,1.0,0))),0)</f>
        <v/>
      </c>
      <c r="R1402">
        <f>IF(AND(Inputs!$B$39&lt;&gt;"pvp",Inputs!$B$44&gt;0),IF(Inputs!$B$44&lt;=0,0,(INT(Inputs!$B$44/IF(Inputs!$B$39="pvp",15,MAX(0.1,Skills!D10-IF(Skills!E10=TRUE,1.0,0))))+1)),0)</f>
        <v/>
      </c>
      <c r="S1402">
        <f>IFERROR(O1402/N1402,0)</f>
        <v/>
      </c>
    </row>
    <row r="1403">
      <c r="A1403">
        <f>Skills!A11</f>
        <v/>
      </c>
      <c r="B1403">
        <f>Skills!B11</f>
        <v/>
      </c>
      <c r="C1403">
        <f>Inputs!$B$3&gt;=103</f>
        <v/>
      </c>
      <c r="D1403">
        <f>IF(Skills!C11=1,60+Inputs!$B$25+Inputs!$B$29,IF(Skills!C11=2,90+Inputs!$B$26+Inputs!$B$29,IF(Skills!C11=3,120+Inputs!$B$27+Inputs!$B$29,MAX(0,(Inputs!$B$3-100)*3)+Inputs!$B$28+Inputs!$B$29)))</f>
        <v/>
      </c>
      <c r="E1403">
        <f>INDEX(FactorTable!$B$2:$Y$301, MATCH(ROUND(MIN(300,MAX(1,D1403)),0), FactorTable!$A$2:$A$301,0), Skills!M11+1)</f>
        <v/>
      </c>
      <c r="F1403">
        <f>(Skills!L11/10)*(E1403/1000)+IF(Inputs!$B$3&gt;=134,50,0)+0.5*(30000/10)*(INDEX(FactorTable!$B$2:$Y$301, MATCH(ROUND(MIN(300,MAX(1,D1403)),0), FactorTable!$A$2:$A$301,0), 13)/1000)*B1435</f>
        <v/>
      </c>
      <c r="G1403">
        <f>Skills!G11*IF(Skills!H11&gt;0,Skills!I11/Skills!H11,1)</f>
        <v/>
      </c>
      <c r="H1403">
        <f>1-(1-Skills!J11/100)^Skills!K11</f>
        <v/>
      </c>
      <c r="I1403" t="inlineStr">
        <is>
          <t>1</t>
        </is>
      </c>
      <c r="J1403">
        <f>((Inputs!$B$6*(1+Inputs!$B$7/100))+(((Inputs!$B$12*(1+Inputs!$B$13/100))-(Inputs!$B$12*(1+Inputs!$B$13/100)))+0.25*(Inputs!$B$14-Inputs!$B$14))*(1+Inputs!$B$7/100))*(F1403/100)</f>
        <v/>
      </c>
      <c r="K1403">
        <f>J1403*(1+((Inputs!$B$12*(1+Inputs!$B$13/100))*0.01+Inputs!$B$14*0.0025)/100)*(1+Inputs!$B$15/100)*(1+IF(Inputs!$B$39="pvp",0,(1-Summary!$B$55)*(Inputs!$B$20+0+Skills!P11+B1426)+Summary!$B$55*(Inputs!$B$21+Skills!Q11+B1426))/100)*(1+Inputs!$B$16/100)*(5000/(6000+Inputs!$B$43*(1-Inputs!$B$19/100)))*(1+(Inputs!$B$24+((C1422=TRUE)*(F1422-Calc!F30)))/100)*(1+(IF(Skills!A11="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1403)</f>
        <v/>
      </c>
      <c r="L1403">
        <f>K1403*(MIN(Inputs!$B$22+((C1416=TRUE)*(F1416-Calc!F24)),Inputs!$B$23+((C1421=TRUE)*(F1421-Calc!F29)))/100+(Inputs!$B$23+((C1421=TRUE)*(F1421-Calc!F29)))/100)/2</f>
        <v/>
      </c>
      <c r="M1403">
        <f>L1403*(1+(Inputs!$B$10+((C1418=TRUE)*(F1418-Calc!F26))+B1432)/100)</f>
        <v/>
      </c>
      <c r="N1403">
        <f>L1403*(1-MIN((Inputs!$B$9+((C1417=TRUE)*(F1417-Calc!F25))+B1425),100)/100)+M1403*(MIN((Inputs!$B$9+((C1417=TRUE)*(F1417-Calc!F25))+B1425),100)/100)</f>
        <v/>
      </c>
      <c r="O1403">
        <f>IF(C1403,H1403*N1403*IF(AND(Inputs!$B$39&lt;&gt;"pvp",Inputs!$B$44&gt;0),((Skills!G11*((R1403-1)*IF(Skills!H11&gt;0,Skills!I11/Skills!H11,1)+IF(Skills!H11&gt;0,MIN(Skills!I11,MAX(0,MAX(0,Inputs!$B$44-B1436)-((R1403-1)*IF(Inputs!$B$39="pvp",15,MAX(0.1,Skills!D11-IF(Skills!E11=TRUE,1.0,0))))))/Skills!H11,1)))/Inputs!$B$44),G1403*Q1403)*IF(Inputs!$B$39="pvp",1,(1-Summary!$B$55)*(1)+Summary!$B$55*(MIN(Skills!W11,Inputs!$B$37))),0)</f>
        <v/>
      </c>
      <c r="P1403">
        <f>IF(B1437=0,0,O1403/B1437)</f>
        <v/>
      </c>
      <c r="Q1403">
        <f>IFERROR(1/IF(Inputs!$B$39="pvp",15,MAX(0.1,Skills!D11-IF(Skills!E11=TRUE,1.0,0))),0)</f>
        <v/>
      </c>
      <c r="R1403">
        <f>IF(AND(Inputs!$B$39&lt;&gt;"pvp",Inputs!$B$44&gt;0),IF(MAX(0,Inputs!$B$44-B1436)&lt;=0,0,(INT(MAX(0,Inputs!$B$44-B1436)/IF(Inputs!$B$39="pvp",15,MAX(0.1,Skills!D11-IF(Skills!E11=TRUE,1.0,0))))+1)),0)</f>
        <v/>
      </c>
      <c r="S1403">
        <f>IFERROR(O1403/N1403,0)</f>
        <v/>
      </c>
    </row>
    <row r="1404">
      <c r="A1404">
        <f>Skills!A12</f>
        <v/>
      </c>
      <c r="B1404">
        <f>Skills!B12</f>
        <v/>
      </c>
      <c r="C1404">
        <f>Inputs!$B$3&gt;=105</f>
        <v/>
      </c>
      <c r="D1404">
        <f>IF(Skills!C12=1,60+Inputs!$B$25+Inputs!$B$29,IF(Skills!C12=2,90+Inputs!$B$26+Inputs!$B$29,IF(Skills!C12=3,120+Inputs!$B$27+Inputs!$B$29,MAX(0,(Inputs!$B$3-100)*3)+Inputs!$B$28+Inputs!$B$29)))</f>
        <v/>
      </c>
      <c r="E1404">
        <f>INDEX(FactorTable!$B$2:$Y$301, MATCH(ROUND(MIN(300,MAX(1,D1404)),0), FactorTable!$A$2:$A$301,0), Skills!M12+1)</f>
        <v/>
      </c>
      <c r="F1404">
        <f>IF(Skills!N12=TRUE,(Skills!L12/10)*(E1404/1000),Skills!L12/10)+Skills!O12</f>
        <v/>
      </c>
      <c r="G1404">
        <f>Skills!G12*IF(Skills!H12&gt;0,Skills!I12/Skills!H12,1)</f>
        <v/>
      </c>
      <c r="H1404">
        <f>1-(1-Skills!J12/100)^Skills!K12</f>
        <v/>
      </c>
      <c r="I1404" t="inlineStr">
        <is>
          <t>1</t>
        </is>
      </c>
      <c r="J1404">
        <f>((Inputs!$B$6*(1+Inputs!$B$7/100))+(((Inputs!$B$12*(1+Inputs!$B$13/100))-(Inputs!$B$12*(1+Inputs!$B$13/100)))+0.25*(Inputs!$B$14-Inputs!$B$14))*(1+Inputs!$B$7/100))*(F1404/100)</f>
        <v/>
      </c>
      <c r="K1404">
        <f>J1404*(1+((Inputs!$B$12*(1+Inputs!$B$13/100))*0.01+Inputs!$B$14*0.0025)/100)*(1+Inputs!$B$15/100)*(1+IF(Inputs!$B$39="pvp",0,(1-Summary!$B$55)*(Inputs!$B$20+0+Skills!P12+B1426)+Summary!$B$55*(Inputs!$B$21+Skills!Q12+B1426))/100)*(1+Inputs!$B$16/100)*(5000/(6000+Inputs!$B$43*(1-Inputs!$B$19/100)))*(1+(Inputs!$B$24+((C1422=TRUE)*(F1422-Calc!F30)))/100)*(1+(IF(Skills!A12="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1404)</f>
        <v/>
      </c>
      <c r="L1404">
        <f>K1404*(MIN(Inputs!$B$22+((C1416=TRUE)*(F1416-Calc!F24)),Inputs!$B$23+((C1421=TRUE)*(F1421-Calc!F29)))/100+(Inputs!$B$23+((C1421=TRUE)*(F1421-Calc!F29)))/100)/2</f>
        <v/>
      </c>
      <c r="M1404">
        <f>L1404*(1+(Inputs!$B$10+((C1418=TRUE)*(F1418-Calc!F26))+B1432)/100)</f>
        <v/>
      </c>
      <c r="N1404">
        <f>L1404*(1-MIN((Inputs!$B$9+((C1417=TRUE)*(F1417-Calc!F25))+B1425),100)/100)+M1404*(MIN((Inputs!$B$9+((C1417=TRUE)*(F1417-Calc!F25))+B1425),100)/100)</f>
        <v/>
      </c>
      <c r="O1404">
        <f>IF(C1404,H1404*N1404*IF(AND(Inputs!$B$39&lt;&gt;"pvp",Inputs!$B$44&gt;0),((Skills!G12*((R1404-1)*IF(Skills!H12&gt;0,Skills!I12/Skills!H12,1)+IF(Skills!H12&gt;0,MIN(Skills!I12,MAX(0,MAX(0,Inputs!$B$44-B1436)-((R1404-1)*IF(Inputs!$B$39="pvp",15,MAX(0.1,Skills!D12-IF(Skills!E12=TRUE,1.0,0))))))/Skills!H12,1)))/Inputs!$B$44),G1404*Q1404)*IF(Inputs!$B$39="pvp",1,(1-Summary!$B$55)*(1)+Summary!$B$55*(MIN(Skills!W12,Inputs!$B$37))),0)</f>
        <v/>
      </c>
      <c r="P1404">
        <f>IF(B1437=0,0,O1404/B1437)</f>
        <v/>
      </c>
      <c r="Q1404">
        <f>IFERROR(1/IF(Inputs!$B$39="pvp",15,MAX(0.1,Skills!D12-IF(Skills!E12=TRUE,1.0,0))),0)</f>
        <v/>
      </c>
      <c r="R1404">
        <f>IF(AND(Inputs!$B$39&lt;&gt;"pvp",Inputs!$B$44&gt;0),IF(MAX(0,Inputs!$B$44-B1436)&lt;=0,0,(INT(MAX(0,Inputs!$B$44-B1436)/IF(Inputs!$B$39="pvp",15,MAX(0.1,Skills!D12-IF(Skills!E12=TRUE,1.0,0))))+1)),0)</f>
        <v/>
      </c>
      <c r="S1404">
        <f>IFERROR(O1404/N1404,0)</f>
        <v/>
      </c>
    </row>
    <row r="1405">
      <c r="A1405">
        <f>Skills!A13</f>
        <v/>
      </c>
      <c r="B1405">
        <f>Skills!B13</f>
        <v/>
      </c>
      <c r="C1405">
        <f>Inputs!$B$3&gt;=105</f>
        <v/>
      </c>
      <c r="D1405">
        <f>IF(Skills!C13=1,60+Inputs!$B$25+Inputs!$B$29,IF(Skills!C13=2,90+Inputs!$B$26+Inputs!$B$29,IF(Skills!C13=3,120+Inputs!$B$27+Inputs!$B$29,MAX(0,(Inputs!$B$3-100)*3)+Inputs!$B$28+Inputs!$B$29)))</f>
        <v/>
      </c>
      <c r="E1405">
        <f>INDEX(FactorTable!$B$2:$Y$301, MATCH(ROUND(MIN(300,MAX(1,D1405)),0), FactorTable!$A$2:$A$301,0), Skills!M13+1)</f>
        <v/>
      </c>
      <c r="F1405">
        <f>IF(Skills!N13=TRUE,(Skills!L13/10)*(E1405/1000),Skills!L13/10)+Skills!O13</f>
        <v/>
      </c>
      <c r="G1405">
        <f>Skills!G13*IF(Skills!H13&gt;0,Skills!I13/Skills!H13,1)</f>
        <v/>
      </c>
      <c r="H1405">
        <f>1-(1-Skills!J13/100)^Skills!K13</f>
        <v/>
      </c>
      <c r="I1405" t="inlineStr">
        <is>
          <t>1</t>
        </is>
      </c>
      <c r="J1405">
        <f>((Inputs!$B$6*(1+Inputs!$B$7/100))+(((Inputs!$B$12*(1+Inputs!$B$13/100))-(Inputs!$B$12*(1+Inputs!$B$13/100)))+0.25*(Inputs!$B$14-Inputs!$B$14))*(1+Inputs!$B$7/100))*(F1405/100)</f>
        <v/>
      </c>
      <c r="K1405">
        <f>J1405*(1+((Inputs!$B$12*(1+Inputs!$B$13/100))*0.01+Inputs!$B$14*0.0025)/100)*(1+Inputs!$B$15/100)*(1+IF(Inputs!$B$39="pvp",0,(1-Summary!$B$55)*(Inputs!$B$20+0+Skills!P13+B1426)+Summary!$B$55*(Inputs!$B$21+Skills!Q13+B1426))/100)*(1+Inputs!$B$16/100)*(5000/(6000+Inputs!$B$43*(1-Inputs!$B$19/100)))*(1+(Inputs!$B$24+((C1422=TRUE)*(F1422-Calc!F30)))/100)*(1+(IF(Skills!A13="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1405)</f>
        <v/>
      </c>
      <c r="L1405">
        <f>K1405*(MIN(Inputs!$B$22+((C1416=TRUE)*(F1416-Calc!F24)),Inputs!$B$23+((C1421=TRUE)*(F1421-Calc!F29)))/100+(Inputs!$B$23+((C1421=TRUE)*(F1421-Calc!F29)))/100)/2</f>
        <v/>
      </c>
      <c r="M1405">
        <f>L1405*(1+(Inputs!$B$10+((C1418=TRUE)*(F1418-Calc!F26))+B1432)/100)</f>
        <v/>
      </c>
      <c r="N1405">
        <f>L1405*(1-MIN((Inputs!$B$9+((C1417=TRUE)*(F1417-Calc!F25))+B1425),100)/100)+M1405*(MIN((Inputs!$B$9+((C1417=TRUE)*(F1417-Calc!F25))+B1425),100)/100)</f>
        <v/>
      </c>
      <c r="O1405">
        <f>IF(C1405,H1405*N1405*IF(AND(Inputs!$B$39&lt;&gt;"pvp",Inputs!$B$44&gt;0),((Skills!G13*((R1405-1)*IF(Skills!H13&gt;0,Skills!I13/Skills!H13,1)+IF(Skills!H13&gt;0,MIN(Skills!I13,MAX(0,MAX(0,Inputs!$B$44-B1436)-((R1405-1)*IF(Inputs!$B$39="pvp",15,MAX(0.1,Skills!D13-IF(Skills!E13=TRUE,1.0,0))))))/Skills!H13,1)))/Inputs!$B$44),G1405*Q1405)*IF(Inputs!$B$39="pvp",1,(1-Summary!$B$55)*(1)+Summary!$B$55*(MIN(Skills!W13,Inputs!$B$37))),0)</f>
        <v/>
      </c>
      <c r="P1405">
        <f>IF(B1437=0,0,O1405/B1437)</f>
        <v/>
      </c>
      <c r="Q1405">
        <f>IFERROR(1/IF(Inputs!$B$39="pvp",15,MAX(0.1,Skills!D13-IF(Skills!E13=TRUE,1.0,0))),0)</f>
        <v/>
      </c>
      <c r="R1405">
        <f>IF(AND(Inputs!$B$39&lt;&gt;"pvp",Inputs!$B$44&gt;0),IF(MAX(0,Inputs!$B$44-B1436)&lt;=0,0,(INT(MAX(0,Inputs!$B$44-B1436)/IF(Inputs!$B$39="pvp",15,MAX(0.1,Skills!D13-IF(Skills!E13=TRUE,1.0,0))))+1)),0)</f>
        <v/>
      </c>
      <c r="S1405">
        <f>IFERROR(O1405/N1405,0)</f>
        <v/>
      </c>
    </row>
    <row r="1406">
      <c r="A1406">
        <f>Skills!A14</f>
        <v/>
      </c>
      <c r="B1406">
        <f>Skills!B14</f>
        <v/>
      </c>
      <c r="C1406">
        <f>Inputs!$B$3&gt;=107</f>
        <v/>
      </c>
      <c r="D1406">
        <f>IF(Skills!C14=1,60+Inputs!$B$25+Inputs!$B$29,IF(Skills!C14=2,90+Inputs!$B$26+Inputs!$B$29,IF(Skills!C14=3,120+Inputs!$B$27+Inputs!$B$29,MAX(0,(Inputs!$B$3-100)*3)+Inputs!$B$28+Inputs!$B$29)))</f>
        <v/>
      </c>
      <c r="E1406">
        <f>INDEX(FactorTable!$B$2:$Y$301, MATCH(ROUND(MIN(300,MAX(1,D1406)),0), FactorTable!$A$2:$A$301,0), Skills!M14+1)</f>
        <v/>
      </c>
      <c r="F1406">
        <f>IF(Skills!N14=TRUE,(Skills!L14/10)*(E1406/1000),Skills!L14/10)+Skills!O14</f>
        <v/>
      </c>
      <c r="G1406">
        <f>Skills!G14*IF(Skills!H14&gt;0,Skills!I14/Skills!H14,1)</f>
        <v/>
      </c>
      <c r="H1406">
        <f>1-(1-Skills!J14/100)^Skills!K14</f>
        <v/>
      </c>
      <c r="I1406" t="inlineStr">
        <is>
          <t>1</t>
        </is>
      </c>
      <c r="J1406">
        <f>((Inputs!$B$6*(1+Inputs!$B$7/100))+(((Inputs!$B$12*(1+Inputs!$B$13/100))-(Inputs!$B$12*(1+Inputs!$B$13/100)))+0.25*(Inputs!$B$14-Inputs!$B$14))*(1+Inputs!$B$7/100))*(F1406/100)</f>
        <v/>
      </c>
      <c r="K1406">
        <f>J1406*(1+((Inputs!$B$12*(1+Inputs!$B$13/100))*0.01+Inputs!$B$14*0.0025)/100)*(1+Inputs!$B$15/100)*(1+IF(Inputs!$B$39="pvp",0,(1-Summary!$B$55)*(Inputs!$B$20+0+Skills!P14+B1426)+Summary!$B$55*(Inputs!$B$21+Skills!Q14+B1426))/100)*(1+Inputs!$B$16/100)*(5000/(6000+Inputs!$B$43*(1-Inputs!$B$19/100)))*(1+(Inputs!$B$24+((C1422=TRUE)*(F1422-Calc!F30)))/100)*(1+(IF(Skills!A14="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1406)</f>
        <v/>
      </c>
      <c r="L1406">
        <f>K1406*(MIN(Inputs!$B$22+((C1416=TRUE)*(F1416-Calc!F24)),Inputs!$B$23+((C1421=TRUE)*(F1421-Calc!F29)))/100+(Inputs!$B$23+((C1421=TRUE)*(F1421-Calc!F29)))/100)/2</f>
        <v/>
      </c>
      <c r="M1406">
        <f>L1406*(1+(Inputs!$B$10+((C1418=TRUE)*(F1418-Calc!F26))+B1432)/100)</f>
        <v/>
      </c>
      <c r="N1406">
        <f>L1406*(1-MIN((Inputs!$B$9+((C1417=TRUE)*(F1417-Calc!F25))+B1425),100)/100)+M1406*(MIN((Inputs!$B$9+((C1417=TRUE)*(F1417-Calc!F25))+B1425),100)/100)</f>
        <v/>
      </c>
      <c r="O1406">
        <f>IF(C1406,H1406*N1406*IF(AND(Inputs!$B$39&lt;&gt;"pvp",Inputs!$B$44&gt;0),((Skills!G14*((R1406-1)*IF(Skills!H14&gt;0,Skills!I14/Skills!H14,1)+IF(Skills!H14&gt;0,MIN(Skills!I14,MAX(0,MAX(0,Inputs!$B$44-B1436)-((R1406-1)*IF(Inputs!$B$39="pvp",15,MAX(0.1,Skills!D14-IF(Skills!E14=TRUE,1.0,0))))))/Skills!H14,1)))/Inputs!$B$44),G1406*Q1406)*IF(Inputs!$B$39="pvp",1,(1-Summary!$B$55)*(1)+Summary!$B$55*(MIN(MIN(5,0.25*B1429*Skills!D4)*Skills!V14,Inputs!$B$37))),0)</f>
        <v/>
      </c>
      <c r="P1406">
        <f>IF(B1437=0,0,O1406/B1437)</f>
        <v/>
      </c>
      <c r="Q1406">
        <f>IFERROR(1/IF(Inputs!$B$39="pvp",15,MAX(0.1,Skills!D14-IF(Skills!E14=TRUE,1.0,0))),0)</f>
        <v/>
      </c>
      <c r="R1406">
        <f>IF(AND(Inputs!$B$39&lt;&gt;"pvp",Inputs!$B$44&gt;0),IF(MAX(0,Inputs!$B$44-B1436)&lt;=0,0,(INT(MAX(0,Inputs!$B$44-B1436)/IF(Inputs!$B$39="pvp",15,MAX(0.1,Skills!D14-IF(Skills!E14=TRUE,1.0,0))))+1)),0)</f>
        <v/>
      </c>
      <c r="S1406">
        <f>IFERROR(O1406/N1406,0)</f>
        <v/>
      </c>
    </row>
    <row r="1407">
      <c r="A1407">
        <f>Skills!A15</f>
        <v/>
      </c>
      <c r="B1407">
        <f>Skills!B15</f>
        <v/>
      </c>
      <c r="C1407">
        <f>Inputs!$B$3&gt;=110</f>
        <v/>
      </c>
      <c r="D1407">
        <f>IF(Skills!C15=1,60+Inputs!$B$25+Inputs!$B$29,IF(Skills!C15=2,90+Inputs!$B$26+Inputs!$B$29,IF(Skills!C15=3,120+Inputs!$B$27+Inputs!$B$29,MAX(0,(Inputs!$B$3-100)*3)+Inputs!$B$28+Inputs!$B$29)))</f>
        <v/>
      </c>
      <c r="E1407">
        <f>INDEX(FactorTable!$B$2:$Y$301, MATCH(ROUND(MIN(300,MAX(1,D1407)),0), FactorTable!$A$2:$A$301,0), Skills!M15+1)</f>
        <v/>
      </c>
      <c r="F1407">
        <f>IF(Skills!N15=TRUE,(Skills!L15/10)*(E1407/1000),Skills!L15/10)+Skills!O15</f>
        <v/>
      </c>
      <c r="G1407">
        <f>Skills!G15*IF(Skills!H15&gt;0,Skills!I15/Skills!H15,1)</f>
        <v/>
      </c>
      <c r="H1407">
        <f>1-(1-Skills!J15/100)^Skills!K15</f>
        <v/>
      </c>
      <c r="I1407" t="inlineStr">
        <is>
          <t>1</t>
        </is>
      </c>
      <c r="J1407" t="inlineStr"/>
      <c r="K1407" t="inlineStr"/>
      <c r="L1407" t="inlineStr"/>
      <c r="M1407" t="inlineStr"/>
      <c r="N1407" t="inlineStr"/>
      <c r="O1407" t="n">
        <v>0</v>
      </c>
      <c r="P1407">
        <f>IF(B1437=0,0,O1407/B1437)</f>
        <v/>
      </c>
      <c r="Q1407">
        <f>IFERROR(1/IF(Inputs!$B$39="pvp",15,MAX(0.1,Skills!D15-IF(Skills!E15=TRUE,1.0,0))),0)</f>
        <v/>
      </c>
      <c r="R1407">
        <f>IF(AND(Inputs!$B$39&lt;&gt;"pvp",Inputs!$B$44&gt;0),IF(Inputs!$B$44&lt;=0,0,(INT(Inputs!$B$44/IF(Inputs!$B$39="pvp",15,MAX(0.1,Skills!D15-IF(Skills!E15=TRUE,1.0,0))))+1)),0)</f>
        <v/>
      </c>
      <c r="S1407">
        <f>IFERROR(O1407/N1407,0)</f>
        <v/>
      </c>
    </row>
    <row r="1408">
      <c r="A1408">
        <f>Skills!A16</f>
        <v/>
      </c>
      <c r="B1408">
        <f>Skills!B16</f>
        <v/>
      </c>
      <c r="C1408">
        <f>Inputs!$B$3&gt;=115</f>
        <v/>
      </c>
      <c r="D1408">
        <f>IF(Skills!C16=1,60+Inputs!$B$25+Inputs!$B$29,IF(Skills!C16=2,90+Inputs!$B$26+Inputs!$B$29,IF(Skills!C16=3,120+Inputs!$B$27+Inputs!$B$29,MAX(0,(Inputs!$B$3-100)*3)+Inputs!$B$28+Inputs!$B$29)))</f>
        <v/>
      </c>
      <c r="E1408">
        <f>INDEX(FactorTable!$B$2:$Y$301, MATCH(ROUND(MIN(300,MAX(1,D1408)),0), FactorTable!$A$2:$A$301,0), Skills!M16+1)</f>
        <v/>
      </c>
      <c r="F1408">
        <f>IF(Skills!N16=TRUE,(Skills!L16/10)*(E1408/1000),Skills!L16/10)+Skills!O16</f>
        <v/>
      </c>
      <c r="G1408">
        <f>Skills!G16*IF(Skills!H16&gt;0,Skills!I16/Skills!H16,1)</f>
        <v/>
      </c>
      <c r="H1408">
        <f>1-(1-Skills!J16/100)^Skills!K16</f>
        <v/>
      </c>
      <c r="I1408" t="inlineStr">
        <is>
          <t>1</t>
        </is>
      </c>
      <c r="J1408">
        <f>((Inputs!$B$6*(1+Inputs!$B$7/100))+(((Inputs!$B$12*(1+Inputs!$B$13/100))-(Inputs!$B$12*(1+Inputs!$B$13/100)))+0.25*(Inputs!$B$14-Inputs!$B$14))*(1+Inputs!$B$7/100))*(F1408/100)</f>
        <v/>
      </c>
      <c r="K1408">
        <f>J1408*(1+((Inputs!$B$12*(1+Inputs!$B$13/100))*0.01+Inputs!$B$14*0.0025)/100)*(1+Inputs!$B$15/100)*(1+IF(Inputs!$B$39="pvp",0,(1-Summary!$B$55)*(Inputs!$B$20+0+Skills!P16+B1426)+Summary!$B$55*(Inputs!$B$21+Skills!Q16+B1426))/100)*(1+Inputs!$B$16/100)*(5000/(6000+Inputs!$B$43*(1-Inputs!$B$19/100)))*(1+(Inputs!$B$24+((C1422=TRUE)*(F1422-Calc!F30)))/100)*(1+(IF(Skills!A16="CRUEL_STAB",Inputs!$B$17+((C1419=TRUE)*(F1419-Calc!F27)),Inputs!$B$18+((C1420=TRUE)*(F1420-Calc!F28))))/100)*(((1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B1427*I1408)</f>
        <v/>
      </c>
      <c r="L1408">
        <f>K1408*(MIN(Inputs!$B$22+((C1416=TRUE)*(F1416-Calc!F24)),Inputs!$B$23+((C1421=TRUE)*(F1421-Calc!F29)))/100+(Inputs!$B$23+((C1421=TRUE)*(F1421-Calc!F29)))/100)/2</f>
        <v/>
      </c>
      <c r="M1408">
        <f>L1408*(1+(Inputs!$B$10+((C1418=TRUE)*(F1418-Calc!F26))+B1432)/100)</f>
        <v/>
      </c>
      <c r="N1408">
        <f>L1408*(1-MIN((Inputs!$B$9+((C1417=TRUE)*(F1417-Calc!F25))+B1425),100)/100)+M1408*(MIN((Inputs!$B$9+((C1417=TRUE)*(F1417-Calc!F25))+B1425),100)/100)</f>
        <v/>
      </c>
      <c r="O1408">
        <f>IF(C1408,Inputs!$B$38*0.2*N1408,0)</f>
        <v/>
      </c>
      <c r="P1408">
        <f>IF(B1437=0,0,O1408/B1437)</f>
        <v/>
      </c>
      <c r="Q1408" t="n">
        <v>0</v>
      </c>
      <c r="R1408" t="n">
        <v>0</v>
      </c>
      <c r="S1408">
        <f>IFERROR(O1408/N1408,0)</f>
        <v/>
      </c>
    </row>
    <row r="1409">
      <c r="A1409">
        <f>Skills!A17</f>
        <v/>
      </c>
      <c r="B1409">
        <f>Skills!B17</f>
        <v/>
      </c>
      <c r="C1409">
        <f>Inputs!$B$3&gt;=115</f>
        <v/>
      </c>
      <c r="D1409">
        <f>IF(Skills!C17=1,60+Inputs!$B$25+Inputs!$B$29,IF(Skills!C17=2,90+Inputs!$B$26+Inputs!$B$29,IF(Skills!C17=3,120+Inputs!$B$27+Inputs!$B$29,MAX(0,(Inputs!$B$3-100)*3)+Inputs!$B$28+Inputs!$B$29)))</f>
        <v/>
      </c>
      <c r="E1409">
        <f>INDEX(FactorTable!$B$2:$Y$301, MATCH(ROUND(MIN(300,MAX(1,D1409)),0), FactorTable!$A$2:$A$301,0), Skills!M17+1)</f>
        <v/>
      </c>
      <c r="F1409">
        <f>IF(Skills!N17=TRUE,(Skills!L17/10)*(E1409/1000),Skills!L17/10)+Skills!O17</f>
        <v/>
      </c>
      <c r="G1409">
        <f>Skills!G17*IF(Skills!H17&gt;0,Skills!I17/Skills!H17,1)</f>
        <v/>
      </c>
      <c r="H1409">
        <f>1-(1-Skills!J17/100)^Skills!K17</f>
        <v/>
      </c>
      <c r="I1409" t="inlineStr">
        <is>
          <t>1</t>
        </is>
      </c>
      <c r="J1409" t="inlineStr"/>
      <c r="K1409" t="inlineStr"/>
      <c r="L1409" t="inlineStr"/>
      <c r="M1409" t="inlineStr"/>
      <c r="N1409" t="inlineStr"/>
      <c r="O1409" t="n">
        <v>0</v>
      </c>
      <c r="P1409">
        <f>IF(B1437=0,0,O1409/B1437)</f>
        <v/>
      </c>
      <c r="Q1409" t="n">
        <v>0</v>
      </c>
      <c r="R1409" t="n">
        <v>0</v>
      </c>
      <c r="S1409">
        <f>IFERROR(O1409/N1409,0)</f>
        <v/>
      </c>
    </row>
    <row r="1410">
      <c r="A1410">
        <f>Skills!A18</f>
        <v/>
      </c>
      <c r="B1410">
        <f>Skills!B18</f>
        <v/>
      </c>
      <c r="C1410">
        <f>Inputs!$B$3&gt;=100</f>
        <v/>
      </c>
      <c r="D1410">
        <f>IF(Skills!C18=1,60+Inputs!$B$25+Inputs!$B$29,IF(Skills!C18=2,90+Inputs!$B$26+Inputs!$B$29,IF(Skills!C18=3,120+Inputs!$B$27+Inputs!$B$29,MAX(0,(Inputs!$B$3-100)*3)+Inputs!$B$28+Inputs!$B$29)))</f>
        <v/>
      </c>
      <c r="E1410">
        <f>INDEX(FactorTable!$B$2:$Y$301, MATCH(ROUND(MIN(300,MAX(1,D1410)),0), FactorTable!$A$2:$A$301,0), Skills!M18+1)</f>
        <v/>
      </c>
      <c r="F1410">
        <f>IF(Skills!N18=TRUE,(Skills!L18/10)*(E1410/1000),Skills!L18/10)+Skills!O18</f>
        <v/>
      </c>
      <c r="G1410">
        <f>Skills!G18*IF(Skills!H18&gt;0,Skills!I18/Skills!H18,1)</f>
        <v/>
      </c>
      <c r="H1410">
        <f>1-(1-Skills!J18/100)^Skills!K18</f>
        <v/>
      </c>
      <c r="I1410" t="inlineStr">
        <is>
          <t>1</t>
        </is>
      </c>
      <c r="J1410" t="inlineStr"/>
      <c r="K1410" t="inlineStr"/>
      <c r="L1410" t="inlineStr"/>
      <c r="M1410" t="inlineStr"/>
      <c r="N1410" t="inlineStr"/>
      <c r="O1410" t="n">
        <v>0</v>
      </c>
      <c r="P1410">
        <f>IF(B1437=0,0,O1410/B1437)</f>
        <v/>
      </c>
      <c r="Q1410" t="n">
        <v>0</v>
      </c>
      <c r="R1410" t="n">
        <v>0</v>
      </c>
      <c r="S1410">
        <f>IFERROR(O1410/N1410,0)</f>
        <v/>
      </c>
    </row>
    <row r="1411">
      <c r="A1411">
        <f>Skills!A19</f>
        <v/>
      </c>
      <c r="B1411">
        <f>Skills!B19</f>
        <v/>
      </c>
      <c r="C1411">
        <f>TRUE</f>
        <v/>
      </c>
      <c r="D1411">
        <f>IF(Skills!C19=1,60+Inputs!$B$25+Inputs!$B$29,IF(Skills!C19=2,90+Inputs!$B$26+Inputs!$B$29,IF(Skills!C19=3,120+Inputs!$B$27+Inputs!$B$29,MAX(0,(Inputs!$B$3-100)*3)+Inputs!$B$28+Inputs!$B$29)))</f>
        <v/>
      </c>
      <c r="E1411">
        <f>INDEX(FactorTable!$B$2:$Y$301, MATCH(ROUND(MIN(300,MAX(1,D1411)),0), FactorTable!$A$2:$A$301,0), Skills!M19+1)</f>
        <v/>
      </c>
      <c r="F1411">
        <f>IF(Skills!N19=TRUE,(Skills!L19/10)*(E1411/1000),Skills!L19/10)+Skills!O19</f>
        <v/>
      </c>
      <c r="G1411">
        <f>Skills!G19*IF(Skills!H19&gt;0,Skills!I19/Skills!H19,1)</f>
        <v/>
      </c>
      <c r="H1411">
        <f>1-(1-Skills!J19/100)^Skills!K19</f>
        <v/>
      </c>
      <c r="I1411" t="inlineStr">
        <is>
          <t>1</t>
        </is>
      </c>
      <c r="J1411" t="inlineStr"/>
      <c r="K1411" t="inlineStr"/>
      <c r="L1411" t="inlineStr"/>
      <c r="M1411" t="inlineStr"/>
      <c r="N1411" t="inlineStr"/>
      <c r="O1411" t="n">
        <v>0</v>
      </c>
      <c r="P1411">
        <f>IF(B1437=0,0,O1411/B1437)</f>
        <v/>
      </c>
      <c r="Q1411">
        <f>IFERROR(1/IF(Inputs!$B$39="pvp",15,MAX(0.1,Skills!D19-IF(Skills!E19=TRUE,1.0,0))),0)</f>
        <v/>
      </c>
      <c r="R1411">
        <f>IF(AND(Inputs!$B$39&lt;&gt;"pvp",Inputs!$B$44&gt;0),IF(Inputs!$B$44&lt;=0,0,(INT(Inputs!$B$44/IF(Inputs!$B$39="pvp",15,MAX(0.1,Skills!D19-IF(Skills!E19=TRUE,1.0,0))))+1)),0)</f>
        <v/>
      </c>
      <c r="S1411">
        <f>IFERROR(O1411/N1411,0)</f>
        <v/>
      </c>
    </row>
    <row r="1412">
      <c r="A1412">
        <f>Skills!A20</f>
        <v/>
      </c>
      <c r="B1412">
        <f>Skills!B20</f>
        <v/>
      </c>
      <c r="C1412">
        <f>Inputs!$B$3&gt;=15</f>
        <v/>
      </c>
      <c r="D1412">
        <f>IF(Skills!C20=1,60+Inputs!$B$25+Inputs!$B$29,IF(Skills!C20=2,90+Inputs!$B$26+Inputs!$B$29,IF(Skills!C20=3,120+Inputs!$B$27+Inputs!$B$29,MAX(0,(Inputs!$B$3-100)*3)+Inputs!$B$28+Inputs!$B$29)))</f>
        <v/>
      </c>
      <c r="E1412">
        <f>INDEX(FactorTable!$B$2:$Y$301, MATCH(ROUND(MIN(300,MAX(1,D1412)),0), FactorTable!$A$2:$A$301,0), Skills!M20+1)</f>
        <v/>
      </c>
      <c r="F1412">
        <f>IF(Skills!N20=TRUE,(Skills!L20/10)*(E1412/1000),Skills!L20/10)+Skills!O20</f>
        <v/>
      </c>
      <c r="G1412">
        <f>Skills!G20*IF(Skills!H20&gt;0,Skills!I20/Skills!H20,1)</f>
        <v/>
      </c>
      <c r="H1412">
        <f>1-(1-Skills!J20/100)^Skills!K20</f>
        <v/>
      </c>
      <c r="I1412" t="inlineStr">
        <is>
          <t>1</t>
        </is>
      </c>
      <c r="J1412" t="inlineStr"/>
      <c r="K1412" t="inlineStr"/>
      <c r="L1412" t="inlineStr"/>
      <c r="M1412" t="inlineStr"/>
      <c r="N1412" t="inlineStr"/>
      <c r="O1412" t="n">
        <v>0</v>
      </c>
      <c r="P1412">
        <f>IF(B1437=0,0,O1412/B1437)</f>
        <v/>
      </c>
      <c r="Q1412">
        <f>IFERROR(1/IF(Inputs!$B$39="pvp",15,MAX(0.1,Skills!D20-IF(Skills!E20=TRUE,1.0,0))),0)</f>
        <v/>
      </c>
      <c r="R1412">
        <f>IF(AND(Inputs!$B$39&lt;&gt;"pvp",Inputs!$B$44&gt;0),IF(Inputs!$B$44&lt;=0,0,(INT(Inputs!$B$44/IF(Inputs!$B$39="pvp",15,MAX(0.1,Skills!D20-IF(Skills!E20=TRUE,1.0,0))))+1)),0)</f>
        <v/>
      </c>
      <c r="S1412">
        <f>IFERROR(O1412/N1412,0)</f>
        <v/>
      </c>
    </row>
    <row r="1413">
      <c r="A1413">
        <f>Skills!A21</f>
        <v/>
      </c>
      <c r="B1413">
        <f>Skills!B21</f>
        <v/>
      </c>
      <c r="C1413">
        <f>Inputs!$B$3&gt;=15</f>
        <v/>
      </c>
      <c r="D1413">
        <f>IF(Skills!C21=1,60+Inputs!$B$25+Inputs!$B$29,IF(Skills!C21=2,90+Inputs!$B$26+Inputs!$B$29,IF(Skills!C21=3,120+Inputs!$B$27+Inputs!$B$29,MAX(0,(Inputs!$B$3-100)*3)+Inputs!$B$28+Inputs!$B$29)))</f>
        <v/>
      </c>
      <c r="E1413">
        <f>INDEX(FactorTable!$B$2:$Y$301, MATCH(ROUND(MIN(300,MAX(1,D1413)),0), FactorTable!$A$2:$A$301,0), Skills!M21+1)</f>
        <v/>
      </c>
      <c r="F1413">
        <f>IF(Skills!N21=TRUE,(Skills!L21/10)*(E1413/1000),Skills!L21/10)+Skills!O21</f>
        <v/>
      </c>
      <c r="G1413">
        <f>Skills!G21*IF(Skills!H21&gt;0,Skills!I21/Skills!H21,1)</f>
        <v/>
      </c>
      <c r="H1413">
        <f>1-(1-Skills!J21/100)^Skills!K21</f>
        <v/>
      </c>
      <c r="I1413" t="inlineStr">
        <is>
          <t>1</t>
        </is>
      </c>
      <c r="J1413" t="inlineStr"/>
      <c r="K1413" t="inlineStr"/>
      <c r="L1413" t="inlineStr"/>
      <c r="M1413" t="inlineStr"/>
      <c r="N1413" t="inlineStr"/>
      <c r="O1413" t="n">
        <v>0</v>
      </c>
      <c r="P1413">
        <f>IF(B1437=0,0,O1413/B1437)</f>
        <v/>
      </c>
      <c r="Q1413">
        <f>IFERROR(1/IF(Inputs!$B$39="pvp",15,MAX(0.1,Skills!D21-IF(Skills!E21=TRUE,1.0,0))),0)</f>
        <v/>
      </c>
      <c r="R1413">
        <f>IF(AND(Inputs!$B$39&lt;&gt;"pvp",Inputs!$B$44&gt;0),IF(Inputs!$B$44&lt;=0,0,(INT(Inputs!$B$44/IF(Inputs!$B$39="pvp",15,MAX(0.1,Skills!D21-IF(Skills!E21=TRUE,1.0,0))))+1)),0)</f>
        <v/>
      </c>
      <c r="S1413">
        <f>IFERROR(O1413/N1413,0)</f>
        <v/>
      </c>
    </row>
    <row r="1414">
      <c r="A1414">
        <f>Skills!A22</f>
        <v/>
      </c>
      <c r="B1414">
        <f>Skills!B22</f>
        <v/>
      </c>
      <c r="C1414">
        <f>Inputs!$B$3&gt;=33</f>
        <v/>
      </c>
      <c r="D1414">
        <f>IF(Skills!C22=1,60+Inputs!$B$25+Inputs!$B$29,IF(Skills!C22=2,90+Inputs!$B$26+Inputs!$B$29,IF(Skills!C22=3,120+Inputs!$B$27+Inputs!$B$29,MAX(0,(Inputs!$B$3-100)*3)+Inputs!$B$28+Inputs!$B$29)))</f>
        <v/>
      </c>
      <c r="E1414">
        <f>INDEX(FactorTable!$B$2:$Y$301, MATCH(ROUND(MIN(300,MAX(1,D1414)),0), FactorTable!$A$2:$A$301,0), Skills!M22+1)</f>
        <v/>
      </c>
      <c r="F1414">
        <f>IF(Skills!N22=TRUE,(Skills!L22/10)*(E1414/1000),Skills!L22/10)+Skills!O22</f>
        <v/>
      </c>
      <c r="G1414">
        <f>Skills!G22*IF(Skills!H22&gt;0,Skills!I22/Skills!H22,1)</f>
        <v/>
      </c>
      <c r="H1414">
        <f>1-(1-Skills!J22/100)^Skills!K22</f>
        <v/>
      </c>
      <c r="I1414" t="inlineStr">
        <is>
          <t>1</t>
        </is>
      </c>
      <c r="J1414" t="inlineStr"/>
      <c r="K1414" t="inlineStr"/>
      <c r="L1414" t="inlineStr"/>
      <c r="M1414" t="inlineStr"/>
      <c r="N1414" t="inlineStr"/>
      <c r="O1414" t="n">
        <v>0</v>
      </c>
      <c r="P1414">
        <f>IF(B1437=0,0,O1414/B1437)</f>
        <v/>
      </c>
      <c r="Q1414" t="n">
        <v>0</v>
      </c>
      <c r="R1414" t="n">
        <v>0</v>
      </c>
      <c r="S1414">
        <f>IFERROR(O1414/N1414,0)</f>
        <v/>
      </c>
    </row>
    <row r="1415">
      <c r="A1415">
        <f>Skills!A23</f>
        <v/>
      </c>
      <c r="B1415">
        <f>Skills!B23</f>
        <v/>
      </c>
      <c r="C1415">
        <f>Inputs!$B$3&gt;=40</f>
        <v/>
      </c>
      <c r="D1415">
        <f>IF(Skills!C23=1,60+Inputs!$B$25+Inputs!$B$29,IF(Skills!C23=2,90+Inputs!$B$26+Inputs!$B$29,IF(Skills!C23=3,120+Inputs!$B$27+Inputs!$B$29,MAX(0,(Inputs!$B$3-100)*3)+Inputs!$B$28+Inputs!$B$29)))</f>
        <v/>
      </c>
      <c r="E1415">
        <f>INDEX(FactorTable!$B$2:$Y$301, MATCH(ROUND(MIN(300,MAX(1,D1415)),0), FactorTable!$A$2:$A$301,0), Skills!M23+1)</f>
        <v/>
      </c>
      <c r="F1415">
        <f>IF(Skills!N23=TRUE,(Skills!L23/10)*(E1415/1000),Skills!L23/10)+Skills!O23</f>
        <v/>
      </c>
      <c r="G1415">
        <f>Skills!G23*IF(Skills!H23&gt;0,Skills!I23/Skills!H23,1)</f>
        <v/>
      </c>
      <c r="H1415">
        <f>1-(1-Skills!J23/100)^Skills!K23</f>
        <v/>
      </c>
      <c r="I1415" t="inlineStr">
        <is>
          <t>1</t>
        </is>
      </c>
      <c r="J1415" t="inlineStr"/>
      <c r="K1415" t="inlineStr"/>
      <c r="L1415" t="inlineStr"/>
      <c r="M1415" t="inlineStr"/>
      <c r="N1415" t="inlineStr"/>
      <c r="O1415" t="n">
        <v>0</v>
      </c>
      <c r="P1415">
        <f>IF(B1437=0,0,O1415/B1437)</f>
        <v/>
      </c>
      <c r="Q1415" t="n">
        <v>0</v>
      </c>
      <c r="R1415" t="n">
        <v>0</v>
      </c>
      <c r="S1415">
        <f>IFERROR(O1415/N1415,0)</f>
        <v/>
      </c>
    </row>
    <row r="1416">
      <c r="A1416">
        <f>Skills!A24</f>
        <v/>
      </c>
      <c r="B1416">
        <f>Skills!B24</f>
        <v/>
      </c>
      <c r="C1416">
        <f>Inputs!$B$3&gt;=43</f>
        <v/>
      </c>
      <c r="D1416">
        <f>IF(Skills!C24=1,60+Inputs!$B$25+Inputs!$B$29,IF(Skills!C24=2,90+Inputs!$B$26+Inputs!$B$29,IF(Skills!C24=3,120+Inputs!$B$27+Inputs!$B$29,MAX(0,(Inputs!$B$3-100)*3)+Inputs!$B$28+Inputs!$B$29)))</f>
        <v/>
      </c>
      <c r="E1416">
        <f>INDEX(FactorTable!$B$2:$Y$301, MATCH(ROUND(MIN(300,MAX(1,D1416)),0), FactorTable!$A$2:$A$301,0), Skills!M24+1)</f>
        <v/>
      </c>
      <c r="F1416">
        <f>IF(Skills!N24=TRUE,(Skills!L24/10)*(E1416/1000),Skills!L24/10)+Skills!O24</f>
        <v/>
      </c>
      <c r="G1416">
        <f>Skills!G24*IF(Skills!H24&gt;0,Skills!I24/Skills!H24,1)</f>
        <v/>
      </c>
      <c r="H1416">
        <f>1-(1-Skills!J24/100)^Skills!K24</f>
        <v/>
      </c>
      <c r="I1416" t="inlineStr">
        <is>
          <t>1</t>
        </is>
      </c>
      <c r="J1416" t="inlineStr"/>
      <c r="K1416" t="inlineStr"/>
      <c r="L1416" t="inlineStr"/>
      <c r="M1416" t="inlineStr"/>
      <c r="N1416" t="inlineStr"/>
      <c r="O1416" t="n">
        <v>0</v>
      </c>
      <c r="P1416">
        <f>IF(B1437=0,0,O1416/B1437)</f>
        <v/>
      </c>
      <c r="Q1416" t="n">
        <v>0</v>
      </c>
      <c r="R1416" t="n">
        <v>0</v>
      </c>
      <c r="S1416">
        <f>IFERROR(O1416/N1416,0)</f>
        <v/>
      </c>
    </row>
    <row r="1417">
      <c r="A1417">
        <f>Skills!A25</f>
        <v/>
      </c>
      <c r="B1417">
        <f>Skills!B25</f>
        <v/>
      </c>
      <c r="C1417">
        <f>Inputs!$B$3&gt;=50</f>
        <v/>
      </c>
      <c r="D1417">
        <f>IF(Skills!C25=1,60+Inputs!$B$25+Inputs!$B$29,IF(Skills!C25=2,90+Inputs!$B$26+Inputs!$B$29,IF(Skills!C25=3,120+Inputs!$B$27+Inputs!$B$29,MAX(0,(Inputs!$B$3-100)*3)+Inputs!$B$28+Inputs!$B$29)))</f>
        <v/>
      </c>
      <c r="E1417">
        <f>INDEX(FactorTable!$B$2:$Y$301, MATCH(ROUND(MIN(300,MAX(1,D1417)),0), FactorTable!$A$2:$A$301,0), Skills!M25+1)</f>
        <v/>
      </c>
      <c r="F1417">
        <f>IF(Skills!N25=TRUE,(Skills!L25/10)*(E1417/1000),Skills!L25/10)+Skills!O25</f>
        <v/>
      </c>
      <c r="G1417">
        <f>Skills!G25*IF(Skills!H25&gt;0,Skills!I25/Skills!H25,1)</f>
        <v/>
      </c>
      <c r="H1417">
        <f>1-(1-Skills!J25/100)^Skills!K25</f>
        <v/>
      </c>
      <c r="I1417" t="inlineStr">
        <is>
          <t>1</t>
        </is>
      </c>
      <c r="J1417" t="inlineStr"/>
      <c r="K1417" t="inlineStr"/>
      <c r="L1417" t="inlineStr"/>
      <c r="M1417" t="inlineStr"/>
      <c r="N1417" t="inlineStr"/>
      <c r="O1417" t="n">
        <v>0</v>
      </c>
      <c r="P1417">
        <f>IF(B1437=0,0,O1417/B1437)</f>
        <v/>
      </c>
      <c r="Q1417" t="n">
        <v>0</v>
      </c>
      <c r="R1417" t="n">
        <v>0</v>
      </c>
      <c r="S1417">
        <f>IFERROR(O1417/N1417,0)</f>
        <v/>
      </c>
    </row>
    <row r="1418">
      <c r="A1418">
        <f>Skills!A26</f>
        <v/>
      </c>
      <c r="B1418">
        <f>Skills!B26</f>
        <v/>
      </c>
      <c r="C1418">
        <f>Inputs!$B$3&gt;=50</f>
        <v/>
      </c>
      <c r="D1418">
        <f>IF(Skills!C26=1,60+Inputs!$B$25+Inputs!$B$29,IF(Skills!C26=2,90+Inputs!$B$26+Inputs!$B$29,IF(Skills!C26=3,120+Inputs!$B$27+Inputs!$B$29,MAX(0,(Inputs!$B$3-100)*3)+Inputs!$B$28+Inputs!$B$29)))</f>
        <v/>
      </c>
      <c r="E1418">
        <f>INDEX(FactorTable!$B$2:$Y$301, MATCH(ROUND(MIN(300,MAX(1,D1418)),0), FactorTable!$A$2:$A$301,0), Skills!M26+1)</f>
        <v/>
      </c>
      <c r="F1418">
        <f>IF(Skills!N26=TRUE,(Skills!L26/10)*(E1418/1000),Skills!L26/10)+Skills!O26</f>
        <v/>
      </c>
      <c r="G1418">
        <f>Skills!G26*IF(Skills!H26&gt;0,Skills!I26/Skills!H26,1)</f>
        <v/>
      </c>
      <c r="H1418">
        <f>1-(1-Skills!J26/100)^Skills!K26</f>
        <v/>
      </c>
      <c r="I1418" t="inlineStr">
        <is>
          <t>1</t>
        </is>
      </c>
      <c r="J1418" t="inlineStr"/>
      <c r="K1418" t="inlineStr"/>
      <c r="L1418" t="inlineStr"/>
      <c r="M1418" t="inlineStr"/>
      <c r="N1418" t="inlineStr"/>
      <c r="O1418" t="n">
        <v>0</v>
      </c>
      <c r="P1418">
        <f>IF(B1437=0,0,O1418/B1437)</f>
        <v/>
      </c>
      <c r="Q1418" t="n">
        <v>0</v>
      </c>
      <c r="R1418" t="n">
        <v>0</v>
      </c>
      <c r="S1418">
        <f>IFERROR(O1418/N1418,0)</f>
        <v/>
      </c>
    </row>
    <row r="1419">
      <c r="A1419">
        <f>Skills!A27</f>
        <v/>
      </c>
      <c r="B1419">
        <f>Skills!B27</f>
        <v/>
      </c>
      <c r="C1419">
        <f>Inputs!$B$3&gt;=38</f>
        <v/>
      </c>
      <c r="D1419">
        <f>IF(Skills!C27=1,60+Inputs!$B$25+Inputs!$B$29,IF(Skills!C27=2,90+Inputs!$B$26+Inputs!$B$29,IF(Skills!C27=3,120+Inputs!$B$27+Inputs!$B$29,MAX(0,(Inputs!$B$3-100)*3)+Inputs!$B$28+Inputs!$B$29)))</f>
        <v/>
      </c>
      <c r="E1419">
        <f>INDEX(FactorTable!$B$2:$Y$301, MATCH(ROUND(MIN(300,MAX(1,D1419)),0), FactorTable!$A$2:$A$301,0), Skills!M27+1)</f>
        <v/>
      </c>
      <c r="F1419">
        <f>IF(Skills!N27=TRUE,(Skills!L27/10)*(E1419/1000),Skills!L27/10)+Skills!O27</f>
        <v/>
      </c>
      <c r="G1419">
        <f>Skills!G27*IF(Skills!H27&gt;0,Skills!I27/Skills!H27,1)</f>
        <v/>
      </c>
      <c r="H1419">
        <f>1-(1-Skills!J27/100)^Skills!K27</f>
        <v/>
      </c>
      <c r="I1419" t="inlineStr">
        <is>
          <t>1</t>
        </is>
      </c>
      <c r="J1419" t="inlineStr"/>
      <c r="K1419" t="inlineStr"/>
      <c r="L1419" t="inlineStr"/>
      <c r="M1419" t="inlineStr"/>
      <c r="N1419" t="inlineStr"/>
      <c r="O1419" t="n">
        <v>0</v>
      </c>
      <c r="P1419">
        <f>IF(B1437=0,0,O1419/B1437)</f>
        <v/>
      </c>
      <c r="Q1419" t="n">
        <v>0</v>
      </c>
      <c r="R1419" t="n">
        <v>0</v>
      </c>
      <c r="S1419">
        <f>IFERROR(O1419/N1419,0)</f>
        <v/>
      </c>
    </row>
    <row r="1420">
      <c r="A1420">
        <f>Skills!A28</f>
        <v/>
      </c>
      <c r="B1420">
        <f>Skills!B28</f>
        <v/>
      </c>
      <c r="C1420">
        <f>Inputs!$B$3&gt;=120</f>
        <v/>
      </c>
      <c r="D1420">
        <f>IF(Skills!C28=1,60+Inputs!$B$25+Inputs!$B$29,IF(Skills!C28=2,90+Inputs!$B$26+Inputs!$B$29,IF(Skills!C28=3,120+Inputs!$B$27+Inputs!$B$29,MAX(0,(Inputs!$B$3-100)*3)+Inputs!$B$28+Inputs!$B$29)))</f>
        <v/>
      </c>
      <c r="E1420">
        <f>INDEX(FactorTable!$B$2:$Y$301, MATCH(ROUND(MIN(300,MAX(1,D1420)),0), FactorTable!$A$2:$A$301,0), Skills!M28+1)</f>
        <v/>
      </c>
      <c r="F1420">
        <f>IF(Skills!N28=TRUE,(Skills!L28/10)*(E1420/1000),Skills!L28/10)+Skills!O28</f>
        <v/>
      </c>
      <c r="G1420">
        <f>Skills!G28*IF(Skills!H28&gt;0,Skills!I28/Skills!H28,1)</f>
        <v/>
      </c>
      <c r="H1420">
        <f>1-(1-Skills!J28/100)^Skills!K28</f>
        <v/>
      </c>
      <c r="I1420" t="inlineStr">
        <is>
          <t>1</t>
        </is>
      </c>
      <c r="J1420" t="inlineStr"/>
      <c r="K1420" t="inlineStr"/>
      <c r="L1420" t="inlineStr"/>
      <c r="M1420" t="inlineStr"/>
      <c r="N1420" t="inlineStr"/>
      <c r="O1420" t="n">
        <v>0</v>
      </c>
      <c r="P1420">
        <f>IF(B1437=0,0,O1420/B1437)</f>
        <v/>
      </c>
      <c r="Q1420" t="n">
        <v>0</v>
      </c>
      <c r="R1420" t="n">
        <v>0</v>
      </c>
      <c r="S1420">
        <f>IFERROR(O1420/N1420,0)</f>
        <v/>
      </c>
    </row>
    <row r="1421">
      <c r="A1421">
        <f>Skills!A29</f>
        <v/>
      </c>
      <c r="B1421">
        <f>Skills!B29</f>
        <v/>
      </c>
      <c r="C1421">
        <f>Inputs!$B$3&gt;=120</f>
        <v/>
      </c>
      <c r="D1421">
        <f>IF(Skills!C29=1,60+Inputs!$B$25+Inputs!$B$29,IF(Skills!C29=2,90+Inputs!$B$26+Inputs!$B$29,IF(Skills!C29=3,120+Inputs!$B$27+Inputs!$B$29,MAX(0,(Inputs!$B$3-100)*3)+Inputs!$B$28+Inputs!$B$29)))</f>
        <v/>
      </c>
      <c r="E1421">
        <f>INDEX(FactorTable!$B$2:$Y$301, MATCH(ROUND(MIN(300,MAX(1,D1421)),0), FactorTable!$A$2:$A$301,0), Skills!M29+1)</f>
        <v/>
      </c>
      <c r="F1421">
        <f>IF(Skills!N29=TRUE,(Skills!L29/10)*(E1421/1000),Skills!L29/10)+Skills!O29</f>
        <v/>
      </c>
      <c r="G1421">
        <f>Skills!G29*IF(Skills!H29&gt;0,Skills!I29/Skills!H29,1)</f>
        <v/>
      </c>
      <c r="H1421">
        <f>1-(1-Skills!J29/100)^Skills!K29</f>
        <v/>
      </c>
      <c r="I1421" t="inlineStr">
        <is>
          <t>1</t>
        </is>
      </c>
      <c r="J1421" t="inlineStr"/>
      <c r="K1421" t="inlineStr"/>
      <c r="L1421" t="inlineStr"/>
      <c r="M1421" t="inlineStr"/>
      <c r="N1421" t="inlineStr"/>
      <c r="O1421" t="n">
        <v>0</v>
      </c>
      <c r="P1421">
        <f>IF(B1437=0,0,O1421/B1437)</f>
        <v/>
      </c>
      <c r="Q1421" t="n">
        <v>0</v>
      </c>
      <c r="R1421" t="n">
        <v>0</v>
      </c>
      <c r="S1421">
        <f>IFERROR(O1421/N1421,0)</f>
        <v/>
      </c>
    </row>
    <row r="1422">
      <c r="A1422">
        <f>Skills!A30</f>
        <v/>
      </c>
      <c r="B1422">
        <f>Skills!B30</f>
        <v/>
      </c>
      <c r="C1422">
        <f>Inputs!$B$3&gt;=125</f>
        <v/>
      </c>
      <c r="D1422">
        <f>IF(Skills!C30=1,60+Inputs!$B$25+Inputs!$B$29,IF(Skills!C30=2,90+Inputs!$B$26+Inputs!$B$29,IF(Skills!C30=3,120+Inputs!$B$27+Inputs!$B$29,MAX(0,(Inputs!$B$3-100)*3)+Inputs!$B$28+Inputs!$B$29)))</f>
        <v/>
      </c>
      <c r="E1422">
        <f>INDEX(FactorTable!$B$2:$Y$301, MATCH(ROUND(MIN(300,MAX(1,D1422)),0), FactorTable!$A$2:$A$301,0), Skills!M30+1)</f>
        <v/>
      </c>
      <c r="F1422">
        <f>IF(Skills!N30=TRUE,(Skills!L30/10)*(E1422/1000),Skills!L30/10)+Skills!O30</f>
        <v/>
      </c>
      <c r="G1422">
        <f>Skills!G30*IF(Skills!H30&gt;0,Skills!I30/Skills!H30,1)</f>
        <v/>
      </c>
      <c r="H1422">
        <f>1-(1-Skills!J30/100)^Skills!K30</f>
        <v/>
      </c>
      <c r="I1422" t="inlineStr">
        <is>
          <t>1</t>
        </is>
      </c>
      <c r="J1422" t="inlineStr"/>
      <c r="K1422" t="inlineStr"/>
      <c r="L1422" t="inlineStr"/>
      <c r="M1422" t="inlineStr"/>
      <c r="N1422" t="inlineStr"/>
      <c r="O1422" t="n">
        <v>0</v>
      </c>
      <c r="P1422">
        <f>IF(B1437=0,0,O1422/B1437)</f>
        <v/>
      </c>
      <c r="Q1422" t="n">
        <v>0</v>
      </c>
      <c r="R1422" t="n">
        <v>0</v>
      </c>
      <c r="S1422">
        <f>IFERROR(O1422/N1422,0)</f>
        <v/>
      </c>
    </row>
    <row r="1424">
      <c r="A1424" t="inlineStr">
        <is>
          <t>Average Buff Multiplier</t>
        </is>
      </c>
      <c r="B1424">
        <f>(1+(((C1413=TRUE)*F1413*IF(AND(Inputs!$B$39&lt;&gt;"pvp",Inputs!$B$44&gt;0),(((R1413-1)*(Skills!Y21*(1+Inputs!$B$34/100))+MIN((Skills!Y21*(1+Inputs!$B$34/100)),MAX(0,Inputs!$B$44-((R1413-1)*Skills!D21))))/Inputs!$B$44),IF(Inputs!$B$39="pvp",MIN((Skills!Y21*(1+Inputs!$B$34/100)),15)/15,(Skills!Y21*(1+Inputs!$B$34/100))/Skills!D21)))+((C1415=TRUE)*(F1415-Calc!F23))+((C1409=TRUE)*(F1409-Calc!F17)))/100)*(1+((C1402=TRUE)*F1402*IF(AND(Inputs!$B$39&lt;&gt;"pvp",Inputs!$B$44&gt;0),(((R1402-1)*(Skills!Y10*(1+Inputs!$B$34/100))+MIN((Skills!Y10*(1+Inputs!$B$34/100)),MAX(0,Inputs!$B$44-((R1402-1)*Skills!D10))))/Inputs!$B$44),IF(Inputs!$B$39="pvp",MIN((Skills!Y10*(1+Inputs!$B$34/100)),15)/15,(Skills!Y10*(1+Inputs!$B$34/100))/Skills!D10)))/100)*(1+((C1407=TRUE)*F1407*IF(AND(Inputs!$B$39&lt;&gt;"pvp",Inputs!$B$44&gt;0),(((R1407-1)*(Skills!Y15*(1+Inputs!$B$34/100))+MIN((Skills!Y15*(1+Inputs!$B$34/100)),MAX(0,Inputs!$B$44-((R1407-1)*Skills!D15))))/Inputs!$B$44),IF(Inputs!$B$39="pvp",MIN((Skills!Y15*(1+Inputs!$B$34/100)),15)/15,(Skills!Y15*(1+Inputs!$B$34/100))/Skills!D15)))/100)</f>
        <v/>
      </c>
    </row>
    <row r="1425">
      <c r="A1425" t="inlineStr">
        <is>
          <t>Global Crit Rate Bonus %</t>
        </is>
      </c>
      <c r="B1425">
        <f>((C1412=TRUE)*F1412*IF(AND(Inputs!$B$39&lt;&gt;"pvp",Inputs!$B$44&gt;0),(((R1412-1)*(Skills!Y20*(1+Inputs!$B$34/100))+MIN((Skills!Y20*(1+Inputs!$B$34/100)),MAX(0,Inputs!$B$44-((R1412-1)*Skills!D20))))/Inputs!$B$44),IF(Inputs!$B$39="pvp",MIN((Skills!Y20*(1+Inputs!$B$34/100)),15)/15,(Skills!Y20*(1+Inputs!$B$34/100))/Skills!D20)))</f>
        <v/>
      </c>
    </row>
    <row r="1426">
      <c r="A1426" t="inlineStr">
        <is>
          <t>Global Monster Damage-Taken Bonus %</t>
        </is>
      </c>
      <c r="B1426">
        <f>IF(Inputs!$B$3&gt;=82,15,0)</f>
        <v/>
      </c>
    </row>
    <row r="1427">
      <c r="A1427" t="inlineStr">
        <is>
          <t>Shadow Partner Average Multiplier</t>
        </is>
      </c>
      <c r="B1427">
        <f>1+((C1399=TRUE)*F1399*(1+3.3333333333333335*IF(C1410=TRUE,F1410,0)/100)*I1399*Skills!J7/100)/100</f>
        <v/>
      </c>
    </row>
    <row r="1428">
      <c r="A1428" t="inlineStr">
        <is>
          <t>Attack Speed Buff Bonus %</t>
        </is>
      </c>
      <c r="B1428">
        <f>((C1411=TRUE)*F1411*IF(AND(Inputs!$B$39&lt;&gt;"pvp",Inputs!$B$44&gt;0),(((R1411-1)*(Skills!Y19*(1+Inputs!$B$34/100))+MIN((Skills!Y19*(1+Inputs!$B$34/100)),MAX(0,Inputs!$B$44-((R1411-1)*Skills!D19))))/Inputs!$B$44),IF(Inputs!$B$39="pvp",MIN((Skills!Y19*(1+Inputs!$B$34/100)),15)/15,(Skills!Y19*(1+Inputs!$B$34/100))/Skills!D19)))+((C1395=TRUE)*F1395*3)</f>
        <v/>
      </c>
    </row>
    <row r="1429">
      <c r="A1429" t="inlineStr">
        <is>
          <t>Actions Per Second</t>
        </is>
      </c>
      <c r="B1429">
        <f>1+MIN(150,150*(1-(1-(Inputs!$B$11+((C1414=TRUE)*(F1414-Calc!F22)))/150)*(1-B1428/150)))/100</f>
        <v/>
      </c>
    </row>
    <row r="1430">
      <c r="A1430" t="inlineStr">
        <is>
          <t>Skill + Buff Cast Rate</t>
        </is>
      </c>
      <c r="B1430">
        <f>IF(AND(Inputs!$B$39&lt;&gt;"pvp",Inputs!$B$44&gt;0),SUMPRODUCT((Skills!E2:E30=TRUE)*(C1394:C1422=TRUE)*R1394:R1422*Skills!F2:F30)/Inputs!$B$44,SUMPRODUCT((Skills!E2:E30=TRUE)*(C1394:C1422=TRUE)*Q1394:Q1422*Skills!F2:F30))</f>
        <v/>
      </c>
    </row>
    <row r="1431">
      <c r="A1431" t="inlineStr">
        <is>
          <t>Cruel Stab Casts Per Second</t>
        </is>
      </c>
      <c r="B1431">
        <f>MAX(0,B1429-B1430)</f>
        <v/>
      </c>
    </row>
    <row r="1432">
      <c r="A1432" t="inlineStr">
        <is>
          <t>Global Critical Damage Bonus % (Smokescreen Mastery Lv.113)</t>
        </is>
      </c>
      <c r="B1432">
        <f>IF(Inputs!$B$3&gt;=113,30,0)*IF(AND(Inputs!$B$39&lt;&gt;"pvp",Inputs!$B$44&gt;0),(((R1407-1)*(Skills!Y15*(1+Inputs!$B$34/100))+MIN((Skills!Y15*(1+Inputs!$B$34/100)),MAX(0,Inputs!$B$44-((R1407-1)*Skills!D15))))/Inputs!$B$44),IF(Inputs!$B$39="pvp",MIN((Skills!Y15*(1+Inputs!$B$34/100)),15)/15,(Skills!Y15*(1+Inputs!$B$34/100))/Skills!D15))</f>
        <v/>
      </c>
    </row>
    <row r="1433">
      <c r="A1433" t="inlineStr">
        <is>
          <t>Meso Explosion average stack count</t>
        </is>
      </c>
      <c r="B1433">
        <f>MIN(10,0.5*B1429*Skills!D4)</f>
        <v/>
      </c>
    </row>
    <row r="1434">
      <c r="A1434" t="inlineStr">
        <is>
          <t>Blood Money average stack count</t>
        </is>
      </c>
      <c r="B1434">
        <f>MIN(5,0.25*B1429*Skills!D4)</f>
        <v/>
      </c>
    </row>
    <row r="1435">
      <c r="A1435" t="inlineStr">
        <is>
          <t>Assassinate Murderous Intent Multiplier</t>
        </is>
      </c>
      <c r="B1435">
        <f>1+IFERROR(MIN(1,Q1406*2/Q1403),0)</f>
        <v/>
      </c>
    </row>
    <row r="1436">
      <c r="A1436" t="inlineStr">
        <is>
          <t>Buff-Casting Startup Delay (s, fixed-duration only)</t>
        </is>
      </c>
      <c r="B1436">
        <f>IF(AND(Inputs!$B$39&lt;&gt;"pvp",Inputs!$B$44&gt;0),SUMPRODUCT((Skills!Y2:Y30&gt;0)*(Skills!E2:E30=TRUE)*(C1394:C1422=TRUE))/B1429,0)</f>
        <v/>
      </c>
    </row>
    <row r="1437">
      <c r="A1437" s="5" t="inlineStr">
        <is>
          <t>TOTAL DPS</t>
        </is>
      </c>
      <c r="B1437" s="5">
        <f>SUM(O1394:O1422)</f>
        <v/>
      </c>
    </row>
    <row r="1440">
      <c r="A1440" s="5" t="inlineStr">
        <is>
          <t>Stat: CDR = 1.5s</t>
        </is>
      </c>
    </row>
    <row r="1441">
      <c r="A1441" s="9" t="inlineStr">
        <is>
          <t>Key</t>
        </is>
      </c>
      <c r="B1441" s="9" t="inlineStr">
        <is>
          <t>Name</t>
        </is>
      </c>
      <c r="C1441" s="9" t="inlineStr">
        <is>
          <t>Unlocked</t>
        </is>
      </c>
      <c r="D1441" s="9" t="inlineStr">
        <is>
          <t>InputLevel</t>
        </is>
      </c>
      <c r="E1441" s="9" t="inlineStr">
        <is>
          <t>Factor</t>
        </is>
      </c>
      <c r="F1441" s="9" t="inlineStr">
        <is>
          <t>CoefficientPercent</t>
        </is>
      </c>
      <c r="G1441" s="9" t="inlineStr">
        <is>
          <t>EffectiveHits</t>
        </is>
      </c>
      <c r="H1441" s="9" t="inlineStr">
        <is>
          <t>ProcProbability</t>
        </is>
      </c>
      <c r="I1441" s="9" t="inlineStr">
        <is>
          <t>MapleHeroMultiplier</t>
        </is>
      </c>
      <c r="J1441" s="9" t="inlineStr">
        <is>
          <t>BaseDamage</t>
        </is>
      </c>
      <c r="K1441" s="9" t="inlineStr">
        <is>
          <t>BaseHitDamage</t>
        </is>
      </c>
      <c r="L1441" s="9" t="inlineStr">
        <is>
          <t>NonCritAvg</t>
        </is>
      </c>
      <c r="M1441" s="9" t="inlineStr">
        <is>
          <t>CritAvg</t>
        </is>
      </c>
      <c r="N1441" s="9" t="inlineStr">
        <is>
          <t>ExpectedDamage(perHit)</t>
        </is>
      </c>
      <c r="O1441" s="9" t="inlineStr">
        <is>
          <t>DPS</t>
        </is>
      </c>
      <c r="P1441" s="9" t="inlineStr">
        <is>
          <t>% of Total</t>
        </is>
      </c>
      <c r="Q1441" s="9" t="inlineStr">
        <is>
          <t>InvCooldown</t>
        </is>
      </c>
      <c r="R1441" s="9" t="inlineStr">
        <is>
          <t>CastsInFight</t>
        </is>
      </c>
      <c r="S1441" s="9" t="inlineStr">
        <is>
          <t>HitRate(perSec)</t>
        </is>
      </c>
      <c r="U1441" t="inlineStr">
        <is>
          <t>helpers</t>
        </is>
      </c>
    </row>
    <row r="1442">
      <c r="A1442">
        <f>Skills!A2</f>
        <v/>
      </c>
      <c r="B1442">
        <f>Skills!B2</f>
        <v/>
      </c>
      <c r="C1442">
        <f>Inputs!$B$3&gt;=100</f>
        <v/>
      </c>
      <c r="D1442" t="inlineStr"/>
      <c r="E1442" t="inlineStr"/>
      <c r="F1442">
        <f>U1444+Skills!O2</f>
        <v/>
      </c>
      <c r="G1442">
        <f>Skills!G2*IF(Skills!H2&gt;0,Skills!I2/Skills!H2,1)</f>
        <v/>
      </c>
      <c r="H1442">
        <f>1-(1-Skills!J2/100)^Skills!K2</f>
        <v/>
      </c>
      <c r="I1442" t="inlineStr">
        <is>
          <t>1</t>
        </is>
      </c>
      <c r="J1442">
        <f>((Inputs!$B$6*(1+Inputs!$B$7/100))+(((Inputs!$B$12*(1+Inputs!$B$13/100))-(Inputs!$B$12*(1+Inputs!$B$13/100)))+0.25*(Inputs!$B$14-Inputs!$B$14))*(1+Inputs!$B$7/100))*(F1442/100)</f>
        <v/>
      </c>
      <c r="K1442">
        <f>J1442*(1+((Inputs!$B$12*(1+Inputs!$B$13/100))*0.01+Inputs!$B$14*0.0025)/100)*(1+Inputs!$B$15/100)*(1+IF(Inputs!$B$39="pvp",0,(1-Summary!$B$55)*(Inputs!$B$20+0+Skills!P2+B1474)+Summary!$B$55*(Inputs!$B$21+Skills!Q2+B1474))/100)*(1+Inputs!$B$16/100)*(5000/(6000+Inputs!$B$43*(1-Inputs!$B$19/100)))*(1+(Inputs!$B$24+((C1470=TRUE)*(F1470-Calc!F30)))/100)*(1+(IF(Skills!A2="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1442)</f>
        <v/>
      </c>
      <c r="L1442">
        <f>K1442*(MIN(Inputs!$B$22+((C1464=TRUE)*(F1464-Calc!F24)),Inputs!$B$23+((C1469=TRUE)*(F1469-Calc!F29)))/100+(Inputs!$B$23+((C1469=TRUE)*(F1469-Calc!F29)))/100)/2</f>
        <v/>
      </c>
      <c r="M1442">
        <f>L1442*(1+(Inputs!$B$10+((C1466=TRUE)*(F1466-Calc!F26))+B1480)/100)</f>
        <v/>
      </c>
      <c r="N1442">
        <f>L1442*(1-MIN((Inputs!$B$9+((C1465=TRUE)*(F1465-Calc!F25))+B1473),100)/100)+M1442*(MIN((Inputs!$B$9+((C1465=TRUE)*(F1465-Calc!F25))+B1473),100)/100)</f>
        <v/>
      </c>
      <c r="O1442">
        <f>IF(C1442,Skills!G2*N1442*B1479*IF(Inputs!$B$39="pvp",1,(1-Summary!$B$55)*(1)+Summary!$B$55*(MIN((6+Inputs!$B$33),Inputs!$B$37))),0)</f>
        <v/>
      </c>
      <c r="P1442">
        <f>IF(B1485=0,0,O1442/B1485)</f>
        <v/>
      </c>
      <c r="Q1442" t="n">
        <v>0</v>
      </c>
      <c r="R1442" t="n">
        <v>0</v>
      </c>
      <c r="S1442">
        <f>IFERROR(O1442/N1442,0)</f>
        <v/>
      </c>
      <c r="U1442">
        <f>MAX(0,(Inputs!$B$3-100)*3)+Inputs!$B$28+Inputs!$B$29</f>
        <v/>
      </c>
    </row>
    <row r="1443">
      <c r="A1443">
        <f>Skills!A3</f>
        <v/>
      </c>
      <c r="B1443">
        <f>Skills!B3</f>
        <v/>
      </c>
      <c r="C1443">
        <f>Inputs!$B$3&gt;=35</f>
        <v/>
      </c>
      <c r="D1443">
        <f>IF(Skills!C3=1,60+Inputs!$B$25+Inputs!$B$29,IF(Skills!C3=2,90+Inputs!$B$26+Inputs!$B$29,IF(Skills!C3=3,120+Inputs!$B$27+Inputs!$B$29,MAX(0,(Inputs!$B$3-100)*3)+Inputs!$B$28+Inputs!$B$29)))</f>
        <v/>
      </c>
      <c r="E1443">
        <f>INDEX(FactorTable!$B$2:$Y$301, MATCH(ROUND(MIN(300,MAX(1,D1443)),0), FactorTable!$A$2:$A$301,0), Skills!M3+1)</f>
        <v/>
      </c>
      <c r="F1443">
        <f>IF(Skills!N3=TRUE,(Skills!L3/10)*(E1443/1000),Skills!L3/10)+Skills!O3</f>
        <v/>
      </c>
      <c r="G1443">
        <f>Skills!G3*IF(Skills!H3&gt;0,Skills!I3/Skills!H3,1)</f>
        <v/>
      </c>
      <c r="H1443">
        <f>1-(1-Skills!J3/100)^Skills!K3</f>
        <v/>
      </c>
      <c r="I1443" t="inlineStr">
        <is>
          <t>1</t>
        </is>
      </c>
      <c r="J1443" t="inlineStr"/>
      <c r="K1443" t="inlineStr"/>
      <c r="L1443" t="inlineStr"/>
      <c r="M1443" t="inlineStr"/>
      <c r="N1443" t="inlineStr"/>
      <c r="O1443" t="n">
        <v>0</v>
      </c>
      <c r="P1443">
        <f>IF(B1485=0,0,O1443/B1485)</f>
        <v/>
      </c>
      <c r="Q1443" t="n">
        <v>0</v>
      </c>
      <c r="R1443" t="n">
        <v>0</v>
      </c>
      <c r="S1443">
        <f>IFERROR(O1443/N1443,0)</f>
        <v/>
      </c>
      <c r="U1443">
        <f>INDEX(FactorTable!$B$2:$Y$301, MATCH(ROUND(MIN(300,MAX(1,U1442)),0), FactorTable!$A$2:$A$301,0), 22)</f>
        <v/>
      </c>
    </row>
    <row r="1444">
      <c r="A1444">
        <f>Skills!A4</f>
        <v/>
      </c>
      <c r="B1444">
        <f>Skills!B4</f>
        <v/>
      </c>
      <c r="C1444">
        <f>Inputs!$B$3&gt;=66</f>
        <v/>
      </c>
      <c r="D1444">
        <f>IF(Skills!C4=1,60+Inputs!$B$25+Inputs!$B$29,IF(Skills!C4=2,90+Inputs!$B$26+Inputs!$B$29,IF(Skills!C4=3,120+Inputs!$B$27+Inputs!$B$29,MAX(0,(Inputs!$B$3-100)*3)+Inputs!$B$28+Inputs!$B$29)))</f>
        <v/>
      </c>
      <c r="E1444">
        <f>INDEX(FactorTable!$B$2:$Y$301, MATCH(ROUND(MIN(300,MAX(1,D1444)),0), FactorTable!$A$2:$A$301,0), Skills!M4+1)</f>
        <v/>
      </c>
      <c r="F1444">
        <f>IF(Skills!N4=TRUE,(Skills!L4/10)*(E1444/1000),Skills!L4/10)+Skills!O4</f>
        <v/>
      </c>
      <c r="G1444">
        <f>Skills!G4*IF(Skills!H4&gt;0,Skills!I4/Skills!H4,1)</f>
        <v/>
      </c>
      <c r="H1444">
        <f>1-(1-Skills!J4/100)^Skills!K4</f>
        <v/>
      </c>
      <c r="I1444" t="inlineStr">
        <is>
          <t>1</t>
        </is>
      </c>
      <c r="J1444">
        <f>((Inputs!$B$6*(1+Inputs!$B$7/100))+(((Inputs!$B$12*(1+Inputs!$B$13/100))-(Inputs!$B$12*(1+Inputs!$B$13/100)))+0.25*(Inputs!$B$14-Inputs!$B$14))*(1+Inputs!$B$7/100))*(F1444/100)</f>
        <v/>
      </c>
      <c r="K1444">
        <f>J1444*(1+((Inputs!$B$12*(1+Inputs!$B$13/100))*0.01+Inputs!$B$14*0.0025)/100)*(1+Inputs!$B$15/100)*(1+IF(Inputs!$B$39="pvp",0,(1-Summary!$B$55)*(Inputs!$B$20+0+Skills!P4+B1474)+Summary!$B$55*(Inputs!$B$21+Skills!Q4+B1474))/100)*(1+Inputs!$B$16/100)*(5000/(6000+Inputs!$B$43*(1-Inputs!$B$19/100)))*(1+(Inputs!$B$24+((C1470=TRUE)*(F1470-Calc!F30)))/100)*(1+(IF(Skills!A4="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1444)</f>
        <v/>
      </c>
      <c r="L1444">
        <f>K1444*(MIN(Inputs!$B$22+((C1464=TRUE)*(F1464-Calc!F24)),Inputs!$B$23+((C1469=TRUE)*(F1469-Calc!F29)))/100+(Inputs!$B$23+((C1469=TRUE)*(F1469-Calc!F29)))/100)/2</f>
        <v/>
      </c>
      <c r="M1444">
        <f>L1444*(1+(Inputs!$B$10+((C1466=TRUE)*(F1466-Calc!F26))+B1480)/100)</f>
        <v/>
      </c>
      <c r="N1444">
        <f>L1444*(1-MIN((Inputs!$B$9+((C1465=TRUE)*(F1465-Calc!F25))+B1473),100)/100)+M1444*(MIN((Inputs!$B$9+((C1465=TRUE)*(F1465-Calc!F25))+B1473),100)/100)</f>
        <v/>
      </c>
      <c r="O1444">
        <f>IF(C1444,H1444*N1444*IF(AND(Inputs!$B$39&lt;&gt;"pvp",Inputs!$B$44&gt;0),((Skills!G4*((R1444-1)*IF(Skills!H4&gt;0,Skills!I4/Skills!H4,1)+IF(Skills!H4&gt;0,MIN(Skills!I4,MAX(0,MAX(0,Inputs!$B$44-B1484)-((R1444-1)*IF(Inputs!$B$39="pvp",15,MAX(0.1,Skills!D4-IF(Skills!E4=TRUE,1.5,0))))))/Skills!H4,1)))/Inputs!$B$44),G1444*Q1444)*IF(Inputs!$B$39="pvp",1,(1-Summary!$B$55)*(1)+Summary!$B$55*(MIN(MIN(10,0.5*B1477*Skills!D4),Inputs!$B$37))),0)</f>
        <v/>
      </c>
      <c r="P1444">
        <f>IF(B1485=0,0,O1444/B1485)</f>
        <v/>
      </c>
      <c r="Q1444">
        <f>IFERROR(1/IF(Inputs!$B$39="pvp",15,MAX(0.1,Skills!D4-IF(Skills!E4=TRUE,1.5,0))),0)</f>
        <v/>
      </c>
      <c r="R1444">
        <f>IF(AND(Inputs!$B$39&lt;&gt;"pvp",Inputs!$B$44&gt;0),IF(MAX(0,Inputs!$B$44-B1484)&lt;=0,0,(INT(MAX(0,Inputs!$B$44-B1484)/IF(Inputs!$B$39="pvp",15,MAX(0.1,Skills!D4-IF(Skills!E4=TRUE,1.5,0))))+1)),0)</f>
        <v/>
      </c>
      <c r="S1444">
        <f>IFERROR(O1444/N1444,0)</f>
        <v/>
      </c>
      <c r="U1444">
        <f>290*U1443/1000</f>
        <v/>
      </c>
    </row>
    <row r="1445">
      <c r="A1445">
        <f>Skills!A5</f>
        <v/>
      </c>
      <c r="B1445">
        <f>Skills!B5</f>
        <v/>
      </c>
      <c r="C1445">
        <f>Inputs!$B$3&gt;=63</f>
        <v/>
      </c>
      <c r="D1445">
        <f>IF(Skills!C5=1,60+Inputs!$B$25+Inputs!$B$29,IF(Skills!C5=2,90+Inputs!$B$26+Inputs!$B$29,IF(Skills!C5=3,120+Inputs!$B$27+Inputs!$B$29,MAX(0,(Inputs!$B$3-100)*3)+Inputs!$B$28+Inputs!$B$29)))</f>
        <v/>
      </c>
      <c r="E1445">
        <f>INDEX(FactorTable!$B$2:$Y$301, MATCH(ROUND(MIN(300,MAX(1,D1445)),0), FactorTable!$A$2:$A$301,0), Skills!M5+1)</f>
        <v/>
      </c>
      <c r="F1445">
        <f>IF(Skills!N5=TRUE,(Skills!L5/10)*(E1445/1000),Skills!L5/10)+Skills!O5</f>
        <v/>
      </c>
      <c r="G1445">
        <f>Skills!G5*IF(Skills!H5&gt;0,Skills!I5/Skills!H5,1)</f>
        <v/>
      </c>
      <c r="H1445">
        <f>1-(1-Skills!J5/100)^Skills!K5</f>
        <v/>
      </c>
      <c r="I1445" t="inlineStr">
        <is>
          <t>1</t>
        </is>
      </c>
      <c r="J1445">
        <f>((Inputs!$B$6*(1+Inputs!$B$7/100))+(((Inputs!$B$12*(1+Inputs!$B$13/100))-(Inputs!$B$12*(1+Inputs!$B$13/100)))+0.25*(Inputs!$B$14-Inputs!$B$14))*(1+Inputs!$B$7/100))*(F1445/100)</f>
        <v/>
      </c>
      <c r="K1445">
        <f>J1445*(1+((Inputs!$B$12*(1+Inputs!$B$13/100))*0.01+Inputs!$B$14*0.0025)/100)*(1+Inputs!$B$15/100)*(1+IF(Inputs!$B$39="pvp",0,(1-Summary!$B$55)*(Inputs!$B$20+0+Skills!P5+B1474)+Summary!$B$55*(Inputs!$B$21+Skills!Q5+B1474))/100)*(1+Inputs!$B$16/100)*(5000/(6000+Inputs!$B$43*(1-Inputs!$B$19/100)))*(1+(Inputs!$B$24+((C1470=TRUE)*(F1470-Calc!F30)))/100)*(1+2.6666666666666665*IF(C1458=TRUE,F1458,0)/100)*(1+(IF(Skills!A5="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1445)</f>
        <v/>
      </c>
      <c r="L1445">
        <f>K1445*(MIN(Inputs!$B$22+((C1464=TRUE)*(F1464-Calc!F24)),Inputs!$B$23+((C1469=TRUE)*(F1469-Calc!F29)))/100+(Inputs!$B$23+((C1469=TRUE)*(F1469-Calc!F29)))/100)/2</f>
        <v/>
      </c>
      <c r="M1445">
        <f>L1445*(1+(Inputs!$B$10+((C1466=TRUE)*(F1466-Calc!F26))+B1480)/100)</f>
        <v/>
      </c>
      <c r="N1445">
        <f>L1445*(1-MIN((Inputs!$B$9+((C1465=TRUE)*(F1465-Calc!F25))+B1473),100)/100)+M1445*(MIN((Inputs!$B$9+((C1465=TRUE)*(F1465-Calc!F25))+B1473),100)/100)</f>
        <v/>
      </c>
      <c r="O1445">
        <f>IF(C1445,H1445*N1445*IF(AND(Inputs!$B$39&lt;&gt;"pvp",Inputs!$B$44&gt;0),((Skills!G5*((R1445-1)*IF(Skills!H5&gt;0,Skills!I5/Skills!H5,1)+IF(Skills!H5&gt;0,MIN(Skills!I5,MAX(0,MAX(0,Inputs!$B$44-B1484)-((R1445-1)*IF(Inputs!$B$39="pvp",15,MAX(0.1,Skills!D5-IF(Skills!E5=TRUE,1.5,0))))))/Skills!H5,1)))/Inputs!$B$44),G1445*Q1445)*IF(Inputs!$B$39="pvp",1,(1-Summary!$B$55)*(1)+Summary!$B$55*(MIN(Skills!W5,Inputs!$B$37))),0)</f>
        <v/>
      </c>
      <c r="P1445">
        <f>IF(B1485=0,0,O1445/B1485)</f>
        <v/>
      </c>
      <c r="Q1445">
        <f>IFERROR(1/IF(Inputs!$B$39="pvp",15,MAX(0.1,Skills!D5-IF(Skills!E5=TRUE,1.5,0))),0)</f>
        <v/>
      </c>
      <c r="R1445">
        <f>IF(AND(Inputs!$B$39&lt;&gt;"pvp",Inputs!$B$44&gt;0),IF(MAX(0,Inputs!$B$44-B1484)&lt;=0,0,(INT(MAX(0,Inputs!$B$44-B1484)/IF(Inputs!$B$39="pvp",15,MAX(0.1,Skills!D5-IF(Skills!E5=TRUE,1.5,0))))+1)),0)</f>
        <v/>
      </c>
      <c r="S1445">
        <f>IFERROR(O1445/N1445,0)</f>
        <v/>
      </c>
    </row>
    <row r="1446">
      <c r="A1446">
        <f>Skills!A6</f>
        <v/>
      </c>
      <c r="B1446">
        <f>Skills!B6</f>
        <v/>
      </c>
      <c r="C1446">
        <f>Inputs!$B$3&gt;=69</f>
        <v/>
      </c>
      <c r="D1446">
        <f>IF(Skills!C6=1,60+Inputs!$B$25+Inputs!$B$29,IF(Skills!C6=2,90+Inputs!$B$26+Inputs!$B$29,IF(Skills!C6=3,120+Inputs!$B$27+Inputs!$B$29,MAX(0,(Inputs!$B$3-100)*3)+Inputs!$B$28+Inputs!$B$29)))</f>
        <v/>
      </c>
      <c r="E1446">
        <f>INDEX(FactorTable!$B$2:$Y$301, MATCH(ROUND(MIN(300,MAX(1,D1446)),0), FactorTable!$A$2:$A$301,0), Skills!M6+1)</f>
        <v/>
      </c>
      <c r="F1446">
        <f>IF(Skills!N6=TRUE,(Skills!L6/10)*(E1446/1000),Skills!L6/10)+Skills!O6</f>
        <v/>
      </c>
      <c r="G1446">
        <f>Skills!G6*IF(Skills!H6&gt;0,Skills!I6/Skills!H6,1)</f>
        <v/>
      </c>
      <c r="H1446">
        <f>1-(1-Skills!J6/100)^Skills!K6</f>
        <v/>
      </c>
      <c r="I1446" t="inlineStr">
        <is>
          <t>1</t>
        </is>
      </c>
      <c r="J1446">
        <f>((Inputs!$B$6*(1+Inputs!$B$7/100))+(((Inputs!$B$12*(1+Inputs!$B$13/100))-(Inputs!$B$12*(1+Inputs!$B$13/100)))+0.25*(Inputs!$B$14-Inputs!$B$14))*(1+Inputs!$B$7/100))*(F1446/100)</f>
        <v/>
      </c>
      <c r="K1446">
        <f>J1446*(1+((Inputs!$B$12*(1+Inputs!$B$13/100))*0.01+Inputs!$B$14*0.0025)/100)*(1+Inputs!$B$15/100)*(1+IF(Inputs!$B$39="pvp",0,(1-Summary!$B$55)*(Inputs!$B$20+0+Skills!P6+B1474)+Summary!$B$55*(Inputs!$B$21+Skills!Q6+B1474))/100)*(1+Inputs!$B$16/100)*(5000/(6000+Inputs!$B$43*(1-Inputs!$B$19/100)))*(1+(Inputs!$B$24+((C1470=TRUE)*(F1470-Calc!F30)))/100)*(1+1.0*IF(C1458=TRUE,F1458,0)/100)*(1+(IF(Skills!A6="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1446)</f>
        <v/>
      </c>
      <c r="L1446">
        <f>K1446*(MIN(Inputs!$B$22+((C1464=TRUE)*(F1464-Calc!F24)),Inputs!$B$23+((C1469=TRUE)*(F1469-Calc!F29)))/100+(Inputs!$B$23+((C1469=TRUE)*(F1469-Calc!F29)))/100)/2</f>
        <v/>
      </c>
      <c r="M1446">
        <f>L1446*(1+(Inputs!$B$10+((C1466=TRUE)*(F1466-Calc!F26))+B1480)/100)</f>
        <v/>
      </c>
      <c r="N1446">
        <f>L1446*(1-MIN((Inputs!$B$9+((C1465=TRUE)*(F1465-Calc!F25))+B1473),100)/100)+M1446*(MIN((Inputs!$B$9+((C1465=TRUE)*(F1465-Calc!F25))+B1473),100)/100)</f>
        <v/>
      </c>
      <c r="O1446">
        <f>IF(C1446,H1446*N1446*IF(AND(Inputs!$B$39&lt;&gt;"pvp",Inputs!$B$44&gt;0),((Skills!G6*((R1446-1)*IF(Skills!H6&gt;0,Skills!I6/Skills!H6,1)+IF(Skills!H6&gt;0,MIN(Skills!I6,MAX(0,MAX(0,Inputs!$B$44-B1484)-((R1446-1)*IF(Inputs!$B$39="pvp",15,MAX(0.1,Skills!D6-IF(Skills!E6=TRUE,1.5,0))))))/Skills!H6,1)))/Inputs!$B$44),G1446*Q1446)*IF(Inputs!$B$39="pvp",1,(1-Summary!$B$55)*(1)+Summary!$B$55*(MIN(Skills!W6,Inputs!$B$37))),0)</f>
        <v/>
      </c>
      <c r="P1446">
        <f>IF(B1485=0,0,O1446/B1485)</f>
        <v/>
      </c>
      <c r="Q1446">
        <f>IFERROR(1/IF(Inputs!$B$39="pvp",15,MAX(0.1,Skills!D6-IF(Skills!E6=TRUE,1.5,0))),0)</f>
        <v/>
      </c>
      <c r="R1446">
        <f>IF(AND(Inputs!$B$39&lt;&gt;"pvp",Inputs!$B$44&gt;0),IF(MAX(0,Inputs!$B$44-B1484)&lt;=0,0,(INT(MAX(0,Inputs!$B$44-B1484)/IF(Inputs!$B$39="pvp",15,MAX(0.1,Skills!D6-IF(Skills!E6=TRUE,1.5,0))))+1)),0)</f>
        <v/>
      </c>
      <c r="S1446">
        <f>IFERROR(O1446/N1446,0)</f>
        <v/>
      </c>
    </row>
    <row r="1447">
      <c r="A1447">
        <f>Skills!A7</f>
        <v/>
      </c>
      <c r="B1447">
        <f>Skills!B7</f>
        <v/>
      </c>
      <c r="C1447">
        <f>Inputs!$B$3&gt;=60</f>
        <v/>
      </c>
      <c r="D1447">
        <f>IF(Skills!C7=1,60+Inputs!$B$25+Inputs!$B$29,IF(Skills!C7=2,90+Inputs!$B$26+Inputs!$B$29,IF(Skills!C7=3,120+Inputs!$B$27+Inputs!$B$29,MAX(0,(Inputs!$B$3-100)*3)+Inputs!$B$28+Inputs!$B$29)))</f>
        <v/>
      </c>
      <c r="E1447">
        <f>INDEX(FactorTable!$B$2:$Y$301, MATCH(ROUND(MIN(300,MAX(1,D1447)),0), FactorTable!$A$2:$A$301,0), Skills!M7+1)</f>
        <v/>
      </c>
      <c r="F1447">
        <f>IF(Skills!N7=TRUE,(Skills!L7/10)*(E1447/1000),Skills!L7/10)+Skills!O7</f>
        <v/>
      </c>
      <c r="G1447">
        <f>Skills!G7*IF(Skills!H7&gt;0,Skills!I7/Skills!H7,1)</f>
        <v/>
      </c>
      <c r="H1447">
        <f>1-(1-Skills!J7/100)^Skills!K7</f>
        <v/>
      </c>
      <c r="I1447" t="inlineStr">
        <is>
          <t>1</t>
        </is>
      </c>
      <c r="J1447" t="inlineStr"/>
      <c r="K1447" t="inlineStr"/>
      <c r="L1447" t="inlineStr"/>
      <c r="M1447" t="inlineStr"/>
      <c r="N1447" t="inlineStr"/>
      <c r="O1447" t="n">
        <v>0</v>
      </c>
      <c r="P1447">
        <f>IF(B1485=0,0,O1447/B1485)</f>
        <v/>
      </c>
      <c r="Q1447" t="n">
        <v>0</v>
      </c>
      <c r="R1447" t="n">
        <v>0</v>
      </c>
      <c r="S1447">
        <f>IFERROR(O1447/N1447,0)</f>
        <v/>
      </c>
    </row>
    <row r="1448">
      <c r="A1448">
        <f>Skills!A8</f>
        <v/>
      </c>
      <c r="B1448">
        <f>Skills!B8</f>
        <v/>
      </c>
      <c r="C1448">
        <f>Inputs!$B$3&gt;=72</f>
        <v/>
      </c>
      <c r="D1448">
        <f>IF(Skills!C8=1,60+Inputs!$B$25+Inputs!$B$29,IF(Skills!C8=2,90+Inputs!$B$26+Inputs!$B$29,IF(Skills!C8=3,120+Inputs!$B$27+Inputs!$B$29,MAX(0,(Inputs!$B$3-100)*3)+Inputs!$B$28+Inputs!$B$29)))</f>
        <v/>
      </c>
      <c r="E1448">
        <f>INDEX(FactorTable!$B$2:$Y$301, MATCH(ROUND(MIN(300,MAX(1,D1448)),0), FactorTable!$A$2:$A$301,0), Skills!M8+1)</f>
        <v/>
      </c>
      <c r="F1448">
        <f>IF(Skills!N8=TRUE,(Skills!L8/10)*(E1448/1000),Skills!L8/10)+Skills!O8</f>
        <v/>
      </c>
      <c r="G1448">
        <f>Skills!G8*IF(Skills!H8&gt;0,Skills!I8/Skills!H8,1)</f>
        <v/>
      </c>
      <c r="H1448">
        <f>1-(1-Skills!J8/100)^Skills!K8</f>
        <v/>
      </c>
      <c r="I1448" t="inlineStr">
        <is>
          <t>1</t>
        </is>
      </c>
      <c r="J1448">
        <f>((Inputs!$B$6*(1+Inputs!$B$7/100))+(((Inputs!$B$12*(1+Inputs!$B$13/100))-(Inputs!$B$12*(1+Inputs!$B$13/100)))+0.25*(Inputs!$B$14-Inputs!$B$14))*(1+Inputs!$B$7/100))*(F1448/100)</f>
        <v/>
      </c>
      <c r="K1448">
        <f>J1448*(1+((Inputs!$B$12*(1+Inputs!$B$13/100))*0.01+Inputs!$B$14*0.0025)/100)*(1+Inputs!$B$15/100)*(1+IF(Inputs!$B$39="pvp",0,(1-Summary!$B$55)*(Inputs!$B$20+0+Skills!P8+B1474)+Summary!$B$55*(Inputs!$B$21+Skills!Q8+B1474))/100)*(1+Inputs!$B$16/100)*(5000/(6000+Inputs!$B$43*(1-Inputs!$B$19/100)))*(1+(Inputs!$B$24+((C1470=TRUE)*(F1470-Calc!F30)))/100)*(1+3.3333333333333335*IF(C1458=TRUE,F1458,0)/100)*(1+(IF(Skills!A8="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1448)</f>
        <v/>
      </c>
      <c r="L1448">
        <f>K1448*(MIN(Inputs!$B$22+((C1464=TRUE)*(F1464-Calc!F24)),Inputs!$B$23+((C1469=TRUE)*(F1469-Calc!F29)))/100+(Inputs!$B$23+((C1469=TRUE)*(F1469-Calc!F29)))/100)/2</f>
        <v/>
      </c>
      <c r="M1448">
        <f>L1448*(1+(Inputs!$B$10+((C1466=TRUE)*(F1466-Calc!F26))+B1480)/100)</f>
        <v/>
      </c>
      <c r="N1448">
        <f>L1448*(1-MIN((Inputs!$B$9+((C1465=TRUE)*(F1465-Calc!F25))+B1473),100)/100)+M1448*(MIN((Inputs!$B$9+((C1465=TRUE)*(F1465-Calc!F25))+B1473),100)/100)</f>
        <v/>
      </c>
      <c r="O1448">
        <f>IF(C1448,H1448*N1448*IF(AND(Inputs!$B$39&lt;&gt;"pvp",Inputs!$B$44&gt;0),((Skills!G8*((R1448-1)*IF(Skills!H8&gt;0,Skills!I8/Skills!H8,1)+IF(Skills!H8&gt;0,MIN(Skills!I8,MAX(0,MAX(0,Inputs!$B$44-B1484)-((R1448-1)*IF(Inputs!$B$39="pvp",15,MAX(0.1,Skills!D8-IF(Skills!E8=TRUE,1.5,0))))))/Skills!H8,1)))/Inputs!$B$44),G1448*Q1448)*IF(Inputs!$B$39="pvp",1,(1-Summary!$B$55)*(1)+Summary!$B$55*(MIN(Skills!W8,Inputs!$B$37))),0)</f>
        <v/>
      </c>
      <c r="P1448">
        <f>IF(B1485=0,0,O1448/B1485)</f>
        <v/>
      </c>
      <c r="Q1448">
        <f>IFERROR(1/IF(Inputs!$B$39="pvp",15,MAX(0.1,Skills!D8-IF(Skills!E8=TRUE,1.5,0))),0)</f>
        <v/>
      </c>
      <c r="R1448">
        <f>IF(AND(Inputs!$B$39&lt;&gt;"pvp",Inputs!$B$44&gt;0),IF(MAX(0,Inputs!$B$44-B1484)&lt;=0,0,(INT(MAX(0,Inputs!$B$44-B1484)/IF(Inputs!$B$39="pvp",15,MAX(0.1,Skills!D8-IF(Skills!E8=TRUE,1.5,0))))+1)),0)</f>
        <v/>
      </c>
      <c r="S1448">
        <f>IFERROR(O1448/N1448,0)</f>
        <v/>
      </c>
    </row>
    <row r="1449">
      <c r="A1449">
        <f>Skills!A9</f>
        <v/>
      </c>
      <c r="B1449">
        <f>Skills!B9</f>
        <v/>
      </c>
      <c r="C1449">
        <f>Inputs!$B$3&gt;=117</f>
        <v/>
      </c>
      <c r="D1449">
        <f>IF(Skills!C9=1,60+Inputs!$B$25+Inputs!$B$29,IF(Skills!C9=2,90+Inputs!$B$26+Inputs!$B$29,IF(Skills!C9=3,120+Inputs!$B$27+Inputs!$B$29,MAX(0,(Inputs!$B$3-100)*3)+Inputs!$B$28+Inputs!$B$29)))</f>
        <v/>
      </c>
      <c r="E1449">
        <f>INDEX(FactorTable!$B$2:$Y$301, MATCH(ROUND(MIN(300,MAX(1,D1449)),0), FactorTable!$A$2:$A$301,0), Skills!M9+1)</f>
        <v/>
      </c>
      <c r="F1449">
        <f>IF(Skills!N9=TRUE,(Skills!L9/10)*(E1449/1000),Skills!L9/10)+Skills!O9</f>
        <v/>
      </c>
      <c r="G1449">
        <f>Skills!G9*IF(Skills!H9&gt;0,Skills!I9/Skills!H9,1)</f>
        <v/>
      </c>
      <c r="H1449">
        <f>1-(1-Skills!J9/100)^Skills!K9</f>
        <v/>
      </c>
      <c r="I1449" t="inlineStr">
        <is>
          <t>1</t>
        </is>
      </c>
      <c r="J1449">
        <f>((Inputs!$B$6*(1+Inputs!$B$7/100))+(((Inputs!$B$12*(1+Inputs!$B$13/100))-(Inputs!$B$12*(1+Inputs!$B$13/100)))+0.25*(Inputs!$B$14-Inputs!$B$14))*(1+Inputs!$B$7/100))*(F1449/100)</f>
        <v/>
      </c>
      <c r="K1449">
        <f>J1449*(1+((Inputs!$B$12*(1+Inputs!$B$13/100))*0.01+Inputs!$B$14*0.0025)/100)*(1+Inputs!$B$15/100)*(1+IF(Inputs!$B$39="pvp",0,(1-Summary!$B$55)*(Inputs!$B$20+0+Skills!P9+B1474)+Summary!$B$55*(Inputs!$B$21+Skills!Q9+B1474))/100)*(1+Inputs!$B$16/100)*(5000/(6000+Inputs!$B$43*(1-Inputs!$B$19/100)))*(1+(Inputs!$B$24+((C1470=TRUE)*(F1470-Calc!F30)))/100)*(1+(IF(Skills!A9="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1449)</f>
        <v/>
      </c>
      <c r="L1449">
        <f>K1449*(MIN(Inputs!$B$22+((C1464=TRUE)*(F1464-Calc!F24)),Inputs!$B$23+((C1469=TRUE)*(F1469-Calc!F29)))/100+(Inputs!$B$23+((C1469=TRUE)*(F1469-Calc!F29)))/100)/2</f>
        <v/>
      </c>
      <c r="M1449">
        <f>L1449*(1+(Inputs!$B$10+((C1466=TRUE)*(F1466-Calc!F26))+B1480)/100)</f>
        <v/>
      </c>
      <c r="N1449">
        <f>L1449*(1-MIN((Inputs!$B$9+((C1465=TRUE)*(F1465-Calc!F25))+B1473),100)/100)+M1449*(MIN((Inputs!$B$9+((C1465=TRUE)*(F1465-Calc!F25))+B1473),100)/100)</f>
        <v/>
      </c>
      <c r="O1449">
        <f>IF(C1449,0.2*SUMPRODUCT((Skills!Z2:Z30=TRUE)*(C1442:C1470=TRUE)*S1442:S1470)*N1449,0)</f>
        <v/>
      </c>
      <c r="P1449">
        <f>IF(B1485=0,0,O1449/B1485)</f>
        <v/>
      </c>
      <c r="Q1449" t="n">
        <v>0</v>
      </c>
      <c r="R1449" t="n">
        <v>0</v>
      </c>
      <c r="S1449" t="n">
        <v>0</v>
      </c>
    </row>
    <row r="1450">
      <c r="A1450">
        <f>Skills!A10</f>
        <v/>
      </c>
      <c r="B1450">
        <f>Skills!B10</f>
        <v/>
      </c>
      <c r="C1450">
        <f>Inputs!$B$3&gt;=74</f>
        <v/>
      </c>
      <c r="D1450">
        <f>IF(Skills!C10=1,60+Inputs!$B$25+Inputs!$B$29,IF(Skills!C10=2,90+Inputs!$B$26+Inputs!$B$29,IF(Skills!C10=3,120+Inputs!$B$27+Inputs!$B$29,MAX(0,(Inputs!$B$3-100)*3)+Inputs!$B$28+Inputs!$B$29)))</f>
        <v/>
      </c>
      <c r="E1450">
        <f>INDEX(FactorTable!$B$2:$Y$301, MATCH(ROUND(MIN(300,MAX(1,D1450)),0), FactorTable!$A$2:$A$301,0), Skills!M10+1)</f>
        <v/>
      </c>
      <c r="F1450">
        <f>IF(Skills!N10=TRUE,(Skills!L10/10)*(E1450/1000),Skills!L10/10)+Skills!O10</f>
        <v/>
      </c>
      <c r="G1450">
        <f>Skills!G10*IF(Skills!H10&gt;0,Skills!I10/Skills!H10,1)</f>
        <v/>
      </c>
      <c r="H1450">
        <f>1-(1-Skills!J10/100)^Skills!K10</f>
        <v/>
      </c>
      <c r="I1450" t="inlineStr">
        <is>
          <t>1</t>
        </is>
      </c>
      <c r="J1450" t="inlineStr"/>
      <c r="K1450" t="inlineStr"/>
      <c r="L1450" t="inlineStr"/>
      <c r="M1450" t="inlineStr"/>
      <c r="N1450" t="inlineStr"/>
      <c r="O1450" t="n">
        <v>0</v>
      </c>
      <c r="P1450">
        <f>IF(B1485=0,0,O1450/B1485)</f>
        <v/>
      </c>
      <c r="Q1450">
        <f>IFERROR(1/IF(Inputs!$B$39="pvp",15,MAX(0.1,Skills!D10-IF(Skills!E10=TRUE,1.5,0))),0)</f>
        <v/>
      </c>
      <c r="R1450">
        <f>IF(AND(Inputs!$B$39&lt;&gt;"pvp",Inputs!$B$44&gt;0),IF(Inputs!$B$44&lt;=0,0,(INT(Inputs!$B$44/IF(Inputs!$B$39="pvp",15,MAX(0.1,Skills!D10-IF(Skills!E10=TRUE,1.5,0))))+1)),0)</f>
        <v/>
      </c>
      <c r="S1450">
        <f>IFERROR(O1450/N1450,0)</f>
        <v/>
      </c>
    </row>
    <row r="1451">
      <c r="A1451">
        <f>Skills!A11</f>
        <v/>
      </c>
      <c r="B1451">
        <f>Skills!B11</f>
        <v/>
      </c>
      <c r="C1451">
        <f>Inputs!$B$3&gt;=103</f>
        <v/>
      </c>
      <c r="D1451">
        <f>IF(Skills!C11=1,60+Inputs!$B$25+Inputs!$B$29,IF(Skills!C11=2,90+Inputs!$B$26+Inputs!$B$29,IF(Skills!C11=3,120+Inputs!$B$27+Inputs!$B$29,MAX(0,(Inputs!$B$3-100)*3)+Inputs!$B$28+Inputs!$B$29)))</f>
        <v/>
      </c>
      <c r="E1451">
        <f>INDEX(FactorTable!$B$2:$Y$301, MATCH(ROUND(MIN(300,MAX(1,D1451)),0), FactorTable!$A$2:$A$301,0), Skills!M11+1)</f>
        <v/>
      </c>
      <c r="F1451">
        <f>(Skills!L11/10)*(E1451/1000)+IF(Inputs!$B$3&gt;=134,50,0)+0.5*(30000/10)*(INDEX(FactorTable!$B$2:$Y$301, MATCH(ROUND(MIN(300,MAX(1,D1451)),0), FactorTable!$A$2:$A$301,0), 13)/1000)*B1483</f>
        <v/>
      </c>
      <c r="G1451">
        <f>Skills!G11*IF(Skills!H11&gt;0,Skills!I11/Skills!H11,1)</f>
        <v/>
      </c>
      <c r="H1451">
        <f>1-(1-Skills!J11/100)^Skills!K11</f>
        <v/>
      </c>
      <c r="I1451" t="inlineStr">
        <is>
          <t>1</t>
        </is>
      </c>
      <c r="J1451">
        <f>((Inputs!$B$6*(1+Inputs!$B$7/100))+(((Inputs!$B$12*(1+Inputs!$B$13/100))-(Inputs!$B$12*(1+Inputs!$B$13/100)))+0.25*(Inputs!$B$14-Inputs!$B$14))*(1+Inputs!$B$7/100))*(F1451/100)</f>
        <v/>
      </c>
      <c r="K1451">
        <f>J1451*(1+((Inputs!$B$12*(1+Inputs!$B$13/100))*0.01+Inputs!$B$14*0.0025)/100)*(1+Inputs!$B$15/100)*(1+IF(Inputs!$B$39="pvp",0,(1-Summary!$B$55)*(Inputs!$B$20+0+Skills!P11+B1474)+Summary!$B$55*(Inputs!$B$21+Skills!Q11+B1474))/100)*(1+Inputs!$B$16/100)*(5000/(6000+Inputs!$B$43*(1-Inputs!$B$19/100)))*(1+(Inputs!$B$24+((C1470=TRUE)*(F1470-Calc!F30)))/100)*(1+(IF(Skills!A11="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1451)</f>
        <v/>
      </c>
      <c r="L1451">
        <f>K1451*(MIN(Inputs!$B$22+((C1464=TRUE)*(F1464-Calc!F24)),Inputs!$B$23+((C1469=TRUE)*(F1469-Calc!F29)))/100+(Inputs!$B$23+((C1469=TRUE)*(F1469-Calc!F29)))/100)/2</f>
        <v/>
      </c>
      <c r="M1451">
        <f>L1451*(1+(Inputs!$B$10+((C1466=TRUE)*(F1466-Calc!F26))+B1480)/100)</f>
        <v/>
      </c>
      <c r="N1451">
        <f>L1451*(1-MIN((Inputs!$B$9+((C1465=TRUE)*(F1465-Calc!F25))+B1473),100)/100)+M1451*(MIN((Inputs!$B$9+((C1465=TRUE)*(F1465-Calc!F25))+B1473),100)/100)</f>
        <v/>
      </c>
      <c r="O1451">
        <f>IF(C1451,H1451*N1451*IF(AND(Inputs!$B$39&lt;&gt;"pvp",Inputs!$B$44&gt;0),((Skills!G11*((R1451-1)*IF(Skills!H11&gt;0,Skills!I11/Skills!H11,1)+IF(Skills!H11&gt;0,MIN(Skills!I11,MAX(0,MAX(0,Inputs!$B$44-B1484)-((R1451-1)*IF(Inputs!$B$39="pvp",15,MAX(0.1,Skills!D11-IF(Skills!E11=TRUE,1.5,0))))))/Skills!H11,1)))/Inputs!$B$44),G1451*Q1451)*IF(Inputs!$B$39="pvp",1,(1-Summary!$B$55)*(1)+Summary!$B$55*(MIN(Skills!W11,Inputs!$B$37))),0)</f>
        <v/>
      </c>
      <c r="P1451">
        <f>IF(B1485=0,0,O1451/B1485)</f>
        <v/>
      </c>
      <c r="Q1451">
        <f>IFERROR(1/IF(Inputs!$B$39="pvp",15,MAX(0.1,Skills!D11-IF(Skills!E11=TRUE,1.5,0))),0)</f>
        <v/>
      </c>
      <c r="R1451">
        <f>IF(AND(Inputs!$B$39&lt;&gt;"pvp",Inputs!$B$44&gt;0),IF(MAX(0,Inputs!$B$44-B1484)&lt;=0,0,(INT(MAX(0,Inputs!$B$44-B1484)/IF(Inputs!$B$39="pvp",15,MAX(0.1,Skills!D11-IF(Skills!E11=TRUE,1.5,0))))+1)),0)</f>
        <v/>
      </c>
      <c r="S1451">
        <f>IFERROR(O1451/N1451,0)</f>
        <v/>
      </c>
    </row>
    <row r="1452">
      <c r="A1452">
        <f>Skills!A12</f>
        <v/>
      </c>
      <c r="B1452">
        <f>Skills!B12</f>
        <v/>
      </c>
      <c r="C1452">
        <f>Inputs!$B$3&gt;=105</f>
        <v/>
      </c>
      <c r="D1452">
        <f>IF(Skills!C12=1,60+Inputs!$B$25+Inputs!$B$29,IF(Skills!C12=2,90+Inputs!$B$26+Inputs!$B$29,IF(Skills!C12=3,120+Inputs!$B$27+Inputs!$B$29,MAX(0,(Inputs!$B$3-100)*3)+Inputs!$B$28+Inputs!$B$29)))</f>
        <v/>
      </c>
      <c r="E1452">
        <f>INDEX(FactorTable!$B$2:$Y$301, MATCH(ROUND(MIN(300,MAX(1,D1452)),0), FactorTable!$A$2:$A$301,0), Skills!M12+1)</f>
        <v/>
      </c>
      <c r="F1452">
        <f>IF(Skills!N12=TRUE,(Skills!L12/10)*(E1452/1000),Skills!L12/10)+Skills!O12</f>
        <v/>
      </c>
      <c r="G1452">
        <f>Skills!G12*IF(Skills!H12&gt;0,Skills!I12/Skills!H12,1)</f>
        <v/>
      </c>
      <c r="H1452">
        <f>1-(1-Skills!J12/100)^Skills!K12</f>
        <v/>
      </c>
      <c r="I1452" t="inlineStr">
        <is>
          <t>1</t>
        </is>
      </c>
      <c r="J1452">
        <f>((Inputs!$B$6*(1+Inputs!$B$7/100))+(((Inputs!$B$12*(1+Inputs!$B$13/100))-(Inputs!$B$12*(1+Inputs!$B$13/100)))+0.25*(Inputs!$B$14-Inputs!$B$14))*(1+Inputs!$B$7/100))*(F1452/100)</f>
        <v/>
      </c>
      <c r="K1452">
        <f>J1452*(1+((Inputs!$B$12*(1+Inputs!$B$13/100))*0.01+Inputs!$B$14*0.0025)/100)*(1+Inputs!$B$15/100)*(1+IF(Inputs!$B$39="pvp",0,(1-Summary!$B$55)*(Inputs!$B$20+0+Skills!P12+B1474)+Summary!$B$55*(Inputs!$B$21+Skills!Q12+B1474))/100)*(1+Inputs!$B$16/100)*(5000/(6000+Inputs!$B$43*(1-Inputs!$B$19/100)))*(1+(Inputs!$B$24+((C1470=TRUE)*(F1470-Calc!F30)))/100)*(1+(IF(Skills!A12="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1452)</f>
        <v/>
      </c>
      <c r="L1452">
        <f>K1452*(MIN(Inputs!$B$22+((C1464=TRUE)*(F1464-Calc!F24)),Inputs!$B$23+((C1469=TRUE)*(F1469-Calc!F29)))/100+(Inputs!$B$23+((C1469=TRUE)*(F1469-Calc!F29)))/100)/2</f>
        <v/>
      </c>
      <c r="M1452">
        <f>L1452*(1+(Inputs!$B$10+((C1466=TRUE)*(F1466-Calc!F26))+B1480)/100)</f>
        <v/>
      </c>
      <c r="N1452">
        <f>L1452*(1-MIN((Inputs!$B$9+((C1465=TRUE)*(F1465-Calc!F25))+B1473),100)/100)+M1452*(MIN((Inputs!$B$9+((C1465=TRUE)*(F1465-Calc!F25))+B1473),100)/100)</f>
        <v/>
      </c>
      <c r="O1452">
        <f>IF(C1452,H1452*N1452*IF(AND(Inputs!$B$39&lt;&gt;"pvp",Inputs!$B$44&gt;0),((Skills!G12*((R1452-1)*IF(Skills!H12&gt;0,Skills!I12/Skills!H12,1)+IF(Skills!H12&gt;0,MIN(Skills!I12,MAX(0,MAX(0,Inputs!$B$44-B1484)-((R1452-1)*IF(Inputs!$B$39="pvp",15,MAX(0.1,Skills!D12-IF(Skills!E12=TRUE,1.5,0))))))/Skills!H12,1)))/Inputs!$B$44),G1452*Q1452)*IF(Inputs!$B$39="pvp",1,(1-Summary!$B$55)*(1)+Summary!$B$55*(MIN(Skills!W12,Inputs!$B$37))),0)</f>
        <v/>
      </c>
      <c r="P1452">
        <f>IF(B1485=0,0,O1452/B1485)</f>
        <v/>
      </c>
      <c r="Q1452">
        <f>IFERROR(1/IF(Inputs!$B$39="pvp",15,MAX(0.1,Skills!D12-IF(Skills!E12=TRUE,1.5,0))),0)</f>
        <v/>
      </c>
      <c r="R1452">
        <f>IF(AND(Inputs!$B$39&lt;&gt;"pvp",Inputs!$B$44&gt;0),IF(MAX(0,Inputs!$B$44-B1484)&lt;=0,0,(INT(MAX(0,Inputs!$B$44-B1484)/IF(Inputs!$B$39="pvp",15,MAX(0.1,Skills!D12-IF(Skills!E12=TRUE,1.5,0))))+1)),0)</f>
        <v/>
      </c>
      <c r="S1452">
        <f>IFERROR(O1452/N1452,0)</f>
        <v/>
      </c>
    </row>
    <row r="1453">
      <c r="A1453">
        <f>Skills!A13</f>
        <v/>
      </c>
      <c r="B1453">
        <f>Skills!B13</f>
        <v/>
      </c>
      <c r="C1453">
        <f>Inputs!$B$3&gt;=105</f>
        <v/>
      </c>
      <c r="D1453">
        <f>IF(Skills!C13=1,60+Inputs!$B$25+Inputs!$B$29,IF(Skills!C13=2,90+Inputs!$B$26+Inputs!$B$29,IF(Skills!C13=3,120+Inputs!$B$27+Inputs!$B$29,MAX(0,(Inputs!$B$3-100)*3)+Inputs!$B$28+Inputs!$B$29)))</f>
        <v/>
      </c>
      <c r="E1453">
        <f>INDEX(FactorTable!$B$2:$Y$301, MATCH(ROUND(MIN(300,MAX(1,D1453)),0), FactorTable!$A$2:$A$301,0), Skills!M13+1)</f>
        <v/>
      </c>
      <c r="F1453">
        <f>IF(Skills!N13=TRUE,(Skills!L13/10)*(E1453/1000),Skills!L13/10)+Skills!O13</f>
        <v/>
      </c>
      <c r="G1453">
        <f>Skills!G13*IF(Skills!H13&gt;0,Skills!I13/Skills!H13,1)</f>
        <v/>
      </c>
      <c r="H1453">
        <f>1-(1-Skills!J13/100)^Skills!K13</f>
        <v/>
      </c>
      <c r="I1453" t="inlineStr">
        <is>
          <t>1</t>
        </is>
      </c>
      <c r="J1453">
        <f>((Inputs!$B$6*(1+Inputs!$B$7/100))+(((Inputs!$B$12*(1+Inputs!$B$13/100))-(Inputs!$B$12*(1+Inputs!$B$13/100)))+0.25*(Inputs!$B$14-Inputs!$B$14))*(1+Inputs!$B$7/100))*(F1453/100)</f>
        <v/>
      </c>
      <c r="K1453">
        <f>J1453*(1+((Inputs!$B$12*(1+Inputs!$B$13/100))*0.01+Inputs!$B$14*0.0025)/100)*(1+Inputs!$B$15/100)*(1+IF(Inputs!$B$39="pvp",0,(1-Summary!$B$55)*(Inputs!$B$20+0+Skills!P13+B1474)+Summary!$B$55*(Inputs!$B$21+Skills!Q13+B1474))/100)*(1+Inputs!$B$16/100)*(5000/(6000+Inputs!$B$43*(1-Inputs!$B$19/100)))*(1+(Inputs!$B$24+((C1470=TRUE)*(F1470-Calc!F30)))/100)*(1+(IF(Skills!A13="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1453)</f>
        <v/>
      </c>
      <c r="L1453">
        <f>K1453*(MIN(Inputs!$B$22+((C1464=TRUE)*(F1464-Calc!F24)),Inputs!$B$23+((C1469=TRUE)*(F1469-Calc!F29)))/100+(Inputs!$B$23+((C1469=TRUE)*(F1469-Calc!F29)))/100)/2</f>
        <v/>
      </c>
      <c r="M1453">
        <f>L1453*(1+(Inputs!$B$10+((C1466=TRUE)*(F1466-Calc!F26))+B1480)/100)</f>
        <v/>
      </c>
      <c r="N1453">
        <f>L1453*(1-MIN((Inputs!$B$9+((C1465=TRUE)*(F1465-Calc!F25))+B1473),100)/100)+M1453*(MIN((Inputs!$B$9+((C1465=TRUE)*(F1465-Calc!F25))+B1473),100)/100)</f>
        <v/>
      </c>
      <c r="O1453">
        <f>IF(C1453,H1453*N1453*IF(AND(Inputs!$B$39&lt;&gt;"pvp",Inputs!$B$44&gt;0),((Skills!G13*((R1453-1)*IF(Skills!H13&gt;0,Skills!I13/Skills!H13,1)+IF(Skills!H13&gt;0,MIN(Skills!I13,MAX(0,MAX(0,Inputs!$B$44-B1484)-((R1453-1)*IF(Inputs!$B$39="pvp",15,MAX(0.1,Skills!D13-IF(Skills!E13=TRUE,1.5,0))))))/Skills!H13,1)))/Inputs!$B$44),G1453*Q1453)*IF(Inputs!$B$39="pvp",1,(1-Summary!$B$55)*(1)+Summary!$B$55*(MIN(Skills!W13,Inputs!$B$37))),0)</f>
        <v/>
      </c>
      <c r="P1453">
        <f>IF(B1485=0,0,O1453/B1485)</f>
        <v/>
      </c>
      <c r="Q1453">
        <f>IFERROR(1/IF(Inputs!$B$39="pvp",15,MAX(0.1,Skills!D13-IF(Skills!E13=TRUE,1.5,0))),0)</f>
        <v/>
      </c>
      <c r="R1453">
        <f>IF(AND(Inputs!$B$39&lt;&gt;"pvp",Inputs!$B$44&gt;0),IF(MAX(0,Inputs!$B$44-B1484)&lt;=0,0,(INT(MAX(0,Inputs!$B$44-B1484)/IF(Inputs!$B$39="pvp",15,MAX(0.1,Skills!D13-IF(Skills!E13=TRUE,1.5,0))))+1)),0)</f>
        <v/>
      </c>
      <c r="S1453">
        <f>IFERROR(O1453/N1453,0)</f>
        <v/>
      </c>
    </row>
    <row r="1454">
      <c r="A1454">
        <f>Skills!A14</f>
        <v/>
      </c>
      <c r="B1454">
        <f>Skills!B14</f>
        <v/>
      </c>
      <c r="C1454">
        <f>Inputs!$B$3&gt;=107</f>
        <v/>
      </c>
      <c r="D1454">
        <f>IF(Skills!C14=1,60+Inputs!$B$25+Inputs!$B$29,IF(Skills!C14=2,90+Inputs!$B$26+Inputs!$B$29,IF(Skills!C14=3,120+Inputs!$B$27+Inputs!$B$29,MAX(0,(Inputs!$B$3-100)*3)+Inputs!$B$28+Inputs!$B$29)))</f>
        <v/>
      </c>
      <c r="E1454">
        <f>INDEX(FactorTable!$B$2:$Y$301, MATCH(ROUND(MIN(300,MAX(1,D1454)),0), FactorTable!$A$2:$A$301,0), Skills!M14+1)</f>
        <v/>
      </c>
      <c r="F1454">
        <f>IF(Skills!N14=TRUE,(Skills!L14/10)*(E1454/1000),Skills!L14/10)+Skills!O14</f>
        <v/>
      </c>
      <c r="G1454">
        <f>Skills!G14*IF(Skills!H14&gt;0,Skills!I14/Skills!H14,1)</f>
        <v/>
      </c>
      <c r="H1454">
        <f>1-(1-Skills!J14/100)^Skills!K14</f>
        <v/>
      </c>
      <c r="I1454" t="inlineStr">
        <is>
          <t>1</t>
        </is>
      </c>
      <c r="J1454">
        <f>((Inputs!$B$6*(1+Inputs!$B$7/100))+(((Inputs!$B$12*(1+Inputs!$B$13/100))-(Inputs!$B$12*(1+Inputs!$B$13/100)))+0.25*(Inputs!$B$14-Inputs!$B$14))*(1+Inputs!$B$7/100))*(F1454/100)</f>
        <v/>
      </c>
      <c r="K1454">
        <f>J1454*(1+((Inputs!$B$12*(1+Inputs!$B$13/100))*0.01+Inputs!$B$14*0.0025)/100)*(1+Inputs!$B$15/100)*(1+IF(Inputs!$B$39="pvp",0,(1-Summary!$B$55)*(Inputs!$B$20+0+Skills!P14+B1474)+Summary!$B$55*(Inputs!$B$21+Skills!Q14+B1474))/100)*(1+Inputs!$B$16/100)*(5000/(6000+Inputs!$B$43*(1-Inputs!$B$19/100)))*(1+(Inputs!$B$24+((C1470=TRUE)*(F1470-Calc!F30)))/100)*(1+(IF(Skills!A14="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1454)</f>
        <v/>
      </c>
      <c r="L1454">
        <f>K1454*(MIN(Inputs!$B$22+((C1464=TRUE)*(F1464-Calc!F24)),Inputs!$B$23+((C1469=TRUE)*(F1469-Calc!F29)))/100+(Inputs!$B$23+((C1469=TRUE)*(F1469-Calc!F29)))/100)/2</f>
        <v/>
      </c>
      <c r="M1454">
        <f>L1454*(1+(Inputs!$B$10+((C1466=TRUE)*(F1466-Calc!F26))+B1480)/100)</f>
        <v/>
      </c>
      <c r="N1454">
        <f>L1454*(1-MIN((Inputs!$B$9+((C1465=TRUE)*(F1465-Calc!F25))+B1473),100)/100)+M1454*(MIN((Inputs!$B$9+((C1465=TRUE)*(F1465-Calc!F25))+B1473),100)/100)</f>
        <v/>
      </c>
      <c r="O1454">
        <f>IF(C1454,H1454*N1454*IF(AND(Inputs!$B$39&lt;&gt;"pvp",Inputs!$B$44&gt;0),((Skills!G14*((R1454-1)*IF(Skills!H14&gt;0,Skills!I14/Skills!H14,1)+IF(Skills!H14&gt;0,MIN(Skills!I14,MAX(0,MAX(0,Inputs!$B$44-B1484)-((R1454-1)*IF(Inputs!$B$39="pvp",15,MAX(0.1,Skills!D14-IF(Skills!E14=TRUE,1.5,0))))))/Skills!H14,1)))/Inputs!$B$44),G1454*Q1454)*IF(Inputs!$B$39="pvp",1,(1-Summary!$B$55)*(1)+Summary!$B$55*(MIN(MIN(5,0.25*B1477*Skills!D4)*Skills!V14,Inputs!$B$37))),0)</f>
        <v/>
      </c>
      <c r="P1454">
        <f>IF(B1485=0,0,O1454/B1485)</f>
        <v/>
      </c>
      <c r="Q1454">
        <f>IFERROR(1/IF(Inputs!$B$39="pvp",15,MAX(0.1,Skills!D14-IF(Skills!E14=TRUE,1.5,0))),0)</f>
        <v/>
      </c>
      <c r="R1454">
        <f>IF(AND(Inputs!$B$39&lt;&gt;"pvp",Inputs!$B$44&gt;0),IF(MAX(0,Inputs!$B$44-B1484)&lt;=0,0,(INT(MAX(0,Inputs!$B$44-B1484)/IF(Inputs!$B$39="pvp",15,MAX(0.1,Skills!D14-IF(Skills!E14=TRUE,1.5,0))))+1)),0)</f>
        <v/>
      </c>
      <c r="S1454">
        <f>IFERROR(O1454/N1454,0)</f>
        <v/>
      </c>
    </row>
    <row r="1455">
      <c r="A1455">
        <f>Skills!A15</f>
        <v/>
      </c>
      <c r="B1455">
        <f>Skills!B15</f>
        <v/>
      </c>
      <c r="C1455">
        <f>Inputs!$B$3&gt;=110</f>
        <v/>
      </c>
      <c r="D1455">
        <f>IF(Skills!C15=1,60+Inputs!$B$25+Inputs!$B$29,IF(Skills!C15=2,90+Inputs!$B$26+Inputs!$B$29,IF(Skills!C15=3,120+Inputs!$B$27+Inputs!$B$29,MAX(0,(Inputs!$B$3-100)*3)+Inputs!$B$28+Inputs!$B$29)))</f>
        <v/>
      </c>
      <c r="E1455">
        <f>INDEX(FactorTable!$B$2:$Y$301, MATCH(ROUND(MIN(300,MAX(1,D1455)),0), FactorTable!$A$2:$A$301,0), Skills!M15+1)</f>
        <v/>
      </c>
      <c r="F1455">
        <f>IF(Skills!N15=TRUE,(Skills!L15/10)*(E1455/1000),Skills!L15/10)+Skills!O15</f>
        <v/>
      </c>
      <c r="G1455">
        <f>Skills!G15*IF(Skills!H15&gt;0,Skills!I15/Skills!H15,1)</f>
        <v/>
      </c>
      <c r="H1455">
        <f>1-(1-Skills!J15/100)^Skills!K15</f>
        <v/>
      </c>
      <c r="I1455" t="inlineStr">
        <is>
          <t>1</t>
        </is>
      </c>
      <c r="J1455" t="inlineStr"/>
      <c r="K1455" t="inlineStr"/>
      <c r="L1455" t="inlineStr"/>
      <c r="M1455" t="inlineStr"/>
      <c r="N1455" t="inlineStr"/>
      <c r="O1455" t="n">
        <v>0</v>
      </c>
      <c r="P1455">
        <f>IF(B1485=0,0,O1455/B1485)</f>
        <v/>
      </c>
      <c r="Q1455">
        <f>IFERROR(1/IF(Inputs!$B$39="pvp",15,MAX(0.1,Skills!D15-IF(Skills!E15=TRUE,1.5,0))),0)</f>
        <v/>
      </c>
      <c r="R1455">
        <f>IF(AND(Inputs!$B$39&lt;&gt;"pvp",Inputs!$B$44&gt;0),IF(Inputs!$B$44&lt;=0,0,(INT(Inputs!$B$44/IF(Inputs!$B$39="pvp",15,MAX(0.1,Skills!D15-IF(Skills!E15=TRUE,1.5,0))))+1)),0)</f>
        <v/>
      </c>
      <c r="S1455">
        <f>IFERROR(O1455/N1455,0)</f>
        <v/>
      </c>
    </row>
    <row r="1456">
      <c r="A1456">
        <f>Skills!A16</f>
        <v/>
      </c>
      <c r="B1456">
        <f>Skills!B16</f>
        <v/>
      </c>
      <c r="C1456">
        <f>Inputs!$B$3&gt;=115</f>
        <v/>
      </c>
      <c r="D1456">
        <f>IF(Skills!C16=1,60+Inputs!$B$25+Inputs!$B$29,IF(Skills!C16=2,90+Inputs!$B$26+Inputs!$B$29,IF(Skills!C16=3,120+Inputs!$B$27+Inputs!$B$29,MAX(0,(Inputs!$B$3-100)*3)+Inputs!$B$28+Inputs!$B$29)))</f>
        <v/>
      </c>
      <c r="E1456">
        <f>INDEX(FactorTable!$B$2:$Y$301, MATCH(ROUND(MIN(300,MAX(1,D1456)),0), FactorTable!$A$2:$A$301,0), Skills!M16+1)</f>
        <v/>
      </c>
      <c r="F1456">
        <f>IF(Skills!N16=TRUE,(Skills!L16/10)*(E1456/1000),Skills!L16/10)+Skills!O16</f>
        <v/>
      </c>
      <c r="G1456">
        <f>Skills!G16*IF(Skills!H16&gt;0,Skills!I16/Skills!H16,1)</f>
        <v/>
      </c>
      <c r="H1456">
        <f>1-(1-Skills!J16/100)^Skills!K16</f>
        <v/>
      </c>
      <c r="I1456" t="inlineStr">
        <is>
          <t>1</t>
        </is>
      </c>
      <c r="J1456">
        <f>((Inputs!$B$6*(1+Inputs!$B$7/100))+(((Inputs!$B$12*(1+Inputs!$B$13/100))-(Inputs!$B$12*(1+Inputs!$B$13/100)))+0.25*(Inputs!$B$14-Inputs!$B$14))*(1+Inputs!$B$7/100))*(F1456/100)</f>
        <v/>
      </c>
      <c r="K1456">
        <f>J1456*(1+((Inputs!$B$12*(1+Inputs!$B$13/100))*0.01+Inputs!$B$14*0.0025)/100)*(1+Inputs!$B$15/100)*(1+IF(Inputs!$B$39="pvp",0,(1-Summary!$B$55)*(Inputs!$B$20+0+Skills!P16+B1474)+Summary!$B$55*(Inputs!$B$21+Skills!Q16+B1474))/100)*(1+Inputs!$B$16/100)*(5000/(6000+Inputs!$B$43*(1-Inputs!$B$19/100)))*(1+(Inputs!$B$24+((C1470=TRUE)*(F1470-Calc!F30)))/100)*(1+(IF(Skills!A16="CRUEL_STAB",Inputs!$B$17+((C1467=TRUE)*(F1467-Calc!F27)),Inputs!$B$18+((C1468=TRUE)*(F1468-Calc!F28))))/100)*(((1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B1475*I1456)</f>
        <v/>
      </c>
      <c r="L1456">
        <f>K1456*(MIN(Inputs!$B$22+((C1464=TRUE)*(F1464-Calc!F24)),Inputs!$B$23+((C1469=TRUE)*(F1469-Calc!F29)))/100+(Inputs!$B$23+((C1469=TRUE)*(F1469-Calc!F29)))/100)/2</f>
        <v/>
      </c>
      <c r="M1456">
        <f>L1456*(1+(Inputs!$B$10+((C1466=TRUE)*(F1466-Calc!F26))+B1480)/100)</f>
        <v/>
      </c>
      <c r="N1456">
        <f>L1456*(1-MIN((Inputs!$B$9+((C1465=TRUE)*(F1465-Calc!F25))+B1473),100)/100)+M1456*(MIN((Inputs!$B$9+((C1465=TRUE)*(F1465-Calc!F25))+B1473),100)/100)</f>
        <v/>
      </c>
      <c r="O1456">
        <f>IF(C1456,Inputs!$B$38*0.2*N1456,0)</f>
        <v/>
      </c>
      <c r="P1456">
        <f>IF(B1485=0,0,O1456/B1485)</f>
        <v/>
      </c>
      <c r="Q1456" t="n">
        <v>0</v>
      </c>
      <c r="R1456" t="n">
        <v>0</v>
      </c>
      <c r="S1456">
        <f>IFERROR(O1456/N1456,0)</f>
        <v/>
      </c>
    </row>
    <row r="1457">
      <c r="A1457">
        <f>Skills!A17</f>
        <v/>
      </c>
      <c r="B1457">
        <f>Skills!B17</f>
        <v/>
      </c>
      <c r="C1457">
        <f>Inputs!$B$3&gt;=115</f>
        <v/>
      </c>
      <c r="D1457">
        <f>IF(Skills!C17=1,60+Inputs!$B$25+Inputs!$B$29,IF(Skills!C17=2,90+Inputs!$B$26+Inputs!$B$29,IF(Skills!C17=3,120+Inputs!$B$27+Inputs!$B$29,MAX(0,(Inputs!$B$3-100)*3)+Inputs!$B$28+Inputs!$B$29)))</f>
        <v/>
      </c>
      <c r="E1457">
        <f>INDEX(FactorTable!$B$2:$Y$301, MATCH(ROUND(MIN(300,MAX(1,D1457)),0), FactorTable!$A$2:$A$301,0), Skills!M17+1)</f>
        <v/>
      </c>
      <c r="F1457">
        <f>IF(Skills!N17=TRUE,(Skills!L17/10)*(E1457/1000),Skills!L17/10)+Skills!O17</f>
        <v/>
      </c>
      <c r="G1457">
        <f>Skills!G17*IF(Skills!H17&gt;0,Skills!I17/Skills!H17,1)</f>
        <v/>
      </c>
      <c r="H1457">
        <f>1-(1-Skills!J17/100)^Skills!K17</f>
        <v/>
      </c>
      <c r="I1457" t="inlineStr">
        <is>
          <t>1</t>
        </is>
      </c>
      <c r="J1457" t="inlineStr"/>
      <c r="K1457" t="inlineStr"/>
      <c r="L1457" t="inlineStr"/>
      <c r="M1457" t="inlineStr"/>
      <c r="N1457" t="inlineStr"/>
      <c r="O1457" t="n">
        <v>0</v>
      </c>
      <c r="P1457">
        <f>IF(B1485=0,0,O1457/B1485)</f>
        <v/>
      </c>
      <c r="Q1457" t="n">
        <v>0</v>
      </c>
      <c r="R1457" t="n">
        <v>0</v>
      </c>
      <c r="S1457">
        <f>IFERROR(O1457/N1457,0)</f>
        <v/>
      </c>
    </row>
    <row r="1458">
      <c r="A1458">
        <f>Skills!A18</f>
        <v/>
      </c>
      <c r="B1458">
        <f>Skills!B18</f>
        <v/>
      </c>
      <c r="C1458">
        <f>Inputs!$B$3&gt;=100</f>
        <v/>
      </c>
      <c r="D1458">
        <f>IF(Skills!C18=1,60+Inputs!$B$25+Inputs!$B$29,IF(Skills!C18=2,90+Inputs!$B$26+Inputs!$B$29,IF(Skills!C18=3,120+Inputs!$B$27+Inputs!$B$29,MAX(0,(Inputs!$B$3-100)*3)+Inputs!$B$28+Inputs!$B$29)))</f>
        <v/>
      </c>
      <c r="E1458">
        <f>INDEX(FactorTable!$B$2:$Y$301, MATCH(ROUND(MIN(300,MAX(1,D1458)),0), FactorTable!$A$2:$A$301,0), Skills!M18+1)</f>
        <v/>
      </c>
      <c r="F1458">
        <f>IF(Skills!N18=TRUE,(Skills!L18/10)*(E1458/1000),Skills!L18/10)+Skills!O18</f>
        <v/>
      </c>
      <c r="G1458">
        <f>Skills!G18*IF(Skills!H18&gt;0,Skills!I18/Skills!H18,1)</f>
        <v/>
      </c>
      <c r="H1458">
        <f>1-(1-Skills!J18/100)^Skills!K18</f>
        <v/>
      </c>
      <c r="I1458" t="inlineStr">
        <is>
          <t>1</t>
        </is>
      </c>
      <c r="J1458" t="inlineStr"/>
      <c r="K1458" t="inlineStr"/>
      <c r="L1458" t="inlineStr"/>
      <c r="M1458" t="inlineStr"/>
      <c r="N1458" t="inlineStr"/>
      <c r="O1458" t="n">
        <v>0</v>
      </c>
      <c r="P1458">
        <f>IF(B1485=0,0,O1458/B1485)</f>
        <v/>
      </c>
      <c r="Q1458" t="n">
        <v>0</v>
      </c>
      <c r="R1458" t="n">
        <v>0</v>
      </c>
      <c r="S1458">
        <f>IFERROR(O1458/N1458,0)</f>
        <v/>
      </c>
    </row>
    <row r="1459">
      <c r="A1459">
        <f>Skills!A19</f>
        <v/>
      </c>
      <c r="B1459">
        <f>Skills!B19</f>
        <v/>
      </c>
      <c r="C1459">
        <f>TRUE</f>
        <v/>
      </c>
      <c r="D1459">
        <f>IF(Skills!C19=1,60+Inputs!$B$25+Inputs!$B$29,IF(Skills!C19=2,90+Inputs!$B$26+Inputs!$B$29,IF(Skills!C19=3,120+Inputs!$B$27+Inputs!$B$29,MAX(0,(Inputs!$B$3-100)*3)+Inputs!$B$28+Inputs!$B$29)))</f>
        <v/>
      </c>
      <c r="E1459">
        <f>INDEX(FactorTable!$B$2:$Y$301, MATCH(ROUND(MIN(300,MAX(1,D1459)),0), FactorTable!$A$2:$A$301,0), Skills!M19+1)</f>
        <v/>
      </c>
      <c r="F1459">
        <f>IF(Skills!N19=TRUE,(Skills!L19/10)*(E1459/1000),Skills!L19/10)+Skills!O19</f>
        <v/>
      </c>
      <c r="G1459">
        <f>Skills!G19*IF(Skills!H19&gt;0,Skills!I19/Skills!H19,1)</f>
        <v/>
      </c>
      <c r="H1459">
        <f>1-(1-Skills!J19/100)^Skills!K19</f>
        <v/>
      </c>
      <c r="I1459" t="inlineStr">
        <is>
          <t>1</t>
        </is>
      </c>
      <c r="J1459" t="inlineStr"/>
      <c r="K1459" t="inlineStr"/>
      <c r="L1459" t="inlineStr"/>
      <c r="M1459" t="inlineStr"/>
      <c r="N1459" t="inlineStr"/>
      <c r="O1459" t="n">
        <v>0</v>
      </c>
      <c r="P1459">
        <f>IF(B1485=0,0,O1459/B1485)</f>
        <v/>
      </c>
      <c r="Q1459">
        <f>IFERROR(1/IF(Inputs!$B$39="pvp",15,MAX(0.1,Skills!D19-IF(Skills!E19=TRUE,1.5,0))),0)</f>
        <v/>
      </c>
      <c r="R1459">
        <f>IF(AND(Inputs!$B$39&lt;&gt;"pvp",Inputs!$B$44&gt;0),IF(Inputs!$B$44&lt;=0,0,(INT(Inputs!$B$44/IF(Inputs!$B$39="pvp",15,MAX(0.1,Skills!D19-IF(Skills!E19=TRUE,1.5,0))))+1)),0)</f>
        <v/>
      </c>
      <c r="S1459">
        <f>IFERROR(O1459/N1459,0)</f>
        <v/>
      </c>
    </row>
    <row r="1460">
      <c r="A1460">
        <f>Skills!A20</f>
        <v/>
      </c>
      <c r="B1460">
        <f>Skills!B20</f>
        <v/>
      </c>
      <c r="C1460">
        <f>Inputs!$B$3&gt;=15</f>
        <v/>
      </c>
      <c r="D1460">
        <f>IF(Skills!C20=1,60+Inputs!$B$25+Inputs!$B$29,IF(Skills!C20=2,90+Inputs!$B$26+Inputs!$B$29,IF(Skills!C20=3,120+Inputs!$B$27+Inputs!$B$29,MAX(0,(Inputs!$B$3-100)*3)+Inputs!$B$28+Inputs!$B$29)))</f>
        <v/>
      </c>
      <c r="E1460">
        <f>INDEX(FactorTable!$B$2:$Y$301, MATCH(ROUND(MIN(300,MAX(1,D1460)),0), FactorTable!$A$2:$A$301,0), Skills!M20+1)</f>
        <v/>
      </c>
      <c r="F1460">
        <f>IF(Skills!N20=TRUE,(Skills!L20/10)*(E1460/1000),Skills!L20/10)+Skills!O20</f>
        <v/>
      </c>
      <c r="G1460">
        <f>Skills!G20*IF(Skills!H20&gt;0,Skills!I20/Skills!H20,1)</f>
        <v/>
      </c>
      <c r="H1460">
        <f>1-(1-Skills!J20/100)^Skills!K20</f>
        <v/>
      </c>
      <c r="I1460" t="inlineStr">
        <is>
          <t>1</t>
        </is>
      </c>
      <c r="J1460" t="inlineStr"/>
      <c r="K1460" t="inlineStr"/>
      <c r="L1460" t="inlineStr"/>
      <c r="M1460" t="inlineStr"/>
      <c r="N1460" t="inlineStr"/>
      <c r="O1460" t="n">
        <v>0</v>
      </c>
      <c r="P1460">
        <f>IF(B1485=0,0,O1460/B1485)</f>
        <v/>
      </c>
      <c r="Q1460">
        <f>IFERROR(1/IF(Inputs!$B$39="pvp",15,MAX(0.1,Skills!D20-IF(Skills!E20=TRUE,1.5,0))),0)</f>
        <v/>
      </c>
      <c r="R1460">
        <f>IF(AND(Inputs!$B$39&lt;&gt;"pvp",Inputs!$B$44&gt;0),IF(Inputs!$B$44&lt;=0,0,(INT(Inputs!$B$44/IF(Inputs!$B$39="pvp",15,MAX(0.1,Skills!D20-IF(Skills!E20=TRUE,1.5,0))))+1)),0)</f>
        <v/>
      </c>
      <c r="S1460">
        <f>IFERROR(O1460/N1460,0)</f>
        <v/>
      </c>
    </row>
    <row r="1461">
      <c r="A1461">
        <f>Skills!A21</f>
        <v/>
      </c>
      <c r="B1461">
        <f>Skills!B21</f>
        <v/>
      </c>
      <c r="C1461">
        <f>Inputs!$B$3&gt;=15</f>
        <v/>
      </c>
      <c r="D1461">
        <f>IF(Skills!C21=1,60+Inputs!$B$25+Inputs!$B$29,IF(Skills!C21=2,90+Inputs!$B$26+Inputs!$B$29,IF(Skills!C21=3,120+Inputs!$B$27+Inputs!$B$29,MAX(0,(Inputs!$B$3-100)*3)+Inputs!$B$28+Inputs!$B$29)))</f>
        <v/>
      </c>
      <c r="E1461">
        <f>INDEX(FactorTable!$B$2:$Y$301, MATCH(ROUND(MIN(300,MAX(1,D1461)),0), FactorTable!$A$2:$A$301,0), Skills!M21+1)</f>
        <v/>
      </c>
      <c r="F1461">
        <f>IF(Skills!N21=TRUE,(Skills!L21/10)*(E1461/1000),Skills!L21/10)+Skills!O21</f>
        <v/>
      </c>
      <c r="G1461">
        <f>Skills!G21*IF(Skills!H21&gt;0,Skills!I21/Skills!H21,1)</f>
        <v/>
      </c>
      <c r="H1461">
        <f>1-(1-Skills!J21/100)^Skills!K21</f>
        <v/>
      </c>
      <c r="I1461" t="inlineStr">
        <is>
          <t>1</t>
        </is>
      </c>
      <c r="J1461" t="inlineStr"/>
      <c r="K1461" t="inlineStr"/>
      <c r="L1461" t="inlineStr"/>
      <c r="M1461" t="inlineStr"/>
      <c r="N1461" t="inlineStr"/>
      <c r="O1461" t="n">
        <v>0</v>
      </c>
      <c r="P1461">
        <f>IF(B1485=0,0,O1461/B1485)</f>
        <v/>
      </c>
      <c r="Q1461">
        <f>IFERROR(1/IF(Inputs!$B$39="pvp",15,MAX(0.1,Skills!D21-IF(Skills!E21=TRUE,1.5,0))),0)</f>
        <v/>
      </c>
      <c r="R1461">
        <f>IF(AND(Inputs!$B$39&lt;&gt;"pvp",Inputs!$B$44&gt;0),IF(Inputs!$B$44&lt;=0,0,(INT(Inputs!$B$44/IF(Inputs!$B$39="pvp",15,MAX(0.1,Skills!D21-IF(Skills!E21=TRUE,1.5,0))))+1)),0)</f>
        <v/>
      </c>
      <c r="S1461">
        <f>IFERROR(O1461/N1461,0)</f>
        <v/>
      </c>
    </row>
    <row r="1462">
      <c r="A1462">
        <f>Skills!A22</f>
        <v/>
      </c>
      <c r="B1462">
        <f>Skills!B22</f>
        <v/>
      </c>
      <c r="C1462">
        <f>Inputs!$B$3&gt;=33</f>
        <v/>
      </c>
      <c r="D1462">
        <f>IF(Skills!C22=1,60+Inputs!$B$25+Inputs!$B$29,IF(Skills!C22=2,90+Inputs!$B$26+Inputs!$B$29,IF(Skills!C22=3,120+Inputs!$B$27+Inputs!$B$29,MAX(0,(Inputs!$B$3-100)*3)+Inputs!$B$28+Inputs!$B$29)))</f>
        <v/>
      </c>
      <c r="E1462">
        <f>INDEX(FactorTable!$B$2:$Y$301, MATCH(ROUND(MIN(300,MAX(1,D1462)),0), FactorTable!$A$2:$A$301,0), Skills!M22+1)</f>
        <v/>
      </c>
      <c r="F1462">
        <f>IF(Skills!N22=TRUE,(Skills!L22/10)*(E1462/1000),Skills!L22/10)+Skills!O22</f>
        <v/>
      </c>
      <c r="G1462">
        <f>Skills!G22*IF(Skills!H22&gt;0,Skills!I22/Skills!H22,1)</f>
        <v/>
      </c>
      <c r="H1462">
        <f>1-(1-Skills!J22/100)^Skills!K22</f>
        <v/>
      </c>
      <c r="I1462" t="inlineStr">
        <is>
          <t>1</t>
        </is>
      </c>
      <c r="J1462" t="inlineStr"/>
      <c r="K1462" t="inlineStr"/>
      <c r="L1462" t="inlineStr"/>
      <c r="M1462" t="inlineStr"/>
      <c r="N1462" t="inlineStr"/>
      <c r="O1462" t="n">
        <v>0</v>
      </c>
      <c r="P1462">
        <f>IF(B1485=0,0,O1462/B1485)</f>
        <v/>
      </c>
      <c r="Q1462" t="n">
        <v>0</v>
      </c>
      <c r="R1462" t="n">
        <v>0</v>
      </c>
      <c r="S1462">
        <f>IFERROR(O1462/N1462,0)</f>
        <v/>
      </c>
    </row>
    <row r="1463">
      <c r="A1463">
        <f>Skills!A23</f>
        <v/>
      </c>
      <c r="B1463">
        <f>Skills!B23</f>
        <v/>
      </c>
      <c r="C1463">
        <f>Inputs!$B$3&gt;=40</f>
        <v/>
      </c>
      <c r="D1463">
        <f>IF(Skills!C23=1,60+Inputs!$B$25+Inputs!$B$29,IF(Skills!C23=2,90+Inputs!$B$26+Inputs!$B$29,IF(Skills!C23=3,120+Inputs!$B$27+Inputs!$B$29,MAX(0,(Inputs!$B$3-100)*3)+Inputs!$B$28+Inputs!$B$29)))</f>
        <v/>
      </c>
      <c r="E1463">
        <f>INDEX(FactorTable!$B$2:$Y$301, MATCH(ROUND(MIN(300,MAX(1,D1463)),0), FactorTable!$A$2:$A$301,0), Skills!M23+1)</f>
        <v/>
      </c>
      <c r="F1463">
        <f>IF(Skills!N23=TRUE,(Skills!L23/10)*(E1463/1000),Skills!L23/10)+Skills!O23</f>
        <v/>
      </c>
      <c r="G1463">
        <f>Skills!G23*IF(Skills!H23&gt;0,Skills!I23/Skills!H23,1)</f>
        <v/>
      </c>
      <c r="H1463">
        <f>1-(1-Skills!J23/100)^Skills!K23</f>
        <v/>
      </c>
      <c r="I1463" t="inlineStr">
        <is>
          <t>1</t>
        </is>
      </c>
      <c r="J1463" t="inlineStr"/>
      <c r="K1463" t="inlineStr"/>
      <c r="L1463" t="inlineStr"/>
      <c r="M1463" t="inlineStr"/>
      <c r="N1463" t="inlineStr"/>
      <c r="O1463" t="n">
        <v>0</v>
      </c>
      <c r="P1463">
        <f>IF(B1485=0,0,O1463/B1485)</f>
        <v/>
      </c>
      <c r="Q1463" t="n">
        <v>0</v>
      </c>
      <c r="R1463" t="n">
        <v>0</v>
      </c>
      <c r="S1463">
        <f>IFERROR(O1463/N1463,0)</f>
        <v/>
      </c>
    </row>
    <row r="1464">
      <c r="A1464">
        <f>Skills!A24</f>
        <v/>
      </c>
      <c r="B1464">
        <f>Skills!B24</f>
        <v/>
      </c>
      <c r="C1464">
        <f>Inputs!$B$3&gt;=43</f>
        <v/>
      </c>
      <c r="D1464">
        <f>IF(Skills!C24=1,60+Inputs!$B$25+Inputs!$B$29,IF(Skills!C24=2,90+Inputs!$B$26+Inputs!$B$29,IF(Skills!C24=3,120+Inputs!$B$27+Inputs!$B$29,MAX(0,(Inputs!$B$3-100)*3)+Inputs!$B$28+Inputs!$B$29)))</f>
        <v/>
      </c>
      <c r="E1464">
        <f>INDEX(FactorTable!$B$2:$Y$301, MATCH(ROUND(MIN(300,MAX(1,D1464)),0), FactorTable!$A$2:$A$301,0), Skills!M24+1)</f>
        <v/>
      </c>
      <c r="F1464">
        <f>IF(Skills!N24=TRUE,(Skills!L24/10)*(E1464/1000),Skills!L24/10)+Skills!O24</f>
        <v/>
      </c>
      <c r="G1464">
        <f>Skills!G24*IF(Skills!H24&gt;0,Skills!I24/Skills!H24,1)</f>
        <v/>
      </c>
      <c r="H1464">
        <f>1-(1-Skills!J24/100)^Skills!K24</f>
        <v/>
      </c>
      <c r="I1464" t="inlineStr">
        <is>
          <t>1</t>
        </is>
      </c>
      <c r="J1464" t="inlineStr"/>
      <c r="K1464" t="inlineStr"/>
      <c r="L1464" t="inlineStr"/>
      <c r="M1464" t="inlineStr"/>
      <c r="N1464" t="inlineStr"/>
      <c r="O1464" t="n">
        <v>0</v>
      </c>
      <c r="P1464">
        <f>IF(B1485=0,0,O1464/B1485)</f>
        <v/>
      </c>
      <c r="Q1464" t="n">
        <v>0</v>
      </c>
      <c r="R1464" t="n">
        <v>0</v>
      </c>
      <c r="S1464">
        <f>IFERROR(O1464/N1464,0)</f>
        <v/>
      </c>
    </row>
    <row r="1465">
      <c r="A1465">
        <f>Skills!A25</f>
        <v/>
      </c>
      <c r="B1465">
        <f>Skills!B25</f>
        <v/>
      </c>
      <c r="C1465">
        <f>Inputs!$B$3&gt;=50</f>
        <v/>
      </c>
      <c r="D1465">
        <f>IF(Skills!C25=1,60+Inputs!$B$25+Inputs!$B$29,IF(Skills!C25=2,90+Inputs!$B$26+Inputs!$B$29,IF(Skills!C25=3,120+Inputs!$B$27+Inputs!$B$29,MAX(0,(Inputs!$B$3-100)*3)+Inputs!$B$28+Inputs!$B$29)))</f>
        <v/>
      </c>
      <c r="E1465">
        <f>INDEX(FactorTable!$B$2:$Y$301, MATCH(ROUND(MIN(300,MAX(1,D1465)),0), FactorTable!$A$2:$A$301,0), Skills!M25+1)</f>
        <v/>
      </c>
      <c r="F1465">
        <f>IF(Skills!N25=TRUE,(Skills!L25/10)*(E1465/1000),Skills!L25/10)+Skills!O25</f>
        <v/>
      </c>
      <c r="G1465">
        <f>Skills!G25*IF(Skills!H25&gt;0,Skills!I25/Skills!H25,1)</f>
        <v/>
      </c>
      <c r="H1465">
        <f>1-(1-Skills!J25/100)^Skills!K25</f>
        <v/>
      </c>
      <c r="I1465" t="inlineStr">
        <is>
          <t>1</t>
        </is>
      </c>
      <c r="J1465" t="inlineStr"/>
      <c r="K1465" t="inlineStr"/>
      <c r="L1465" t="inlineStr"/>
      <c r="M1465" t="inlineStr"/>
      <c r="N1465" t="inlineStr"/>
      <c r="O1465" t="n">
        <v>0</v>
      </c>
      <c r="P1465">
        <f>IF(B1485=0,0,O1465/B1485)</f>
        <v/>
      </c>
      <c r="Q1465" t="n">
        <v>0</v>
      </c>
      <c r="R1465" t="n">
        <v>0</v>
      </c>
      <c r="S1465">
        <f>IFERROR(O1465/N1465,0)</f>
        <v/>
      </c>
    </row>
    <row r="1466">
      <c r="A1466">
        <f>Skills!A26</f>
        <v/>
      </c>
      <c r="B1466">
        <f>Skills!B26</f>
        <v/>
      </c>
      <c r="C1466">
        <f>Inputs!$B$3&gt;=50</f>
        <v/>
      </c>
      <c r="D1466">
        <f>IF(Skills!C26=1,60+Inputs!$B$25+Inputs!$B$29,IF(Skills!C26=2,90+Inputs!$B$26+Inputs!$B$29,IF(Skills!C26=3,120+Inputs!$B$27+Inputs!$B$29,MAX(0,(Inputs!$B$3-100)*3)+Inputs!$B$28+Inputs!$B$29)))</f>
        <v/>
      </c>
      <c r="E1466">
        <f>INDEX(FactorTable!$B$2:$Y$301, MATCH(ROUND(MIN(300,MAX(1,D1466)),0), FactorTable!$A$2:$A$301,0), Skills!M26+1)</f>
        <v/>
      </c>
      <c r="F1466">
        <f>IF(Skills!N26=TRUE,(Skills!L26/10)*(E1466/1000),Skills!L26/10)+Skills!O26</f>
        <v/>
      </c>
      <c r="G1466">
        <f>Skills!G26*IF(Skills!H26&gt;0,Skills!I26/Skills!H26,1)</f>
        <v/>
      </c>
      <c r="H1466">
        <f>1-(1-Skills!J26/100)^Skills!K26</f>
        <v/>
      </c>
      <c r="I1466" t="inlineStr">
        <is>
          <t>1</t>
        </is>
      </c>
      <c r="J1466" t="inlineStr"/>
      <c r="K1466" t="inlineStr"/>
      <c r="L1466" t="inlineStr"/>
      <c r="M1466" t="inlineStr"/>
      <c r="N1466" t="inlineStr"/>
      <c r="O1466" t="n">
        <v>0</v>
      </c>
      <c r="P1466">
        <f>IF(B1485=0,0,O1466/B1485)</f>
        <v/>
      </c>
      <c r="Q1466" t="n">
        <v>0</v>
      </c>
      <c r="R1466" t="n">
        <v>0</v>
      </c>
      <c r="S1466">
        <f>IFERROR(O1466/N1466,0)</f>
        <v/>
      </c>
    </row>
    <row r="1467">
      <c r="A1467">
        <f>Skills!A27</f>
        <v/>
      </c>
      <c r="B1467">
        <f>Skills!B27</f>
        <v/>
      </c>
      <c r="C1467">
        <f>Inputs!$B$3&gt;=38</f>
        <v/>
      </c>
      <c r="D1467">
        <f>IF(Skills!C27=1,60+Inputs!$B$25+Inputs!$B$29,IF(Skills!C27=2,90+Inputs!$B$26+Inputs!$B$29,IF(Skills!C27=3,120+Inputs!$B$27+Inputs!$B$29,MAX(0,(Inputs!$B$3-100)*3)+Inputs!$B$28+Inputs!$B$29)))</f>
        <v/>
      </c>
      <c r="E1467">
        <f>INDEX(FactorTable!$B$2:$Y$301, MATCH(ROUND(MIN(300,MAX(1,D1467)),0), FactorTable!$A$2:$A$301,0), Skills!M27+1)</f>
        <v/>
      </c>
      <c r="F1467">
        <f>IF(Skills!N27=TRUE,(Skills!L27/10)*(E1467/1000),Skills!L27/10)+Skills!O27</f>
        <v/>
      </c>
      <c r="G1467">
        <f>Skills!G27*IF(Skills!H27&gt;0,Skills!I27/Skills!H27,1)</f>
        <v/>
      </c>
      <c r="H1467">
        <f>1-(1-Skills!J27/100)^Skills!K27</f>
        <v/>
      </c>
      <c r="I1467" t="inlineStr">
        <is>
          <t>1</t>
        </is>
      </c>
      <c r="J1467" t="inlineStr"/>
      <c r="K1467" t="inlineStr"/>
      <c r="L1467" t="inlineStr"/>
      <c r="M1467" t="inlineStr"/>
      <c r="N1467" t="inlineStr"/>
      <c r="O1467" t="n">
        <v>0</v>
      </c>
      <c r="P1467">
        <f>IF(B1485=0,0,O1467/B1485)</f>
        <v/>
      </c>
      <c r="Q1467" t="n">
        <v>0</v>
      </c>
      <c r="R1467" t="n">
        <v>0</v>
      </c>
      <c r="S1467">
        <f>IFERROR(O1467/N1467,0)</f>
        <v/>
      </c>
    </row>
    <row r="1468">
      <c r="A1468">
        <f>Skills!A28</f>
        <v/>
      </c>
      <c r="B1468">
        <f>Skills!B28</f>
        <v/>
      </c>
      <c r="C1468">
        <f>Inputs!$B$3&gt;=120</f>
        <v/>
      </c>
      <c r="D1468">
        <f>IF(Skills!C28=1,60+Inputs!$B$25+Inputs!$B$29,IF(Skills!C28=2,90+Inputs!$B$26+Inputs!$B$29,IF(Skills!C28=3,120+Inputs!$B$27+Inputs!$B$29,MAX(0,(Inputs!$B$3-100)*3)+Inputs!$B$28+Inputs!$B$29)))</f>
        <v/>
      </c>
      <c r="E1468">
        <f>INDEX(FactorTable!$B$2:$Y$301, MATCH(ROUND(MIN(300,MAX(1,D1468)),0), FactorTable!$A$2:$A$301,0), Skills!M28+1)</f>
        <v/>
      </c>
      <c r="F1468">
        <f>IF(Skills!N28=TRUE,(Skills!L28/10)*(E1468/1000),Skills!L28/10)+Skills!O28</f>
        <v/>
      </c>
      <c r="G1468">
        <f>Skills!G28*IF(Skills!H28&gt;0,Skills!I28/Skills!H28,1)</f>
        <v/>
      </c>
      <c r="H1468">
        <f>1-(1-Skills!J28/100)^Skills!K28</f>
        <v/>
      </c>
      <c r="I1468" t="inlineStr">
        <is>
          <t>1</t>
        </is>
      </c>
      <c r="J1468" t="inlineStr"/>
      <c r="K1468" t="inlineStr"/>
      <c r="L1468" t="inlineStr"/>
      <c r="M1468" t="inlineStr"/>
      <c r="N1468" t="inlineStr"/>
      <c r="O1468" t="n">
        <v>0</v>
      </c>
      <c r="P1468">
        <f>IF(B1485=0,0,O1468/B1485)</f>
        <v/>
      </c>
      <c r="Q1468" t="n">
        <v>0</v>
      </c>
      <c r="R1468" t="n">
        <v>0</v>
      </c>
      <c r="S1468">
        <f>IFERROR(O1468/N1468,0)</f>
        <v/>
      </c>
    </row>
    <row r="1469">
      <c r="A1469">
        <f>Skills!A29</f>
        <v/>
      </c>
      <c r="B1469">
        <f>Skills!B29</f>
        <v/>
      </c>
      <c r="C1469">
        <f>Inputs!$B$3&gt;=120</f>
        <v/>
      </c>
      <c r="D1469">
        <f>IF(Skills!C29=1,60+Inputs!$B$25+Inputs!$B$29,IF(Skills!C29=2,90+Inputs!$B$26+Inputs!$B$29,IF(Skills!C29=3,120+Inputs!$B$27+Inputs!$B$29,MAX(0,(Inputs!$B$3-100)*3)+Inputs!$B$28+Inputs!$B$29)))</f>
        <v/>
      </c>
      <c r="E1469">
        <f>INDEX(FactorTable!$B$2:$Y$301, MATCH(ROUND(MIN(300,MAX(1,D1469)),0), FactorTable!$A$2:$A$301,0), Skills!M29+1)</f>
        <v/>
      </c>
      <c r="F1469">
        <f>IF(Skills!N29=TRUE,(Skills!L29/10)*(E1469/1000),Skills!L29/10)+Skills!O29</f>
        <v/>
      </c>
      <c r="G1469">
        <f>Skills!G29*IF(Skills!H29&gt;0,Skills!I29/Skills!H29,1)</f>
        <v/>
      </c>
      <c r="H1469">
        <f>1-(1-Skills!J29/100)^Skills!K29</f>
        <v/>
      </c>
      <c r="I1469" t="inlineStr">
        <is>
          <t>1</t>
        </is>
      </c>
      <c r="J1469" t="inlineStr"/>
      <c r="K1469" t="inlineStr"/>
      <c r="L1469" t="inlineStr"/>
      <c r="M1469" t="inlineStr"/>
      <c r="N1469" t="inlineStr"/>
      <c r="O1469" t="n">
        <v>0</v>
      </c>
      <c r="P1469">
        <f>IF(B1485=0,0,O1469/B1485)</f>
        <v/>
      </c>
      <c r="Q1469" t="n">
        <v>0</v>
      </c>
      <c r="R1469" t="n">
        <v>0</v>
      </c>
      <c r="S1469">
        <f>IFERROR(O1469/N1469,0)</f>
        <v/>
      </c>
    </row>
    <row r="1470">
      <c r="A1470">
        <f>Skills!A30</f>
        <v/>
      </c>
      <c r="B1470">
        <f>Skills!B30</f>
        <v/>
      </c>
      <c r="C1470">
        <f>Inputs!$B$3&gt;=125</f>
        <v/>
      </c>
      <c r="D1470">
        <f>IF(Skills!C30=1,60+Inputs!$B$25+Inputs!$B$29,IF(Skills!C30=2,90+Inputs!$B$26+Inputs!$B$29,IF(Skills!C30=3,120+Inputs!$B$27+Inputs!$B$29,MAX(0,(Inputs!$B$3-100)*3)+Inputs!$B$28+Inputs!$B$29)))</f>
        <v/>
      </c>
      <c r="E1470">
        <f>INDEX(FactorTable!$B$2:$Y$301, MATCH(ROUND(MIN(300,MAX(1,D1470)),0), FactorTable!$A$2:$A$301,0), Skills!M30+1)</f>
        <v/>
      </c>
      <c r="F1470">
        <f>IF(Skills!N30=TRUE,(Skills!L30/10)*(E1470/1000),Skills!L30/10)+Skills!O30</f>
        <v/>
      </c>
      <c r="G1470">
        <f>Skills!G30*IF(Skills!H30&gt;0,Skills!I30/Skills!H30,1)</f>
        <v/>
      </c>
      <c r="H1470">
        <f>1-(1-Skills!J30/100)^Skills!K30</f>
        <v/>
      </c>
      <c r="I1470" t="inlineStr">
        <is>
          <t>1</t>
        </is>
      </c>
      <c r="J1470" t="inlineStr"/>
      <c r="K1470" t="inlineStr"/>
      <c r="L1470" t="inlineStr"/>
      <c r="M1470" t="inlineStr"/>
      <c r="N1470" t="inlineStr"/>
      <c r="O1470" t="n">
        <v>0</v>
      </c>
      <c r="P1470">
        <f>IF(B1485=0,0,O1470/B1485)</f>
        <v/>
      </c>
      <c r="Q1470" t="n">
        <v>0</v>
      </c>
      <c r="R1470" t="n">
        <v>0</v>
      </c>
      <c r="S1470">
        <f>IFERROR(O1470/N1470,0)</f>
        <v/>
      </c>
    </row>
    <row r="1472">
      <c r="A1472" t="inlineStr">
        <is>
          <t>Average Buff Multiplier</t>
        </is>
      </c>
      <c r="B1472">
        <f>(1+(((C1461=TRUE)*F1461*IF(AND(Inputs!$B$39&lt;&gt;"pvp",Inputs!$B$44&gt;0),(((R1461-1)*(Skills!Y21*(1+Inputs!$B$34/100))+MIN((Skills!Y21*(1+Inputs!$B$34/100)),MAX(0,Inputs!$B$44-((R1461-1)*Skills!D21))))/Inputs!$B$44),IF(Inputs!$B$39="pvp",MIN((Skills!Y21*(1+Inputs!$B$34/100)),15)/15,(Skills!Y21*(1+Inputs!$B$34/100))/Skills!D21)))+((C1463=TRUE)*(F1463-Calc!F23))+((C1457=TRUE)*(F1457-Calc!F17)))/100)*(1+((C1450=TRUE)*F1450*IF(AND(Inputs!$B$39&lt;&gt;"pvp",Inputs!$B$44&gt;0),(((R1450-1)*(Skills!Y10*(1+Inputs!$B$34/100))+MIN((Skills!Y10*(1+Inputs!$B$34/100)),MAX(0,Inputs!$B$44-((R1450-1)*Skills!D10))))/Inputs!$B$44),IF(Inputs!$B$39="pvp",MIN((Skills!Y10*(1+Inputs!$B$34/100)),15)/15,(Skills!Y10*(1+Inputs!$B$34/100))/Skills!D10)))/100)*(1+((C1455=TRUE)*F1455*IF(AND(Inputs!$B$39&lt;&gt;"pvp",Inputs!$B$44&gt;0),(((R1455-1)*(Skills!Y15*(1+Inputs!$B$34/100))+MIN((Skills!Y15*(1+Inputs!$B$34/100)),MAX(0,Inputs!$B$44-((R1455-1)*Skills!D15))))/Inputs!$B$44),IF(Inputs!$B$39="pvp",MIN((Skills!Y15*(1+Inputs!$B$34/100)),15)/15,(Skills!Y15*(1+Inputs!$B$34/100))/Skills!D15)))/100)</f>
        <v/>
      </c>
    </row>
    <row r="1473">
      <c r="A1473" t="inlineStr">
        <is>
          <t>Global Crit Rate Bonus %</t>
        </is>
      </c>
      <c r="B1473">
        <f>((C1460=TRUE)*F1460*IF(AND(Inputs!$B$39&lt;&gt;"pvp",Inputs!$B$44&gt;0),(((R1460-1)*(Skills!Y20*(1+Inputs!$B$34/100))+MIN((Skills!Y20*(1+Inputs!$B$34/100)),MAX(0,Inputs!$B$44-((R1460-1)*Skills!D20))))/Inputs!$B$44),IF(Inputs!$B$39="pvp",MIN((Skills!Y20*(1+Inputs!$B$34/100)),15)/15,(Skills!Y20*(1+Inputs!$B$34/100))/Skills!D20)))</f>
        <v/>
      </c>
    </row>
    <row r="1474">
      <c r="A1474" t="inlineStr">
        <is>
          <t>Global Monster Damage-Taken Bonus %</t>
        </is>
      </c>
      <c r="B1474">
        <f>IF(Inputs!$B$3&gt;=82,15,0)</f>
        <v/>
      </c>
    </row>
    <row r="1475">
      <c r="A1475" t="inlineStr">
        <is>
          <t>Shadow Partner Average Multiplier</t>
        </is>
      </c>
      <c r="B1475">
        <f>1+((C1447=TRUE)*F1447*(1+3.3333333333333335*IF(C1458=TRUE,F1458,0)/100)*I1447*Skills!J7/100)/100</f>
        <v/>
      </c>
    </row>
    <row r="1476">
      <c r="A1476" t="inlineStr">
        <is>
          <t>Attack Speed Buff Bonus %</t>
        </is>
      </c>
      <c r="B1476">
        <f>((C1459=TRUE)*F1459*IF(AND(Inputs!$B$39&lt;&gt;"pvp",Inputs!$B$44&gt;0),(((R1459-1)*(Skills!Y19*(1+Inputs!$B$34/100))+MIN((Skills!Y19*(1+Inputs!$B$34/100)),MAX(0,Inputs!$B$44-((R1459-1)*Skills!D19))))/Inputs!$B$44),IF(Inputs!$B$39="pvp",MIN((Skills!Y19*(1+Inputs!$B$34/100)),15)/15,(Skills!Y19*(1+Inputs!$B$34/100))/Skills!D19)))+((C1443=TRUE)*F1443*3)</f>
        <v/>
      </c>
    </row>
    <row r="1477">
      <c r="A1477" t="inlineStr">
        <is>
          <t>Actions Per Second</t>
        </is>
      </c>
      <c r="B1477">
        <f>1+MIN(150,150*(1-(1-(Inputs!$B$11+((C1462=TRUE)*(F1462-Calc!F22)))/150)*(1-B1476/150)))/100</f>
        <v/>
      </c>
    </row>
    <row r="1478">
      <c r="A1478" t="inlineStr">
        <is>
          <t>Skill + Buff Cast Rate</t>
        </is>
      </c>
      <c r="B1478">
        <f>IF(AND(Inputs!$B$39&lt;&gt;"pvp",Inputs!$B$44&gt;0),SUMPRODUCT((Skills!E2:E30=TRUE)*(C1442:C1470=TRUE)*R1442:R1470*Skills!F2:F30)/Inputs!$B$44,SUMPRODUCT((Skills!E2:E30=TRUE)*(C1442:C1470=TRUE)*Q1442:Q1470*Skills!F2:F30))</f>
        <v/>
      </c>
    </row>
    <row r="1479">
      <c r="A1479" t="inlineStr">
        <is>
          <t>Cruel Stab Casts Per Second</t>
        </is>
      </c>
      <c r="B1479">
        <f>MAX(0,B1477-B1478)</f>
        <v/>
      </c>
    </row>
    <row r="1480">
      <c r="A1480" t="inlineStr">
        <is>
          <t>Global Critical Damage Bonus % (Smokescreen Mastery Lv.113)</t>
        </is>
      </c>
      <c r="B1480">
        <f>IF(Inputs!$B$3&gt;=113,30,0)*IF(AND(Inputs!$B$39&lt;&gt;"pvp",Inputs!$B$44&gt;0),(((R1455-1)*(Skills!Y15*(1+Inputs!$B$34/100))+MIN((Skills!Y15*(1+Inputs!$B$34/100)),MAX(0,Inputs!$B$44-((R1455-1)*Skills!D15))))/Inputs!$B$44),IF(Inputs!$B$39="pvp",MIN((Skills!Y15*(1+Inputs!$B$34/100)),15)/15,(Skills!Y15*(1+Inputs!$B$34/100))/Skills!D15))</f>
        <v/>
      </c>
    </row>
    <row r="1481">
      <c r="A1481" t="inlineStr">
        <is>
          <t>Meso Explosion average stack count</t>
        </is>
      </c>
      <c r="B1481">
        <f>MIN(10,0.5*B1477*Skills!D4)</f>
        <v/>
      </c>
    </row>
    <row r="1482">
      <c r="A1482" t="inlineStr">
        <is>
          <t>Blood Money average stack count</t>
        </is>
      </c>
      <c r="B1482">
        <f>MIN(5,0.25*B1477*Skills!D4)</f>
        <v/>
      </c>
    </row>
    <row r="1483">
      <c r="A1483" t="inlineStr">
        <is>
          <t>Assassinate Murderous Intent Multiplier</t>
        </is>
      </c>
      <c r="B1483">
        <f>1+IFERROR(MIN(1,Q1454*2/Q1451),0)</f>
        <v/>
      </c>
    </row>
    <row r="1484">
      <c r="A1484" t="inlineStr">
        <is>
          <t>Buff-Casting Startup Delay (s, fixed-duration only)</t>
        </is>
      </c>
      <c r="B1484">
        <f>IF(AND(Inputs!$B$39&lt;&gt;"pvp",Inputs!$B$44&gt;0),SUMPRODUCT((Skills!Y2:Y30&gt;0)*(Skills!E2:E30=TRUE)*(C1442:C1470=TRUE))/B1477,0)</f>
        <v/>
      </c>
    </row>
    <row r="1485">
      <c r="A1485" s="5" t="inlineStr">
        <is>
          <t>TOTAL DPS</t>
        </is>
      </c>
      <c r="B1485" s="5">
        <f>SUM(O1442:O1470)</f>
        <v/>
      </c>
    </row>
    <row r="1488">
      <c r="A1488" s="5" t="inlineStr">
        <is>
          <t>Stat: CDR = 2.0s</t>
        </is>
      </c>
    </row>
    <row r="1489">
      <c r="A1489" s="9" t="inlineStr">
        <is>
          <t>Key</t>
        </is>
      </c>
      <c r="B1489" s="9" t="inlineStr">
        <is>
          <t>Name</t>
        </is>
      </c>
      <c r="C1489" s="9" t="inlineStr">
        <is>
          <t>Unlocked</t>
        </is>
      </c>
      <c r="D1489" s="9" t="inlineStr">
        <is>
          <t>InputLevel</t>
        </is>
      </c>
      <c r="E1489" s="9" t="inlineStr">
        <is>
          <t>Factor</t>
        </is>
      </c>
      <c r="F1489" s="9" t="inlineStr">
        <is>
          <t>CoefficientPercent</t>
        </is>
      </c>
      <c r="G1489" s="9" t="inlineStr">
        <is>
          <t>EffectiveHits</t>
        </is>
      </c>
      <c r="H1489" s="9" t="inlineStr">
        <is>
          <t>ProcProbability</t>
        </is>
      </c>
      <c r="I1489" s="9" t="inlineStr">
        <is>
          <t>MapleHeroMultiplier</t>
        </is>
      </c>
      <c r="J1489" s="9" t="inlineStr">
        <is>
          <t>BaseDamage</t>
        </is>
      </c>
      <c r="K1489" s="9" t="inlineStr">
        <is>
          <t>BaseHitDamage</t>
        </is>
      </c>
      <c r="L1489" s="9" t="inlineStr">
        <is>
          <t>NonCritAvg</t>
        </is>
      </c>
      <c r="M1489" s="9" t="inlineStr">
        <is>
          <t>CritAvg</t>
        </is>
      </c>
      <c r="N1489" s="9" t="inlineStr">
        <is>
          <t>ExpectedDamage(perHit)</t>
        </is>
      </c>
      <c r="O1489" s="9" t="inlineStr">
        <is>
          <t>DPS</t>
        </is>
      </c>
      <c r="P1489" s="9" t="inlineStr">
        <is>
          <t>% of Total</t>
        </is>
      </c>
      <c r="Q1489" s="9" t="inlineStr">
        <is>
          <t>InvCooldown</t>
        </is>
      </c>
      <c r="R1489" s="9" t="inlineStr">
        <is>
          <t>CastsInFight</t>
        </is>
      </c>
      <c r="S1489" s="9" t="inlineStr">
        <is>
          <t>HitRate(perSec)</t>
        </is>
      </c>
      <c r="U1489" t="inlineStr">
        <is>
          <t>helpers</t>
        </is>
      </c>
    </row>
    <row r="1490">
      <c r="A1490">
        <f>Skills!A2</f>
        <v/>
      </c>
      <c r="B1490">
        <f>Skills!B2</f>
        <v/>
      </c>
      <c r="C1490">
        <f>Inputs!$B$3&gt;=100</f>
        <v/>
      </c>
      <c r="D1490" t="inlineStr"/>
      <c r="E1490" t="inlineStr"/>
      <c r="F1490">
        <f>U1492+Skills!O2</f>
        <v/>
      </c>
      <c r="G1490">
        <f>Skills!G2*IF(Skills!H2&gt;0,Skills!I2/Skills!H2,1)</f>
        <v/>
      </c>
      <c r="H1490">
        <f>1-(1-Skills!J2/100)^Skills!K2</f>
        <v/>
      </c>
      <c r="I1490" t="inlineStr">
        <is>
          <t>1</t>
        </is>
      </c>
      <c r="J1490">
        <f>((Inputs!$B$6*(1+Inputs!$B$7/100))+(((Inputs!$B$12*(1+Inputs!$B$13/100))-(Inputs!$B$12*(1+Inputs!$B$13/100)))+0.25*(Inputs!$B$14-Inputs!$B$14))*(1+Inputs!$B$7/100))*(F1490/100)</f>
        <v/>
      </c>
      <c r="K1490">
        <f>J1490*(1+((Inputs!$B$12*(1+Inputs!$B$13/100))*0.01+Inputs!$B$14*0.0025)/100)*(1+Inputs!$B$15/100)*(1+IF(Inputs!$B$39="pvp",0,(1-Summary!$B$55)*(Inputs!$B$20+0+Skills!P2+B1522)+Summary!$B$55*(Inputs!$B$21+Skills!Q2+B1522))/100)*(1+Inputs!$B$16/100)*(5000/(6000+Inputs!$B$43*(1-Inputs!$B$19/100)))*(1+(Inputs!$B$24+((C1518=TRUE)*(F1518-Calc!F30)))/100)*(1+(IF(Skills!A2="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1490)</f>
        <v/>
      </c>
      <c r="L1490">
        <f>K1490*(MIN(Inputs!$B$22+((C1512=TRUE)*(F1512-Calc!F24)),Inputs!$B$23+((C1517=TRUE)*(F1517-Calc!F29)))/100+(Inputs!$B$23+((C1517=TRUE)*(F1517-Calc!F29)))/100)/2</f>
        <v/>
      </c>
      <c r="M1490">
        <f>L1490*(1+(Inputs!$B$10+((C1514=TRUE)*(F1514-Calc!F26))+B1528)/100)</f>
        <v/>
      </c>
      <c r="N1490">
        <f>L1490*(1-MIN((Inputs!$B$9+((C1513=TRUE)*(F1513-Calc!F25))+B1521),100)/100)+M1490*(MIN((Inputs!$B$9+((C1513=TRUE)*(F1513-Calc!F25))+B1521),100)/100)</f>
        <v/>
      </c>
      <c r="O1490">
        <f>IF(C1490,Skills!G2*N1490*B1527*IF(Inputs!$B$39="pvp",1,(1-Summary!$B$55)*(1)+Summary!$B$55*(MIN((6+Inputs!$B$33),Inputs!$B$37))),0)</f>
        <v/>
      </c>
      <c r="P1490">
        <f>IF(B1533=0,0,O1490/B1533)</f>
        <v/>
      </c>
      <c r="Q1490" t="n">
        <v>0</v>
      </c>
      <c r="R1490" t="n">
        <v>0</v>
      </c>
      <c r="S1490">
        <f>IFERROR(O1490/N1490,0)</f>
        <v/>
      </c>
      <c r="U1490">
        <f>MAX(0,(Inputs!$B$3-100)*3)+Inputs!$B$28+Inputs!$B$29</f>
        <v/>
      </c>
    </row>
    <row r="1491">
      <c r="A1491">
        <f>Skills!A3</f>
        <v/>
      </c>
      <c r="B1491">
        <f>Skills!B3</f>
        <v/>
      </c>
      <c r="C1491">
        <f>Inputs!$B$3&gt;=35</f>
        <v/>
      </c>
      <c r="D1491">
        <f>IF(Skills!C3=1,60+Inputs!$B$25+Inputs!$B$29,IF(Skills!C3=2,90+Inputs!$B$26+Inputs!$B$29,IF(Skills!C3=3,120+Inputs!$B$27+Inputs!$B$29,MAX(0,(Inputs!$B$3-100)*3)+Inputs!$B$28+Inputs!$B$29)))</f>
        <v/>
      </c>
      <c r="E1491">
        <f>INDEX(FactorTable!$B$2:$Y$301, MATCH(ROUND(MIN(300,MAX(1,D1491)),0), FactorTable!$A$2:$A$301,0), Skills!M3+1)</f>
        <v/>
      </c>
      <c r="F1491">
        <f>IF(Skills!N3=TRUE,(Skills!L3/10)*(E1491/1000),Skills!L3/10)+Skills!O3</f>
        <v/>
      </c>
      <c r="G1491">
        <f>Skills!G3*IF(Skills!H3&gt;0,Skills!I3/Skills!H3,1)</f>
        <v/>
      </c>
      <c r="H1491">
        <f>1-(1-Skills!J3/100)^Skills!K3</f>
        <v/>
      </c>
      <c r="I1491" t="inlineStr">
        <is>
          <t>1</t>
        </is>
      </c>
      <c r="J1491" t="inlineStr"/>
      <c r="K1491" t="inlineStr"/>
      <c r="L1491" t="inlineStr"/>
      <c r="M1491" t="inlineStr"/>
      <c r="N1491" t="inlineStr"/>
      <c r="O1491" t="n">
        <v>0</v>
      </c>
      <c r="P1491">
        <f>IF(B1533=0,0,O1491/B1533)</f>
        <v/>
      </c>
      <c r="Q1491" t="n">
        <v>0</v>
      </c>
      <c r="R1491" t="n">
        <v>0</v>
      </c>
      <c r="S1491">
        <f>IFERROR(O1491/N1491,0)</f>
        <v/>
      </c>
      <c r="U1491">
        <f>INDEX(FactorTable!$B$2:$Y$301, MATCH(ROUND(MIN(300,MAX(1,U1490)),0), FactorTable!$A$2:$A$301,0), 22)</f>
        <v/>
      </c>
    </row>
    <row r="1492">
      <c r="A1492">
        <f>Skills!A4</f>
        <v/>
      </c>
      <c r="B1492">
        <f>Skills!B4</f>
        <v/>
      </c>
      <c r="C1492">
        <f>Inputs!$B$3&gt;=66</f>
        <v/>
      </c>
      <c r="D1492">
        <f>IF(Skills!C4=1,60+Inputs!$B$25+Inputs!$B$29,IF(Skills!C4=2,90+Inputs!$B$26+Inputs!$B$29,IF(Skills!C4=3,120+Inputs!$B$27+Inputs!$B$29,MAX(0,(Inputs!$B$3-100)*3)+Inputs!$B$28+Inputs!$B$29)))</f>
        <v/>
      </c>
      <c r="E1492">
        <f>INDEX(FactorTable!$B$2:$Y$301, MATCH(ROUND(MIN(300,MAX(1,D1492)),0), FactorTable!$A$2:$A$301,0), Skills!M4+1)</f>
        <v/>
      </c>
      <c r="F1492">
        <f>IF(Skills!N4=TRUE,(Skills!L4/10)*(E1492/1000),Skills!L4/10)+Skills!O4</f>
        <v/>
      </c>
      <c r="G1492">
        <f>Skills!G4*IF(Skills!H4&gt;0,Skills!I4/Skills!H4,1)</f>
        <v/>
      </c>
      <c r="H1492">
        <f>1-(1-Skills!J4/100)^Skills!K4</f>
        <v/>
      </c>
      <c r="I1492" t="inlineStr">
        <is>
          <t>1</t>
        </is>
      </c>
      <c r="J1492">
        <f>((Inputs!$B$6*(1+Inputs!$B$7/100))+(((Inputs!$B$12*(1+Inputs!$B$13/100))-(Inputs!$B$12*(1+Inputs!$B$13/100)))+0.25*(Inputs!$B$14-Inputs!$B$14))*(1+Inputs!$B$7/100))*(F1492/100)</f>
        <v/>
      </c>
      <c r="K1492">
        <f>J1492*(1+((Inputs!$B$12*(1+Inputs!$B$13/100))*0.01+Inputs!$B$14*0.0025)/100)*(1+Inputs!$B$15/100)*(1+IF(Inputs!$B$39="pvp",0,(1-Summary!$B$55)*(Inputs!$B$20+0+Skills!P4+B1522)+Summary!$B$55*(Inputs!$B$21+Skills!Q4+B1522))/100)*(1+Inputs!$B$16/100)*(5000/(6000+Inputs!$B$43*(1-Inputs!$B$19/100)))*(1+(Inputs!$B$24+((C1518=TRUE)*(F1518-Calc!F30)))/100)*(1+(IF(Skills!A4="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1492)</f>
        <v/>
      </c>
      <c r="L1492">
        <f>K1492*(MIN(Inputs!$B$22+((C1512=TRUE)*(F1512-Calc!F24)),Inputs!$B$23+((C1517=TRUE)*(F1517-Calc!F29)))/100+(Inputs!$B$23+((C1517=TRUE)*(F1517-Calc!F29)))/100)/2</f>
        <v/>
      </c>
      <c r="M1492">
        <f>L1492*(1+(Inputs!$B$10+((C1514=TRUE)*(F1514-Calc!F26))+B1528)/100)</f>
        <v/>
      </c>
      <c r="N1492">
        <f>L1492*(1-MIN((Inputs!$B$9+((C1513=TRUE)*(F1513-Calc!F25))+B1521),100)/100)+M1492*(MIN((Inputs!$B$9+((C1513=TRUE)*(F1513-Calc!F25))+B1521),100)/100)</f>
        <v/>
      </c>
      <c r="O1492">
        <f>IF(C1492,H1492*N1492*IF(AND(Inputs!$B$39&lt;&gt;"pvp",Inputs!$B$44&gt;0),((Skills!G4*((R1492-1)*IF(Skills!H4&gt;0,Skills!I4/Skills!H4,1)+IF(Skills!H4&gt;0,MIN(Skills!I4,MAX(0,MAX(0,Inputs!$B$44-B1532)-((R1492-1)*IF(Inputs!$B$39="pvp",15,MAX(0.1,Skills!D4-IF(Skills!E4=TRUE,2.0,0))))))/Skills!H4,1)))/Inputs!$B$44),G1492*Q1492)*IF(Inputs!$B$39="pvp",1,(1-Summary!$B$55)*(1)+Summary!$B$55*(MIN(MIN(10,0.5*B1525*Skills!D4),Inputs!$B$37))),0)</f>
        <v/>
      </c>
      <c r="P1492">
        <f>IF(B1533=0,0,O1492/B1533)</f>
        <v/>
      </c>
      <c r="Q1492">
        <f>IFERROR(1/IF(Inputs!$B$39="pvp",15,MAX(0.1,Skills!D4-IF(Skills!E4=TRUE,2.0,0))),0)</f>
        <v/>
      </c>
      <c r="R1492">
        <f>IF(AND(Inputs!$B$39&lt;&gt;"pvp",Inputs!$B$44&gt;0),IF(MAX(0,Inputs!$B$44-B1532)&lt;=0,0,(INT(MAX(0,Inputs!$B$44-B1532)/IF(Inputs!$B$39="pvp",15,MAX(0.1,Skills!D4-IF(Skills!E4=TRUE,2.0,0))))+1)),0)</f>
        <v/>
      </c>
      <c r="S1492">
        <f>IFERROR(O1492/N1492,0)</f>
        <v/>
      </c>
      <c r="U1492">
        <f>290*U1491/1000</f>
        <v/>
      </c>
    </row>
    <row r="1493">
      <c r="A1493">
        <f>Skills!A5</f>
        <v/>
      </c>
      <c r="B1493">
        <f>Skills!B5</f>
        <v/>
      </c>
      <c r="C1493">
        <f>Inputs!$B$3&gt;=63</f>
        <v/>
      </c>
      <c r="D1493">
        <f>IF(Skills!C5=1,60+Inputs!$B$25+Inputs!$B$29,IF(Skills!C5=2,90+Inputs!$B$26+Inputs!$B$29,IF(Skills!C5=3,120+Inputs!$B$27+Inputs!$B$29,MAX(0,(Inputs!$B$3-100)*3)+Inputs!$B$28+Inputs!$B$29)))</f>
        <v/>
      </c>
      <c r="E1493">
        <f>INDEX(FactorTable!$B$2:$Y$301, MATCH(ROUND(MIN(300,MAX(1,D1493)),0), FactorTable!$A$2:$A$301,0), Skills!M5+1)</f>
        <v/>
      </c>
      <c r="F1493">
        <f>IF(Skills!N5=TRUE,(Skills!L5/10)*(E1493/1000),Skills!L5/10)+Skills!O5</f>
        <v/>
      </c>
      <c r="G1493">
        <f>Skills!G5*IF(Skills!H5&gt;0,Skills!I5/Skills!H5,1)</f>
        <v/>
      </c>
      <c r="H1493">
        <f>1-(1-Skills!J5/100)^Skills!K5</f>
        <v/>
      </c>
      <c r="I1493" t="inlineStr">
        <is>
          <t>1</t>
        </is>
      </c>
      <c r="J1493">
        <f>((Inputs!$B$6*(1+Inputs!$B$7/100))+(((Inputs!$B$12*(1+Inputs!$B$13/100))-(Inputs!$B$12*(1+Inputs!$B$13/100)))+0.25*(Inputs!$B$14-Inputs!$B$14))*(1+Inputs!$B$7/100))*(F1493/100)</f>
        <v/>
      </c>
      <c r="K1493">
        <f>J1493*(1+((Inputs!$B$12*(1+Inputs!$B$13/100))*0.01+Inputs!$B$14*0.0025)/100)*(1+Inputs!$B$15/100)*(1+IF(Inputs!$B$39="pvp",0,(1-Summary!$B$55)*(Inputs!$B$20+0+Skills!P5+B1522)+Summary!$B$55*(Inputs!$B$21+Skills!Q5+B1522))/100)*(1+Inputs!$B$16/100)*(5000/(6000+Inputs!$B$43*(1-Inputs!$B$19/100)))*(1+(Inputs!$B$24+((C1518=TRUE)*(F1518-Calc!F30)))/100)*(1+2.6666666666666665*IF(C1506=TRUE,F1506,0)/100)*(1+(IF(Skills!A5="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1493)</f>
        <v/>
      </c>
      <c r="L1493">
        <f>K1493*(MIN(Inputs!$B$22+((C1512=TRUE)*(F1512-Calc!F24)),Inputs!$B$23+((C1517=TRUE)*(F1517-Calc!F29)))/100+(Inputs!$B$23+((C1517=TRUE)*(F1517-Calc!F29)))/100)/2</f>
        <v/>
      </c>
      <c r="M1493">
        <f>L1493*(1+(Inputs!$B$10+((C1514=TRUE)*(F1514-Calc!F26))+B1528)/100)</f>
        <v/>
      </c>
      <c r="N1493">
        <f>L1493*(1-MIN((Inputs!$B$9+((C1513=TRUE)*(F1513-Calc!F25))+B1521),100)/100)+M1493*(MIN((Inputs!$B$9+((C1513=TRUE)*(F1513-Calc!F25))+B1521),100)/100)</f>
        <v/>
      </c>
      <c r="O1493">
        <f>IF(C1493,H1493*N1493*IF(AND(Inputs!$B$39&lt;&gt;"pvp",Inputs!$B$44&gt;0),((Skills!G5*((R1493-1)*IF(Skills!H5&gt;0,Skills!I5/Skills!H5,1)+IF(Skills!H5&gt;0,MIN(Skills!I5,MAX(0,MAX(0,Inputs!$B$44-B1532)-((R1493-1)*IF(Inputs!$B$39="pvp",15,MAX(0.1,Skills!D5-IF(Skills!E5=TRUE,2.0,0))))))/Skills!H5,1)))/Inputs!$B$44),G1493*Q1493)*IF(Inputs!$B$39="pvp",1,(1-Summary!$B$55)*(1)+Summary!$B$55*(MIN(Skills!W5,Inputs!$B$37))),0)</f>
        <v/>
      </c>
      <c r="P1493">
        <f>IF(B1533=0,0,O1493/B1533)</f>
        <v/>
      </c>
      <c r="Q1493">
        <f>IFERROR(1/IF(Inputs!$B$39="pvp",15,MAX(0.1,Skills!D5-IF(Skills!E5=TRUE,2.0,0))),0)</f>
        <v/>
      </c>
      <c r="R1493">
        <f>IF(AND(Inputs!$B$39&lt;&gt;"pvp",Inputs!$B$44&gt;0),IF(MAX(0,Inputs!$B$44-B1532)&lt;=0,0,(INT(MAX(0,Inputs!$B$44-B1532)/IF(Inputs!$B$39="pvp",15,MAX(0.1,Skills!D5-IF(Skills!E5=TRUE,2.0,0))))+1)),0)</f>
        <v/>
      </c>
      <c r="S1493">
        <f>IFERROR(O1493/N1493,0)</f>
        <v/>
      </c>
    </row>
    <row r="1494">
      <c r="A1494">
        <f>Skills!A6</f>
        <v/>
      </c>
      <c r="B1494">
        <f>Skills!B6</f>
        <v/>
      </c>
      <c r="C1494">
        <f>Inputs!$B$3&gt;=69</f>
        <v/>
      </c>
      <c r="D1494">
        <f>IF(Skills!C6=1,60+Inputs!$B$25+Inputs!$B$29,IF(Skills!C6=2,90+Inputs!$B$26+Inputs!$B$29,IF(Skills!C6=3,120+Inputs!$B$27+Inputs!$B$29,MAX(0,(Inputs!$B$3-100)*3)+Inputs!$B$28+Inputs!$B$29)))</f>
        <v/>
      </c>
      <c r="E1494">
        <f>INDEX(FactorTable!$B$2:$Y$301, MATCH(ROUND(MIN(300,MAX(1,D1494)),0), FactorTable!$A$2:$A$301,0), Skills!M6+1)</f>
        <v/>
      </c>
      <c r="F1494">
        <f>IF(Skills!N6=TRUE,(Skills!L6/10)*(E1494/1000),Skills!L6/10)+Skills!O6</f>
        <v/>
      </c>
      <c r="G1494">
        <f>Skills!G6*IF(Skills!H6&gt;0,Skills!I6/Skills!H6,1)</f>
        <v/>
      </c>
      <c r="H1494">
        <f>1-(1-Skills!J6/100)^Skills!K6</f>
        <v/>
      </c>
      <c r="I1494" t="inlineStr">
        <is>
          <t>1</t>
        </is>
      </c>
      <c r="J1494">
        <f>((Inputs!$B$6*(1+Inputs!$B$7/100))+(((Inputs!$B$12*(1+Inputs!$B$13/100))-(Inputs!$B$12*(1+Inputs!$B$13/100)))+0.25*(Inputs!$B$14-Inputs!$B$14))*(1+Inputs!$B$7/100))*(F1494/100)</f>
        <v/>
      </c>
      <c r="K1494">
        <f>J1494*(1+((Inputs!$B$12*(1+Inputs!$B$13/100))*0.01+Inputs!$B$14*0.0025)/100)*(1+Inputs!$B$15/100)*(1+IF(Inputs!$B$39="pvp",0,(1-Summary!$B$55)*(Inputs!$B$20+0+Skills!P6+B1522)+Summary!$B$55*(Inputs!$B$21+Skills!Q6+B1522))/100)*(1+Inputs!$B$16/100)*(5000/(6000+Inputs!$B$43*(1-Inputs!$B$19/100)))*(1+(Inputs!$B$24+((C1518=TRUE)*(F1518-Calc!F30)))/100)*(1+1.0*IF(C1506=TRUE,F1506,0)/100)*(1+(IF(Skills!A6="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1494)</f>
        <v/>
      </c>
      <c r="L1494">
        <f>K1494*(MIN(Inputs!$B$22+((C1512=TRUE)*(F1512-Calc!F24)),Inputs!$B$23+((C1517=TRUE)*(F1517-Calc!F29)))/100+(Inputs!$B$23+((C1517=TRUE)*(F1517-Calc!F29)))/100)/2</f>
        <v/>
      </c>
      <c r="M1494">
        <f>L1494*(1+(Inputs!$B$10+((C1514=TRUE)*(F1514-Calc!F26))+B1528)/100)</f>
        <v/>
      </c>
      <c r="N1494">
        <f>L1494*(1-MIN((Inputs!$B$9+((C1513=TRUE)*(F1513-Calc!F25))+B1521),100)/100)+M1494*(MIN((Inputs!$B$9+((C1513=TRUE)*(F1513-Calc!F25))+B1521),100)/100)</f>
        <v/>
      </c>
      <c r="O1494">
        <f>IF(C1494,H1494*N1494*IF(AND(Inputs!$B$39&lt;&gt;"pvp",Inputs!$B$44&gt;0),((Skills!G6*((R1494-1)*IF(Skills!H6&gt;0,Skills!I6/Skills!H6,1)+IF(Skills!H6&gt;0,MIN(Skills!I6,MAX(0,MAX(0,Inputs!$B$44-B1532)-((R1494-1)*IF(Inputs!$B$39="pvp",15,MAX(0.1,Skills!D6-IF(Skills!E6=TRUE,2.0,0))))))/Skills!H6,1)))/Inputs!$B$44),G1494*Q1494)*IF(Inputs!$B$39="pvp",1,(1-Summary!$B$55)*(1)+Summary!$B$55*(MIN(Skills!W6,Inputs!$B$37))),0)</f>
        <v/>
      </c>
      <c r="P1494">
        <f>IF(B1533=0,0,O1494/B1533)</f>
        <v/>
      </c>
      <c r="Q1494">
        <f>IFERROR(1/IF(Inputs!$B$39="pvp",15,MAX(0.1,Skills!D6-IF(Skills!E6=TRUE,2.0,0))),0)</f>
        <v/>
      </c>
      <c r="R1494">
        <f>IF(AND(Inputs!$B$39&lt;&gt;"pvp",Inputs!$B$44&gt;0),IF(MAX(0,Inputs!$B$44-B1532)&lt;=0,0,(INT(MAX(0,Inputs!$B$44-B1532)/IF(Inputs!$B$39="pvp",15,MAX(0.1,Skills!D6-IF(Skills!E6=TRUE,2.0,0))))+1)),0)</f>
        <v/>
      </c>
      <c r="S1494">
        <f>IFERROR(O1494/N1494,0)</f>
        <v/>
      </c>
    </row>
    <row r="1495">
      <c r="A1495">
        <f>Skills!A7</f>
        <v/>
      </c>
      <c r="B1495">
        <f>Skills!B7</f>
        <v/>
      </c>
      <c r="C1495">
        <f>Inputs!$B$3&gt;=60</f>
        <v/>
      </c>
      <c r="D1495">
        <f>IF(Skills!C7=1,60+Inputs!$B$25+Inputs!$B$29,IF(Skills!C7=2,90+Inputs!$B$26+Inputs!$B$29,IF(Skills!C7=3,120+Inputs!$B$27+Inputs!$B$29,MAX(0,(Inputs!$B$3-100)*3)+Inputs!$B$28+Inputs!$B$29)))</f>
        <v/>
      </c>
      <c r="E1495">
        <f>INDEX(FactorTable!$B$2:$Y$301, MATCH(ROUND(MIN(300,MAX(1,D1495)),0), FactorTable!$A$2:$A$301,0), Skills!M7+1)</f>
        <v/>
      </c>
      <c r="F1495">
        <f>IF(Skills!N7=TRUE,(Skills!L7/10)*(E1495/1000),Skills!L7/10)+Skills!O7</f>
        <v/>
      </c>
      <c r="G1495">
        <f>Skills!G7*IF(Skills!H7&gt;0,Skills!I7/Skills!H7,1)</f>
        <v/>
      </c>
      <c r="H1495">
        <f>1-(1-Skills!J7/100)^Skills!K7</f>
        <v/>
      </c>
      <c r="I1495" t="inlineStr">
        <is>
          <t>1</t>
        </is>
      </c>
      <c r="J1495" t="inlineStr"/>
      <c r="K1495" t="inlineStr"/>
      <c r="L1495" t="inlineStr"/>
      <c r="M1495" t="inlineStr"/>
      <c r="N1495" t="inlineStr"/>
      <c r="O1495" t="n">
        <v>0</v>
      </c>
      <c r="P1495">
        <f>IF(B1533=0,0,O1495/B1533)</f>
        <v/>
      </c>
      <c r="Q1495" t="n">
        <v>0</v>
      </c>
      <c r="R1495" t="n">
        <v>0</v>
      </c>
      <c r="S1495">
        <f>IFERROR(O1495/N1495,0)</f>
        <v/>
      </c>
    </row>
    <row r="1496">
      <c r="A1496">
        <f>Skills!A8</f>
        <v/>
      </c>
      <c r="B1496">
        <f>Skills!B8</f>
        <v/>
      </c>
      <c r="C1496">
        <f>Inputs!$B$3&gt;=72</f>
        <v/>
      </c>
      <c r="D1496">
        <f>IF(Skills!C8=1,60+Inputs!$B$25+Inputs!$B$29,IF(Skills!C8=2,90+Inputs!$B$26+Inputs!$B$29,IF(Skills!C8=3,120+Inputs!$B$27+Inputs!$B$29,MAX(0,(Inputs!$B$3-100)*3)+Inputs!$B$28+Inputs!$B$29)))</f>
        <v/>
      </c>
      <c r="E1496">
        <f>INDEX(FactorTable!$B$2:$Y$301, MATCH(ROUND(MIN(300,MAX(1,D1496)),0), FactorTable!$A$2:$A$301,0), Skills!M8+1)</f>
        <v/>
      </c>
      <c r="F1496">
        <f>IF(Skills!N8=TRUE,(Skills!L8/10)*(E1496/1000),Skills!L8/10)+Skills!O8</f>
        <v/>
      </c>
      <c r="G1496">
        <f>Skills!G8*IF(Skills!H8&gt;0,Skills!I8/Skills!H8,1)</f>
        <v/>
      </c>
      <c r="H1496">
        <f>1-(1-Skills!J8/100)^Skills!K8</f>
        <v/>
      </c>
      <c r="I1496" t="inlineStr">
        <is>
          <t>1</t>
        </is>
      </c>
      <c r="J1496">
        <f>((Inputs!$B$6*(1+Inputs!$B$7/100))+(((Inputs!$B$12*(1+Inputs!$B$13/100))-(Inputs!$B$12*(1+Inputs!$B$13/100)))+0.25*(Inputs!$B$14-Inputs!$B$14))*(1+Inputs!$B$7/100))*(F1496/100)</f>
        <v/>
      </c>
      <c r="K1496">
        <f>J1496*(1+((Inputs!$B$12*(1+Inputs!$B$13/100))*0.01+Inputs!$B$14*0.0025)/100)*(1+Inputs!$B$15/100)*(1+IF(Inputs!$B$39="pvp",0,(1-Summary!$B$55)*(Inputs!$B$20+0+Skills!P8+B1522)+Summary!$B$55*(Inputs!$B$21+Skills!Q8+B1522))/100)*(1+Inputs!$B$16/100)*(5000/(6000+Inputs!$B$43*(1-Inputs!$B$19/100)))*(1+(Inputs!$B$24+((C1518=TRUE)*(F1518-Calc!F30)))/100)*(1+3.3333333333333335*IF(C1506=TRUE,F1506,0)/100)*(1+(IF(Skills!A8="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1496)</f>
        <v/>
      </c>
      <c r="L1496">
        <f>K1496*(MIN(Inputs!$B$22+((C1512=TRUE)*(F1512-Calc!F24)),Inputs!$B$23+((C1517=TRUE)*(F1517-Calc!F29)))/100+(Inputs!$B$23+((C1517=TRUE)*(F1517-Calc!F29)))/100)/2</f>
        <v/>
      </c>
      <c r="M1496">
        <f>L1496*(1+(Inputs!$B$10+((C1514=TRUE)*(F1514-Calc!F26))+B1528)/100)</f>
        <v/>
      </c>
      <c r="N1496">
        <f>L1496*(1-MIN((Inputs!$B$9+((C1513=TRUE)*(F1513-Calc!F25))+B1521),100)/100)+M1496*(MIN((Inputs!$B$9+((C1513=TRUE)*(F1513-Calc!F25))+B1521),100)/100)</f>
        <v/>
      </c>
      <c r="O1496">
        <f>IF(C1496,H1496*N1496*IF(AND(Inputs!$B$39&lt;&gt;"pvp",Inputs!$B$44&gt;0),((Skills!G8*((R1496-1)*IF(Skills!H8&gt;0,Skills!I8/Skills!H8,1)+IF(Skills!H8&gt;0,MIN(Skills!I8,MAX(0,MAX(0,Inputs!$B$44-B1532)-((R1496-1)*IF(Inputs!$B$39="pvp",15,MAX(0.1,Skills!D8-IF(Skills!E8=TRUE,2.0,0))))))/Skills!H8,1)))/Inputs!$B$44),G1496*Q1496)*IF(Inputs!$B$39="pvp",1,(1-Summary!$B$55)*(1)+Summary!$B$55*(MIN(Skills!W8,Inputs!$B$37))),0)</f>
        <v/>
      </c>
      <c r="P1496">
        <f>IF(B1533=0,0,O1496/B1533)</f>
        <v/>
      </c>
      <c r="Q1496">
        <f>IFERROR(1/IF(Inputs!$B$39="pvp",15,MAX(0.1,Skills!D8-IF(Skills!E8=TRUE,2.0,0))),0)</f>
        <v/>
      </c>
      <c r="R1496">
        <f>IF(AND(Inputs!$B$39&lt;&gt;"pvp",Inputs!$B$44&gt;0),IF(MAX(0,Inputs!$B$44-B1532)&lt;=0,0,(INT(MAX(0,Inputs!$B$44-B1532)/IF(Inputs!$B$39="pvp",15,MAX(0.1,Skills!D8-IF(Skills!E8=TRUE,2.0,0))))+1)),0)</f>
        <v/>
      </c>
      <c r="S1496">
        <f>IFERROR(O1496/N1496,0)</f>
        <v/>
      </c>
    </row>
    <row r="1497">
      <c r="A1497">
        <f>Skills!A9</f>
        <v/>
      </c>
      <c r="B1497">
        <f>Skills!B9</f>
        <v/>
      </c>
      <c r="C1497">
        <f>Inputs!$B$3&gt;=117</f>
        <v/>
      </c>
      <c r="D1497">
        <f>IF(Skills!C9=1,60+Inputs!$B$25+Inputs!$B$29,IF(Skills!C9=2,90+Inputs!$B$26+Inputs!$B$29,IF(Skills!C9=3,120+Inputs!$B$27+Inputs!$B$29,MAX(0,(Inputs!$B$3-100)*3)+Inputs!$B$28+Inputs!$B$29)))</f>
        <v/>
      </c>
      <c r="E1497">
        <f>INDEX(FactorTable!$B$2:$Y$301, MATCH(ROUND(MIN(300,MAX(1,D1497)),0), FactorTable!$A$2:$A$301,0), Skills!M9+1)</f>
        <v/>
      </c>
      <c r="F1497">
        <f>IF(Skills!N9=TRUE,(Skills!L9/10)*(E1497/1000),Skills!L9/10)+Skills!O9</f>
        <v/>
      </c>
      <c r="G1497">
        <f>Skills!G9*IF(Skills!H9&gt;0,Skills!I9/Skills!H9,1)</f>
        <v/>
      </c>
      <c r="H1497">
        <f>1-(1-Skills!J9/100)^Skills!K9</f>
        <v/>
      </c>
      <c r="I1497" t="inlineStr">
        <is>
          <t>1</t>
        </is>
      </c>
      <c r="J1497">
        <f>((Inputs!$B$6*(1+Inputs!$B$7/100))+(((Inputs!$B$12*(1+Inputs!$B$13/100))-(Inputs!$B$12*(1+Inputs!$B$13/100)))+0.25*(Inputs!$B$14-Inputs!$B$14))*(1+Inputs!$B$7/100))*(F1497/100)</f>
        <v/>
      </c>
      <c r="K1497">
        <f>J1497*(1+((Inputs!$B$12*(1+Inputs!$B$13/100))*0.01+Inputs!$B$14*0.0025)/100)*(1+Inputs!$B$15/100)*(1+IF(Inputs!$B$39="pvp",0,(1-Summary!$B$55)*(Inputs!$B$20+0+Skills!P9+B1522)+Summary!$B$55*(Inputs!$B$21+Skills!Q9+B1522))/100)*(1+Inputs!$B$16/100)*(5000/(6000+Inputs!$B$43*(1-Inputs!$B$19/100)))*(1+(Inputs!$B$24+((C1518=TRUE)*(F1518-Calc!F30)))/100)*(1+(IF(Skills!A9="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1497)</f>
        <v/>
      </c>
      <c r="L1497">
        <f>K1497*(MIN(Inputs!$B$22+((C1512=TRUE)*(F1512-Calc!F24)),Inputs!$B$23+((C1517=TRUE)*(F1517-Calc!F29)))/100+(Inputs!$B$23+((C1517=TRUE)*(F1517-Calc!F29)))/100)/2</f>
        <v/>
      </c>
      <c r="M1497">
        <f>L1497*(1+(Inputs!$B$10+((C1514=TRUE)*(F1514-Calc!F26))+B1528)/100)</f>
        <v/>
      </c>
      <c r="N1497">
        <f>L1497*(1-MIN((Inputs!$B$9+((C1513=TRUE)*(F1513-Calc!F25))+B1521),100)/100)+M1497*(MIN((Inputs!$B$9+((C1513=TRUE)*(F1513-Calc!F25))+B1521),100)/100)</f>
        <v/>
      </c>
      <c r="O1497">
        <f>IF(C1497,0.2*SUMPRODUCT((Skills!Z2:Z30=TRUE)*(C1490:C1518=TRUE)*S1490:S1518)*N1497,0)</f>
        <v/>
      </c>
      <c r="P1497">
        <f>IF(B1533=0,0,O1497/B1533)</f>
        <v/>
      </c>
      <c r="Q1497" t="n">
        <v>0</v>
      </c>
      <c r="R1497" t="n">
        <v>0</v>
      </c>
      <c r="S1497" t="n">
        <v>0</v>
      </c>
    </row>
    <row r="1498">
      <c r="A1498">
        <f>Skills!A10</f>
        <v/>
      </c>
      <c r="B1498">
        <f>Skills!B10</f>
        <v/>
      </c>
      <c r="C1498">
        <f>Inputs!$B$3&gt;=74</f>
        <v/>
      </c>
      <c r="D1498">
        <f>IF(Skills!C10=1,60+Inputs!$B$25+Inputs!$B$29,IF(Skills!C10=2,90+Inputs!$B$26+Inputs!$B$29,IF(Skills!C10=3,120+Inputs!$B$27+Inputs!$B$29,MAX(0,(Inputs!$B$3-100)*3)+Inputs!$B$28+Inputs!$B$29)))</f>
        <v/>
      </c>
      <c r="E1498">
        <f>INDEX(FactorTable!$B$2:$Y$301, MATCH(ROUND(MIN(300,MAX(1,D1498)),0), FactorTable!$A$2:$A$301,0), Skills!M10+1)</f>
        <v/>
      </c>
      <c r="F1498">
        <f>IF(Skills!N10=TRUE,(Skills!L10/10)*(E1498/1000),Skills!L10/10)+Skills!O10</f>
        <v/>
      </c>
      <c r="G1498">
        <f>Skills!G10*IF(Skills!H10&gt;0,Skills!I10/Skills!H10,1)</f>
        <v/>
      </c>
      <c r="H1498">
        <f>1-(1-Skills!J10/100)^Skills!K10</f>
        <v/>
      </c>
      <c r="I1498" t="inlineStr">
        <is>
          <t>1</t>
        </is>
      </c>
      <c r="J1498" t="inlineStr"/>
      <c r="K1498" t="inlineStr"/>
      <c r="L1498" t="inlineStr"/>
      <c r="M1498" t="inlineStr"/>
      <c r="N1498" t="inlineStr"/>
      <c r="O1498" t="n">
        <v>0</v>
      </c>
      <c r="P1498">
        <f>IF(B1533=0,0,O1498/B1533)</f>
        <v/>
      </c>
      <c r="Q1498">
        <f>IFERROR(1/IF(Inputs!$B$39="pvp",15,MAX(0.1,Skills!D10-IF(Skills!E10=TRUE,2.0,0))),0)</f>
        <v/>
      </c>
      <c r="R1498">
        <f>IF(AND(Inputs!$B$39&lt;&gt;"pvp",Inputs!$B$44&gt;0),IF(Inputs!$B$44&lt;=0,0,(INT(Inputs!$B$44/IF(Inputs!$B$39="pvp",15,MAX(0.1,Skills!D10-IF(Skills!E10=TRUE,2.0,0))))+1)),0)</f>
        <v/>
      </c>
      <c r="S1498">
        <f>IFERROR(O1498/N1498,0)</f>
        <v/>
      </c>
    </row>
    <row r="1499">
      <c r="A1499">
        <f>Skills!A11</f>
        <v/>
      </c>
      <c r="B1499">
        <f>Skills!B11</f>
        <v/>
      </c>
      <c r="C1499">
        <f>Inputs!$B$3&gt;=103</f>
        <v/>
      </c>
      <c r="D1499">
        <f>IF(Skills!C11=1,60+Inputs!$B$25+Inputs!$B$29,IF(Skills!C11=2,90+Inputs!$B$26+Inputs!$B$29,IF(Skills!C11=3,120+Inputs!$B$27+Inputs!$B$29,MAX(0,(Inputs!$B$3-100)*3)+Inputs!$B$28+Inputs!$B$29)))</f>
        <v/>
      </c>
      <c r="E1499">
        <f>INDEX(FactorTable!$B$2:$Y$301, MATCH(ROUND(MIN(300,MAX(1,D1499)),0), FactorTable!$A$2:$A$301,0), Skills!M11+1)</f>
        <v/>
      </c>
      <c r="F1499">
        <f>(Skills!L11/10)*(E1499/1000)+IF(Inputs!$B$3&gt;=134,50,0)+0.5*(30000/10)*(INDEX(FactorTable!$B$2:$Y$301, MATCH(ROUND(MIN(300,MAX(1,D1499)),0), FactorTable!$A$2:$A$301,0), 13)/1000)*B1531</f>
        <v/>
      </c>
      <c r="G1499">
        <f>Skills!G11*IF(Skills!H11&gt;0,Skills!I11/Skills!H11,1)</f>
        <v/>
      </c>
      <c r="H1499">
        <f>1-(1-Skills!J11/100)^Skills!K11</f>
        <v/>
      </c>
      <c r="I1499" t="inlineStr">
        <is>
          <t>1</t>
        </is>
      </c>
      <c r="J1499">
        <f>((Inputs!$B$6*(1+Inputs!$B$7/100))+(((Inputs!$B$12*(1+Inputs!$B$13/100))-(Inputs!$B$12*(1+Inputs!$B$13/100)))+0.25*(Inputs!$B$14-Inputs!$B$14))*(1+Inputs!$B$7/100))*(F1499/100)</f>
        <v/>
      </c>
      <c r="K1499">
        <f>J1499*(1+((Inputs!$B$12*(1+Inputs!$B$13/100))*0.01+Inputs!$B$14*0.0025)/100)*(1+Inputs!$B$15/100)*(1+IF(Inputs!$B$39="pvp",0,(1-Summary!$B$55)*(Inputs!$B$20+0+Skills!P11+B1522)+Summary!$B$55*(Inputs!$B$21+Skills!Q11+B1522))/100)*(1+Inputs!$B$16/100)*(5000/(6000+Inputs!$B$43*(1-Inputs!$B$19/100)))*(1+(Inputs!$B$24+((C1518=TRUE)*(F1518-Calc!F30)))/100)*(1+(IF(Skills!A11="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1499)</f>
        <v/>
      </c>
      <c r="L1499">
        <f>K1499*(MIN(Inputs!$B$22+((C1512=TRUE)*(F1512-Calc!F24)),Inputs!$B$23+((C1517=TRUE)*(F1517-Calc!F29)))/100+(Inputs!$B$23+((C1517=TRUE)*(F1517-Calc!F29)))/100)/2</f>
        <v/>
      </c>
      <c r="M1499">
        <f>L1499*(1+(Inputs!$B$10+((C1514=TRUE)*(F1514-Calc!F26))+B1528)/100)</f>
        <v/>
      </c>
      <c r="N1499">
        <f>L1499*(1-MIN((Inputs!$B$9+((C1513=TRUE)*(F1513-Calc!F25))+B1521),100)/100)+M1499*(MIN((Inputs!$B$9+((C1513=TRUE)*(F1513-Calc!F25))+B1521),100)/100)</f>
        <v/>
      </c>
      <c r="O1499">
        <f>IF(C1499,H1499*N1499*IF(AND(Inputs!$B$39&lt;&gt;"pvp",Inputs!$B$44&gt;0),((Skills!G11*((R1499-1)*IF(Skills!H11&gt;0,Skills!I11/Skills!H11,1)+IF(Skills!H11&gt;0,MIN(Skills!I11,MAX(0,MAX(0,Inputs!$B$44-B1532)-((R1499-1)*IF(Inputs!$B$39="pvp",15,MAX(0.1,Skills!D11-IF(Skills!E11=TRUE,2.0,0))))))/Skills!H11,1)))/Inputs!$B$44),G1499*Q1499)*IF(Inputs!$B$39="pvp",1,(1-Summary!$B$55)*(1)+Summary!$B$55*(MIN(Skills!W11,Inputs!$B$37))),0)</f>
        <v/>
      </c>
      <c r="P1499">
        <f>IF(B1533=0,0,O1499/B1533)</f>
        <v/>
      </c>
      <c r="Q1499">
        <f>IFERROR(1/IF(Inputs!$B$39="pvp",15,MAX(0.1,Skills!D11-IF(Skills!E11=TRUE,2.0,0))),0)</f>
        <v/>
      </c>
      <c r="R1499">
        <f>IF(AND(Inputs!$B$39&lt;&gt;"pvp",Inputs!$B$44&gt;0),IF(MAX(0,Inputs!$B$44-B1532)&lt;=0,0,(INT(MAX(0,Inputs!$B$44-B1532)/IF(Inputs!$B$39="pvp",15,MAX(0.1,Skills!D11-IF(Skills!E11=TRUE,2.0,0))))+1)),0)</f>
        <v/>
      </c>
      <c r="S1499">
        <f>IFERROR(O1499/N1499,0)</f>
        <v/>
      </c>
    </row>
    <row r="1500">
      <c r="A1500">
        <f>Skills!A12</f>
        <v/>
      </c>
      <c r="B1500">
        <f>Skills!B12</f>
        <v/>
      </c>
      <c r="C1500">
        <f>Inputs!$B$3&gt;=105</f>
        <v/>
      </c>
      <c r="D1500">
        <f>IF(Skills!C12=1,60+Inputs!$B$25+Inputs!$B$29,IF(Skills!C12=2,90+Inputs!$B$26+Inputs!$B$29,IF(Skills!C12=3,120+Inputs!$B$27+Inputs!$B$29,MAX(0,(Inputs!$B$3-100)*3)+Inputs!$B$28+Inputs!$B$29)))</f>
        <v/>
      </c>
      <c r="E1500">
        <f>INDEX(FactorTable!$B$2:$Y$301, MATCH(ROUND(MIN(300,MAX(1,D1500)),0), FactorTable!$A$2:$A$301,0), Skills!M12+1)</f>
        <v/>
      </c>
      <c r="F1500">
        <f>IF(Skills!N12=TRUE,(Skills!L12/10)*(E1500/1000),Skills!L12/10)+Skills!O12</f>
        <v/>
      </c>
      <c r="G1500">
        <f>Skills!G12*IF(Skills!H12&gt;0,Skills!I12/Skills!H12,1)</f>
        <v/>
      </c>
      <c r="H1500">
        <f>1-(1-Skills!J12/100)^Skills!K12</f>
        <v/>
      </c>
      <c r="I1500" t="inlineStr">
        <is>
          <t>1</t>
        </is>
      </c>
      <c r="J1500">
        <f>((Inputs!$B$6*(1+Inputs!$B$7/100))+(((Inputs!$B$12*(1+Inputs!$B$13/100))-(Inputs!$B$12*(1+Inputs!$B$13/100)))+0.25*(Inputs!$B$14-Inputs!$B$14))*(1+Inputs!$B$7/100))*(F1500/100)</f>
        <v/>
      </c>
      <c r="K1500">
        <f>J1500*(1+((Inputs!$B$12*(1+Inputs!$B$13/100))*0.01+Inputs!$B$14*0.0025)/100)*(1+Inputs!$B$15/100)*(1+IF(Inputs!$B$39="pvp",0,(1-Summary!$B$55)*(Inputs!$B$20+0+Skills!P12+B1522)+Summary!$B$55*(Inputs!$B$21+Skills!Q12+B1522))/100)*(1+Inputs!$B$16/100)*(5000/(6000+Inputs!$B$43*(1-Inputs!$B$19/100)))*(1+(Inputs!$B$24+((C1518=TRUE)*(F1518-Calc!F30)))/100)*(1+(IF(Skills!A12="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1500)</f>
        <v/>
      </c>
      <c r="L1500">
        <f>K1500*(MIN(Inputs!$B$22+((C1512=TRUE)*(F1512-Calc!F24)),Inputs!$B$23+((C1517=TRUE)*(F1517-Calc!F29)))/100+(Inputs!$B$23+((C1517=TRUE)*(F1517-Calc!F29)))/100)/2</f>
        <v/>
      </c>
      <c r="M1500">
        <f>L1500*(1+(Inputs!$B$10+((C1514=TRUE)*(F1514-Calc!F26))+B1528)/100)</f>
        <v/>
      </c>
      <c r="N1500">
        <f>L1500*(1-MIN((Inputs!$B$9+((C1513=TRUE)*(F1513-Calc!F25))+B1521),100)/100)+M1500*(MIN((Inputs!$B$9+((C1513=TRUE)*(F1513-Calc!F25))+B1521),100)/100)</f>
        <v/>
      </c>
      <c r="O1500">
        <f>IF(C1500,H1500*N1500*IF(AND(Inputs!$B$39&lt;&gt;"pvp",Inputs!$B$44&gt;0),((Skills!G12*((R1500-1)*IF(Skills!H12&gt;0,Skills!I12/Skills!H12,1)+IF(Skills!H12&gt;0,MIN(Skills!I12,MAX(0,MAX(0,Inputs!$B$44-B1532)-((R1500-1)*IF(Inputs!$B$39="pvp",15,MAX(0.1,Skills!D12-IF(Skills!E12=TRUE,2.0,0))))))/Skills!H12,1)))/Inputs!$B$44),G1500*Q1500)*IF(Inputs!$B$39="pvp",1,(1-Summary!$B$55)*(1)+Summary!$B$55*(MIN(Skills!W12,Inputs!$B$37))),0)</f>
        <v/>
      </c>
      <c r="P1500">
        <f>IF(B1533=0,0,O1500/B1533)</f>
        <v/>
      </c>
      <c r="Q1500">
        <f>IFERROR(1/IF(Inputs!$B$39="pvp",15,MAX(0.1,Skills!D12-IF(Skills!E12=TRUE,2.0,0))),0)</f>
        <v/>
      </c>
      <c r="R1500">
        <f>IF(AND(Inputs!$B$39&lt;&gt;"pvp",Inputs!$B$44&gt;0),IF(MAX(0,Inputs!$B$44-B1532)&lt;=0,0,(INT(MAX(0,Inputs!$B$44-B1532)/IF(Inputs!$B$39="pvp",15,MAX(0.1,Skills!D12-IF(Skills!E12=TRUE,2.0,0))))+1)),0)</f>
        <v/>
      </c>
      <c r="S1500">
        <f>IFERROR(O1500/N1500,0)</f>
        <v/>
      </c>
    </row>
    <row r="1501">
      <c r="A1501">
        <f>Skills!A13</f>
        <v/>
      </c>
      <c r="B1501">
        <f>Skills!B13</f>
        <v/>
      </c>
      <c r="C1501">
        <f>Inputs!$B$3&gt;=105</f>
        <v/>
      </c>
      <c r="D1501">
        <f>IF(Skills!C13=1,60+Inputs!$B$25+Inputs!$B$29,IF(Skills!C13=2,90+Inputs!$B$26+Inputs!$B$29,IF(Skills!C13=3,120+Inputs!$B$27+Inputs!$B$29,MAX(0,(Inputs!$B$3-100)*3)+Inputs!$B$28+Inputs!$B$29)))</f>
        <v/>
      </c>
      <c r="E1501">
        <f>INDEX(FactorTable!$B$2:$Y$301, MATCH(ROUND(MIN(300,MAX(1,D1501)),0), FactorTable!$A$2:$A$301,0), Skills!M13+1)</f>
        <v/>
      </c>
      <c r="F1501">
        <f>IF(Skills!N13=TRUE,(Skills!L13/10)*(E1501/1000),Skills!L13/10)+Skills!O13</f>
        <v/>
      </c>
      <c r="G1501">
        <f>Skills!G13*IF(Skills!H13&gt;0,Skills!I13/Skills!H13,1)</f>
        <v/>
      </c>
      <c r="H1501">
        <f>1-(1-Skills!J13/100)^Skills!K13</f>
        <v/>
      </c>
      <c r="I1501" t="inlineStr">
        <is>
          <t>1</t>
        </is>
      </c>
      <c r="J1501">
        <f>((Inputs!$B$6*(1+Inputs!$B$7/100))+(((Inputs!$B$12*(1+Inputs!$B$13/100))-(Inputs!$B$12*(1+Inputs!$B$13/100)))+0.25*(Inputs!$B$14-Inputs!$B$14))*(1+Inputs!$B$7/100))*(F1501/100)</f>
        <v/>
      </c>
      <c r="K1501">
        <f>J1501*(1+((Inputs!$B$12*(1+Inputs!$B$13/100))*0.01+Inputs!$B$14*0.0025)/100)*(1+Inputs!$B$15/100)*(1+IF(Inputs!$B$39="pvp",0,(1-Summary!$B$55)*(Inputs!$B$20+0+Skills!P13+B1522)+Summary!$B$55*(Inputs!$B$21+Skills!Q13+B1522))/100)*(1+Inputs!$B$16/100)*(5000/(6000+Inputs!$B$43*(1-Inputs!$B$19/100)))*(1+(Inputs!$B$24+((C1518=TRUE)*(F1518-Calc!F30)))/100)*(1+(IF(Skills!A13="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1501)</f>
        <v/>
      </c>
      <c r="L1501">
        <f>K1501*(MIN(Inputs!$B$22+((C1512=TRUE)*(F1512-Calc!F24)),Inputs!$B$23+((C1517=TRUE)*(F1517-Calc!F29)))/100+(Inputs!$B$23+((C1517=TRUE)*(F1517-Calc!F29)))/100)/2</f>
        <v/>
      </c>
      <c r="M1501">
        <f>L1501*(1+(Inputs!$B$10+((C1514=TRUE)*(F1514-Calc!F26))+B1528)/100)</f>
        <v/>
      </c>
      <c r="N1501">
        <f>L1501*(1-MIN((Inputs!$B$9+((C1513=TRUE)*(F1513-Calc!F25))+B1521),100)/100)+M1501*(MIN((Inputs!$B$9+((C1513=TRUE)*(F1513-Calc!F25))+B1521),100)/100)</f>
        <v/>
      </c>
      <c r="O1501">
        <f>IF(C1501,H1501*N1501*IF(AND(Inputs!$B$39&lt;&gt;"pvp",Inputs!$B$44&gt;0),((Skills!G13*((R1501-1)*IF(Skills!H13&gt;0,Skills!I13/Skills!H13,1)+IF(Skills!H13&gt;0,MIN(Skills!I13,MAX(0,MAX(0,Inputs!$B$44-B1532)-((R1501-1)*IF(Inputs!$B$39="pvp",15,MAX(0.1,Skills!D13-IF(Skills!E13=TRUE,2.0,0))))))/Skills!H13,1)))/Inputs!$B$44),G1501*Q1501)*IF(Inputs!$B$39="pvp",1,(1-Summary!$B$55)*(1)+Summary!$B$55*(MIN(Skills!W13,Inputs!$B$37))),0)</f>
        <v/>
      </c>
      <c r="P1501">
        <f>IF(B1533=0,0,O1501/B1533)</f>
        <v/>
      </c>
      <c r="Q1501">
        <f>IFERROR(1/IF(Inputs!$B$39="pvp",15,MAX(0.1,Skills!D13-IF(Skills!E13=TRUE,2.0,0))),0)</f>
        <v/>
      </c>
      <c r="R1501">
        <f>IF(AND(Inputs!$B$39&lt;&gt;"pvp",Inputs!$B$44&gt;0),IF(MAX(0,Inputs!$B$44-B1532)&lt;=0,0,(INT(MAX(0,Inputs!$B$44-B1532)/IF(Inputs!$B$39="pvp",15,MAX(0.1,Skills!D13-IF(Skills!E13=TRUE,2.0,0))))+1)),0)</f>
        <v/>
      </c>
      <c r="S1501">
        <f>IFERROR(O1501/N1501,0)</f>
        <v/>
      </c>
    </row>
    <row r="1502">
      <c r="A1502">
        <f>Skills!A14</f>
        <v/>
      </c>
      <c r="B1502">
        <f>Skills!B14</f>
        <v/>
      </c>
      <c r="C1502">
        <f>Inputs!$B$3&gt;=107</f>
        <v/>
      </c>
      <c r="D1502">
        <f>IF(Skills!C14=1,60+Inputs!$B$25+Inputs!$B$29,IF(Skills!C14=2,90+Inputs!$B$26+Inputs!$B$29,IF(Skills!C14=3,120+Inputs!$B$27+Inputs!$B$29,MAX(0,(Inputs!$B$3-100)*3)+Inputs!$B$28+Inputs!$B$29)))</f>
        <v/>
      </c>
      <c r="E1502">
        <f>INDEX(FactorTable!$B$2:$Y$301, MATCH(ROUND(MIN(300,MAX(1,D1502)),0), FactorTable!$A$2:$A$301,0), Skills!M14+1)</f>
        <v/>
      </c>
      <c r="F1502">
        <f>IF(Skills!N14=TRUE,(Skills!L14/10)*(E1502/1000),Skills!L14/10)+Skills!O14</f>
        <v/>
      </c>
      <c r="G1502">
        <f>Skills!G14*IF(Skills!H14&gt;0,Skills!I14/Skills!H14,1)</f>
        <v/>
      </c>
      <c r="H1502">
        <f>1-(1-Skills!J14/100)^Skills!K14</f>
        <v/>
      </c>
      <c r="I1502" t="inlineStr">
        <is>
          <t>1</t>
        </is>
      </c>
      <c r="J1502">
        <f>((Inputs!$B$6*(1+Inputs!$B$7/100))+(((Inputs!$B$12*(1+Inputs!$B$13/100))-(Inputs!$B$12*(1+Inputs!$B$13/100)))+0.25*(Inputs!$B$14-Inputs!$B$14))*(1+Inputs!$B$7/100))*(F1502/100)</f>
        <v/>
      </c>
      <c r="K1502">
        <f>J1502*(1+((Inputs!$B$12*(1+Inputs!$B$13/100))*0.01+Inputs!$B$14*0.0025)/100)*(1+Inputs!$B$15/100)*(1+IF(Inputs!$B$39="pvp",0,(1-Summary!$B$55)*(Inputs!$B$20+0+Skills!P14+B1522)+Summary!$B$55*(Inputs!$B$21+Skills!Q14+B1522))/100)*(1+Inputs!$B$16/100)*(5000/(6000+Inputs!$B$43*(1-Inputs!$B$19/100)))*(1+(Inputs!$B$24+((C1518=TRUE)*(F1518-Calc!F30)))/100)*(1+(IF(Skills!A14="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1502)</f>
        <v/>
      </c>
      <c r="L1502">
        <f>K1502*(MIN(Inputs!$B$22+((C1512=TRUE)*(F1512-Calc!F24)),Inputs!$B$23+((C1517=TRUE)*(F1517-Calc!F29)))/100+(Inputs!$B$23+((C1517=TRUE)*(F1517-Calc!F29)))/100)/2</f>
        <v/>
      </c>
      <c r="M1502">
        <f>L1502*(1+(Inputs!$B$10+((C1514=TRUE)*(F1514-Calc!F26))+B1528)/100)</f>
        <v/>
      </c>
      <c r="N1502">
        <f>L1502*(1-MIN((Inputs!$B$9+((C1513=TRUE)*(F1513-Calc!F25))+B1521),100)/100)+M1502*(MIN((Inputs!$B$9+((C1513=TRUE)*(F1513-Calc!F25))+B1521),100)/100)</f>
        <v/>
      </c>
      <c r="O1502">
        <f>IF(C1502,H1502*N1502*IF(AND(Inputs!$B$39&lt;&gt;"pvp",Inputs!$B$44&gt;0),((Skills!G14*((R1502-1)*IF(Skills!H14&gt;0,Skills!I14/Skills!H14,1)+IF(Skills!H14&gt;0,MIN(Skills!I14,MAX(0,MAX(0,Inputs!$B$44-B1532)-((R1502-1)*IF(Inputs!$B$39="pvp",15,MAX(0.1,Skills!D14-IF(Skills!E14=TRUE,2.0,0))))))/Skills!H14,1)))/Inputs!$B$44),G1502*Q1502)*IF(Inputs!$B$39="pvp",1,(1-Summary!$B$55)*(1)+Summary!$B$55*(MIN(MIN(5,0.25*B1525*Skills!D4)*Skills!V14,Inputs!$B$37))),0)</f>
        <v/>
      </c>
      <c r="P1502">
        <f>IF(B1533=0,0,O1502/B1533)</f>
        <v/>
      </c>
      <c r="Q1502">
        <f>IFERROR(1/IF(Inputs!$B$39="pvp",15,MAX(0.1,Skills!D14-IF(Skills!E14=TRUE,2.0,0))),0)</f>
        <v/>
      </c>
      <c r="R1502">
        <f>IF(AND(Inputs!$B$39&lt;&gt;"pvp",Inputs!$B$44&gt;0),IF(MAX(0,Inputs!$B$44-B1532)&lt;=0,0,(INT(MAX(0,Inputs!$B$44-B1532)/IF(Inputs!$B$39="pvp",15,MAX(0.1,Skills!D14-IF(Skills!E14=TRUE,2.0,0))))+1)),0)</f>
        <v/>
      </c>
      <c r="S1502">
        <f>IFERROR(O1502/N1502,0)</f>
        <v/>
      </c>
    </row>
    <row r="1503">
      <c r="A1503">
        <f>Skills!A15</f>
        <v/>
      </c>
      <c r="B1503">
        <f>Skills!B15</f>
        <v/>
      </c>
      <c r="C1503">
        <f>Inputs!$B$3&gt;=110</f>
        <v/>
      </c>
      <c r="D1503">
        <f>IF(Skills!C15=1,60+Inputs!$B$25+Inputs!$B$29,IF(Skills!C15=2,90+Inputs!$B$26+Inputs!$B$29,IF(Skills!C15=3,120+Inputs!$B$27+Inputs!$B$29,MAX(0,(Inputs!$B$3-100)*3)+Inputs!$B$28+Inputs!$B$29)))</f>
        <v/>
      </c>
      <c r="E1503">
        <f>INDEX(FactorTable!$B$2:$Y$301, MATCH(ROUND(MIN(300,MAX(1,D1503)),0), FactorTable!$A$2:$A$301,0), Skills!M15+1)</f>
        <v/>
      </c>
      <c r="F1503">
        <f>IF(Skills!N15=TRUE,(Skills!L15/10)*(E1503/1000),Skills!L15/10)+Skills!O15</f>
        <v/>
      </c>
      <c r="G1503">
        <f>Skills!G15*IF(Skills!H15&gt;0,Skills!I15/Skills!H15,1)</f>
        <v/>
      </c>
      <c r="H1503">
        <f>1-(1-Skills!J15/100)^Skills!K15</f>
        <v/>
      </c>
      <c r="I1503" t="inlineStr">
        <is>
          <t>1</t>
        </is>
      </c>
      <c r="J1503" t="inlineStr"/>
      <c r="K1503" t="inlineStr"/>
      <c r="L1503" t="inlineStr"/>
      <c r="M1503" t="inlineStr"/>
      <c r="N1503" t="inlineStr"/>
      <c r="O1503" t="n">
        <v>0</v>
      </c>
      <c r="P1503">
        <f>IF(B1533=0,0,O1503/B1533)</f>
        <v/>
      </c>
      <c r="Q1503">
        <f>IFERROR(1/IF(Inputs!$B$39="pvp",15,MAX(0.1,Skills!D15-IF(Skills!E15=TRUE,2.0,0))),0)</f>
        <v/>
      </c>
      <c r="R1503">
        <f>IF(AND(Inputs!$B$39&lt;&gt;"pvp",Inputs!$B$44&gt;0),IF(Inputs!$B$44&lt;=0,0,(INT(Inputs!$B$44/IF(Inputs!$B$39="pvp",15,MAX(0.1,Skills!D15-IF(Skills!E15=TRUE,2.0,0))))+1)),0)</f>
        <v/>
      </c>
      <c r="S1503">
        <f>IFERROR(O1503/N1503,0)</f>
        <v/>
      </c>
    </row>
    <row r="1504">
      <c r="A1504">
        <f>Skills!A16</f>
        <v/>
      </c>
      <c r="B1504">
        <f>Skills!B16</f>
        <v/>
      </c>
      <c r="C1504">
        <f>Inputs!$B$3&gt;=115</f>
        <v/>
      </c>
      <c r="D1504">
        <f>IF(Skills!C16=1,60+Inputs!$B$25+Inputs!$B$29,IF(Skills!C16=2,90+Inputs!$B$26+Inputs!$B$29,IF(Skills!C16=3,120+Inputs!$B$27+Inputs!$B$29,MAX(0,(Inputs!$B$3-100)*3)+Inputs!$B$28+Inputs!$B$29)))</f>
        <v/>
      </c>
      <c r="E1504">
        <f>INDEX(FactorTable!$B$2:$Y$301, MATCH(ROUND(MIN(300,MAX(1,D1504)),0), FactorTable!$A$2:$A$301,0), Skills!M16+1)</f>
        <v/>
      </c>
      <c r="F1504">
        <f>IF(Skills!N16=TRUE,(Skills!L16/10)*(E1504/1000),Skills!L16/10)+Skills!O16</f>
        <v/>
      </c>
      <c r="G1504">
        <f>Skills!G16*IF(Skills!H16&gt;0,Skills!I16/Skills!H16,1)</f>
        <v/>
      </c>
      <c r="H1504">
        <f>1-(1-Skills!J16/100)^Skills!K16</f>
        <v/>
      </c>
      <c r="I1504" t="inlineStr">
        <is>
          <t>1</t>
        </is>
      </c>
      <c r="J1504">
        <f>((Inputs!$B$6*(1+Inputs!$B$7/100))+(((Inputs!$B$12*(1+Inputs!$B$13/100))-(Inputs!$B$12*(1+Inputs!$B$13/100)))+0.25*(Inputs!$B$14-Inputs!$B$14))*(1+Inputs!$B$7/100))*(F1504/100)</f>
        <v/>
      </c>
      <c r="K1504">
        <f>J1504*(1+((Inputs!$B$12*(1+Inputs!$B$13/100))*0.01+Inputs!$B$14*0.0025)/100)*(1+Inputs!$B$15/100)*(1+IF(Inputs!$B$39="pvp",0,(1-Summary!$B$55)*(Inputs!$B$20+0+Skills!P16+B1522)+Summary!$B$55*(Inputs!$B$21+Skills!Q16+B1522))/100)*(1+Inputs!$B$16/100)*(5000/(6000+Inputs!$B$43*(1-Inputs!$B$19/100)))*(1+(Inputs!$B$24+((C1518=TRUE)*(F1518-Calc!F30)))/100)*(1+(IF(Skills!A16="CRUEL_STAB",Inputs!$B$17+((C1515=TRUE)*(F1515-Calc!F27)),Inputs!$B$18+((C1516=TRUE)*(F1516-Calc!F28))))/100)*(((1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B1523*I1504)</f>
        <v/>
      </c>
      <c r="L1504">
        <f>K1504*(MIN(Inputs!$B$22+((C1512=TRUE)*(F1512-Calc!F24)),Inputs!$B$23+((C1517=TRUE)*(F1517-Calc!F29)))/100+(Inputs!$B$23+((C1517=TRUE)*(F1517-Calc!F29)))/100)/2</f>
        <v/>
      </c>
      <c r="M1504">
        <f>L1504*(1+(Inputs!$B$10+((C1514=TRUE)*(F1514-Calc!F26))+B1528)/100)</f>
        <v/>
      </c>
      <c r="N1504">
        <f>L1504*(1-MIN((Inputs!$B$9+((C1513=TRUE)*(F1513-Calc!F25))+B1521),100)/100)+M1504*(MIN((Inputs!$B$9+((C1513=TRUE)*(F1513-Calc!F25))+B1521),100)/100)</f>
        <v/>
      </c>
      <c r="O1504">
        <f>IF(C1504,Inputs!$B$38*0.2*N1504,0)</f>
        <v/>
      </c>
      <c r="P1504">
        <f>IF(B1533=0,0,O1504/B1533)</f>
        <v/>
      </c>
      <c r="Q1504" t="n">
        <v>0</v>
      </c>
      <c r="R1504" t="n">
        <v>0</v>
      </c>
      <c r="S1504">
        <f>IFERROR(O1504/N1504,0)</f>
        <v/>
      </c>
    </row>
    <row r="1505">
      <c r="A1505">
        <f>Skills!A17</f>
        <v/>
      </c>
      <c r="B1505">
        <f>Skills!B17</f>
        <v/>
      </c>
      <c r="C1505">
        <f>Inputs!$B$3&gt;=115</f>
        <v/>
      </c>
      <c r="D1505">
        <f>IF(Skills!C17=1,60+Inputs!$B$25+Inputs!$B$29,IF(Skills!C17=2,90+Inputs!$B$26+Inputs!$B$29,IF(Skills!C17=3,120+Inputs!$B$27+Inputs!$B$29,MAX(0,(Inputs!$B$3-100)*3)+Inputs!$B$28+Inputs!$B$29)))</f>
        <v/>
      </c>
      <c r="E1505">
        <f>INDEX(FactorTable!$B$2:$Y$301, MATCH(ROUND(MIN(300,MAX(1,D1505)),0), FactorTable!$A$2:$A$301,0), Skills!M17+1)</f>
        <v/>
      </c>
      <c r="F1505">
        <f>IF(Skills!N17=TRUE,(Skills!L17/10)*(E1505/1000),Skills!L17/10)+Skills!O17</f>
        <v/>
      </c>
      <c r="G1505">
        <f>Skills!G17*IF(Skills!H17&gt;0,Skills!I17/Skills!H17,1)</f>
        <v/>
      </c>
      <c r="H1505">
        <f>1-(1-Skills!J17/100)^Skills!K17</f>
        <v/>
      </c>
      <c r="I1505" t="inlineStr">
        <is>
          <t>1</t>
        </is>
      </c>
      <c r="J1505" t="inlineStr"/>
      <c r="K1505" t="inlineStr"/>
      <c r="L1505" t="inlineStr"/>
      <c r="M1505" t="inlineStr"/>
      <c r="N1505" t="inlineStr"/>
      <c r="O1505" t="n">
        <v>0</v>
      </c>
      <c r="P1505">
        <f>IF(B1533=0,0,O1505/B1533)</f>
        <v/>
      </c>
      <c r="Q1505" t="n">
        <v>0</v>
      </c>
      <c r="R1505" t="n">
        <v>0</v>
      </c>
      <c r="S1505">
        <f>IFERROR(O1505/N1505,0)</f>
        <v/>
      </c>
    </row>
    <row r="1506">
      <c r="A1506">
        <f>Skills!A18</f>
        <v/>
      </c>
      <c r="B1506">
        <f>Skills!B18</f>
        <v/>
      </c>
      <c r="C1506">
        <f>Inputs!$B$3&gt;=100</f>
        <v/>
      </c>
      <c r="D1506">
        <f>IF(Skills!C18=1,60+Inputs!$B$25+Inputs!$B$29,IF(Skills!C18=2,90+Inputs!$B$26+Inputs!$B$29,IF(Skills!C18=3,120+Inputs!$B$27+Inputs!$B$29,MAX(0,(Inputs!$B$3-100)*3)+Inputs!$B$28+Inputs!$B$29)))</f>
        <v/>
      </c>
      <c r="E1506">
        <f>INDEX(FactorTable!$B$2:$Y$301, MATCH(ROUND(MIN(300,MAX(1,D1506)),0), FactorTable!$A$2:$A$301,0), Skills!M18+1)</f>
        <v/>
      </c>
      <c r="F1506">
        <f>IF(Skills!N18=TRUE,(Skills!L18/10)*(E1506/1000),Skills!L18/10)+Skills!O18</f>
        <v/>
      </c>
      <c r="G1506">
        <f>Skills!G18*IF(Skills!H18&gt;0,Skills!I18/Skills!H18,1)</f>
        <v/>
      </c>
      <c r="H1506">
        <f>1-(1-Skills!J18/100)^Skills!K18</f>
        <v/>
      </c>
      <c r="I1506" t="inlineStr">
        <is>
          <t>1</t>
        </is>
      </c>
      <c r="J1506" t="inlineStr"/>
      <c r="K1506" t="inlineStr"/>
      <c r="L1506" t="inlineStr"/>
      <c r="M1506" t="inlineStr"/>
      <c r="N1506" t="inlineStr"/>
      <c r="O1506" t="n">
        <v>0</v>
      </c>
      <c r="P1506">
        <f>IF(B1533=0,0,O1506/B1533)</f>
        <v/>
      </c>
      <c r="Q1506" t="n">
        <v>0</v>
      </c>
      <c r="R1506" t="n">
        <v>0</v>
      </c>
      <c r="S1506">
        <f>IFERROR(O1506/N1506,0)</f>
        <v/>
      </c>
    </row>
    <row r="1507">
      <c r="A1507">
        <f>Skills!A19</f>
        <v/>
      </c>
      <c r="B1507">
        <f>Skills!B19</f>
        <v/>
      </c>
      <c r="C1507">
        <f>TRUE</f>
        <v/>
      </c>
      <c r="D1507">
        <f>IF(Skills!C19=1,60+Inputs!$B$25+Inputs!$B$29,IF(Skills!C19=2,90+Inputs!$B$26+Inputs!$B$29,IF(Skills!C19=3,120+Inputs!$B$27+Inputs!$B$29,MAX(0,(Inputs!$B$3-100)*3)+Inputs!$B$28+Inputs!$B$29)))</f>
        <v/>
      </c>
      <c r="E1507">
        <f>INDEX(FactorTable!$B$2:$Y$301, MATCH(ROUND(MIN(300,MAX(1,D1507)),0), FactorTable!$A$2:$A$301,0), Skills!M19+1)</f>
        <v/>
      </c>
      <c r="F1507">
        <f>IF(Skills!N19=TRUE,(Skills!L19/10)*(E1507/1000),Skills!L19/10)+Skills!O19</f>
        <v/>
      </c>
      <c r="G1507">
        <f>Skills!G19*IF(Skills!H19&gt;0,Skills!I19/Skills!H19,1)</f>
        <v/>
      </c>
      <c r="H1507">
        <f>1-(1-Skills!J19/100)^Skills!K19</f>
        <v/>
      </c>
      <c r="I1507" t="inlineStr">
        <is>
          <t>1</t>
        </is>
      </c>
      <c r="J1507" t="inlineStr"/>
      <c r="K1507" t="inlineStr"/>
      <c r="L1507" t="inlineStr"/>
      <c r="M1507" t="inlineStr"/>
      <c r="N1507" t="inlineStr"/>
      <c r="O1507" t="n">
        <v>0</v>
      </c>
      <c r="P1507">
        <f>IF(B1533=0,0,O1507/B1533)</f>
        <v/>
      </c>
      <c r="Q1507">
        <f>IFERROR(1/IF(Inputs!$B$39="pvp",15,MAX(0.1,Skills!D19-IF(Skills!E19=TRUE,2.0,0))),0)</f>
        <v/>
      </c>
      <c r="R1507">
        <f>IF(AND(Inputs!$B$39&lt;&gt;"pvp",Inputs!$B$44&gt;0),IF(Inputs!$B$44&lt;=0,0,(INT(Inputs!$B$44/IF(Inputs!$B$39="pvp",15,MAX(0.1,Skills!D19-IF(Skills!E19=TRUE,2.0,0))))+1)),0)</f>
        <v/>
      </c>
      <c r="S1507">
        <f>IFERROR(O1507/N1507,0)</f>
        <v/>
      </c>
    </row>
    <row r="1508">
      <c r="A1508">
        <f>Skills!A20</f>
        <v/>
      </c>
      <c r="B1508">
        <f>Skills!B20</f>
        <v/>
      </c>
      <c r="C1508">
        <f>Inputs!$B$3&gt;=15</f>
        <v/>
      </c>
      <c r="D1508">
        <f>IF(Skills!C20=1,60+Inputs!$B$25+Inputs!$B$29,IF(Skills!C20=2,90+Inputs!$B$26+Inputs!$B$29,IF(Skills!C20=3,120+Inputs!$B$27+Inputs!$B$29,MAX(0,(Inputs!$B$3-100)*3)+Inputs!$B$28+Inputs!$B$29)))</f>
        <v/>
      </c>
      <c r="E1508">
        <f>INDEX(FactorTable!$B$2:$Y$301, MATCH(ROUND(MIN(300,MAX(1,D1508)),0), FactorTable!$A$2:$A$301,0), Skills!M20+1)</f>
        <v/>
      </c>
      <c r="F1508">
        <f>IF(Skills!N20=TRUE,(Skills!L20/10)*(E1508/1000),Skills!L20/10)+Skills!O20</f>
        <v/>
      </c>
      <c r="G1508">
        <f>Skills!G20*IF(Skills!H20&gt;0,Skills!I20/Skills!H20,1)</f>
        <v/>
      </c>
      <c r="H1508">
        <f>1-(1-Skills!J20/100)^Skills!K20</f>
        <v/>
      </c>
      <c r="I1508" t="inlineStr">
        <is>
          <t>1</t>
        </is>
      </c>
      <c r="J1508" t="inlineStr"/>
      <c r="K1508" t="inlineStr"/>
      <c r="L1508" t="inlineStr"/>
      <c r="M1508" t="inlineStr"/>
      <c r="N1508" t="inlineStr"/>
      <c r="O1508" t="n">
        <v>0</v>
      </c>
      <c r="P1508">
        <f>IF(B1533=0,0,O1508/B1533)</f>
        <v/>
      </c>
      <c r="Q1508">
        <f>IFERROR(1/IF(Inputs!$B$39="pvp",15,MAX(0.1,Skills!D20-IF(Skills!E20=TRUE,2.0,0))),0)</f>
        <v/>
      </c>
      <c r="R1508">
        <f>IF(AND(Inputs!$B$39&lt;&gt;"pvp",Inputs!$B$44&gt;0),IF(Inputs!$B$44&lt;=0,0,(INT(Inputs!$B$44/IF(Inputs!$B$39="pvp",15,MAX(0.1,Skills!D20-IF(Skills!E20=TRUE,2.0,0))))+1)),0)</f>
        <v/>
      </c>
      <c r="S1508">
        <f>IFERROR(O1508/N1508,0)</f>
        <v/>
      </c>
    </row>
    <row r="1509">
      <c r="A1509">
        <f>Skills!A21</f>
        <v/>
      </c>
      <c r="B1509">
        <f>Skills!B21</f>
        <v/>
      </c>
      <c r="C1509">
        <f>Inputs!$B$3&gt;=15</f>
        <v/>
      </c>
      <c r="D1509">
        <f>IF(Skills!C21=1,60+Inputs!$B$25+Inputs!$B$29,IF(Skills!C21=2,90+Inputs!$B$26+Inputs!$B$29,IF(Skills!C21=3,120+Inputs!$B$27+Inputs!$B$29,MAX(0,(Inputs!$B$3-100)*3)+Inputs!$B$28+Inputs!$B$29)))</f>
        <v/>
      </c>
      <c r="E1509">
        <f>INDEX(FactorTable!$B$2:$Y$301, MATCH(ROUND(MIN(300,MAX(1,D1509)),0), FactorTable!$A$2:$A$301,0), Skills!M21+1)</f>
        <v/>
      </c>
      <c r="F1509">
        <f>IF(Skills!N21=TRUE,(Skills!L21/10)*(E1509/1000),Skills!L21/10)+Skills!O21</f>
        <v/>
      </c>
      <c r="G1509">
        <f>Skills!G21*IF(Skills!H21&gt;0,Skills!I21/Skills!H21,1)</f>
        <v/>
      </c>
      <c r="H1509">
        <f>1-(1-Skills!J21/100)^Skills!K21</f>
        <v/>
      </c>
      <c r="I1509" t="inlineStr">
        <is>
          <t>1</t>
        </is>
      </c>
      <c r="J1509" t="inlineStr"/>
      <c r="K1509" t="inlineStr"/>
      <c r="L1509" t="inlineStr"/>
      <c r="M1509" t="inlineStr"/>
      <c r="N1509" t="inlineStr"/>
      <c r="O1509" t="n">
        <v>0</v>
      </c>
      <c r="P1509">
        <f>IF(B1533=0,0,O1509/B1533)</f>
        <v/>
      </c>
      <c r="Q1509">
        <f>IFERROR(1/IF(Inputs!$B$39="pvp",15,MAX(0.1,Skills!D21-IF(Skills!E21=TRUE,2.0,0))),0)</f>
        <v/>
      </c>
      <c r="R1509">
        <f>IF(AND(Inputs!$B$39&lt;&gt;"pvp",Inputs!$B$44&gt;0),IF(Inputs!$B$44&lt;=0,0,(INT(Inputs!$B$44/IF(Inputs!$B$39="pvp",15,MAX(0.1,Skills!D21-IF(Skills!E21=TRUE,2.0,0))))+1)),0)</f>
        <v/>
      </c>
      <c r="S1509">
        <f>IFERROR(O1509/N1509,0)</f>
        <v/>
      </c>
    </row>
    <row r="1510">
      <c r="A1510">
        <f>Skills!A22</f>
        <v/>
      </c>
      <c r="B1510">
        <f>Skills!B22</f>
        <v/>
      </c>
      <c r="C1510">
        <f>Inputs!$B$3&gt;=33</f>
        <v/>
      </c>
      <c r="D1510">
        <f>IF(Skills!C22=1,60+Inputs!$B$25+Inputs!$B$29,IF(Skills!C22=2,90+Inputs!$B$26+Inputs!$B$29,IF(Skills!C22=3,120+Inputs!$B$27+Inputs!$B$29,MAX(0,(Inputs!$B$3-100)*3)+Inputs!$B$28+Inputs!$B$29)))</f>
        <v/>
      </c>
      <c r="E1510">
        <f>INDEX(FactorTable!$B$2:$Y$301, MATCH(ROUND(MIN(300,MAX(1,D1510)),0), FactorTable!$A$2:$A$301,0), Skills!M22+1)</f>
        <v/>
      </c>
      <c r="F1510">
        <f>IF(Skills!N22=TRUE,(Skills!L22/10)*(E1510/1000),Skills!L22/10)+Skills!O22</f>
        <v/>
      </c>
      <c r="G1510">
        <f>Skills!G22*IF(Skills!H22&gt;0,Skills!I22/Skills!H22,1)</f>
        <v/>
      </c>
      <c r="H1510">
        <f>1-(1-Skills!J22/100)^Skills!K22</f>
        <v/>
      </c>
      <c r="I1510" t="inlineStr">
        <is>
          <t>1</t>
        </is>
      </c>
      <c r="J1510" t="inlineStr"/>
      <c r="K1510" t="inlineStr"/>
      <c r="L1510" t="inlineStr"/>
      <c r="M1510" t="inlineStr"/>
      <c r="N1510" t="inlineStr"/>
      <c r="O1510" t="n">
        <v>0</v>
      </c>
      <c r="P1510">
        <f>IF(B1533=0,0,O1510/B1533)</f>
        <v/>
      </c>
      <c r="Q1510" t="n">
        <v>0</v>
      </c>
      <c r="R1510" t="n">
        <v>0</v>
      </c>
      <c r="S1510">
        <f>IFERROR(O1510/N1510,0)</f>
        <v/>
      </c>
    </row>
    <row r="1511">
      <c r="A1511">
        <f>Skills!A23</f>
        <v/>
      </c>
      <c r="B1511">
        <f>Skills!B23</f>
        <v/>
      </c>
      <c r="C1511">
        <f>Inputs!$B$3&gt;=40</f>
        <v/>
      </c>
      <c r="D1511">
        <f>IF(Skills!C23=1,60+Inputs!$B$25+Inputs!$B$29,IF(Skills!C23=2,90+Inputs!$B$26+Inputs!$B$29,IF(Skills!C23=3,120+Inputs!$B$27+Inputs!$B$29,MAX(0,(Inputs!$B$3-100)*3)+Inputs!$B$28+Inputs!$B$29)))</f>
        <v/>
      </c>
      <c r="E1511">
        <f>INDEX(FactorTable!$B$2:$Y$301, MATCH(ROUND(MIN(300,MAX(1,D1511)),0), FactorTable!$A$2:$A$301,0), Skills!M23+1)</f>
        <v/>
      </c>
      <c r="F1511">
        <f>IF(Skills!N23=TRUE,(Skills!L23/10)*(E1511/1000),Skills!L23/10)+Skills!O23</f>
        <v/>
      </c>
      <c r="G1511">
        <f>Skills!G23*IF(Skills!H23&gt;0,Skills!I23/Skills!H23,1)</f>
        <v/>
      </c>
      <c r="H1511">
        <f>1-(1-Skills!J23/100)^Skills!K23</f>
        <v/>
      </c>
      <c r="I1511" t="inlineStr">
        <is>
          <t>1</t>
        </is>
      </c>
      <c r="J1511" t="inlineStr"/>
      <c r="K1511" t="inlineStr"/>
      <c r="L1511" t="inlineStr"/>
      <c r="M1511" t="inlineStr"/>
      <c r="N1511" t="inlineStr"/>
      <c r="O1511" t="n">
        <v>0</v>
      </c>
      <c r="P1511">
        <f>IF(B1533=0,0,O1511/B1533)</f>
        <v/>
      </c>
      <c r="Q1511" t="n">
        <v>0</v>
      </c>
      <c r="R1511" t="n">
        <v>0</v>
      </c>
      <c r="S1511">
        <f>IFERROR(O1511/N1511,0)</f>
        <v/>
      </c>
    </row>
    <row r="1512">
      <c r="A1512">
        <f>Skills!A24</f>
        <v/>
      </c>
      <c r="B1512">
        <f>Skills!B24</f>
        <v/>
      </c>
      <c r="C1512">
        <f>Inputs!$B$3&gt;=43</f>
        <v/>
      </c>
      <c r="D1512">
        <f>IF(Skills!C24=1,60+Inputs!$B$25+Inputs!$B$29,IF(Skills!C24=2,90+Inputs!$B$26+Inputs!$B$29,IF(Skills!C24=3,120+Inputs!$B$27+Inputs!$B$29,MAX(0,(Inputs!$B$3-100)*3)+Inputs!$B$28+Inputs!$B$29)))</f>
        <v/>
      </c>
      <c r="E1512">
        <f>INDEX(FactorTable!$B$2:$Y$301, MATCH(ROUND(MIN(300,MAX(1,D1512)),0), FactorTable!$A$2:$A$301,0), Skills!M24+1)</f>
        <v/>
      </c>
      <c r="F1512">
        <f>IF(Skills!N24=TRUE,(Skills!L24/10)*(E1512/1000),Skills!L24/10)+Skills!O24</f>
        <v/>
      </c>
      <c r="G1512">
        <f>Skills!G24*IF(Skills!H24&gt;0,Skills!I24/Skills!H24,1)</f>
        <v/>
      </c>
      <c r="H1512">
        <f>1-(1-Skills!J24/100)^Skills!K24</f>
        <v/>
      </c>
      <c r="I1512" t="inlineStr">
        <is>
          <t>1</t>
        </is>
      </c>
      <c r="J1512" t="inlineStr"/>
      <c r="K1512" t="inlineStr"/>
      <c r="L1512" t="inlineStr"/>
      <c r="M1512" t="inlineStr"/>
      <c r="N1512" t="inlineStr"/>
      <c r="O1512" t="n">
        <v>0</v>
      </c>
      <c r="P1512">
        <f>IF(B1533=0,0,O1512/B1533)</f>
        <v/>
      </c>
      <c r="Q1512" t="n">
        <v>0</v>
      </c>
      <c r="R1512" t="n">
        <v>0</v>
      </c>
      <c r="S1512">
        <f>IFERROR(O1512/N1512,0)</f>
        <v/>
      </c>
    </row>
    <row r="1513">
      <c r="A1513">
        <f>Skills!A25</f>
        <v/>
      </c>
      <c r="B1513">
        <f>Skills!B25</f>
        <v/>
      </c>
      <c r="C1513">
        <f>Inputs!$B$3&gt;=50</f>
        <v/>
      </c>
      <c r="D1513">
        <f>IF(Skills!C25=1,60+Inputs!$B$25+Inputs!$B$29,IF(Skills!C25=2,90+Inputs!$B$26+Inputs!$B$29,IF(Skills!C25=3,120+Inputs!$B$27+Inputs!$B$29,MAX(0,(Inputs!$B$3-100)*3)+Inputs!$B$28+Inputs!$B$29)))</f>
        <v/>
      </c>
      <c r="E1513">
        <f>INDEX(FactorTable!$B$2:$Y$301, MATCH(ROUND(MIN(300,MAX(1,D1513)),0), FactorTable!$A$2:$A$301,0), Skills!M25+1)</f>
        <v/>
      </c>
      <c r="F1513">
        <f>IF(Skills!N25=TRUE,(Skills!L25/10)*(E1513/1000),Skills!L25/10)+Skills!O25</f>
        <v/>
      </c>
      <c r="G1513">
        <f>Skills!G25*IF(Skills!H25&gt;0,Skills!I25/Skills!H25,1)</f>
        <v/>
      </c>
      <c r="H1513">
        <f>1-(1-Skills!J25/100)^Skills!K25</f>
        <v/>
      </c>
      <c r="I1513" t="inlineStr">
        <is>
          <t>1</t>
        </is>
      </c>
      <c r="J1513" t="inlineStr"/>
      <c r="K1513" t="inlineStr"/>
      <c r="L1513" t="inlineStr"/>
      <c r="M1513" t="inlineStr"/>
      <c r="N1513" t="inlineStr"/>
      <c r="O1513" t="n">
        <v>0</v>
      </c>
      <c r="P1513">
        <f>IF(B1533=0,0,O1513/B1533)</f>
        <v/>
      </c>
      <c r="Q1513" t="n">
        <v>0</v>
      </c>
      <c r="R1513" t="n">
        <v>0</v>
      </c>
      <c r="S1513">
        <f>IFERROR(O1513/N1513,0)</f>
        <v/>
      </c>
    </row>
    <row r="1514">
      <c r="A1514">
        <f>Skills!A26</f>
        <v/>
      </c>
      <c r="B1514">
        <f>Skills!B26</f>
        <v/>
      </c>
      <c r="C1514">
        <f>Inputs!$B$3&gt;=50</f>
        <v/>
      </c>
      <c r="D1514">
        <f>IF(Skills!C26=1,60+Inputs!$B$25+Inputs!$B$29,IF(Skills!C26=2,90+Inputs!$B$26+Inputs!$B$29,IF(Skills!C26=3,120+Inputs!$B$27+Inputs!$B$29,MAX(0,(Inputs!$B$3-100)*3)+Inputs!$B$28+Inputs!$B$29)))</f>
        <v/>
      </c>
      <c r="E1514">
        <f>INDEX(FactorTable!$B$2:$Y$301, MATCH(ROUND(MIN(300,MAX(1,D1514)),0), FactorTable!$A$2:$A$301,0), Skills!M26+1)</f>
        <v/>
      </c>
      <c r="F1514">
        <f>IF(Skills!N26=TRUE,(Skills!L26/10)*(E1514/1000),Skills!L26/10)+Skills!O26</f>
        <v/>
      </c>
      <c r="G1514">
        <f>Skills!G26*IF(Skills!H26&gt;0,Skills!I26/Skills!H26,1)</f>
        <v/>
      </c>
      <c r="H1514">
        <f>1-(1-Skills!J26/100)^Skills!K26</f>
        <v/>
      </c>
      <c r="I1514" t="inlineStr">
        <is>
          <t>1</t>
        </is>
      </c>
      <c r="J1514" t="inlineStr"/>
      <c r="K1514" t="inlineStr"/>
      <c r="L1514" t="inlineStr"/>
      <c r="M1514" t="inlineStr"/>
      <c r="N1514" t="inlineStr"/>
      <c r="O1514" t="n">
        <v>0</v>
      </c>
      <c r="P1514">
        <f>IF(B1533=0,0,O1514/B1533)</f>
        <v/>
      </c>
      <c r="Q1514" t="n">
        <v>0</v>
      </c>
      <c r="R1514" t="n">
        <v>0</v>
      </c>
      <c r="S1514">
        <f>IFERROR(O1514/N1514,0)</f>
        <v/>
      </c>
    </row>
    <row r="1515">
      <c r="A1515">
        <f>Skills!A27</f>
        <v/>
      </c>
      <c r="B1515">
        <f>Skills!B27</f>
        <v/>
      </c>
      <c r="C1515">
        <f>Inputs!$B$3&gt;=38</f>
        <v/>
      </c>
      <c r="D1515">
        <f>IF(Skills!C27=1,60+Inputs!$B$25+Inputs!$B$29,IF(Skills!C27=2,90+Inputs!$B$26+Inputs!$B$29,IF(Skills!C27=3,120+Inputs!$B$27+Inputs!$B$29,MAX(0,(Inputs!$B$3-100)*3)+Inputs!$B$28+Inputs!$B$29)))</f>
        <v/>
      </c>
      <c r="E1515">
        <f>INDEX(FactorTable!$B$2:$Y$301, MATCH(ROUND(MIN(300,MAX(1,D1515)),0), FactorTable!$A$2:$A$301,0), Skills!M27+1)</f>
        <v/>
      </c>
      <c r="F1515">
        <f>IF(Skills!N27=TRUE,(Skills!L27/10)*(E1515/1000),Skills!L27/10)+Skills!O27</f>
        <v/>
      </c>
      <c r="G1515">
        <f>Skills!G27*IF(Skills!H27&gt;0,Skills!I27/Skills!H27,1)</f>
        <v/>
      </c>
      <c r="H1515">
        <f>1-(1-Skills!J27/100)^Skills!K27</f>
        <v/>
      </c>
      <c r="I1515" t="inlineStr">
        <is>
          <t>1</t>
        </is>
      </c>
      <c r="J1515" t="inlineStr"/>
      <c r="K1515" t="inlineStr"/>
      <c r="L1515" t="inlineStr"/>
      <c r="M1515" t="inlineStr"/>
      <c r="N1515" t="inlineStr"/>
      <c r="O1515" t="n">
        <v>0</v>
      </c>
      <c r="P1515">
        <f>IF(B1533=0,0,O1515/B1533)</f>
        <v/>
      </c>
      <c r="Q1515" t="n">
        <v>0</v>
      </c>
      <c r="R1515" t="n">
        <v>0</v>
      </c>
      <c r="S1515">
        <f>IFERROR(O1515/N1515,0)</f>
        <v/>
      </c>
    </row>
    <row r="1516">
      <c r="A1516">
        <f>Skills!A28</f>
        <v/>
      </c>
      <c r="B1516">
        <f>Skills!B28</f>
        <v/>
      </c>
      <c r="C1516">
        <f>Inputs!$B$3&gt;=120</f>
        <v/>
      </c>
      <c r="D1516">
        <f>IF(Skills!C28=1,60+Inputs!$B$25+Inputs!$B$29,IF(Skills!C28=2,90+Inputs!$B$26+Inputs!$B$29,IF(Skills!C28=3,120+Inputs!$B$27+Inputs!$B$29,MAX(0,(Inputs!$B$3-100)*3)+Inputs!$B$28+Inputs!$B$29)))</f>
        <v/>
      </c>
      <c r="E1516">
        <f>INDEX(FactorTable!$B$2:$Y$301, MATCH(ROUND(MIN(300,MAX(1,D1516)),0), FactorTable!$A$2:$A$301,0), Skills!M28+1)</f>
        <v/>
      </c>
      <c r="F1516">
        <f>IF(Skills!N28=TRUE,(Skills!L28/10)*(E1516/1000),Skills!L28/10)+Skills!O28</f>
        <v/>
      </c>
      <c r="G1516">
        <f>Skills!G28*IF(Skills!H28&gt;0,Skills!I28/Skills!H28,1)</f>
        <v/>
      </c>
      <c r="H1516">
        <f>1-(1-Skills!J28/100)^Skills!K28</f>
        <v/>
      </c>
      <c r="I1516" t="inlineStr">
        <is>
          <t>1</t>
        </is>
      </c>
      <c r="J1516" t="inlineStr"/>
      <c r="K1516" t="inlineStr"/>
      <c r="L1516" t="inlineStr"/>
      <c r="M1516" t="inlineStr"/>
      <c r="N1516" t="inlineStr"/>
      <c r="O1516" t="n">
        <v>0</v>
      </c>
      <c r="P1516">
        <f>IF(B1533=0,0,O1516/B1533)</f>
        <v/>
      </c>
      <c r="Q1516" t="n">
        <v>0</v>
      </c>
      <c r="R1516" t="n">
        <v>0</v>
      </c>
      <c r="S1516">
        <f>IFERROR(O1516/N1516,0)</f>
        <v/>
      </c>
    </row>
    <row r="1517">
      <c r="A1517">
        <f>Skills!A29</f>
        <v/>
      </c>
      <c r="B1517">
        <f>Skills!B29</f>
        <v/>
      </c>
      <c r="C1517">
        <f>Inputs!$B$3&gt;=120</f>
        <v/>
      </c>
      <c r="D1517">
        <f>IF(Skills!C29=1,60+Inputs!$B$25+Inputs!$B$29,IF(Skills!C29=2,90+Inputs!$B$26+Inputs!$B$29,IF(Skills!C29=3,120+Inputs!$B$27+Inputs!$B$29,MAX(0,(Inputs!$B$3-100)*3)+Inputs!$B$28+Inputs!$B$29)))</f>
        <v/>
      </c>
      <c r="E1517">
        <f>INDEX(FactorTable!$B$2:$Y$301, MATCH(ROUND(MIN(300,MAX(1,D1517)),0), FactorTable!$A$2:$A$301,0), Skills!M29+1)</f>
        <v/>
      </c>
      <c r="F1517">
        <f>IF(Skills!N29=TRUE,(Skills!L29/10)*(E1517/1000),Skills!L29/10)+Skills!O29</f>
        <v/>
      </c>
      <c r="G1517">
        <f>Skills!G29*IF(Skills!H29&gt;0,Skills!I29/Skills!H29,1)</f>
        <v/>
      </c>
      <c r="H1517">
        <f>1-(1-Skills!J29/100)^Skills!K29</f>
        <v/>
      </c>
      <c r="I1517" t="inlineStr">
        <is>
          <t>1</t>
        </is>
      </c>
      <c r="J1517" t="inlineStr"/>
      <c r="K1517" t="inlineStr"/>
      <c r="L1517" t="inlineStr"/>
      <c r="M1517" t="inlineStr"/>
      <c r="N1517" t="inlineStr"/>
      <c r="O1517" t="n">
        <v>0</v>
      </c>
      <c r="P1517">
        <f>IF(B1533=0,0,O1517/B1533)</f>
        <v/>
      </c>
      <c r="Q1517" t="n">
        <v>0</v>
      </c>
      <c r="R1517" t="n">
        <v>0</v>
      </c>
      <c r="S1517">
        <f>IFERROR(O1517/N1517,0)</f>
        <v/>
      </c>
    </row>
    <row r="1518">
      <c r="A1518">
        <f>Skills!A30</f>
        <v/>
      </c>
      <c r="B1518">
        <f>Skills!B30</f>
        <v/>
      </c>
      <c r="C1518">
        <f>Inputs!$B$3&gt;=125</f>
        <v/>
      </c>
      <c r="D1518">
        <f>IF(Skills!C30=1,60+Inputs!$B$25+Inputs!$B$29,IF(Skills!C30=2,90+Inputs!$B$26+Inputs!$B$29,IF(Skills!C30=3,120+Inputs!$B$27+Inputs!$B$29,MAX(0,(Inputs!$B$3-100)*3)+Inputs!$B$28+Inputs!$B$29)))</f>
        <v/>
      </c>
      <c r="E1518">
        <f>INDEX(FactorTable!$B$2:$Y$301, MATCH(ROUND(MIN(300,MAX(1,D1518)),0), FactorTable!$A$2:$A$301,0), Skills!M30+1)</f>
        <v/>
      </c>
      <c r="F1518">
        <f>IF(Skills!N30=TRUE,(Skills!L30/10)*(E1518/1000),Skills!L30/10)+Skills!O30</f>
        <v/>
      </c>
      <c r="G1518">
        <f>Skills!G30*IF(Skills!H30&gt;0,Skills!I30/Skills!H30,1)</f>
        <v/>
      </c>
      <c r="H1518">
        <f>1-(1-Skills!J30/100)^Skills!K30</f>
        <v/>
      </c>
      <c r="I1518" t="inlineStr">
        <is>
          <t>1</t>
        </is>
      </c>
      <c r="J1518" t="inlineStr"/>
      <c r="K1518" t="inlineStr"/>
      <c r="L1518" t="inlineStr"/>
      <c r="M1518" t="inlineStr"/>
      <c r="N1518" t="inlineStr"/>
      <c r="O1518" t="n">
        <v>0</v>
      </c>
      <c r="P1518">
        <f>IF(B1533=0,0,O1518/B1533)</f>
        <v/>
      </c>
      <c r="Q1518" t="n">
        <v>0</v>
      </c>
      <c r="R1518" t="n">
        <v>0</v>
      </c>
      <c r="S1518">
        <f>IFERROR(O1518/N1518,0)</f>
        <v/>
      </c>
    </row>
    <row r="1520">
      <c r="A1520" t="inlineStr">
        <is>
          <t>Average Buff Multiplier</t>
        </is>
      </c>
      <c r="B1520">
        <f>(1+(((C1509=TRUE)*F1509*IF(AND(Inputs!$B$39&lt;&gt;"pvp",Inputs!$B$44&gt;0),(((R1509-1)*(Skills!Y21*(1+Inputs!$B$34/100))+MIN((Skills!Y21*(1+Inputs!$B$34/100)),MAX(0,Inputs!$B$44-((R1509-1)*Skills!D21))))/Inputs!$B$44),IF(Inputs!$B$39="pvp",MIN((Skills!Y21*(1+Inputs!$B$34/100)),15)/15,(Skills!Y21*(1+Inputs!$B$34/100))/Skills!D21)))+((C1511=TRUE)*(F1511-Calc!F23))+((C1505=TRUE)*(F1505-Calc!F17)))/100)*(1+((C1498=TRUE)*F1498*IF(AND(Inputs!$B$39&lt;&gt;"pvp",Inputs!$B$44&gt;0),(((R1498-1)*(Skills!Y10*(1+Inputs!$B$34/100))+MIN((Skills!Y10*(1+Inputs!$B$34/100)),MAX(0,Inputs!$B$44-((R1498-1)*Skills!D10))))/Inputs!$B$44),IF(Inputs!$B$39="pvp",MIN((Skills!Y10*(1+Inputs!$B$34/100)),15)/15,(Skills!Y10*(1+Inputs!$B$34/100))/Skills!D10)))/100)*(1+((C1503=TRUE)*F1503*IF(AND(Inputs!$B$39&lt;&gt;"pvp",Inputs!$B$44&gt;0),(((R1503-1)*(Skills!Y15*(1+Inputs!$B$34/100))+MIN((Skills!Y15*(1+Inputs!$B$34/100)),MAX(0,Inputs!$B$44-((R1503-1)*Skills!D15))))/Inputs!$B$44),IF(Inputs!$B$39="pvp",MIN((Skills!Y15*(1+Inputs!$B$34/100)),15)/15,(Skills!Y15*(1+Inputs!$B$34/100))/Skills!D15)))/100)</f>
        <v/>
      </c>
    </row>
    <row r="1521">
      <c r="A1521" t="inlineStr">
        <is>
          <t>Global Crit Rate Bonus %</t>
        </is>
      </c>
      <c r="B1521">
        <f>((C1508=TRUE)*F1508*IF(AND(Inputs!$B$39&lt;&gt;"pvp",Inputs!$B$44&gt;0),(((R1508-1)*(Skills!Y20*(1+Inputs!$B$34/100))+MIN((Skills!Y20*(1+Inputs!$B$34/100)),MAX(0,Inputs!$B$44-((R1508-1)*Skills!D20))))/Inputs!$B$44),IF(Inputs!$B$39="pvp",MIN((Skills!Y20*(1+Inputs!$B$34/100)),15)/15,(Skills!Y20*(1+Inputs!$B$34/100))/Skills!D20)))</f>
        <v/>
      </c>
    </row>
    <row r="1522">
      <c r="A1522" t="inlineStr">
        <is>
          <t>Global Monster Damage-Taken Bonus %</t>
        </is>
      </c>
      <c r="B1522">
        <f>IF(Inputs!$B$3&gt;=82,15,0)</f>
        <v/>
      </c>
    </row>
    <row r="1523">
      <c r="A1523" t="inlineStr">
        <is>
          <t>Shadow Partner Average Multiplier</t>
        </is>
      </c>
      <c r="B1523">
        <f>1+((C1495=TRUE)*F1495*(1+3.3333333333333335*IF(C1506=TRUE,F1506,0)/100)*I1495*Skills!J7/100)/100</f>
        <v/>
      </c>
    </row>
    <row r="1524">
      <c r="A1524" t="inlineStr">
        <is>
          <t>Attack Speed Buff Bonus %</t>
        </is>
      </c>
      <c r="B1524">
        <f>((C1507=TRUE)*F1507*IF(AND(Inputs!$B$39&lt;&gt;"pvp",Inputs!$B$44&gt;0),(((R1507-1)*(Skills!Y19*(1+Inputs!$B$34/100))+MIN((Skills!Y19*(1+Inputs!$B$34/100)),MAX(0,Inputs!$B$44-((R1507-1)*Skills!D19))))/Inputs!$B$44),IF(Inputs!$B$39="pvp",MIN((Skills!Y19*(1+Inputs!$B$34/100)),15)/15,(Skills!Y19*(1+Inputs!$B$34/100))/Skills!D19)))+((C1491=TRUE)*F1491*3)</f>
        <v/>
      </c>
    </row>
    <row r="1525">
      <c r="A1525" t="inlineStr">
        <is>
          <t>Actions Per Second</t>
        </is>
      </c>
      <c r="B1525">
        <f>1+MIN(150,150*(1-(1-(Inputs!$B$11+((C1510=TRUE)*(F1510-Calc!F22)))/150)*(1-B1524/150)))/100</f>
        <v/>
      </c>
    </row>
    <row r="1526">
      <c r="A1526" t="inlineStr">
        <is>
          <t>Skill + Buff Cast Rate</t>
        </is>
      </c>
      <c r="B1526">
        <f>IF(AND(Inputs!$B$39&lt;&gt;"pvp",Inputs!$B$44&gt;0),SUMPRODUCT((Skills!E2:E30=TRUE)*(C1490:C1518=TRUE)*R1490:R1518*Skills!F2:F30)/Inputs!$B$44,SUMPRODUCT((Skills!E2:E30=TRUE)*(C1490:C1518=TRUE)*Q1490:Q1518*Skills!F2:F30))</f>
        <v/>
      </c>
    </row>
    <row r="1527">
      <c r="A1527" t="inlineStr">
        <is>
          <t>Cruel Stab Casts Per Second</t>
        </is>
      </c>
      <c r="B1527">
        <f>MAX(0,B1525-B1526)</f>
        <v/>
      </c>
    </row>
    <row r="1528">
      <c r="A1528" t="inlineStr">
        <is>
          <t>Global Critical Damage Bonus % (Smokescreen Mastery Lv.113)</t>
        </is>
      </c>
      <c r="B1528">
        <f>IF(Inputs!$B$3&gt;=113,30,0)*IF(AND(Inputs!$B$39&lt;&gt;"pvp",Inputs!$B$44&gt;0),(((R1503-1)*(Skills!Y15*(1+Inputs!$B$34/100))+MIN((Skills!Y15*(1+Inputs!$B$34/100)),MAX(0,Inputs!$B$44-((R1503-1)*Skills!D15))))/Inputs!$B$44),IF(Inputs!$B$39="pvp",MIN((Skills!Y15*(1+Inputs!$B$34/100)),15)/15,(Skills!Y15*(1+Inputs!$B$34/100))/Skills!D15))</f>
        <v/>
      </c>
    </row>
    <row r="1529">
      <c r="A1529" t="inlineStr">
        <is>
          <t>Meso Explosion average stack count</t>
        </is>
      </c>
      <c r="B1529">
        <f>MIN(10,0.5*B1525*Skills!D4)</f>
        <v/>
      </c>
    </row>
    <row r="1530">
      <c r="A1530" t="inlineStr">
        <is>
          <t>Blood Money average stack count</t>
        </is>
      </c>
      <c r="B1530">
        <f>MIN(5,0.25*B1525*Skills!D4)</f>
        <v/>
      </c>
    </row>
    <row r="1531">
      <c r="A1531" t="inlineStr">
        <is>
          <t>Assassinate Murderous Intent Multiplier</t>
        </is>
      </c>
      <c r="B1531">
        <f>1+IFERROR(MIN(1,Q1502*2/Q1499),0)</f>
        <v/>
      </c>
    </row>
    <row r="1532">
      <c r="A1532" t="inlineStr">
        <is>
          <t>Buff-Casting Startup Delay (s, fixed-duration only)</t>
        </is>
      </c>
      <c r="B1532">
        <f>IF(AND(Inputs!$B$39&lt;&gt;"pvp",Inputs!$B$44&gt;0),SUMPRODUCT((Skills!Y2:Y30&gt;0)*(Skills!E2:E30=TRUE)*(C1490:C1518=TRUE))/B1525,0)</f>
        <v/>
      </c>
    </row>
    <row r="1533">
      <c r="A1533" s="5" t="inlineStr">
        <is>
          <t>TOTAL DPS</t>
        </is>
      </c>
      <c r="B1533" s="5">
        <f>SUM(O1490:O1518)</f>
        <v/>
      </c>
    </row>
    <row r="1536">
      <c r="A1536" s="5" t="inlineStr">
        <is>
          <t>Stat: CDR = 2.5s</t>
        </is>
      </c>
    </row>
    <row r="1537">
      <c r="A1537" s="9" t="inlineStr">
        <is>
          <t>Key</t>
        </is>
      </c>
      <c r="B1537" s="9" t="inlineStr">
        <is>
          <t>Name</t>
        </is>
      </c>
      <c r="C1537" s="9" t="inlineStr">
        <is>
          <t>Unlocked</t>
        </is>
      </c>
      <c r="D1537" s="9" t="inlineStr">
        <is>
          <t>InputLevel</t>
        </is>
      </c>
      <c r="E1537" s="9" t="inlineStr">
        <is>
          <t>Factor</t>
        </is>
      </c>
      <c r="F1537" s="9" t="inlineStr">
        <is>
          <t>CoefficientPercent</t>
        </is>
      </c>
      <c r="G1537" s="9" t="inlineStr">
        <is>
          <t>EffectiveHits</t>
        </is>
      </c>
      <c r="H1537" s="9" t="inlineStr">
        <is>
          <t>ProcProbability</t>
        </is>
      </c>
      <c r="I1537" s="9" t="inlineStr">
        <is>
          <t>MapleHeroMultiplier</t>
        </is>
      </c>
      <c r="J1537" s="9" t="inlineStr">
        <is>
          <t>BaseDamage</t>
        </is>
      </c>
      <c r="K1537" s="9" t="inlineStr">
        <is>
          <t>BaseHitDamage</t>
        </is>
      </c>
      <c r="L1537" s="9" t="inlineStr">
        <is>
          <t>NonCritAvg</t>
        </is>
      </c>
      <c r="M1537" s="9" t="inlineStr">
        <is>
          <t>CritAvg</t>
        </is>
      </c>
      <c r="N1537" s="9" t="inlineStr">
        <is>
          <t>ExpectedDamage(perHit)</t>
        </is>
      </c>
      <c r="O1537" s="9" t="inlineStr">
        <is>
          <t>DPS</t>
        </is>
      </c>
      <c r="P1537" s="9" t="inlineStr">
        <is>
          <t>% of Total</t>
        </is>
      </c>
      <c r="Q1537" s="9" t="inlineStr">
        <is>
          <t>InvCooldown</t>
        </is>
      </c>
      <c r="R1537" s="9" t="inlineStr">
        <is>
          <t>CastsInFight</t>
        </is>
      </c>
      <c r="S1537" s="9" t="inlineStr">
        <is>
          <t>HitRate(perSec)</t>
        </is>
      </c>
      <c r="U1537" t="inlineStr">
        <is>
          <t>helpers</t>
        </is>
      </c>
    </row>
    <row r="1538">
      <c r="A1538">
        <f>Skills!A2</f>
        <v/>
      </c>
      <c r="B1538">
        <f>Skills!B2</f>
        <v/>
      </c>
      <c r="C1538">
        <f>Inputs!$B$3&gt;=100</f>
        <v/>
      </c>
      <c r="D1538" t="inlineStr"/>
      <c r="E1538" t="inlineStr"/>
      <c r="F1538">
        <f>U1540+Skills!O2</f>
        <v/>
      </c>
      <c r="G1538">
        <f>Skills!G2*IF(Skills!H2&gt;0,Skills!I2/Skills!H2,1)</f>
        <v/>
      </c>
      <c r="H1538">
        <f>1-(1-Skills!J2/100)^Skills!K2</f>
        <v/>
      </c>
      <c r="I1538" t="inlineStr">
        <is>
          <t>1</t>
        </is>
      </c>
      <c r="J1538">
        <f>((Inputs!$B$6*(1+Inputs!$B$7/100))+(((Inputs!$B$12*(1+Inputs!$B$13/100))-(Inputs!$B$12*(1+Inputs!$B$13/100)))+0.25*(Inputs!$B$14-Inputs!$B$14))*(1+Inputs!$B$7/100))*(F1538/100)</f>
        <v/>
      </c>
      <c r="K1538">
        <f>J1538*(1+((Inputs!$B$12*(1+Inputs!$B$13/100))*0.01+Inputs!$B$14*0.0025)/100)*(1+Inputs!$B$15/100)*(1+IF(Inputs!$B$39="pvp",0,(1-Summary!$B$55)*(Inputs!$B$20+0+Skills!P2+B1570)+Summary!$B$55*(Inputs!$B$21+Skills!Q2+B1570))/100)*(1+Inputs!$B$16/100)*(5000/(6000+Inputs!$B$43*(1-Inputs!$B$19/100)))*(1+(Inputs!$B$24+((C1566=TRUE)*(F1566-Calc!F30)))/100)*(1+(IF(Skills!A2="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1538)</f>
        <v/>
      </c>
      <c r="L1538">
        <f>K1538*(MIN(Inputs!$B$22+((C1560=TRUE)*(F1560-Calc!F24)),Inputs!$B$23+((C1565=TRUE)*(F1565-Calc!F29)))/100+(Inputs!$B$23+((C1565=TRUE)*(F1565-Calc!F29)))/100)/2</f>
        <v/>
      </c>
      <c r="M1538">
        <f>L1538*(1+(Inputs!$B$10+((C1562=TRUE)*(F1562-Calc!F26))+B1576)/100)</f>
        <v/>
      </c>
      <c r="N1538">
        <f>L1538*(1-MIN((Inputs!$B$9+((C1561=TRUE)*(F1561-Calc!F25))+B1569),100)/100)+M1538*(MIN((Inputs!$B$9+((C1561=TRUE)*(F1561-Calc!F25))+B1569),100)/100)</f>
        <v/>
      </c>
      <c r="O1538">
        <f>IF(C1538,Skills!G2*N1538*B1575*IF(Inputs!$B$39="pvp",1,(1-Summary!$B$55)*(1)+Summary!$B$55*(MIN((6+Inputs!$B$33),Inputs!$B$37))),0)</f>
        <v/>
      </c>
      <c r="P1538">
        <f>IF(B1581=0,0,O1538/B1581)</f>
        <v/>
      </c>
      <c r="Q1538" t="n">
        <v>0</v>
      </c>
      <c r="R1538" t="n">
        <v>0</v>
      </c>
      <c r="S1538">
        <f>IFERROR(O1538/N1538,0)</f>
        <v/>
      </c>
      <c r="U1538">
        <f>MAX(0,(Inputs!$B$3-100)*3)+Inputs!$B$28+Inputs!$B$29</f>
        <v/>
      </c>
    </row>
    <row r="1539">
      <c r="A1539">
        <f>Skills!A3</f>
        <v/>
      </c>
      <c r="B1539">
        <f>Skills!B3</f>
        <v/>
      </c>
      <c r="C1539">
        <f>Inputs!$B$3&gt;=35</f>
        <v/>
      </c>
      <c r="D1539">
        <f>IF(Skills!C3=1,60+Inputs!$B$25+Inputs!$B$29,IF(Skills!C3=2,90+Inputs!$B$26+Inputs!$B$29,IF(Skills!C3=3,120+Inputs!$B$27+Inputs!$B$29,MAX(0,(Inputs!$B$3-100)*3)+Inputs!$B$28+Inputs!$B$29)))</f>
        <v/>
      </c>
      <c r="E1539">
        <f>INDEX(FactorTable!$B$2:$Y$301, MATCH(ROUND(MIN(300,MAX(1,D1539)),0), FactorTable!$A$2:$A$301,0), Skills!M3+1)</f>
        <v/>
      </c>
      <c r="F1539">
        <f>IF(Skills!N3=TRUE,(Skills!L3/10)*(E1539/1000),Skills!L3/10)+Skills!O3</f>
        <v/>
      </c>
      <c r="G1539">
        <f>Skills!G3*IF(Skills!H3&gt;0,Skills!I3/Skills!H3,1)</f>
        <v/>
      </c>
      <c r="H1539">
        <f>1-(1-Skills!J3/100)^Skills!K3</f>
        <v/>
      </c>
      <c r="I1539" t="inlineStr">
        <is>
          <t>1</t>
        </is>
      </c>
      <c r="J1539" t="inlineStr"/>
      <c r="K1539" t="inlineStr"/>
      <c r="L1539" t="inlineStr"/>
      <c r="M1539" t="inlineStr"/>
      <c r="N1539" t="inlineStr"/>
      <c r="O1539" t="n">
        <v>0</v>
      </c>
      <c r="P1539">
        <f>IF(B1581=0,0,O1539/B1581)</f>
        <v/>
      </c>
      <c r="Q1539" t="n">
        <v>0</v>
      </c>
      <c r="R1539" t="n">
        <v>0</v>
      </c>
      <c r="S1539">
        <f>IFERROR(O1539/N1539,0)</f>
        <v/>
      </c>
      <c r="U1539">
        <f>INDEX(FactorTable!$B$2:$Y$301, MATCH(ROUND(MIN(300,MAX(1,U1538)),0), FactorTable!$A$2:$A$301,0), 22)</f>
        <v/>
      </c>
    </row>
    <row r="1540">
      <c r="A1540">
        <f>Skills!A4</f>
        <v/>
      </c>
      <c r="B1540">
        <f>Skills!B4</f>
        <v/>
      </c>
      <c r="C1540">
        <f>Inputs!$B$3&gt;=66</f>
        <v/>
      </c>
      <c r="D1540">
        <f>IF(Skills!C4=1,60+Inputs!$B$25+Inputs!$B$29,IF(Skills!C4=2,90+Inputs!$B$26+Inputs!$B$29,IF(Skills!C4=3,120+Inputs!$B$27+Inputs!$B$29,MAX(0,(Inputs!$B$3-100)*3)+Inputs!$B$28+Inputs!$B$29)))</f>
        <v/>
      </c>
      <c r="E1540">
        <f>INDEX(FactorTable!$B$2:$Y$301, MATCH(ROUND(MIN(300,MAX(1,D1540)),0), FactorTable!$A$2:$A$301,0), Skills!M4+1)</f>
        <v/>
      </c>
      <c r="F1540">
        <f>IF(Skills!N4=TRUE,(Skills!L4/10)*(E1540/1000),Skills!L4/10)+Skills!O4</f>
        <v/>
      </c>
      <c r="G1540">
        <f>Skills!G4*IF(Skills!H4&gt;0,Skills!I4/Skills!H4,1)</f>
        <v/>
      </c>
      <c r="H1540">
        <f>1-(1-Skills!J4/100)^Skills!K4</f>
        <v/>
      </c>
      <c r="I1540" t="inlineStr">
        <is>
          <t>1</t>
        </is>
      </c>
      <c r="J1540">
        <f>((Inputs!$B$6*(1+Inputs!$B$7/100))+(((Inputs!$B$12*(1+Inputs!$B$13/100))-(Inputs!$B$12*(1+Inputs!$B$13/100)))+0.25*(Inputs!$B$14-Inputs!$B$14))*(1+Inputs!$B$7/100))*(F1540/100)</f>
        <v/>
      </c>
      <c r="K1540">
        <f>J1540*(1+((Inputs!$B$12*(1+Inputs!$B$13/100))*0.01+Inputs!$B$14*0.0025)/100)*(1+Inputs!$B$15/100)*(1+IF(Inputs!$B$39="pvp",0,(1-Summary!$B$55)*(Inputs!$B$20+0+Skills!P4+B1570)+Summary!$B$55*(Inputs!$B$21+Skills!Q4+B1570))/100)*(1+Inputs!$B$16/100)*(5000/(6000+Inputs!$B$43*(1-Inputs!$B$19/100)))*(1+(Inputs!$B$24+((C1566=TRUE)*(F1566-Calc!F30)))/100)*(1+(IF(Skills!A4="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1540)</f>
        <v/>
      </c>
      <c r="L1540">
        <f>K1540*(MIN(Inputs!$B$22+((C1560=TRUE)*(F1560-Calc!F24)),Inputs!$B$23+((C1565=TRUE)*(F1565-Calc!F29)))/100+(Inputs!$B$23+((C1565=TRUE)*(F1565-Calc!F29)))/100)/2</f>
        <v/>
      </c>
      <c r="M1540">
        <f>L1540*(1+(Inputs!$B$10+((C1562=TRUE)*(F1562-Calc!F26))+B1576)/100)</f>
        <v/>
      </c>
      <c r="N1540">
        <f>L1540*(1-MIN((Inputs!$B$9+((C1561=TRUE)*(F1561-Calc!F25))+B1569),100)/100)+M1540*(MIN((Inputs!$B$9+((C1561=TRUE)*(F1561-Calc!F25))+B1569),100)/100)</f>
        <v/>
      </c>
      <c r="O1540">
        <f>IF(C1540,H1540*N1540*IF(AND(Inputs!$B$39&lt;&gt;"pvp",Inputs!$B$44&gt;0),((Skills!G4*((R1540-1)*IF(Skills!H4&gt;0,Skills!I4/Skills!H4,1)+IF(Skills!H4&gt;0,MIN(Skills!I4,MAX(0,MAX(0,Inputs!$B$44-B1580)-((R1540-1)*IF(Inputs!$B$39="pvp",15,MAX(0.1,Skills!D4-IF(Skills!E4=TRUE,2.5,0))))))/Skills!H4,1)))/Inputs!$B$44),G1540*Q1540)*IF(Inputs!$B$39="pvp",1,(1-Summary!$B$55)*(1)+Summary!$B$55*(MIN(MIN(10,0.5*B1573*Skills!D4),Inputs!$B$37))),0)</f>
        <v/>
      </c>
      <c r="P1540">
        <f>IF(B1581=0,0,O1540/B1581)</f>
        <v/>
      </c>
      <c r="Q1540">
        <f>IFERROR(1/IF(Inputs!$B$39="pvp",15,MAX(0.1,Skills!D4-IF(Skills!E4=TRUE,2.5,0))),0)</f>
        <v/>
      </c>
      <c r="R1540">
        <f>IF(AND(Inputs!$B$39&lt;&gt;"pvp",Inputs!$B$44&gt;0),IF(MAX(0,Inputs!$B$44-B1580)&lt;=0,0,(INT(MAX(0,Inputs!$B$44-B1580)/IF(Inputs!$B$39="pvp",15,MAX(0.1,Skills!D4-IF(Skills!E4=TRUE,2.5,0))))+1)),0)</f>
        <v/>
      </c>
      <c r="S1540">
        <f>IFERROR(O1540/N1540,0)</f>
        <v/>
      </c>
      <c r="U1540">
        <f>290*U1539/1000</f>
        <v/>
      </c>
    </row>
    <row r="1541">
      <c r="A1541">
        <f>Skills!A5</f>
        <v/>
      </c>
      <c r="B1541">
        <f>Skills!B5</f>
        <v/>
      </c>
      <c r="C1541">
        <f>Inputs!$B$3&gt;=63</f>
        <v/>
      </c>
      <c r="D1541">
        <f>IF(Skills!C5=1,60+Inputs!$B$25+Inputs!$B$29,IF(Skills!C5=2,90+Inputs!$B$26+Inputs!$B$29,IF(Skills!C5=3,120+Inputs!$B$27+Inputs!$B$29,MAX(0,(Inputs!$B$3-100)*3)+Inputs!$B$28+Inputs!$B$29)))</f>
        <v/>
      </c>
      <c r="E1541">
        <f>INDEX(FactorTable!$B$2:$Y$301, MATCH(ROUND(MIN(300,MAX(1,D1541)),0), FactorTable!$A$2:$A$301,0), Skills!M5+1)</f>
        <v/>
      </c>
      <c r="F1541">
        <f>IF(Skills!N5=TRUE,(Skills!L5/10)*(E1541/1000),Skills!L5/10)+Skills!O5</f>
        <v/>
      </c>
      <c r="G1541">
        <f>Skills!G5*IF(Skills!H5&gt;0,Skills!I5/Skills!H5,1)</f>
        <v/>
      </c>
      <c r="H1541">
        <f>1-(1-Skills!J5/100)^Skills!K5</f>
        <v/>
      </c>
      <c r="I1541" t="inlineStr">
        <is>
          <t>1</t>
        </is>
      </c>
      <c r="J1541">
        <f>((Inputs!$B$6*(1+Inputs!$B$7/100))+(((Inputs!$B$12*(1+Inputs!$B$13/100))-(Inputs!$B$12*(1+Inputs!$B$13/100)))+0.25*(Inputs!$B$14-Inputs!$B$14))*(1+Inputs!$B$7/100))*(F1541/100)</f>
        <v/>
      </c>
      <c r="K1541">
        <f>J1541*(1+((Inputs!$B$12*(1+Inputs!$B$13/100))*0.01+Inputs!$B$14*0.0025)/100)*(1+Inputs!$B$15/100)*(1+IF(Inputs!$B$39="pvp",0,(1-Summary!$B$55)*(Inputs!$B$20+0+Skills!P5+B1570)+Summary!$B$55*(Inputs!$B$21+Skills!Q5+B1570))/100)*(1+Inputs!$B$16/100)*(5000/(6000+Inputs!$B$43*(1-Inputs!$B$19/100)))*(1+(Inputs!$B$24+((C1566=TRUE)*(F1566-Calc!F30)))/100)*(1+2.6666666666666665*IF(C1554=TRUE,F1554,0)/100)*(1+(IF(Skills!A5="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1541)</f>
        <v/>
      </c>
      <c r="L1541">
        <f>K1541*(MIN(Inputs!$B$22+((C1560=TRUE)*(F1560-Calc!F24)),Inputs!$B$23+((C1565=TRUE)*(F1565-Calc!F29)))/100+(Inputs!$B$23+((C1565=TRUE)*(F1565-Calc!F29)))/100)/2</f>
        <v/>
      </c>
      <c r="M1541">
        <f>L1541*(1+(Inputs!$B$10+((C1562=TRUE)*(F1562-Calc!F26))+B1576)/100)</f>
        <v/>
      </c>
      <c r="N1541">
        <f>L1541*(1-MIN((Inputs!$B$9+((C1561=TRUE)*(F1561-Calc!F25))+B1569),100)/100)+M1541*(MIN((Inputs!$B$9+((C1561=TRUE)*(F1561-Calc!F25))+B1569),100)/100)</f>
        <v/>
      </c>
      <c r="O1541">
        <f>IF(C1541,H1541*N1541*IF(AND(Inputs!$B$39&lt;&gt;"pvp",Inputs!$B$44&gt;0),((Skills!G5*((R1541-1)*IF(Skills!H5&gt;0,Skills!I5/Skills!H5,1)+IF(Skills!H5&gt;0,MIN(Skills!I5,MAX(0,MAX(0,Inputs!$B$44-B1580)-((R1541-1)*IF(Inputs!$B$39="pvp",15,MAX(0.1,Skills!D5-IF(Skills!E5=TRUE,2.5,0))))))/Skills!H5,1)))/Inputs!$B$44),G1541*Q1541)*IF(Inputs!$B$39="pvp",1,(1-Summary!$B$55)*(1)+Summary!$B$55*(MIN(Skills!W5,Inputs!$B$37))),0)</f>
        <v/>
      </c>
      <c r="P1541">
        <f>IF(B1581=0,0,O1541/B1581)</f>
        <v/>
      </c>
      <c r="Q1541">
        <f>IFERROR(1/IF(Inputs!$B$39="pvp",15,MAX(0.1,Skills!D5-IF(Skills!E5=TRUE,2.5,0))),0)</f>
        <v/>
      </c>
      <c r="R1541">
        <f>IF(AND(Inputs!$B$39&lt;&gt;"pvp",Inputs!$B$44&gt;0),IF(MAX(0,Inputs!$B$44-B1580)&lt;=0,0,(INT(MAX(0,Inputs!$B$44-B1580)/IF(Inputs!$B$39="pvp",15,MAX(0.1,Skills!D5-IF(Skills!E5=TRUE,2.5,0))))+1)),0)</f>
        <v/>
      </c>
      <c r="S1541">
        <f>IFERROR(O1541/N1541,0)</f>
        <v/>
      </c>
    </row>
    <row r="1542">
      <c r="A1542">
        <f>Skills!A6</f>
        <v/>
      </c>
      <c r="B1542">
        <f>Skills!B6</f>
        <v/>
      </c>
      <c r="C1542">
        <f>Inputs!$B$3&gt;=69</f>
        <v/>
      </c>
      <c r="D1542">
        <f>IF(Skills!C6=1,60+Inputs!$B$25+Inputs!$B$29,IF(Skills!C6=2,90+Inputs!$B$26+Inputs!$B$29,IF(Skills!C6=3,120+Inputs!$B$27+Inputs!$B$29,MAX(0,(Inputs!$B$3-100)*3)+Inputs!$B$28+Inputs!$B$29)))</f>
        <v/>
      </c>
      <c r="E1542">
        <f>INDEX(FactorTable!$B$2:$Y$301, MATCH(ROUND(MIN(300,MAX(1,D1542)),0), FactorTable!$A$2:$A$301,0), Skills!M6+1)</f>
        <v/>
      </c>
      <c r="F1542">
        <f>IF(Skills!N6=TRUE,(Skills!L6/10)*(E1542/1000),Skills!L6/10)+Skills!O6</f>
        <v/>
      </c>
      <c r="G1542">
        <f>Skills!G6*IF(Skills!H6&gt;0,Skills!I6/Skills!H6,1)</f>
        <v/>
      </c>
      <c r="H1542">
        <f>1-(1-Skills!J6/100)^Skills!K6</f>
        <v/>
      </c>
      <c r="I1542" t="inlineStr">
        <is>
          <t>1</t>
        </is>
      </c>
      <c r="J1542">
        <f>((Inputs!$B$6*(1+Inputs!$B$7/100))+(((Inputs!$B$12*(1+Inputs!$B$13/100))-(Inputs!$B$12*(1+Inputs!$B$13/100)))+0.25*(Inputs!$B$14-Inputs!$B$14))*(1+Inputs!$B$7/100))*(F1542/100)</f>
        <v/>
      </c>
      <c r="K1542">
        <f>J1542*(1+((Inputs!$B$12*(1+Inputs!$B$13/100))*0.01+Inputs!$B$14*0.0025)/100)*(1+Inputs!$B$15/100)*(1+IF(Inputs!$B$39="pvp",0,(1-Summary!$B$55)*(Inputs!$B$20+0+Skills!P6+B1570)+Summary!$B$55*(Inputs!$B$21+Skills!Q6+B1570))/100)*(1+Inputs!$B$16/100)*(5000/(6000+Inputs!$B$43*(1-Inputs!$B$19/100)))*(1+(Inputs!$B$24+((C1566=TRUE)*(F1566-Calc!F30)))/100)*(1+1.0*IF(C1554=TRUE,F1554,0)/100)*(1+(IF(Skills!A6="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1542)</f>
        <v/>
      </c>
      <c r="L1542">
        <f>K1542*(MIN(Inputs!$B$22+((C1560=TRUE)*(F1560-Calc!F24)),Inputs!$B$23+((C1565=TRUE)*(F1565-Calc!F29)))/100+(Inputs!$B$23+((C1565=TRUE)*(F1565-Calc!F29)))/100)/2</f>
        <v/>
      </c>
      <c r="M1542">
        <f>L1542*(1+(Inputs!$B$10+((C1562=TRUE)*(F1562-Calc!F26))+B1576)/100)</f>
        <v/>
      </c>
      <c r="N1542">
        <f>L1542*(1-MIN((Inputs!$B$9+((C1561=TRUE)*(F1561-Calc!F25))+B1569),100)/100)+M1542*(MIN((Inputs!$B$9+((C1561=TRUE)*(F1561-Calc!F25))+B1569),100)/100)</f>
        <v/>
      </c>
      <c r="O1542">
        <f>IF(C1542,H1542*N1542*IF(AND(Inputs!$B$39&lt;&gt;"pvp",Inputs!$B$44&gt;0),((Skills!G6*((R1542-1)*IF(Skills!H6&gt;0,Skills!I6/Skills!H6,1)+IF(Skills!H6&gt;0,MIN(Skills!I6,MAX(0,MAX(0,Inputs!$B$44-B1580)-((R1542-1)*IF(Inputs!$B$39="pvp",15,MAX(0.1,Skills!D6-IF(Skills!E6=TRUE,2.5,0))))))/Skills!H6,1)))/Inputs!$B$44),G1542*Q1542)*IF(Inputs!$B$39="pvp",1,(1-Summary!$B$55)*(1)+Summary!$B$55*(MIN(Skills!W6,Inputs!$B$37))),0)</f>
        <v/>
      </c>
      <c r="P1542">
        <f>IF(B1581=0,0,O1542/B1581)</f>
        <v/>
      </c>
      <c r="Q1542">
        <f>IFERROR(1/IF(Inputs!$B$39="pvp",15,MAX(0.1,Skills!D6-IF(Skills!E6=TRUE,2.5,0))),0)</f>
        <v/>
      </c>
      <c r="R1542">
        <f>IF(AND(Inputs!$B$39&lt;&gt;"pvp",Inputs!$B$44&gt;0),IF(MAX(0,Inputs!$B$44-B1580)&lt;=0,0,(INT(MAX(0,Inputs!$B$44-B1580)/IF(Inputs!$B$39="pvp",15,MAX(0.1,Skills!D6-IF(Skills!E6=TRUE,2.5,0))))+1)),0)</f>
        <v/>
      </c>
      <c r="S1542">
        <f>IFERROR(O1542/N1542,0)</f>
        <v/>
      </c>
    </row>
    <row r="1543">
      <c r="A1543">
        <f>Skills!A7</f>
        <v/>
      </c>
      <c r="B1543">
        <f>Skills!B7</f>
        <v/>
      </c>
      <c r="C1543">
        <f>Inputs!$B$3&gt;=60</f>
        <v/>
      </c>
      <c r="D1543">
        <f>IF(Skills!C7=1,60+Inputs!$B$25+Inputs!$B$29,IF(Skills!C7=2,90+Inputs!$B$26+Inputs!$B$29,IF(Skills!C7=3,120+Inputs!$B$27+Inputs!$B$29,MAX(0,(Inputs!$B$3-100)*3)+Inputs!$B$28+Inputs!$B$29)))</f>
        <v/>
      </c>
      <c r="E1543">
        <f>INDEX(FactorTable!$B$2:$Y$301, MATCH(ROUND(MIN(300,MAX(1,D1543)),0), FactorTable!$A$2:$A$301,0), Skills!M7+1)</f>
        <v/>
      </c>
      <c r="F1543">
        <f>IF(Skills!N7=TRUE,(Skills!L7/10)*(E1543/1000),Skills!L7/10)+Skills!O7</f>
        <v/>
      </c>
      <c r="G1543">
        <f>Skills!G7*IF(Skills!H7&gt;0,Skills!I7/Skills!H7,1)</f>
        <v/>
      </c>
      <c r="H1543">
        <f>1-(1-Skills!J7/100)^Skills!K7</f>
        <v/>
      </c>
      <c r="I1543" t="inlineStr">
        <is>
          <t>1</t>
        </is>
      </c>
      <c r="J1543" t="inlineStr"/>
      <c r="K1543" t="inlineStr"/>
      <c r="L1543" t="inlineStr"/>
      <c r="M1543" t="inlineStr"/>
      <c r="N1543" t="inlineStr"/>
      <c r="O1543" t="n">
        <v>0</v>
      </c>
      <c r="P1543">
        <f>IF(B1581=0,0,O1543/B1581)</f>
        <v/>
      </c>
      <c r="Q1543" t="n">
        <v>0</v>
      </c>
      <c r="R1543" t="n">
        <v>0</v>
      </c>
      <c r="S1543">
        <f>IFERROR(O1543/N1543,0)</f>
        <v/>
      </c>
    </row>
    <row r="1544">
      <c r="A1544">
        <f>Skills!A8</f>
        <v/>
      </c>
      <c r="B1544">
        <f>Skills!B8</f>
        <v/>
      </c>
      <c r="C1544">
        <f>Inputs!$B$3&gt;=72</f>
        <v/>
      </c>
      <c r="D1544">
        <f>IF(Skills!C8=1,60+Inputs!$B$25+Inputs!$B$29,IF(Skills!C8=2,90+Inputs!$B$26+Inputs!$B$29,IF(Skills!C8=3,120+Inputs!$B$27+Inputs!$B$29,MAX(0,(Inputs!$B$3-100)*3)+Inputs!$B$28+Inputs!$B$29)))</f>
        <v/>
      </c>
      <c r="E1544">
        <f>INDEX(FactorTable!$B$2:$Y$301, MATCH(ROUND(MIN(300,MAX(1,D1544)),0), FactorTable!$A$2:$A$301,0), Skills!M8+1)</f>
        <v/>
      </c>
      <c r="F1544">
        <f>IF(Skills!N8=TRUE,(Skills!L8/10)*(E1544/1000),Skills!L8/10)+Skills!O8</f>
        <v/>
      </c>
      <c r="G1544">
        <f>Skills!G8*IF(Skills!H8&gt;0,Skills!I8/Skills!H8,1)</f>
        <v/>
      </c>
      <c r="H1544">
        <f>1-(1-Skills!J8/100)^Skills!K8</f>
        <v/>
      </c>
      <c r="I1544" t="inlineStr">
        <is>
          <t>1</t>
        </is>
      </c>
      <c r="J1544">
        <f>((Inputs!$B$6*(1+Inputs!$B$7/100))+(((Inputs!$B$12*(1+Inputs!$B$13/100))-(Inputs!$B$12*(1+Inputs!$B$13/100)))+0.25*(Inputs!$B$14-Inputs!$B$14))*(1+Inputs!$B$7/100))*(F1544/100)</f>
        <v/>
      </c>
      <c r="K1544">
        <f>J1544*(1+((Inputs!$B$12*(1+Inputs!$B$13/100))*0.01+Inputs!$B$14*0.0025)/100)*(1+Inputs!$B$15/100)*(1+IF(Inputs!$B$39="pvp",0,(1-Summary!$B$55)*(Inputs!$B$20+0+Skills!P8+B1570)+Summary!$B$55*(Inputs!$B$21+Skills!Q8+B1570))/100)*(1+Inputs!$B$16/100)*(5000/(6000+Inputs!$B$43*(1-Inputs!$B$19/100)))*(1+(Inputs!$B$24+((C1566=TRUE)*(F1566-Calc!F30)))/100)*(1+3.3333333333333335*IF(C1554=TRUE,F1554,0)/100)*(1+(IF(Skills!A8="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1544)</f>
        <v/>
      </c>
      <c r="L1544">
        <f>K1544*(MIN(Inputs!$B$22+((C1560=TRUE)*(F1560-Calc!F24)),Inputs!$B$23+((C1565=TRUE)*(F1565-Calc!F29)))/100+(Inputs!$B$23+((C1565=TRUE)*(F1565-Calc!F29)))/100)/2</f>
        <v/>
      </c>
      <c r="M1544">
        <f>L1544*(1+(Inputs!$B$10+((C1562=TRUE)*(F1562-Calc!F26))+B1576)/100)</f>
        <v/>
      </c>
      <c r="N1544">
        <f>L1544*(1-MIN((Inputs!$B$9+((C1561=TRUE)*(F1561-Calc!F25))+B1569),100)/100)+M1544*(MIN((Inputs!$B$9+((C1561=TRUE)*(F1561-Calc!F25))+B1569),100)/100)</f>
        <v/>
      </c>
      <c r="O1544">
        <f>IF(C1544,H1544*N1544*IF(AND(Inputs!$B$39&lt;&gt;"pvp",Inputs!$B$44&gt;0),((Skills!G8*((R1544-1)*IF(Skills!H8&gt;0,Skills!I8/Skills!H8,1)+IF(Skills!H8&gt;0,MIN(Skills!I8,MAX(0,MAX(0,Inputs!$B$44-B1580)-((R1544-1)*IF(Inputs!$B$39="pvp",15,MAX(0.1,Skills!D8-IF(Skills!E8=TRUE,2.5,0))))))/Skills!H8,1)))/Inputs!$B$44),G1544*Q1544)*IF(Inputs!$B$39="pvp",1,(1-Summary!$B$55)*(1)+Summary!$B$55*(MIN(Skills!W8,Inputs!$B$37))),0)</f>
        <v/>
      </c>
      <c r="P1544">
        <f>IF(B1581=0,0,O1544/B1581)</f>
        <v/>
      </c>
      <c r="Q1544">
        <f>IFERROR(1/IF(Inputs!$B$39="pvp",15,MAX(0.1,Skills!D8-IF(Skills!E8=TRUE,2.5,0))),0)</f>
        <v/>
      </c>
      <c r="R1544">
        <f>IF(AND(Inputs!$B$39&lt;&gt;"pvp",Inputs!$B$44&gt;0),IF(MAX(0,Inputs!$B$44-B1580)&lt;=0,0,(INT(MAX(0,Inputs!$B$44-B1580)/IF(Inputs!$B$39="pvp",15,MAX(0.1,Skills!D8-IF(Skills!E8=TRUE,2.5,0))))+1)),0)</f>
        <v/>
      </c>
      <c r="S1544">
        <f>IFERROR(O1544/N1544,0)</f>
        <v/>
      </c>
    </row>
    <row r="1545">
      <c r="A1545">
        <f>Skills!A9</f>
        <v/>
      </c>
      <c r="B1545">
        <f>Skills!B9</f>
        <v/>
      </c>
      <c r="C1545">
        <f>Inputs!$B$3&gt;=117</f>
        <v/>
      </c>
      <c r="D1545">
        <f>IF(Skills!C9=1,60+Inputs!$B$25+Inputs!$B$29,IF(Skills!C9=2,90+Inputs!$B$26+Inputs!$B$29,IF(Skills!C9=3,120+Inputs!$B$27+Inputs!$B$29,MAX(0,(Inputs!$B$3-100)*3)+Inputs!$B$28+Inputs!$B$29)))</f>
        <v/>
      </c>
      <c r="E1545">
        <f>INDEX(FactorTable!$B$2:$Y$301, MATCH(ROUND(MIN(300,MAX(1,D1545)),0), FactorTable!$A$2:$A$301,0), Skills!M9+1)</f>
        <v/>
      </c>
      <c r="F1545">
        <f>IF(Skills!N9=TRUE,(Skills!L9/10)*(E1545/1000),Skills!L9/10)+Skills!O9</f>
        <v/>
      </c>
      <c r="G1545">
        <f>Skills!G9*IF(Skills!H9&gt;0,Skills!I9/Skills!H9,1)</f>
        <v/>
      </c>
      <c r="H1545">
        <f>1-(1-Skills!J9/100)^Skills!K9</f>
        <v/>
      </c>
      <c r="I1545" t="inlineStr">
        <is>
          <t>1</t>
        </is>
      </c>
      <c r="J1545">
        <f>((Inputs!$B$6*(1+Inputs!$B$7/100))+(((Inputs!$B$12*(1+Inputs!$B$13/100))-(Inputs!$B$12*(1+Inputs!$B$13/100)))+0.25*(Inputs!$B$14-Inputs!$B$14))*(1+Inputs!$B$7/100))*(F1545/100)</f>
        <v/>
      </c>
      <c r="K1545">
        <f>J1545*(1+((Inputs!$B$12*(1+Inputs!$B$13/100))*0.01+Inputs!$B$14*0.0025)/100)*(1+Inputs!$B$15/100)*(1+IF(Inputs!$B$39="pvp",0,(1-Summary!$B$55)*(Inputs!$B$20+0+Skills!P9+B1570)+Summary!$B$55*(Inputs!$B$21+Skills!Q9+B1570))/100)*(1+Inputs!$B$16/100)*(5000/(6000+Inputs!$B$43*(1-Inputs!$B$19/100)))*(1+(Inputs!$B$24+((C1566=TRUE)*(F1566-Calc!F30)))/100)*(1+(IF(Skills!A9="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1545)</f>
        <v/>
      </c>
      <c r="L1545">
        <f>K1545*(MIN(Inputs!$B$22+((C1560=TRUE)*(F1560-Calc!F24)),Inputs!$B$23+((C1565=TRUE)*(F1565-Calc!F29)))/100+(Inputs!$B$23+((C1565=TRUE)*(F1565-Calc!F29)))/100)/2</f>
        <v/>
      </c>
      <c r="M1545">
        <f>L1545*(1+(Inputs!$B$10+((C1562=TRUE)*(F1562-Calc!F26))+B1576)/100)</f>
        <v/>
      </c>
      <c r="N1545">
        <f>L1545*(1-MIN((Inputs!$B$9+((C1561=TRUE)*(F1561-Calc!F25))+B1569),100)/100)+M1545*(MIN((Inputs!$B$9+((C1561=TRUE)*(F1561-Calc!F25))+B1569),100)/100)</f>
        <v/>
      </c>
      <c r="O1545">
        <f>IF(C1545,0.2*SUMPRODUCT((Skills!Z2:Z30=TRUE)*(C1538:C1566=TRUE)*S1538:S1566)*N1545,0)</f>
        <v/>
      </c>
      <c r="P1545">
        <f>IF(B1581=0,0,O1545/B1581)</f>
        <v/>
      </c>
      <c r="Q1545" t="n">
        <v>0</v>
      </c>
      <c r="R1545" t="n">
        <v>0</v>
      </c>
      <c r="S1545" t="n">
        <v>0</v>
      </c>
    </row>
    <row r="1546">
      <c r="A1546">
        <f>Skills!A10</f>
        <v/>
      </c>
      <c r="B1546">
        <f>Skills!B10</f>
        <v/>
      </c>
      <c r="C1546">
        <f>Inputs!$B$3&gt;=74</f>
        <v/>
      </c>
      <c r="D1546">
        <f>IF(Skills!C10=1,60+Inputs!$B$25+Inputs!$B$29,IF(Skills!C10=2,90+Inputs!$B$26+Inputs!$B$29,IF(Skills!C10=3,120+Inputs!$B$27+Inputs!$B$29,MAX(0,(Inputs!$B$3-100)*3)+Inputs!$B$28+Inputs!$B$29)))</f>
        <v/>
      </c>
      <c r="E1546">
        <f>INDEX(FactorTable!$B$2:$Y$301, MATCH(ROUND(MIN(300,MAX(1,D1546)),0), FactorTable!$A$2:$A$301,0), Skills!M10+1)</f>
        <v/>
      </c>
      <c r="F1546">
        <f>IF(Skills!N10=TRUE,(Skills!L10/10)*(E1546/1000),Skills!L10/10)+Skills!O10</f>
        <v/>
      </c>
      <c r="G1546">
        <f>Skills!G10*IF(Skills!H10&gt;0,Skills!I10/Skills!H10,1)</f>
        <v/>
      </c>
      <c r="H1546">
        <f>1-(1-Skills!J10/100)^Skills!K10</f>
        <v/>
      </c>
      <c r="I1546" t="inlineStr">
        <is>
          <t>1</t>
        </is>
      </c>
      <c r="J1546" t="inlineStr"/>
      <c r="K1546" t="inlineStr"/>
      <c r="L1546" t="inlineStr"/>
      <c r="M1546" t="inlineStr"/>
      <c r="N1546" t="inlineStr"/>
      <c r="O1546" t="n">
        <v>0</v>
      </c>
      <c r="P1546">
        <f>IF(B1581=0,0,O1546/B1581)</f>
        <v/>
      </c>
      <c r="Q1546">
        <f>IFERROR(1/IF(Inputs!$B$39="pvp",15,MAX(0.1,Skills!D10-IF(Skills!E10=TRUE,2.5,0))),0)</f>
        <v/>
      </c>
      <c r="R1546">
        <f>IF(AND(Inputs!$B$39&lt;&gt;"pvp",Inputs!$B$44&gt;0),IF(Inputs!$B$44&lt;=0,0,(INT(Inputs!$B$44/IF(Inputs!$B$39="pvp",15,MAX(0.1,Skills!D10-IF(Skills!E10=TRUE,2.5,0))))+1)),0)</f>
        <v/>
      </c>
      <c r="S1546">
        <f>IFERROR(O1546/N1546,0)</f>
        <v/>
      </c>
    </row>
    <row r="1547">
      <c r="A1547">
        <f>Skills!A11</f>
        <v/>
      </c>
      <c r="B1547">
        <f>Skills!B11</f>
        <v/>
      </c>
      <c r="C1547">
        <f>Inputs!$B$3&gt;=103</f>
        <v/>
      </c>
      <c r="D1547">
        <f>IF(Skills!C11=1,60+Inputs!$B$25+Inputs!$B$29,IF(Skills!C11=2,90+Inputs!$B$26+Inputs!$B$29,IF(Skills!C11=3,120+Inputs!$B$27+Inputs!$B$29,MAX(0,(Inputs!$B$3-100)*3)+Inputs!$B$28+Inputs!$B$29)))</f>
        <v/>
      </c>
      <c r="E1547">
        <f>INDEX(FactorTable!$B$2:$Y$301, MATCH(ROUND(MIN(300,MAX(1,D1547)),0), FactorTable!$A$2:$A$301,0), Skills!M11+1)</f>
        <v/>
      </c>
      <c r="F1547">
        <f>(Skills!L11/10)*(E1547/1000)+IF(Inputs!$B$3&gt;=134,50,0)+0.5*(30000/10)*(INDEX(FactorTable!$B$2:$Y$301, MATCH(ROUND(MIN(300,MAX(1,D1547)),0), FactorTable!$A$2:$A$301,0), 13)/1000)*B1579</f>
        <v/>
      </c>
      <c r="G1547">
        <f>Skills!G11*IF(Skills!H11&gt;0,Skills!I11/Skills!H11,1)</f>
        <v/>
      </c>
      <c r="H1547">
        <f>1-(1-Skills!J11/100)^Skills!K11</f>
        <v/>
      </c>
      <c r="I1547" t="inlineStr">
        <is>
          <t>1</t>
        </is>
      </c>
      <c r="J1547">
        <f>((Inputs!$B$6*(1+Inputs!$B$7/100))+(((Inputs!$B$12*(1+Inputs!$B$13/100))-(Inputs!$B$12*(1+Inputs!$B$13/100)))+0.25*(Inputs!$B$14-Inputs!$B$14))*(1+Inputs!$B$7/100))*(F1547/100)</f>
        <v/>
      </c>
      <c r="K1547">
        <f>J1547*(1+((Inputs!$B$12*(1+Inputs!$B$13/100))*0.01+Inputs!$B$14*0.0025)/100)*(1+Inputs!$B$15/100)*(1+IF(Inputs!$B$39="pvp",0,(1-Summary!$B$55)*(Inputs!$B$20+0+Skills!P11+B1570)+Summary!$B$55*(Inputs!$B$21+Skills!Q11+B1570))/100)*(1+Inputs!$B$16/100)*(5000/(6000+Inputs!$B$43*(1-Inputs!$B$19/100)))*(1+(Inputs!$B$24+((C1566=TRUE)*(F1566-Calc!F30)))/100)*(1+(IF(Skills!A11="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1547)</f>
        <v/>
      </c>
      <c r="L1547">
        <f>K1547*(MIN(Inputs!$B$22+((C1560=TRUE)*(F1560-Calc!F24)),Inputs!$B$23+((C1565=TRUE)*(F1565-Calc!F29)))/100+(Inputs!$B$23+((C1565=TRUE)*(F1565-Calc!F29)))/100)/2</f>
        <v/>
      </c>
      <c r="M1547">
        <f>L1547*(1+(Inputs!$B$10+((C1562=TRUE)*(F1562-Calc!F26))+B1576)/100)</f>
        <v/>
      </c>
      <c r="N1547">
        <f>L1547*(1-MIN((Inputs!$B$9+((C1561=TRUE)*(F1561-Calc!F25))+B1569),100)/100)+M1547*(MIN((Inputs!$B$9+((C1561=TRUE)*(F1561-Calc!F25))+B1569),100)/100)</f>
        <v/>
      </c>
      <c r="O1547">
        <f>IF(C1547,H1547*N1547*IF(AND(Inputs!$B$39&lt;&gt;"pvp",Inputs!$B$44&gt;0),((Skills!G11*((R1547-1)*IF(Skills!H11&gt;0,Skills!I11/Skills!H11,1)+IF(Skills!H11&gt;0,MIN(Skills!I11,MAX(0,MAX(0,Inputs!$B$44-B1580)-((R1547-1)*IF(Inputs!$B$39="pvp",15,MAX(0.1,Skills!D11-IF(Skills!E11=TRUE,2.5,0))))))/Skills!H11,1)))/Inputs!$B$44),G1547*Q1547)*IF(Inputs!$B$39="pvp",1,(1-Summary!$B$55)*(1)+Summary!$B$55*(MIN(Skills!W11,Inputs!$B$37))),0)</f>
        <v/>
      </c>
      <c r="P1547">
        <f>IF(B1581=0,0,O1547/B1581)</f>
        <v/>
      </c>
      <c r="Q1547">
        <f>IFERROR(1/IF(Inputs!$B$39="pvp",15,MAX(0.1,Skills!D11-IF(Skills!E11=TRUE,2.5,0))),0)</f>
        <v/>
      </c>
      <c r="R1547">
        <f>IF(AND(Inputs!$B$39&lt;&gt;"pvp",Inputs!$B$44&gt;0),IF(MAX(0,Inputs!$B$44-B1580)&lt;=0,0,(INT(MAX(0,Inputs!$B$44-B1580)/IF(Inputs!$B$39="pvp",15,MAX(0.1,Skills!D11-IF(Skills!E11=TRUE,2.5,0))))+1)),0)</f>
        <v/>
      </c>
      <c r="S1547">
        <f>IFERROR(O1547/N1547,0)</f>
        <v/>
      </c>
    </row>
    <row r="1548">
      <c r="A1548">
        <f>Skills!A12</f>
        <v/>
      </c>
      <c r="B1548">
        <f>Skills!B12</f>
        <v/>
      </c>
      <c r="C1548">
        <f>Inputs!$B$3&gt;=105</f>
        <v/>
      </c>
      <c r="D1548">
        <f>IF(Skills!C12=1,60+Inputs!$B$25+Inputs!$B$29,IF(Skills!C12=2,90+Inputs!$B$26+Inputs!$B$29,IF(Skills!C12=3,120+Inputs!$B$27+Inputs!$B$29,MAX(0,(Inputs!$B$3-100)*3)+Inputs!$B$28+Inputs!$B$29)))</f>
        <v/>
      </c>
      <c r="E1548">
        <f>INDEX(FactorTable!$B$2:$Y$301, MATCH(ROUND(MIN(300,MAX(1,D1548)),0), FactorTable!$A$2:$A$301,0), Skills!M12+1)</f>
        <v/>
      </c>
      <c r="F1548">
        <f>IF(Skills!N12=TRUE,(Skills!L12/10)*(E1548/1000),Skills!L12/10)+Skills!O12</f>
        <v/>
      </c>
      <c r="G1548">
        <f>Skills!G12*IF(Skills!H12&gt;0,Skills!I12/Skills!H12,1)</f>
        <v/>
      </c>
      <c r="H1548">
        <f>1-(1-Skills!J12/100)^Skills!K12</f>
        <v/>
      </c>
      <c r="I1548" t="inlineStr">
        <is>
          <t>1</t>
        </is>
      </c>
      <c r="J1548">
        <f>((Inputs!$B$6*(1+Inputs!$B$7/100))+(((Inputs!$B$12*(1+Inputs!$B$13/100))-(Inputs!$B$12*(1+Inputs!$B$13/100)))+0.25*(Inputs!$B$14-Inputs!$B$14))*(1+Inputs!$B$7/100))*(F1548/100)</f>
        <v/>
      </c>
      <c r="K1548">
        <f>J1548*(1+((Inputs!$B$12*(1+Inputs!$B$13/100))*0.01+Inputs!$B$14*0.0025)/100)*(1+Inputs!$B$15/100)*(1+IF(Inputs!$B$39="pvp",0,(1-Summary!$B$55)*(Inputs!$B$20+0+Skills!P12+B1570)+Summary!$B$55*(Inputs!$B$21+Skills!Q12+B1570))/100)*(1+Inputs!$B$16/100)*(5000/(6000+Inputs!$B$43*(1-Inputs!$B$19/100)))*(1+(Inputs!$B$24+((C1566=TRUE)*(F1566-Calc!F30)))/100)*(1+(IF(Skills!A12="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1548)</f>
        <v/>
      </c>
      <c r="L1548">
        <f>K1548*(MIN(Inputs!$B$22+((C1560=TRUE)*(F1560-Calc!F24)),Inputs!$B$23+((C1565=TRUE)*(F1565-Calc!F29)))/100+(Inputs!$B$23+((C1565=TRUE)*(F1565-Calc!F29)))/100)/2</f>
        <v/>
      </c>
      <c r="M1548">
        <f>L1548*(1+(Inputs!$B$10+((C1562=TRUE)*(F1562-Calc!F26))+B1576)/100)</f>
        <v/>
      </c>
      <c r="N1548">
        <f>L1548*(1-MIN((Inputs!$B$9+((C1561=TRUE)*(F1561-Calc!F25))+B1569),100)/100)+M1548*(MIN((Inputs!$B$9+((C1561=TRUE)*(F1561-Calc!F25))+B1569),100)/100)</f>
        <v/>
      </c>
      <c r="O1548">
        <f>IF(C1548,H1548*N1548*IF(AND(Inputs!$B$39&lt;&gt;"pvp",Inputs!$B$44&gt;0),((Skills!G12*((R1548-1)*IF(Skills!H12&gt;0,Skills!I12/Skills!H12,1)+IF(Skills!H12&gt;0,MIN(Skills!I12,MAX(0,MAX(0,Inputs!$B$44-B1580)-((R1548-1)*IF(Inputs!$B$39="pvp",15,MAX(0.1,Skills!D12-IF(Skills!E12=TRUE,2.5,0))))))/Skills!H12,1)))/Inputs!$B$44),G1548*Q1548)*IF(Inputs!$B$39="pvp",1,(1-Summary!$B$55)*(1)+Summary!$B$55*(MIN(Skills!W12,Inputs!$B$37))),0)</f>
        <v/>
      </c>
      <c r="P1548">
        <f>IF(B1581=0,0,O1548/B1581)</f>
        <v/>
      </c>
      <c r="Q1548">
        <f>IFERROR(1/IF(Inputs!$B$39="pvp",15,MAX(0.1,Skills!D12-IF(Skills!E12=TRUE,2.5,0))),0)</f>
        <v/>
      </c>
      <c r="R1548">
        <f>IF(AND(Inputs!$B$39&lt;&gt;"pvp",Inputs!$B$44&gt;0),IF(MAX(0,Inputs!$B$44-B1580)&lt;=0,0,(INT(MAX(0,Inputs!$B$44-B1580)/IF(Inputs!$B$39="pvp",15,MAX(0.1,Skills!D12-IF(Skills!E12=TRUE,2.5,0))))+1)),0)</f>
        <v/>
      </c>
      <c r="S1548">
        <f>IFERROR(O1548/N1548,0)</f>
        <v/>
      </c>
    </row>
    <row r="1549">
      <c r="A1549">
        <f>Skills!A13</f>
        <v/>
      </c>
      <c r="B1549">
        <f>Skills!B13</f>
        <v/>
      </c>
      <c r="C1549">
        <f>Inputs!$B$3&gt;=105</f>
        <v/>
      </c>
      <c r="D1549">
        <f>IF(Skills!C13=1,60+Inputs!$B$25+Inputs!$B$29,IF(Skills!C13=2,90+Inputs!$B$26+Inputs!$B$29,IF(Skills!C13=3,120+Inputs!$B$27+Inputs!$B$29,MAX(0,(Inputs!$B$3-100)*3)+Inputs!$B$28+Inputs!$B$29)))</f>
        <v/>
      </c>
      <c r="E1549">
        <f>INDEX(FactorTable!$B$2:$Y$301, MATCH(ROUND(MIN(300,MAX(1,D1549)),0), FactorTable!$A$2:$A$301,0), Skills!M13+1)</f>
        <v/>
      </c>
      <c r="F1549">
        <f>IF(Skills!N13=TRUE,(Skills!L13/10)*(E1549/1000),Skills!L13/10)+Skills!O13</f>
        <v/>
      </c>
      <c r="G1549">
        <f>Skills!G13*IF(Skills!H13&gt;0,Skills!I13/Skills!H13,1)</f>
        <v/>
      </c>
      <c r="H1549">
        <f>1-(1-Skills!J13/100)^Skills!K13</f>
        <v/>
      </c>
      <c r="I1549" t="inlineStr">
        <is>
          <t>1</t>
        </is>
      </c>
      <c r="J1549">
        <f>((Inputs!$B$6*(1+Inputs!$B$7/100))+(((Inputs!$B$12*(1+Inputs!$B$13/100))-(Inputs!$B$12*(1+Inputs!$B$13/100)))+0.25*(Inputs!$B$14-Inputs!$B$14))*(1+Inputs!$B$7/100))*(F1549/100)</f>
        <v/>
      </c>
      <c r="K1549">
        <f>J1549*(1+((Inputs!$B$12*(1+Inputs!$B$13/100))*0.01+Inputs!$B$14*0.0025)/100)*(1+Inputs!$B$15/100)*(1+IF(Inputs!$B$39="pvp",0,(1-Summary!$B$55)*(Inputs!$B$20+0+Skills!P13+B1570)+Summary!$B$55*(Inputs!$B$21+Skills!Q13+B1570))/100)*(1+Inputs!$B$16/100)*(5000/(6000+Inputs!$B$43*(1-Inputs!$B$19/100)))*(1+(Inputs!$B$24+((C1566=TRUE)*(F1566-Calc!F30)))/100)*(1+(IF(Skills!A13="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1549)</f>
        <v/>
      </c>
      <c r="L1549">
        <f>K1549*(MIN(Inputs!$B$22+((C1560=TRUE)*(F1560-Calc!F24)),Inputs!$B$23+((C1565=TRUE)*(F1565-Calc!F29)))/100+(Inputs!$B$23+((C1565=TRUE)*(F1565-Calc!F29)))/100)/2</f>
        <v/>
      </c>
      <c r="M1549">
        <f>L1549*(1+(Inputs!$B$10+((C1562=TRUE)*(F1562-Calc!F26))+B1576)/100)</f>
        <v/>
      </c>
      <c r="N1549">
        <f>L1549*(1-MIN((Inputs!$B$9+((C1561=TRUE)*(F1561-Calc!F25))+B1569),100)/100)+M1549*(MIN((Inputs!$B$9+((C1561=TRUE)*(F1561-Calc!F25))+B1569),100)/100)</f>
        <v/>
      </c>
      <c r="O1549">
        <f>IF(C1549,H1549*N1549*IF(AND(Inputs!$B$39&lt;&gt;"pvp",Inputs!$B$44&gt;0),((Skills!G13*((R1549-1)*IF(Skills!H13&gt;0,Skills!I13/Skills!H13,1)+IF(Skills!H13&gt;0,MIN(Skills!I13,MAX(0,MAX(0,Inputs!$B$44-B1580)-((R1549-1)*IF(Inputs!$B$39="pvp",15,MAX(0.1,Skills!D13-IF(Skills!E13=TRUE,2.5,0))))))/Skills!H13,1)))/Inputs!$B$44),G1549*Q1549)*IF(Inputs!$B$39="pvp",1,(1-Summary!$B$55)*(1)+Summary!$B$55*(MIN(Skills!W13,Inputs!$B$37))),0)</f>
        <v/>
      </c>
      <c r="P1549">
        <f>IF(B1581=0,0,O1549/B1581)</f>
        <v/>
      </c>
      <c r="Q1549">
        <f>IFERROR(1/IF(Inputs!$B$39="pvp",15,MAX(0.1,Skills!D13-IF(Skills!E13=TRUE,2.5,0))),0)</f>
        <v/>
      </c>
      <c r="R1549">
        <f>IF(AND(Inputs!$B$39&lt;&gt;"pvp",Inputs!$B$44&gt;0),IF(MAX(0,Inputs!$B$44-B1580)&lt;=0,0,(INT(MAX(0,Inputs!$B$44-B1580)/IF(Inputs!$B$39="pvp",15,MAX(0.1,Skills!D13-IF(Skills!E13=TRUE,2.5,0))))+1)),0)</f>
        <v/>
      </c>
      <c r="S1549">
        <f>IFERROR(O1549/N1549,0)</f>
        <v/>
      </c>
    </row>
    <row r="1550">
      <c r="A1550">
        <f>Skills!A14</f>
        <v/>
      </c>
      <c r="B1550">
        <f>Skills!B14</f>
        <v/>
      </c>
      <c r="C1550">
        <f>Inputs!$B$3&gt;=107</f>
        <v/>
      </c>
      <c r="D1550">
        <f>IF(Skills!C14=1,60+Inputs!$B$25+Inputs!$B$29,IF(Skills!C14=2,90+Inputs!$B$26+Inputs!$B$29,IF(Skills!C14=3,120+Inputs!$B$27+Inputs!$B$29,MAX(0,(Inputs!$B$3-100)*3)+Inputs!$B$28+Inputs!$B$29)))</f>
        <v/>
      </c>
      <c r="E1550">
        <f>INDEX(FactorTable!$B$2:$Y$301, MATCH(ROUND(MIN(300,MAX(1,D1550)),0), FactorTable!$A$2:$A$301,0), Skills!M14+1)</f>
        <v/>
      </c>
      <c r="F1550">
        <f>IF(Skills!N14=TRUE,(Skills!L14/10)*(E1550/1000),Skills!L14/10)+Skills!O14</f>
        <v/>
      </c>
      <c r="G1550">
        <f>Skills!G14*IF(Skills!H14&gt;0,Skills!I14/Skills!H14,1)</f>
        <v/>
      </c>
      <c r="H1550">
        <f>1-(1-Skills!J14/100)^Skills!K14</f>
        <v/>
      </c>
      <c r="I1550" t="inlineStr">
        <is>
          <t>1</t>
        </is>
      </c>
      <c r="J1550">
        <f>((Inputs!$B$6*(1+Inputs!$B$7/100))+(((Inputs!$B$12*(1+Inputs!$B$13/100))-(Inputs!$B$12*(1+Inputs!$B$13/100)))+0.25*(Inputs!$B$14-Inputs!$B$14))*(1+Inputs!$B$7/100))*(F1550/100)</f>
        <v/>
      </c>
      <c r="K1550">
        <f>J1550*(1+((Inputs!$B$12*(1+Inputs!$B$13/100))*0.01+Inputs!$B$14*0.0025)/100)*(1+Inputs!$B$15/100)*(1+IF(Inputs!$B$39="pvp",0,(1-Summary!$B$55)*(Inputs!$B$20+0+Skills!P14+B1570)+Summary!$B$55*(Inputs!$B$21+Skills!Q14+B1570))/100)*(1+Inputs!$B$16/100)*(5000/(6000+Inputs!$B$43*(1-Inputs!$B$19/100)))*(1+(Inputs!$B$24+((C1566=TRUE)*(F1566-Calc!F30)))/100)*(1+(IF(Skills!A14="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1550)</f>
        <v/>
      </c>
      <c r="L1550">
        <f>K1550*(MIN(Inputs!$B$22+((C1560=TRUE)*(F1560-Calc!F24)),Inputs!$B$23+((C1565=TRUE)*(F1565-Calc!F29)))/100+(Inputs!$B$23+((C1565=TRUE)*(F1565-Calc!F29)))/100)/2</f>
        <v/>
      </c>
      <c r="M1550">
        <f>L1550*(1+(Inputs!$B$10+((C1562=TRUE)*(F1562-Calc!F26))+B1576)/100)</f>
        <v/>
      </c>
      <c r="N1550">
        <f>L1550*(1-MIN((Inputs!$B$9+((C1561=TRUE)*(F1561-Calc!F25))+B1569),100)/100)+M1550*(MIN((Inputs!$B$9+((C1561=TRUE)*(F1561-Calc!F25))+B1569),100)/100)</f>
        <v/>
      </c>
      <c r="O1550">
        <f>IF(C1550,H1550*N1550*IF(AND(Inputs!$B$39&lt;&gt;"pvp",Inputs!$B$44&gt;0),((Skills!G14*((R1550-1)*IF(Skills!H14&gt;0,Skills!I14/Skills!H14,1)+IF(Skills!H14&gt;0,MIN(Skills!I14,MAX(0,MAX(0,Inputs!$B$44-B1580)-((R1550-1)*IF(Inputs!$B$39="pvp",15,MAX(0.1,Skills!D14-IF(Skills!E14=TRUE,2.5,0))))))/Skills!H14,1)))/Inputs!$B$44),G1550*Q1550)*IF(Inputs!$B$39="pvp",1,(1-Summary!$B$55)*(1)+Summary!$B$55*(MIN(MIN(5,0.25*B1573*Skills!D4)*Skills!V14,Inputs!$B$37))),0)</f>
        <v/>
      </c>
      <c r="P1550">
        <f>IF(B1581=0,0,O1550/B1581)</f>
        <v/>
      </c>
      <c r="Q1550">
        <f>IFERROR(1/IF(Inputs!$B$39="pvp",15,MAX(0.1,Skills!D14-IF(Skills!E14=TRUE,2.5,0))),0)</f>
        <v/>
      </c>
      <c r="R1550">
        <f>IF(AND(Inputs!$B$39&lt;&gt;"pvp",Inputs!$B$44&gt;0),IF(MAX(0,Inputs!$B$44-B1580)&lt;=0,0,(INT(MAX(0,Inputs!$B$44-B1580)/IF(Inputs!$B$39="pvp",15,MAX(0.1,Skills!D14-IF(Skills!E14=TRUE,2.5,0))))+1)),0)</f>
        <v/>
      </c>
      <c r="S1550">
        <f>IFERROR(O1550/N1550,0)</f>
        <v/>
      </c>
    </row>
    <row r="1551">
      <c r="A1551">
        <f>Skills!A15</f>
        <v/>
      </c>
      <c r="B1551">
        <f>Skills!B15</f>
        <v/>
      </c>
      <c r="C1551">
        <f>Inputs!$B$3&gt;=110</f>
        <v/>
      </c>
      <c r="D1551">
        <f>IF(Skills!C15=1,60+Inputs!$B$25+Inputs!$B$29,IF(Skills!C15=2,90+Inputs!$B$26+Inputs!$B$29,IF(Skills!C15=3,120+Inputs!$B$27+Inputs!$B$29,MAX(0,(Inputs!$B$3-100)*3)+Inputs!$B$28+Inputs!$B$29)))</f>
        <v/>
      </c>
      <c r="E1551">
        <f>INDEX(FactorTable!$B$2:$Y$301, MATCH(ROUND(MIN(300,MAX(1,D1551)),0), FactorTable!$A$2:$A$301,0), Skills!M15+1)</f>
        <v/>
      </c>
      <c r="F1551">
        <f>IF(Skills!N15=TRUE,(Skills!L15/10)*(E1551/1000),Skills!L15/10)+Skills!O15</f>
        <v/>
      </c>
      <c r="G1551">
        <f>Skills!G15*IF(Skills!H15&gt;0,Skills!I15/Skills!H15,1)</f>
        <v/>
      </c>
      <c r="H1551">
        <f>1-(1-Skills!J15/100)^Skills!K15</f>
        <v/>
      </c>
      <c r="I1551" t="inlineStr">
        <is>
          <t>1</t>
        </is>
      </c>
      <c r="J1551" t="inlineStr"/>
      <c r="K1551" t="inlineStr"/>
      <c r="L1551" t="inlineStr"/>
      <c r="M1551" t="inlineStr"/>
      <c r="N1551" t="inlineStr"/>
      <c r="O1551" t="n">
        <v>0</v>
      </c>
      <c r="P1551">
        <f>IF(B1581=0,0,O1551/B1581)</f>
        <v/>
      </c>
      <c r="Q1551">
        <f>IFERROR(1/IF(Inputs!$B$39="pvp",15,MAX(0.1,Skills!D15-IF(Skills!E15=TRUE,2.5,0))),0)</f>
        <v/>
      </c>
      <c r="R1551">
        <f>IF(AND(Inputs!$B$39&lt;&gt;"pvp",Inputs!$B$44&gt;0),IF(Inputs!$B$44&lt;=0,0,(INT(Inputs!$B$44/IF(Inputs!$B$39="pvp",15,MAX(0.1,Skills!D15-IF(Skills!E15=TRUE,2.5,0))))+1)),0)</f>
        <v/>
      </c>
      <c r="S1551">
        <f>IFERROR(O1551/N1551,0)</f>
        <v/>
      </c>
    </row>
    <row r="1552">
      <c r="A1552">
        <f>Skills!A16</f>
        <v/>
      </c>
      <c r="B1552">
        <f>Skills!B16</f>
        <v/>
      </c>
      <c r="C1552">
        <f>Inputs!$B$3&gt;=115</f>
        <v/>
      </c>
      <c r="D1552">
        <f>IF(Skills!C16=1,60+Inputs!$B$25+Inputs!$B$29,IF(Skills!C16=2,90+Inputs!$B$26+Inputs!$B$29,IF(Skills!C16=3,120+Inputs!$B$27+Inputs!$B$29,MAX(0,(Inputs!$B$3-100)*3)+Inputs!$B$28+Inputs!$B$29)))</f>
        <v/>
      </c>
      <c r="E1552">
        <f>INDEX(FactorTable!$B$2:$Y$301, MATCH(ROUND(MIN(300,MAX(1,D1552)),0), FactorTable!$A$2:$A$301,0), Skills!M16+1)</f>
        <v/>
      </c>
      <c r="F1552">
        <f>IF(Skills!N16=TRUE,(Skills!L16/10)*(E1552/1000),Skills!L16/10)+Skills!O16</f>
        <v/>
      </c>
      <c r="G1552">
        <f>Skills!G16*IF(Skills!H16&gt;0,Skills!I16/Skills!H16,1)</f>
        <v/>
      </c>
      <c r="H1552">
        <f>1-(1-Skills!J16/100)^Skills!K16</f>
        <v/>
      </c>
      <c r="I1552" t="inlineStr">
        <is>
          <t>1</t>
        </is>
      </c>
      <c r="J1552">
        <f>((Inputs!$B$6*(1+Inputs!$B$7/100))+(((Inputs!$B$12*(1+Inputs!$B$13/100))-(Inputs!$B$12*(1+Inputs!$B$13/100)))+0.25*(Inputs!$B$14-Inputs!$B$14))*(1+Inputs!$B$7/100))*(F1552/100)</f>
        <v/>
      </c>
      <c r="K1552">
        <f>J1552*(1+((Inputs!$B$12*(1+Inputs!$B$13/100))*0.01+Inputs!$B$14*0.0025)/100)*(1+Inputs!$B$15/100)*(1+IF(Inputs!$B$39="pvp",0,(1-Summary!$B$55)*(Inputs!$B$20+0+Skills!P16+B1570)+Summary!$B$55*(Inputs!$B$21+Skills!Q16+B1570))/100)*(1+Inputs!$B$16/100)*(5000/(6000+Inputs!$B$43*(1-Inputs!$B$19/100)))*(1+(Inputs!$B$24+((C1566=TRUE)*(F1566-Calc!F30)))/100)*(1+(IF(Skills!A16="CRUEL_STAB",Inputs!$B$17+((C1563=TRUE)*(F1563-Calc!F27)),Inputs!$B$18+((C1564=TRUE)*(F1564-Calc!F28))))/100)*(((1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B1571*I1552)</f>
        <v/>
      </c>
      <c r="L1552">
        <f>K1552*(MIN(Inputs!$B$22+((C1560=TRUE)*(F1560-Calc!F24)),Inputs!$B$23+((C1565=TRUE)*(F1565-Calc!F29)))/100+(Inputs!$B$23+((C1565=TRUE)*(F1565-Calc!F29)))/100)/2</f>
        <v/>
      </c>
      <c r="M1552">
        <f>L1552*(1+(Inputs!$B$10+((C1562=TRUE)*(F1562-Calc!F26))+B1576)/100)</f>
        <v/>
      </c>
      <c r="N1552">
        <f>L1552*(1-MIN((Inputs!$B$9+((C1561=TRUE)*(F1561-Calc!F25))+B1569),100)/100)+M1552*(MIN((Inputs!$B$9+((C1561=TRUE)*(F1561-Calc!F25))+B1569),100)/100)</f>
        <v/>
      </c>
      <c r="O1552">
        <f>IF(C1552,Inputs!$B$38*0.2*N1552,0)</f>
        <v/>
      </c>
      <c r="P1552">
        <f>IF(B1581=0,0,O1552/B1581)</f>
        <v/>
      </c>
      <c r="Q1552" t="n">
        <v>0</v>
      </c>
      <c r="R1552" t="n">
        <v>0</v>
      </c>
      <c r="S1552">
        <f>IFERROR(O1552/N1552,0)</f>
        <v/>
      </c>
    </row>
    <row r="1553">
      <c r="A1553">
        <f>Skills!A17</f>
        <v/>
      </c>
      <c r="B1553">
        <f>Skills!B17</f>
        <v/>
      </c>
      <c r="C1553">
        <f>Inputs!$B$3&gt;=115</f>
        <v/>
      </c>
      <c r="D1553">
        <f>IF(Skills!C17=1,60+Inputs!$B$25+Inputs!$B$29,IF(Skills!C17=2,90+Inputs!$B$26+Inputs!$B$29,IF(Skills!C17=3,120+Inputs!$B$27+Inputs!$B$29,MAX(0,(Inputs!$B$3-100)*3)+Inputs!$B$28+Inputs!$B$29)))</f>
        <v/>
      </c>
      <c r="E1553">
        <f>INDEX(FactorTable!$B$2:$Y$301, MATCH(ROUND(MIN(300,MAX(1,D1553)),0), FactorTable!$A$2:$A$301,0), Skills!M17+1)</f>
        <v/>
      </c>
      <c r="F1553">
        <f>IF(Skills!N17=TRUE,(Skills!L17/10)*(E1553/1000),Skills!L17/10)+Skills!O17</f>
        <v/>
      </c>
      <c r="G1553">
        <f>Skills!G17*IF(Skills!H17&gt;0,Skills!I17/Skills!H17,1)</f>
        <v/>
      </c>
      <c r="H1553">
        <f>1-(1-Skills!J17/100)^Skills!K17</f>
        <v/>
      </c>
      <c r="I1553" t="inlineStr">
        <is>
          <t>1</t>
        </is>
      </c>
      <c r="J1553" t="inlineStr"/>
      <c r="K1553" t="inlineStr"/>
      <c r="L1553" t="inlineStr"/>
      <c r="M1553" t="inlineStr"/>
      <c r="N1553" t="inlineStr"/>
      <c r="O1553" t="n">
        <v>0</v>
      </c>
      <c r="P1553">
        <f>IF(B1581=0,0,O1553/B1581)</f>
        <v/>
      </c>
      <c r="Q1553" t="n">
        <v>0</v>
      </c>
      <c r="R1553" t="n">
        <v>0</v>
      </c>
      <c r="S1553">
        <f>IFERROR(O1553/N1553,0)</f>
        <v/>
      </c>
    </row>
    <row r="1554">
      <c r="A1554">
        <f>Skills!A18</f>
        <v/>
      </c>
      <c r="B1554">
        <f>Skills!B18</f>
        <v/>
      </c>
      <c r="C1554">
        <f>Inputs!$B$3&gt;=100</f>
        <v/>
      </c>
      <c r="D1554">
        <f>IF(Skills!C18=1,60+Inputs!$B$25+Inputs!$B$29,IF(Skills!C18=2,90+Inputs!$B$26+Inputs!$B$29,IF(Skills!C18=3,120+Inputs!$B$27+Inputs!$B$29,MAX(0,(Inputs!$B$3-100)*3)+Inputs!$B$28+Inputs!$B$29)))</f>
        <v/>
      </c>
      <c r="E1554">
        <f>INDEX(FactorTable!$B$2:$Y$301, MATCH(ROUND(MIN(300,MAX(1,D1554)),0), FactorTable!$A$2:$A$301,0), Skills!M18+1)</f>
        <v/>
      </c>
      <c r="F1554">
        <f>IF(Skills!N18=TRUE,(Skills!L18/10)*(E1554/1000),Skills!L18/10)+Skills!O18</f>
        <v/>
      </c>
      <c r="G1554">
        <f>Skills!G18*IF(Skills!H18&gt;0,Skills!I18/Skills!H18,1)</f>
        <v/>
      </c>
      <c r="H1554">
        <f>1-(1-Skills!J18/100)^Skills!K18</f>
        <v/>
      </c>
      <c r="I1554" t="inlineStr">
        <is>
          <t>1</t>
        </is>
      </c>
      <c r="J1554" t="inlineStr"/>
      <c r="K1554" t="inlineStr"/>
      <c r="L1554" t="inlineStr"/>
      <c r="M1554" t="inlineStr"/>
      <c r="N1554" t="inlineStr"/>
      <c r="O1554" t="n">
        <v>0</v>
      </c>
      <c r="P1554">
        <f>IF(B1581=0,0,O1554/B1581)</f>
        <v/>
      </c>
      <c r="Q1554" t="n">
        <v>0</v>
      </c>
      <c r="R1554" t="n">
        <v>0</v>
      </c>
      <c r="S1554">
        <f>IFERROR(O1554/N1554,0)</f>
        <v/>
      </c>
    </row>
    <row r="1555">
      <c r="A1555">
        <f>Skills!A19</f>
        <v/>
      </c>
      <c r="B1555">
        <f>Skills!B19</f>
        <v/>
      </c>
      <c r="C1555">
        <f>TRUE</f>
        <v/>
      </c>
      <c r="D1555">
        <f>IF(Skills!C19=1,60+Inputs!$B$25+Inputs!$B$29,IF(Skills!C19=2,90+Inputs!$B$26+Inputs!$B$29,IF(Skills!C19=3,120+Inputs!$B$27+Inputs!$B$29,MAX(0,(Inputs!$B$3-100)*3)+Inputs!$B$28+Inputs!$B$29)))</f>
        <v/>
      </c>
      <c r="E1555">
        <f>INDEX(FactorTable!$B$2:$Y$301, MATCH(ROUND(MIN(300,MAX(1,D1555)),0), FactorTable!$A$2:$A$301,0), Skills!M19+1)</f>
        <v/>
      </c>
      <c r="F1555">
        <f>IF(Skills!N19=TRUE,(Skills!L19/10)*(E1555/1000),Skills!L19/10)+Skills!O19</f>
        <v/>
      </c>
      <c r="G1555">
        <f>Skills!G19*IF(Skills!H19&gt;0,Skills!I19/Skills!H19,1)</f>
        <v/>
      </c>
      <c r="H1555">
        <f>1-(1-Skills!J19/100)^Skills!K19</f>
        <v/>
      </c>
      <c r="I1555" t="inlineStr">
        <is>
          <t>1</t>
        </is>
      </c>
      <c r="J1555" t="inlineStr"/>
      <c r="K1555" t="inlineStr"/>
      <c r="L1555" t="inlineStr"/>
      <c r="M1555" t="inlineStr"/>
      <c r="N1555" t="inlineStr"/>
      <c r="O1555" t="n">
        <v>0</v>
      </c>
      <c r="P1555">
        <f>IF(B1581=0,0,O1555/B1581)</f>
        <v/>
      </c>
      <c r="Q1555">
        <f>IFERROR(1/IF(Inputs!$B$39="pvp",15,MAX(0.1,Skills!D19-IF(Skills!E19=TRUE,2.5,0))),0)</f>
        <v/>
      </c>
      <c r="R1555">
        <f>IF(AND(Inputs!$B$39&lt;&gt;"pvp",Inputs!$B$44&gt;0),IF(Inputs!$B$44&lt;=0,0,(INT(Inputs!$B$44/IF(Inputs!$B$39="pvp",15,MAX(0.1,Skills!D19-IF(Skills!E19=TRUE,2.5,0))))+1)),0)</f>
        <v/>
      </c>
      <c r="S1555">
        <f>IFERROR(O1555/N1555,0)</f>
        <v/>
      </c>
    </row>
    <row r="1556">
      <c r="A1556">
        <f>Skills!A20</f>
        <v/>
      </c>
      <c r="B1556">
        <f>Skills!B20</f>
        <v/>
      </c>
      <c r="C1556">
        <f>Inputs!$B$3&gt;=15</f>
        <v/>
      </c>
      <c r="D1556">
        <f>IF(Skills!C20=1,60+Inputs!$B$25+Inputs!$B$29,IF(Skills!C20=2,90+Inputs!$B$26+Inputs!$B$29,IF(Skills!C20=3,120+Inputs!$B$27+Inputs!$B$29,MAX(0,(Inputs!$B$3-100)*3)+Inputs!$B$28+Inputs!$B$29)))</f>
        <v/>
      </c>
      <c r="E1556">
        <f>INDEX(FactorTable!$B$2:$Y$301, MATCH(ROUND(MIN(300,MAX(1,D1556)),0), FactorTable!$A$2:$A$301,0), Skills!M20+1)</f>
        <v/>
      </c>
      <c r="F1556">
        <f>IF(Skills!N20=TRUE,(Skills!L20/10)*(E1556/1000),Skills!L20/10)+Skills!O20</f>
        <v/>
      </c>
      <c r="G1556">
        <f>Skills!G20*IF(Skills!H20&gt;0,Skills!I20/Skills!H20,1)</f>
        <v/>
      </c>
      <c r="H1556">
        <f>1-(1-Skills!J20/100)^Skills!K20</f>
        <v/>
      </c>
      <c r="I1556" t="inlineStr">
        <is>
          <t>1</t>
        </is>
      </c>
      <c r="J1556" t="inlineStr"/>
      <c r="K1556" t="inlineStr"/>
      <c r="L1556" t="inlineStr"/>
      <c r="M1556" t="inlineStr"/>
      <c r="N1556" t="inlineStr"/>
      <c r="O1556" t="n">
        <v>0</v>
      </c>
      <c r="P1556">
        <f>IF(B1581=0,0,O1556/B1581)</f>
        <v/>
      </c>
      <c r="Q1556">
        <f>IFERROR(1/IF(Inputs!$B$39="pvp",15,MAX(0.1,Skills!D20-IF(Skills!E20=TRUE,2.5,0))),0)</f>
        <v/>
      </c>
      <c r="R1556">
        <f>IF(AND(Inputs!$B$39&lt;&gt;"pvp",Inputs!$B$44&gt;0),IF(Inputs!$B$44&lt;=0,0,(INT(Inputs!$B$44/IF(Inputs!$B$39="pvp",15,MAX(0.1,Skills!D20-IF(Skills!E20=TRUE,2.5,0))))+1)),0)</f>
        <v/>
      </c>
      <c r="S1556">
        <f>IFERROR(O1556/N1556,0)</f>
        <v/>
      </c>
    </row>
    <row r="1557">
      <c r="A1557">
        <f>Skills!A21</f>
        <v/>
      </c>
      <c r="B1557">
        <f>Skills!B21</f>
        <v/>
      </c>
      <c r="C1557">
        <f>Inputs!$B$3&gt;=15</f>
        <v/>
      </c>
      <c r="D1557">
        <f>IF(Skills!C21=1,60+Inputs!$B$25+Inputs!$B$29,IF(Skills!C21=2,90+Inputs!$B$26+Inputs!$B$29,IF(Skills!C21=3,120+Inputs!$B$27+Inputs!$B$29,MAX(0,(Inputs!$B$3-100)*3)+Inputs!$B$28+Inputs!$B$29)))</f>
        <v/>
      </c>
      <c r="E1557">
        <f>INDEX(FactorTable!$B$2:$Y$301, MATCH(ROUND(MIN(300,MAX(1,D1557)),0), FactorTable!$A$2:$A$301,0), Skills!M21+1)</f>
        <v/>
      </c>
      <c r="F1557">
        <f>IF(Skills!N21=TRUE,(Skills!L21/10)*(E1557/1000),Skills!L21/10)+Skills!O21</f>
        <v/>
      </c>
      <c r="G1557">
        <f>Skills!G21*IF(Skills!H21&gt;0,Skills!I21/Skills!H21,1)</f>
        <v/>
      </c>
      <c r="H1557">
        <f>1-(1-Skills!J21/100)^Skills!K21</f>
        <v/>
      </c>
      <c r="I1557" t="inlineStr">
        <is>
          <t>1</t>
        </is>
      </c>
      <c r="J1557" t="inlineStr"/>
      <c r="K1557" t="inlineStr"/>
      <c r="L1557" t="inlineStr"/>
      <c r="M1557" t="inlineStr"/>
      <c r="N1557" t="inlineStr"/>
      <c r="O1557" t="n">
        <v>0</v>
      </c>
      <c r="P1557">
        <f>IF(B1581=0,0,O1557/B1581)</f>
        <v/>
      </c>
      <c r="Q1557">
        <f>IFERROR(1/IF(Inputs!$B$39="pvp",15,MAX(0.1,Skills!D21-IF(Skills!E21=TRUE,2.5,0))),0)</f>
        <v/>
      </c>
      <c r="R1557">
        <f>IF(AND(Inputs!$B$39&lt;&gt;"pvp",Inputs!$B$44&gt;0),IF(Inputs!$B$44&lt;=0,0,(INT(Inputs!$B$44/IF(Inputs!$B$39="pvp",15,MAX(0.1,Skills!D21-IF(Skills!E21=TRUE,2.5,0))))+1)),0)</f>
        <v/>
      </c>
      <c r="S1557">
        <f>IFERROR(O1557/N1557,0)</f>
        <v/>
      </c>
    </row>
    <row r="1558">
      <c r="A1558">
        <f>Skills!A22</f>
        <v/>
      </c>
      <c r="B1558">
        <f>Skills!B22</f>
        <v/>
      </c>
      <c r="C1558">
        <f>Inputs!$B$3&gt;=33</f>
        <v/>
      </c>
      <c r="D1558">
        <f>IF(Skills!C22=1,60+Inputs!$B$25+Inputs!$B$29,IF(Skills!C22=2,90+Inputs!$B$26+Inputs!$B$29,IF(Skills!C22=3,120+Inputs!$B$27+Inputs!$B$29,MAX(0,(Inputs!$B$3-100)*3)+Inputs!$B$28+Inputs!$B$29)))</f>
        <v/>
      </c>
      <c r="E1558">
        <f>INDEX(FactorTable!$B$2:$Y$301, MATCH(ROUND(MIN(300,MAX(1,D1558)),0), FactorTable!$A$2:$A$301,0), Skills!M22+1)</f>
        <v/>
      </c>
      <c r="F1558">
        <f>IF(Skills!N22=TRUE,(Skills!L22/10)*(E1558/1000),Skills!L22/10)+Skills!O22</f>
        <v/>
      </c>
      <c r="G1558">
        <f>Skills!G22*IF(Skills!H22&gt;0,Skills!I22/Skills!H22,1)</f>
        <v/>
      </c>
      <c r="H1558">
        <f>1-(1-Skills!J22/100)^Skills!K22</f>
        <v/>
      </c>
      <c r="I1558" t="inlineStr">
        <is>
          <t>1</t>
        </is>
      </c>
      <c r="J1558" t="inlineStr"/>
      <c r="K1558" t="inlineStr"/>
      <c r="L1558" t="inlineStr"/>
      <c r="M1558" t="inlineStr"/>
      <c r="N1558" t="inlineStr"/>
      <c r="O1558" t="n">
        <v>0</v>
      </c>
      <c r="P1558">
        <f>IF(B1581=0,0,O1558/B1581)</f>
        <v/>
      </c>
      <c r="Q1558" t="n">
        <v>0</v>
      </c>
      <c r="R1558" t="n">
        <v>0</v>
      </c>
      <c r="S1558">
        <f>IFERROR(O1558/N1558,0)</f>
        <v/>
      </c>
    </row>
    <row r="1559">
      <c r="A1559">
        <f>Skills!A23</f>
        <v/>
      </c>
      <c r="B1559">
        <f>Skills!B23</f>
        <v/>
      </c>
      <c r="C1559">
        <f>Inputs!$B$3&gt;=40</f>
        <v/>
      </c>
      <c r="D1559">
        <f>IF(Skills!C23=1,60+Inputs!$B$25+Inputs!$B$29,IF(Skills!C23=2,90+Inputs!$B$26+Inputs!$B$29,IF(Skills!C23=3,120+Inputs!$B$27+Inputs!$B$29,MAX(0,(Inputs!$B$3-100)*3)+Inputs!$B$28+Inputs!$B$29)))</f>
        <v/>
      </c>
      <c r="E1559">
        <f>INDEX(FactorTable!$B$2:$Y$301, MATCH(ROUND(MIN(300,MAX(1,D1559)),0), FactorTable!$A$2:$A$301,0), Skills!M23+1)</f>
        <v/>
      </c>
      <c r="F1559">
        <f>IF(Skills!N23=TRUE,(Skills!L23/10)*(E1559/1000),Skills!L23/10)+Skills!O23</f>
        <v/>
      </c>
      <c r="G1559">
        <f>Skills!G23*IF(Skills!H23&gt;0,Skills!I23/Skills!H23,1)</f>
        <v/>
      </c>
      <c r="H1559">
        <f>1-(1-Skills!J23/100)^Skills!K23</f>
        <v/>
      </c>
      <c r="I1559" t="inlineStr">
        <is>
          <t>1</t>
        </is>
      </c>
      <c r="J1559" t="inlineStr"/>
      <c r="K1559" t="inlineStr"/>
      <c r="L1559" t="inlineStr"/>
      <c r="M1559" t="inlineStr"/>
      <c r="N1559" t="inlineStr"/>
      <c r="O1559" t="n">
        <v>0</v>
      </c>
      <c r="P1559">
        <f>IF(B1581=0,0,O1559/B1581)</f>
        <v/>
      </c>
      <c r="Q1559" t="n">
        <v>0</v>
      </c>
      <c r="R1559" t="n">
        <v>0</v>
      </c>
      <c r="S1559">
        <f>IFERROR(O1559/N1559,0)</f>
        <v/>
      </c>
    </row>
    <row r="1560">
      <c r="A1560">
        <f>Skills!A24</f>
        <v/>
      </c>
      <c r="B1560">
        <f>Skills!B24</f>
        <v/>
      </c>
      <c r="C1560">
        <f>Inputs!$B$3&gt;=43</f>
        <v/>
      </c>
      <c r="D1560">
        <f>IF(Skills!C24=1,60+Inputs!$B$25+Inputs!$B$29,IF(Skills!C24=2,90+Inputs!$B$26+Inputs!$B$29,IF(Skills!C24=3,120+Inputs!$B$27+Inputs!$B$29,MAX(0,(Inputs!$B$3-100)*3)+Inputs!$B$28+Inputs!$B$29)))</f>
        <v/>
      </c>
      <c r="E1560">
        <f>INDEX(FactorTable!$B$2:$Y$301, MATCH(ROUND(MIN(300,MAX(1,D1560)),0), FactorTable!$A$2:$A$301,0), Skills!M24+1)</f>
        <v/>
      </c>
      <c r="F1560">
        <f>IF(Skills!N24=TRUE,(Skills!L24/10)*(E1560/1000),Skills!L24/10)+Skills!O24</f>
        <v/>
      </c>
      <c r="G1560">
        <f>Skills!G24*IF(Skills!H24&gt;0,Skills!I24/Skills!H24,1)</f>
        <v/>
      </c>
      <c r="H1560">
        <f>1-(1-Skills!J24/100)^Skills!K24</f>
        <v/>
      </c>
      <c r="I1560" t="inlineStr">
        <is>
          <t>1</t>
        </is>
      </c>
      <c r="J1560" t="inlineStr"/>
      <c r="K1560" t="inlineStr"/>
      <c r="L1560" t="inlineStr"/>
      <c r="M1560" t="inlineStr"/>
      <c r="N1560" t="inlineStr"/>
      <c r="O1560" t="n">
        <v>0</v>
      </c>
      <c r="P1560">
        <f>IF(B1581=0,0,O1560/B1581)</f>
        <v/>
      </c>
      <c r="Q1560" t="n">
        <v>0</v>
      </c>
      <c r="R1560" t="n">
        <v>0</v>
      </c>
      <c r="S1560">
        <f>IFERROR(O1560/N1560,0)</f>
        <v/>
      </c>
    </row>
    <row r="1561">
      <c r="A1561">
        <f>Skills!A25</f>
        <v/>
      </c>
      <c r="B1561">
        <f>Skills!B25</f>
        <v/>
      </c>
      <c r="C1561">
        <f>Inputs!$B$3&gt;=50</f>
        <v/>
      </c>
      <c r="D1561">
        <f>IF(Skills!C25=1,60+Inputs!$B$25+Inputs!$B$29,IF(Skills!C25=2,90+Inputs!$B$26+Inputs!$B$29,IF(Skills!C25=3,120+Inputs!$B$27+Inputs!$B$29,MAX(0,(Inputs!$B$3-100)*3)+Inputs!$B$28+Inputs!$B$29)))</f>
        <v/>
      </c>
      <c r="E1561">
        <f>INDEX(FactorTable!$B$2:$Y$301, MATCH(ROUND(MIN(300,MAX(1,D1561)),0), FactorTable!$A$2:$A$301,0), Skills!M25+1)</f>
        <v/>
      </c>
      <c r="F1561">
        <f>IF(Skills!N25=TRUE,(Skills!L25/10)*(E1561/1000),Skills!L25/10)+Skills!O25</f>
        <v/>
      </c>
      <c r="G1561">
        <f>Skills!G25*IF(Skills!H25&gt;0,Skills!I25/Skills!H25,1)</f>
        <v/>
      </c>
      <c r="H1561">
        <f>1-(1-Skills!J25/100)^Skills!K25</f>
        <v/>
      </c>
      <c r="I1561" t="inlineStr">
        <is>
          <t>1</t>
        </is>
      </c>
      <c r="J1561" t="inlineStr"/>
      <c r="K1561" t="inlineStr"/>
      <c r="L1561" t="inlineStr"/>
      <c r="M1561" t="inlineStr"/>
      <c r="N1561" t="inlineStr"/>
      <c r="O1561" t="n">
        <v>0</v>
      </c>
      <c r="P1561">
        <f>IF(B1581=0,0,O1561/B1581)</f>
        <v/>
      </c>
      <c r="Q1561" t="n">
        <v>0</v>
      </c>
      <c r="R1561" t="n">
        <v>0</v>
      </c>
      <c r="S1561">
        <f>IFERROR(O1561/N1561,0)</f>
        <v/>
      </c>
    </row>
    <row r="1562">
      <c r="A1562">
        <f>Skills!A26</f>
        <v/>
      </c>
      <c r="B1562">
        <f>Skills!B26</f>
        <v/>
      </c>
      <c r="C1562">
        <f>Inputs!$B$3&gt;=50</f>
        <v/>
      </c>
      <c r="D1562">
        <f>IF(Skills!C26=1,60+Inputs!$B$25+Inputs!$B$29,IF(Skills!C26=2,90+Inputs!$B$26+Inputs!$B$29,IF(Skills!C26=3,120+Inputs!$B$27+Inputs!$B$29,MAX(0,(Inputs!$B$3-100)*3)+Inputs!$B$28+Inputs!$B$29)))</f>
        <v/>
      </c>
      <c r="E1562">
        <f>INDEX(FactorTable!$B$2:$Y$301, MATCH(ROUND(MIN(300,MAX(1,D1562)),0), FactorTable!$A$2:$A$301,0), Skills!M26+1)</f>
        <v/>
      </c>
      <c r="F1562">
        <f>IF(Skills!N26=TRUE,(Skills!L26/10)*(E1562/1000),Skills!L26/10)+Skills!O26</f>
        <v/>
      </c>
      <c r="G1562">
        <f>Skills!G26*IF(Skills!H26&gt;0,Skills!I26/Skills!H26,1)</f>
        <v/>
      </c>
      <c r="H1562">
        <f>1-(1-Skills!J26/100)^Skills!K26</f>
        <v/>
      </c>
      <c r="I1562" t="inlineStr">
        <is>
          <t>1</t>
        </is>
      </c>
      <c r="J1562" t="inlineStr"/>
      <c r="K1562" t="inlineStr"/>
      <c r="L1562" t="inlineStr"/>
      <c r="M1562" t="inlineStr"/>
      <c r="N1562" t="inlineStr"/>
      <c r="O1562" t="n">
        <v>0</v>
      </c>
      <c r="P1562">
        <f>IF(B1581=0,0,O1562/B1581)</f>
        <v/>
      </c>
      <c r="Q1562" t="n">
        <v>0</v>
      </c>
      <c r="R1562" t="n">
        <v>0</v>
      </c>
      <c r="S1562">
        <f>IFERROR(O1562/N1562,0)</f>
        <v/>
      </c>
    </row>
    <row r="1563">
      <c r="A1563">
        <f>Skills!A27</f>
        <v/>
      </c>
      <c r="B1563">
        <f>Skills!B27</f>
        <v/>
      </c>
      <c r="C1563">
        <f>Inputs!$B$3&gt;=38</f>
        <v/>
      </c>
      <c r="D1563">
        <f>IF(Skills!C27=1,60+Inputs!$B$25+Inputs!$B$29,IF(Skills!C27=2,90+Inputs!$B$26+Inputs!$B$29,IF(Skills!C27=3,120+Inputs!$B$27+Inputs!$B$29,MAX(0,(Inputs!$B$3-100)*3)+Inputs!$B$28+Inputs!$B$29)))</f>
        <v/>
      </c>
      <c r="E1563">
        <f>INDEX(FactorTable!$B$2:$Y$301, MATCH(ROUND(MIN(300,MAX(1,D1563)),0), FactorTable!$A$2:$A$301,0), Skills!M27+1)</f>
        <v/>
      </c>
      <c r="F1563">
        <f>IF(Skills!N27=TRUE,(Skills!L27/10)*(E1563/1000),Skills!L27/10)+Skills!O27</f>
        <v/>
      </c>
      <c r="G1563">
        <f>Skills!G27*IF(Skills!H27&gt;0,Skills!I27/Skills!H27,1)</f>
        <v/>
      </c>
      <c r="H1563">
        <f>1-(1-Skills!J27/100)^Skills!K27</f>
        <v/>
      </c>
      <c r="I1563" t="inlineStr">
        <is>
          <t>1</t>
        </is>
      </c>
      <c r="J1563" t="inlineStr"/>
      <c r="K1563" t="inlineStr"/>
      <c r="L1563" t="inlineStr"/>
      <c r="M1563" t="inlineStr"/>
      <c r="N1563" t="inlineStr"/>
      <c r="O1563" t="n">
        <v>0</v>
      </c>
      <c r="P1563">
        <f>IF(B1581=0,0,O1563/B1581)</f>
        <v/>
      </c>
      <c r="Q1563" t="n">
        <v>0</v>
      </c>
      <c r="R1563" t="n">
        <v>0</v>
      </c>
      <c r="S1563">
        <f>IFERROR(O1563/N1563,0)</f>
        <v/>
      </c>
    </row>
    <row r="1564">
      <c r="A1564">
        <f>Skills!A28</f>
        <v/>
      </c>
      <c r="B1564">
        <f>Skills!B28</f>
        <v/>
      </c>
      <c r="C1564">
        <f>Inputs!$B$3&gt;=120</f>
        <v/>
      </c>
      <c r="D1564">
        <f>IF(Skills!C28=1,60+Inputs!$B$25+Inputs!$B$29,IF(Skills!C28=2,90+Inputs!$B$26+Inputs!$B$29,IF(Skills!C28=3,120+Inputs!$B$27+Inputs!$B$29,MAX(0,(Inputs!$B$3-100)*3)+Inputs!$B$28+Inputs!$B$29)))</f>
        <v/>
      </c>
      <c r="E1564">
        <f>INDEX(FactorTable!$B$2:$Y$301, MATCH(ROUND(MIN(300,MAX(1,D1564)),0), FactorTable!$A$2:$A$301,0), Skills!M28+1)</f>
        <v/>
      </c>
      <c r="F1564">
        <f>IF(Skills!N28=TRUE,(Skills!L28/10)*(E1564/1000),Skills!L28/10)+Skills!O28</f>
        <v/>
      </c>
      <c r="G1564">
        <f>Skills!G28*IF(Skills!H28&gt;0,Skills!I28/Skills!H28,1)</f>
        <v/>
      </c>
      <c r="H1564">
        <f>1-(1-Skills!J28/100)^Skills!K28</f>
        <v/>
      </c>
      <c r="I1564" t="inlineStr">
        <is>
          <t>1</t>
        </is>
      </c>
      <c r="J1564" t="inlineStr"/>
      <c r="K1564" t="inlineStr"/>
      <c r="L1564" t="inlineStr"/>
      <c r="M1564" t="inlineStr"/>
      <c r="N1564" t="inlineStr"/>
      <c r="O1564" t="n">
        <v>0</v>
      </c>
      <c r="P1564">
        <f>IF(B1581=0,0,O1564/B1581)</f>
        <v/>
      </c>
      <c r="Q1564" t="n">
        <v>0</v>
      </c>
      <c r="R1564" t="n">
        <v>0</v>
      </c>
      <c r="S1564">
        <f>IFERROR(O1564/N1564,0)</f>
        <v/>
      </c>
    </row>
    <row r="1565">
      <c r="A1565">
        <f>Skills!A29</f>
        <v/>
      </c>
      <c r="B1565">
        <f>Skills!B29</f>
        <v/>
      </c>
      <c r="C1565">
        <f>Inputs!$B$3&gt;=120</f>
        <v/>
      </c>
      <c r="D1565">
        <f>IF(Skills!C29=1,60+Inputs!$B$25+Inputs!$B$29,IF(Skills!C29=2,90+Inputs!$B$26+Inputs!$B$29,IF(Skills!C29=3,120+Inputs!$B$27+Inputs!$B$29,MAX(0,(Inputs!$B$3-100)*3)+Inputs!$B$28+Inputs!$B$29)))</f>
        <v/>
      </c>
      <c r="E1565">
        <f>INDEX(FactorTable!$B$2:$Y$301, MATCH(ROUND(MIN(300,MAX(1,D1565)),0), FactorTable!$A$2:$A$301,0), Skills!M29+1)</f>
        <v/>
      </c>
      <c r="F1565">
        <f>IF(Skills!N29=TRUE,(Skills!L29/10)*(E1565/1000),Skills!L29/10)+Skills!O29</f>
        <v/>
      </c>
      <c r="G1565">
        <f>Skills!G29*IF(Skills!H29&gt;0,Skills!I29/Skills!H29,1)</f>
        <v/>
      </c>
      <c r="H1565">
        <f>1-(1-Skills!J29/100)^Skills!K29</f>
        <v/>
      </c>
      <c r="I1565" t="inlineStr">
        <is>
          <t>1</t>
        </is>
      </c>
      <c r="J1565" t="inlineStr"/>
      <c r="K1565" t="inlineStr"/>
      <c r="L1565" t="inlineStr"/>
      <c r="M1565" t="inlineStr"/>
      <c r="N1565" t="inlineStr"/>
      <c r="O1565" t="n">
        <v>0</v>
      </c>
      <c r="P1565">
        <f>IF(B1581=0,0,O1565/B1581)</f>
        <v/>
      </c>
      <c r="Q1565" t="n">
        <v>0</v>
      </c>
      <c r="R1565" t="n">
        <v>0</v>
      </c>
      <c r="S1565">
        <f>IFERROR(O1565/N1565,0)</f>
        <v/>
      </c>
    </row>
    <row r="1566">
      <c r="A1566">
        <f>Skills!A30</f>
        <v/>
      </c>
      <c r="B1566">
        <f>Skills!B30</f>
        <v/>
      </c>
      <c r="C1566">
        <f>Inputs!$B$3&gt;=125</f>
        <v/>
      </c>
      <c r="D1566">
        <f>IF(Skills!C30=1,60+Inputs!$B$25+Inputs!$B$29,IF(Skills!C30=2,90+Inputs!$B$26+Inputs!$B$29,IF(Skills!C30=3,120+Inputs!$B$27+Inputs!$B$29,MAX(0,(Inputs!$B$3-100)*3)+Inputs!$B$28+Inputs!$B$29)))</f>
        <v/>
      </c>
      <c r="E1566">
        <f>INDEX(FactorTable!$B$2:$Y$301, MATCH(ROUND(MIN(300,MAX(1,D1566)),0), FactorTable!$A$2:$A$301,0), Skills!M30+1)</f>
        <v/>
      </c>
      <c r="F1566">
        <f>IF(Skills!N30=TRUE,(Skills!L30/10)*(E1566/1000),Skills!L30/10)+Skills!O30</f>
        <v/>
      </c>
      <c r="G1566">
        <f>Skills!G30*IF(Skills!H30&gt;0,Skills!I30/Skills!H30,1)</f>
        <v/>
      </c>
      <c r="H1566">
        <f>1-(1-Skills!J30/100)^Skills!K30</f>
        <v/>
      </c>
      <c r="I1566" t="inlineStr">
        <is>
          <t>1</t>
        </is>
      </c>
      <c r="J1566" t="inlineStr"/>
      <c r="K1566" t="inlineStr"/>
      <c r="L1566" t="inlineStr"/>
      <c r="M1566" t="inlineStr"/>
      <c r="N1566" t="inlineStr"/>
      <c r="O1566" t="n">
        <v>0</v>
      </c>
      <c r="P1566">
        <f>IF(B1581=0,0,O1566/B1581)</f>
        <v/>
      </c>
      <c r="Q1566" t="n">
        <v>0</v>
      </c>
      <c r="R1566" t="n">
        <v>0</v>
      </c>
      <c r="S1566">
        <f>IFERROR(O1566/N1566,0)</f>
        <v/>
      </c>
    </row>
    <row r="1568">
      <c r="A1568" t="inlineStr">
        <is>
          <t>Average Buff Multiplier</t>
        </is>
      </c>
      <c r="B1568">
        <f>(1+(((C1557=TRUE)*F1557*IF(AND(Inputs!$B$39&lt;&gt;"pvp",Inputs!$B$44&gt;0),(((R1557-1)*(Skills!Y21*(1+Inputs!$B$34/100))+MIN((Skills!Y21*(1+Inputs!$B$34/100)),MAX(0,Inputs!$B$44-((R1557-1)*Skills!D21))))/Inputs!$B$44),IF(Inputs!$B$39="pvp",MIN((Skills!Y21*(1+Inputs!$B$34/100)),15)/15,(Skills!Y21*(1+Inputs!$B$34/100))/Skills!D21)))+((C1559=TRUE)*(F1559-Calc!F23))+((C1553=TRUE)*(F1553-Calc!F17)))/100)*(1+((C1546=TRUE)*F1546*IF(AND(Inputs!$B$39&lt;&gt;"pvp",Inputs!$B$44&gt;0),(((R1546-1)*(Skills!Y10*(1+Inputs!$B$34/100))+MIN((Skills!Y10*(1+Inputs!$B$34/100)),MAX(0,Inputs!$B$44-((R1546-1)*Skills!D10))))/Inputs!$B$44),IF(Inputs!$B$39="pvp",MIN((Skills!Y10*(1+Inputs!$B$34/100)),15)/15,(Skills!Y10*(1+Inputs!$B$34/100))/Skills!D10)))/100)*(1+((C1551=TRUE)*F1551*IF(AND(Inputs!$B$39&lt;&gt;"pvp",Inputs!$B$44&gt;0),(((R1551-1)*(Skills!Y15*(1+Inputs!$B$34/100))+MIN((Skills!Y15*(1+Inputs!$B$34/100)),MAX(0,Inputs!$B$44-((R1551-1)*Skills!D15))))/Inputs!$B$44),IF(Inputs!$B$39="pvp",MIN((Skills!Y15*(1+Inputs!$B$34/100)),15)/15,(Skills!Y15*(1+Inputs!$B$34/100))/Skills!D15)))/100)</f>
        <v/>
      </c>
    </row>
    <row r="1569">
      <c r="A1569" t="inlineStr">
        <is>
          <t>Global Crit Rate Bonus %</t>
        </is>
      </c>
      <c r="B1569">
        <f>((C1556=TRUE)*F1556*IF(AND(Inputs!$B$39&lt;&gt;"pvp",Inputs!$B$44&gt;0),(((R1556-1)*(Skills!Y20*(1+Inputs!$B$34/100))+MIN((Skills!Y20*(1+Inputs!$B$34/100)),MAX(0,Inputs!$B$44-((R1556-1)*Skills!D20))))/Inputs!$B$44),IF(Inputs!$B$39="pvp",MIN((Skills!Y20*(1+Inputs!$B$34/100)),15)/15,(Skills!Y20*(1+Inputs!$B$34/100))/Skills!D20)))</f>
        <v/>
      </c>
    </row>
    <row r="1570">
      <c r="A1570" t="inlineStr">
        <is>
          <t>Global Monster Damage-Taken Bonus %</t>
        </is>
      </c>
      <c r="B1570">
        <f>IF(Inputs!$B$3&gt;=82,15,0)</f>
        <v/>
      </c>
    </row>
    <row r="1571">
      <c r="A1571" t="inlineStr">
        <is>
          <t>Shadow Partner Average Multiplier</t>
        </is>
      </c>
      <c r="B1571">
        <f>1+((C1543=TRUE)*F1543*(1+3.3333333333333335*IF(C1554=TRUE,F1554,0)/100)*I1543*Skills!J7/100)/100</f>
        <v/>
      </c>
    </row>
    <row r="1572">
      <c r="A1572" t="inlineStr">
        <is>
          <t>Attack Speed Buff Bonus %</t>
        </is>
      </c>
      <c r="B1572">
        <f>((C1555=TRUE)*F1555*IF(AND(Inputs!$B$39&lt;&gt;"pvp",Inputs!$B$44&gt;0),(((R1555-1)*(Skills!Y19*(1+Inputs!$B$34/100))+MIN((Skills!Y19*(1+Inputs!$B$34/100)),MAX(0,Inputs!$B$44-((R1555-1)*Skills!D19))))/Inputs!$B$44),IF(Inputs!$B$39="pvp",MIN((Skills!Y19*(1+Inputs!$B$34/100)),15)/15,(Skills!Y19*(1+Inputs!$B$34/100))/Skills!D19)))+((C1539=TRUE)*F1539*3)</f>
        <v/>
      </c>
    </row>
    <row r="1573">
      <c r="A1573" t="inlineStr">
        <is>
          <t>Actions Per Second</t>
        </is>
      </c>
      <c r="B1573">
        <f>1+MIN(150,150*(1-(1-(Inputs!$B$11+((C1558=TRUE)*(F1558-Calc!F22)))/150)*(1-B1572/150)))/100</f>
        <v/>
      </c>
    </row>
    <row r="1574">
      <c r="A1574" t="inlineStr">
        <is>
          <t>Skill + Buff Cast Rate</t>
        </is>
      </c>
      <c r="B1574">
        <f>IF(AND(Inputs!$B$39&lt;&gt;"pvp",Inputs!$B$44&gt;0),SUMPRODUCT((Skills!E2:E30=TRUE)*(C1538:C1566=TRUE)*R1538:R1566*Skills!F2:F30)/Inputs!$B$44,SUMPRODUCT((Skills!E2:E30=TRUE)*(C1538:C1566=TRUE)*Q1538:Q1566*Skills!F2:F30))</f>
        <v/>
      </c>
    </row>
    <row r="1575">
      <c r="A1575" t="inlineStr">
        <is>
          <t>Cruel Stab Casts Per Second</t>
        </is>
      </c>
      <c r="B1575">
        <f>MAX(0,B1573-B1574)</f>
        <v/>
      </c>
    </row>
    <row r="1576">
      <c r="A1576" t="inlineStr">
        <is>
          <t>Global Critical Damage Bonus % (Smokescreen Mastery Lv.113)</t>
        </is>
      </c>
      <c r="B1576">
        <f>IF(Inputs!$B$3&gt;=113,30,0)*IF(AND(Inputs!$B$39&lt;&gt;"pvp",Inputs!$B$44&gt;0),(((R1551-1)*(Skills!Y15*(1+Inputs!$B$34/100))+MIN((Skills!Y15*(1+Inputs!$B$34/100)),MAX(0,Inputs!$B$44-((R1551-1)*Skills!D15))))/Inputs!$B$44),IF(Inputs!$B$39="pvp",MIN((Skills!Y15*(1+Inputs!$B$34/100)),15)/15,(Skills!Y15*(1+Inputs!$B$34/100))/Skills!D15))</f>
        <v/>
      </c>
    </row>
    <row r="1577">
      <c r="A1577" t="inlineStr">
        <is>
          <t>Meso Explosion average stack count</t>
        </is>
      </c>
      <c r="B1577">
        <f>MIN(10,0.5*B1573*Skills!D4)</f>
        <v/>
      </c>
    </row>
    <row r="1578">
      <c r="A1578" t="inlineStr">
        <is>
          <t>Blood Money average stack count</t>
        </is>
      </c>
      <c r="B1578">
        <f>MIN(5,0.25*B1573*Skills!D4)</f>
        <v/>
      </c>
    </row>
    <row r="1579">
      <c r="A1579" t="inlineStr">
        <is>
          <t>Assassinate Murderous Intent Multiplier</t>
        </is>
      </c>
      <c r="B1579">
        <f>1+IFERROR(MIN(1,Q1550*2/Q1547),0)</f>
        <v/>
      </c>
    </row>
    <row r="1580">
      <c r="A1580" t="inlineStr">
        <is>
          <t>Buff-Casting Startup Delay (s, fixed-duration only)</t>
        </is>
      </c>
      <c r="B1580">
        <f>IF(AND(Inputs!$B$39&lt;&gt;"pvp",Inputs!$B$44&gt;0),SUMPRODUCT((Skills!Y2:Y30&gt;0)*(Skills!E2:E30=TRUE)*(C1538:C1566=TRUE))/B1573,0)</f>
        <v/>
      </c>
    </row>
    <row r="1581">
      <c r="A1581" s="5" t="inlineStr">
        <is>
          <t>TOTAL DPS</t>
        </is>
      </c>
      <c r="B1581" s="5">
        <f>SUM(O1538:O1566)</f>
        <v/>
      </c>
    </row>
    <row r="1584">
      <c r="A1584" s="5" t="inlineStr">
        <is>
          <t>Stat: CDR = 3.0s</t>
        </is>
      </c>
    </row>
    <row r="1585">
      <c r="A1585" s="9" t="inlineStr">
        <is>
          <t>Key</t>
        </is>
      </c>
      <c r="B1585" s="9" t="inlineStr">
        <is>
          <t>Name</t>
        </is>
      </c>
      <c r="C1585" s="9" t="inlineStr">
        <is>
          <t>Unlocked</t>
        </is>
      </c>
      <c r="D1585" s="9" t="inlineStr">
        <is>
          <t>InputLevel</t>
        </is>
      </c>
      <c r="E1585" s="9" t="inlineStr">
        <is>
          <t>Factor</t>
        </is>
      </c>
      <c r="F1585" s="9" t="inlineStr">
        <is>
          <t>CoefficientPercent</t>
        </is>
      </c>
      <c r="G1585" s="9" t="inlineStr">
        <is>
          <t>EffectiveHits</t>
        </is>
      </c>
      <c r="H1585" s="9" t="inlineStr">
        <is>
          <t>ProcProbability</t>
        </is>
      </c>
      <c r="I1585" s="9" t="inlineStr">
        <is>
          <t>MapleHeroMultiplier</t>
        </is>
      </c>
      <c r="J1585" s="9" t="inlineStr">
        <is>
          <t>BaseDamage</t>
        </is>
      </c>
      <c r="K1585" s="9" t="inlineStr">
        <is>
          <t>BaseHitDamage</t>
        </is>
      </c>
      <c r="L1585" s="9" t="inlineStr">
        <is>
          <t>NonCritAvg</t>
        </is>
      </c>
      <c r="M1585" s="9" t="inlineStr">
        <is>
          <t>CritAvg</t>
        </is>
      </c>
      <c r="N1585" s="9" t="inlineStr">
        <is>
          <t>ExpectedDamage(perHit)</t>
        </is>
      </c>
      <c r="O1585" s="9" t="inlineStr">
        <is>
          <t>DPS</t>
        </is>
      </c>
      <c r="P1585" s="9" t="inlineStr">
        <is>
          <t>% of Total</t>
        </is>
      </c>
      <c r="Q1585" s="9" t="inlineStr">
        <is>
          <t>InvCooldown</t>
        </is>
      </c>
      <c r="R1585" s="9" t="inlineStr">
        <is>
          <t>CastsInFight</t>
        </is>
      </c>
      <c r="S1585" s="9" t="inlineStr">
        <is>
          <t>HitRate(perSec)</t>
        </is>
      </c>
      <c r="U1585" t="inlineStr">
        <is>
          <t>helpers</t>
        </is>
      </c>
    </row>
    <row r="1586">
      <c r="A1586">
        <f>Skills!A2</f>
        <v/>
      </c>
      <c r="B1586">
        <f>Skills!B2</f>
        <v/>
      </c>
      <c r="C1586">
        <f>Inputs!$B$3&gt;=100</f>
        <v/>
      </c>
      <c r="D1586" t="inlineStr"/>
      <c r="E1586" t="inlineStr"/>
      <c r="F1586">
        <f>U1588+Skills!O2</f>
        <v/>
      </c>
      <c r="G1586">
        <f>Skills!G2*IF(Skills!H2&gt;0,Skills!I2/Skills!H2,1)</f>
        <v/>
      </c>
      <c r="H1586">
        <f>1-(1-Skills!J2/100)^Skills!K2</f>
        <v/>
      </c>
      <c r="I1586" t="inlineStr">
        <is>
          <t>1</t>
        </is>
      </c>
      <c r="J1586">
        <f>((Inputs!$B$6*(1+Inputs!$B$7/100))+(((Inputs!$B$12*(1+Inputs!$B$13/100))-(Inputs!$B$12*(1+Inputs!$B$13/100)))+0.25*(Inputs!$B$14-Inputs!$B$14))*(1+Inputs!$B$7/100))*(F1586/100)</f>
        <v/>
      </c>
      <c r="K1586">
        <f>J1586*(1+((Inputs!$B$12*(1+Inputs!$B$13/100))*0.01+Inputs!$B$14*0.0025)/100)*(1+Inputs!$B$15/100)*(1+IF(Inputs!$B$39="pvp",0,(1-Summary!$B$55)*(Inputs!$B$20+0+Skills!P2+B1618)+Summary!$B$55*(Inputs!$B$21+Skills!Q2+B1618))/100)*(1+Inputs!$B$16/100)*(5000/(6000+Inputs!$B$43*(1-Inputs!$B$19/100)))*(1+(Inputs!$B$24+((C1614=TRUE)*(F1614-Calc!F30)))/100)*(1+(IF(Skills!A2="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1586)</f>
        <v/>
      </c>
      <c r="L1586">
        <f>K1586*(MIN(Inputs!$B$22+((C1608=TRUE)*(F1608-Calc!F24)),Inputs!$B$23+((C1613=TRUE)*(F1613-Calc!F29)))/100+(Inputs!$B$23+((C1613=TRUE)*(F1613-Calc!F29)))/100)/2</f>
        <v/>
      </c>
      <c r="M1586">
        <f>L1586*(1+(Inputs!$B$10+((C1610=TRUE)*(F1610-Calc!F26))+B1624)/100)</f>
        <v/>
      </c>
      <c r="N1586">
        <f>L1586*(1-MIN((Inputs!$B$9+((C1609=TRUE)*(F1609-Calc!F25))+B1617),100)/100)+M1586*(MIN((Inputs!$B$9+((C1609=TRUE)*(F1609-Calc!F25))+B1617),100)/100)</f>
        <v/>
      </c>
      <c r="O1586">
        <f>IF(C1586,Skills!G2*N1586*B1623*IF(Inputs!$B$39="pvp",1,(1-Summary!$B$55)*(1)+Summary!$B$55*(MIN((6+Inputs!$B$33),Inputs!$B$37))),0)</f>
        <v/>
      </c>
      <c r="P1586">
        <f>IF(B1629=0,0,O1586/B1629)</f>
        <v/>
      </c>
      <c r="Q1586" t="n">
        <v>0</v>
      </c>
      <c r="R1586" t="n">
        <v>0</v>
      </c>
      <c r="S1586">
        <f>IFERROR(O1586/N1586,0)</f>
        <v/>
      </c>
      <c r="U1586">
        <f>MAX(0,(Inputs!$B$3-100)*3)+Inputs!$B$28+Inputs!$B$29</f>
        <v/>
      </c>
    </row>
    <row r="1587">
      <c r="A1587">
        <f>Skills!A3</f>
        <v/>
      </c>
      <c r="B1587">
        <f>Skills!B3</f>
        <v/>
      </c>
      <c r="C1587">
        <f>Inputs!$B$3&gt;=35</f>
        <v/>
      </c>
      <c r="D1587">
        <f>IF(Skills!C3=1,60+Inputs!$B$25+Inputs!$B$29,IF(Skills!C3=2,90+Inputs!$B$26+Inputs!$B$29,IF(Skills!C3=3,120+Inputs!$B$27+Inputs!$B$29,MAX(0,(Inputs!$B$3-100)*3)+Inputs!$B$28+Inputs!$B$29)))</f>
        <v/>
      </c>
      <c r="E1587">
        <f>INDEX(FactorTable!$B$2:$Y$301, MATCH(ROUND(MIN(300,MAX(1,D1587)),0), FactorTable!$A$2:$A$301,0), Skills!M3+1)</f>
        <v/>
      </c>
      <c r="F1587">
        <f>IF(Skills!N3=TRUE,(Skills!L3/10)*(E1587/1000),Skills!L3/10)+Skills!O3</f>
        <v/>
      </c>
      <c r="G1587">
        <f>Skills!G3*IF(Skills!H3&gt;0,Skills!I3/Skills!H3,1)</f>
        <v/>
      </c>
      <c r="H1587">
        <f>1-(1-Skills!J3/100)^Skills!K3</f>
        <v/>
      </c>
      <c r="I1587" t="inlineStr">
        <is>
          <t>1</t>
        </is>
      </c>
      <c r="J1587" t="inlineStr"/>
      <c r="K1587" t="inlineStr"/>
      <c r="L1587" t="inlineStr"/>
      <c r="M1587" t="inlineStr"/>
      <c r="N1587" t="inlineStr"/>
      <c r="O1587" t="n">
        <v>0</v>
      </c>
      <c r="P1587">
        <f>IF(B1629=0,0,O1587/B1629)</f>
        <v/>
      </c>
      <c r="Q1587" t="n">
        <v>0</v>
      </c>
      <c r="R1587" t="n">
        <v>0</v>
      </c>
      <c r="S1587">
        <f>IFERROR(O1587/N1587,0)</f>
        <v/>
      </c>
      <c r="U1587">
        <f>INDEX(FactorTable!$B$2:$Y$301, MATCH(ROUND(MIN(300,MAX(1,U1586)),0), FactorTable!$A$2:$A$301,0), 22)</f>
        <v/>
      </c>
    </row>
    <row r="1588">
      <c r="A1588">
        <f>Skills!A4</f>
        <v/>
      </c>
      <c r="B1588">
        <f>Skills!B4</f>
        <v/>
      </c>
      <c r="C1588">
        <f>Inputs!$B$3&gt;=66</f>
        <v/>
      </c>
      <c r="D1588">
        <f>IF(Skills!C4=1,60+Inputs!$B$25+Inputs!$B$29,IF(Skills!C4=2,90+Inputs!$B$26+Inputs!$B$29,IF(Skills!C4=3,120+Inputs!$B$27+Inputs!$B$29,MAX(0,(Inputs!$B$3-100)*3)+Inputs!$B$28+Inputs!$B$29)))</f>
        <v/>
      </c>
      <c r="E1588">
        <f>INDEX(FactorTable!$B$2:$Y$301, MATCH(ROUND(MIN(300,MAX(1,D1588)),0), FactorTable!$A$2:$A$301,0), Skills!M4+1)</f>
        <v/>
      </c>
      <c r="F1588">
        <f>IF(Skills!N4=TRUE,(Skills!L4/10)*(E1588/1000),Skills!L4/10)+Skills!O4</f>
        <v/>
      </c>
      <c r="G1588">
        <f>Skills!G4*IF(Skills!H4&gt;0,Skills!I4/Skills!H4,1)</f>
        <v/>
      </c>
      <c r="H1588">
        <f>1-(1-Skills!J4/100)^Skills!K4</f>
        <v/>
      </c>
      <c r="I1588" t="inlineStr">
        <is>
          <t>1</t>
        </is>
      </c>
      <c r="J1588">
        <f>((Inputs!$B$6*(1+Inputs!$B$7/100))+(((Inputs!$B$12*(1+Inputs!$B$13/100))-(Inputs!$B$12*(1+Inputs!$B$13/100)))+0.25*(Inputs!$B$14-Inputs!$B$14))*(1+Inputs!$B$7/100))*(F1588/100)</f>
        <v/>
      </c>
      <c r="K1588">
        <f>J1588*(1+((Inputs!$B$12*(1+Inputs!$B$13/100))*0.01+Inputs!$B$14*0.0025)/100)*(1+Inputs!$B$15/100)*(1+IF(Inputs!$B$39="pvp",0,(1-Summary!$B$55)*(Inputs!$B$20+0+Skills!P4+B1618)+Summary!$B$55*(Inputs!$B$21+Skills!Q4+B1618))/100)*(1+Inputs!$B$16/100)*(5000/(6000+Inputs!$B$43*(1-Inputs!$B$19/100)))*(1+(Inputs!$B$24+((C1614=TRUE)*(F1614-Calc!F30)))/100)*(1+(IF(Skills!A4="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1588)</f>
        <v/>
      </c>
      <c r="L1588">
        <f>K1588*(MIN(Inputs!$B$22+((C1608=TRUE)*(F1608-Calc!F24)),Inputs!$B$23+((C1613=TRUE)*(F1613-Calc!F29)))/100+(Inputs!$B$23+((C1613=TRUE)*(F1613-Calc!F29)))/100)/2</f>
        <v/>
      </c>
      <c r="M1588">
        <f>L1588*(1+(Inputs!$B$10+((C1610=TRUE)*(F1610-Calc!F26))+B1624)/100)</f>
        <v/>
      </c>
      <c r="N1588">
        <f>L1588*(1-MIN((Inputs!$B$9+((C1609=TRUE)*(F1609-Calc!F25))+B1617),100)/100)+M1588*(MIN((Inputs!$B$9+((C1609=TRUE)*(F1609-Calc!F25))+B1617),100)/100)</f>
        <v/>
      </c>
      <c r="O1588">
        <f>IF(C1588,H1588*N1588*IF(AND(Inputs!$B$39&lt;&gt;"pvp",Inputs!$B$44&gt;0),((Skills!G4*((R1588-1)*IF(Skills!H4&gt;0,Skills!I4/Skills!H4,1)+IF(Skills!H4&gt;0,MIN(Skills!I4,MAX(0,MAX(0,Inputs!$B$44-B1628)-((R1588-1)*IF(Inputs!$B$39="pvp",15,MAX(0.1,Skills!D4-IF(Skills!E4=TRUE,3.0,0))))))/Skills!H4,1)))/Inputs!$B$44),G1588*Q1588)*IF(Inputs!$B$39="pvp",1,(1-Summary!$B$55)*(1)+Summary!$B$55*(MIN(MIN(10,0.5*B1621*Skills!D4),Inputs!$B$37))),0)</f>
        <v/>
      </c>
      <c r="P1588">
        <f>IF(B1629=0,0,O1588/B1629)</f>
        <v/>
      </c>
      <c r="Q1588">
        <f>IFERROR(1/IF(Inputs!$B$39="pvp",15,MAX(0.1,Skills!D4-IF(Skills!E4=TRUE,3.0,0))),0)</f>
        <v/>
      </c>
      <c r="R1588">
        <f>IF(AND(Inputs!$B$39&lt;&gt;"pvp",Inputs!$B$44&gt;0),IF(MAX(0,Inputs!$B$44-B1628)&lt;=0,0,(INT(MAX(0,Inputs!$B$44-B1628)/IF(Inputs!$B$39="pvp",15,MAX(0.1,Skills!D4-IF(Skills!E4=TRUE,3.0,0))))+1)),0)</f>
        <v/>
      </c>
      <c r="S1588">
        <f>IFERROR(O1588/N1588,0)</f>
        <v/>
      </c>
      <c r="U1588">
        <f>290*U1587/1000</f>
        <v/>
      </c>
    </row>
    <row r="1589">
      <c r="A1589">
        <f>Skills!A5</f>
        <v/>
      </c>
      <c r="B1589">
        <f>Skills!B5</f>
        <v/>
      </c>
      <c r="C1589">
        <f>Inputs!$B$3&gt;=63</f>
        <v/>
      </c>
      <c r="D1589">
        <f>IF(Skills!C5=1,60+Inputs!$B$25+Inputs!$B$29,IF(Skills!C5=2,90+Inputs!$B$26+Inputs!$B$29,IF(Skills!C5=3,120+Inputs!$B$27+Inputs!$B$29,MAX(0,(Inputs!$B$3-100)*3)+Inputs!$B$28+Inputs!$B$29)))</f>
        <v/>
      </c>
      <c r="E1589">
        <f>INDEX(FactorTable!$B$2:$Y$301, MATCH(ROUND(MIN(300,MAX(1,D1589)),0), FactorTable!$A$2:$A$301,0), Skills!M5+1)</f>
        <v/>
      </c>
      <c r="F1589">
        <f>IF(Skills!N5=TRUE,(Skills!L5/10)*(E1589/1000),Skills!L5/10)+Skills!O5</f>
        <v/>
      </c>
      <c r="G1589">
        <f>Skills!G5*IF(Skills!H5&gt;0,Skills!I5/Skills!H5,1)</f>
        <v/>
      </c>
      <c r="H1589">
        <f>1-(1-Skills!J5/100)^Skills!K5</f>
        <v/>
      </c>
      <c r="I1589" t="inlineStr">
        <is>
          <t>1</t>
        </is>
      </c>
      <c r="J1589">
        <f>((Inputs!$B$6*(1+Inputs!$B$7/100))+(((Inputs!$B$12*(1+Inputs!$B$13/100))-(Inputs!$B$12*(1+Inputs!$B$13/100)))+0.25*(Inputs!$B$14-Inputs!$B$14))*(1+Inputs!$B$7/100))*(F1589/100)</f>
        <v/>
      </c>
      <c r="K1589">
        <f>J1589*(1+((Inputs!$B$12*(1+Inputs!$B$13/100))*0.01+Inputs!$B$14*0.0025)/100)*(1+Inputs!$B$15/100)*(1+IF(Inputs!$B$39="pvp",0,(1-Summary!$B$55)*(Inputs!$B$20+0+Skills!P5+B1618)+Summary!$B$55*(Inputs!$B$21+Skills!Q5+B1618))/100)*(1+Inputs!$B$16/100)*(5000/(6000+Inputs!$B$43*(1-Inputs!$B$19/100)))*(1+(Inputs!$B$24+((C1614=TRUE)*(F1614-Calc!F30)))/100)*(1+2.6666666666666665*IF(C1602=TRUE,F1602,0)/100)*(1+(IF(Skills!A5="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1589)</f>
        <v/>
      </c>
      <c r="L1589">
        <f>K1589*(MIN(Inputs!$B$22+((C1608=TRUE)*(F1608-Calc!F24)),Inputs!$B$23+((C1613=TRUE)*(F1613-Calc!F29)))/100+(Inputs!$B$23+((C1613=TRUE)*(F1613-Calc!F29)))/100)/2</f>
        <v/>
      </c>
      <c r="M1589">
        <f>L1589*(1+(Inputs!$B$10+((C1610=TRUE)*(F1610-Calc!F26))+B1624)/100)</f>
        <v/>
      </c>
      <c r="N1589">
        <f>L1589*(1-MIN((Inputs!$B$9+((C1609=TRUE)*(F1609-Calc!F25))+B1617),100)/100)+M1589*(MIN((Inputs!$B$9+((C1609=TRUE)*(F1609-Calc!F25))+B1617),100)/100)</f>
        <v/>
      </c>
      <c r="O1589">
        <f>IF(C1589,H1589*N1589*IF(AND(Inputs!$B$39&lt;&gt;"pvp",Inputs!$B$44&gt;0),((Skills!G5*((R1589-1)*IF(Skills!H5&gt;0,Skills!I5/Skills!H5,1)+IF(Skills!H5&gt;0,MIN(Skills!I5,MAX(0,MAX(0,Inputs!$B$44-B1628)-((R1589-1)*IF(Inputs!$B$39="pvp",15,MAX(0.1,Skills!D5-IF(Skills!E5=TRUE,3.0,0))))))/Skills!H5,1)))/Inputs!$B$44),G1589*Q1589)*IF(Inputs!$B$39="pvp",1,(1-Summary!$B$55)*(1)+Summary!$B$55*(MIN(Skills!W5,Inputs!$B$37))),0)</f>
        <v/>
      </c>
      <c r="P1589">
        <f>IF(B1629=0,0,O1589/B1629)</f>
        <v/>
      </c>
      <c r="Q1589">
        <f>IFERROR(1/IF(Inputs!$B$39="pvp",15,MAX(0.1,Skills!D5-IF(Skills!E5=TRUE,3.0,0))),0)</f>
        <v/>
      </c>
      <c r="R1589">
        <f>IF(AND(Inputs!$B$39&lt;&gt;"pvp",Inputs!$B$44&gt;0),IF(MAX(0,Inputs!$B$44-B1628)&lt;=0,0,(INT(MAX(0,Inputs!$B$44-B1628)/IF(Inputs!$B$39="pvp",15,MAX(0.1,Skills!D5-IF(Skills!E5=TRUE,3.0,0))))+1)),0)</f>
        <v/>
      </c>
      <c r="S1589">
        <f>IFERROR(O1589/N1589,0)</f>
        <v/>
      </c>
    </row>
    <row r="1590">
      <c r="A1590">
        <f>Skills!A6</f>
        <v/>
      </c>
      <c r="B1590">
        <f>Skills!B6</f>
        <v/>
      </c>
      <c r="C1590">
        <f>Inputs!$B$3&gt;=69</f>
        <v/>
      </c>
      <c r="D1590">
        <f>IF(Skills!C6=1,60+Inputs!$B$25+Inputs!$B$29,IF(Skills!C6=2,90+Inputs!$B$26+Inputs!$B$29,IF(Skills!C6=3,120+Inputs!$B$27+Inputs!$B$29,MAX(0,(Inputs!$B$3-100)*3)+Inputs!$B$28+Inputs!$B$29)))</f>
        <v/>
      </c>
      <c r="E1590">
        <f>INDEX(FactorTable!$B$2:$Y$301, MATCH(ROUND(MIN(300,MAX(1,D1590)),0), FactorTable!$A$2:$A$301,0), Skills!M6+1)</f>
        <v/>
      </c>
      <c r="F1590">
        <f>IF(Skills!N6=TRUE,(Skills!L6/10)*(E1590/1000),Skills!L6/10)+Skills!O6</f>
        <v/>
      </c>
      <c r="G1590">
        <f>Skills!G6*IF(Skills!H6&gt;0,Skills!I6/Skills!H6,1)</f>
        <v/>
      </c>
      <c r="H1590">
        <f>1-(1-Skills!J6/100)^Skills!K6</f>
        <v/>
      </c>
      <c r="I1590" t="inlineStr">
        <is>
          <t>1</t>
        </is>
      </c>
      <c r="J1590">
        <f>((Inputs!$B$6*(1+Inputs!$B$7/100))+(((Inputs!$B$12*(1+Inputs!$B$13/100))-(Inputs!$B$12*(1+Inputs!$B$13/100)))+0.25*(Inputs!$B$14-Inputs!$B$14))*(1+Inputs!$B$7/100))*(F1590/100)</f>
        <v/>
      </c>
      <c r="K1590">
        <f>J1590*(1+((Inputs!$B$12*(1+Inputs!$B$13/100))*0.01+Inputs!$B$14*0.0025)/100)*(1+Inputs!$B$15/100)*(1+IF(Inputs!$B$39="pvp",0,(1-Summary!$B$55)*(Inputs!$B$20+0+Skills!P6+B1618)+Summary!$B$55*(Inputs!$B$21+Skills!Q6+B1618))/100)*(1+Inputs!$B$16/100)*(5000/(6000+Inputs!$B$43*(1-Inputs!$B$19/100)))*(1+(Inputs!$B$24+((C1614=TRUE)*(F1614-Calc!F30)))/100)*(1+1.0*IF(C1602=TRUE,F1602,0)/100)*(1+(IF(Skills!A6="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1590)</f>
        <v/>
      </c>
      <c r="L1590">
        <f>K1590*(MIN(Inputs!$B$22+((C1608=TRUE)*(F1608-Calc!F24)),Inputs!$B$23+((C1613=TRUE)*(F1613-Calc!F29)))/100+(Inputs!$B$23+((C1613=TRUE)*(F1613-Calc!F29)))/100)/2</f>
        <v/>
      </c>
      <c r="M1590">
        <f>L1590*(1+(Inputs!$B$10+((C1610=TRUE)*(F1610-Calc!F26))+B1624)/100)</f>
        <v/>
      </c>
      <c r="N1590">
        <f>L1590*(1-MIN((Inputs!$B$9+((C1609=TRUE)*(F1609-Calc!F25))+B1617),100)/100)+M1590*(MIN((Inputs!$B$9+((C1609=TRUE)*(F1609-Calc!F25))+B1617),100)/100)</f>
        <v/>
      </c>
      <c r="O1590">
        <f>IF(C1590,H1590*N1590*IF(AND(Inputs!$B$39&lt;&gt;"pvp",Inputs!$B$44&gt;0),((Skills!G6*((R1590-1)*IF(Skills!H6&gt;0,Skills!I6/Skills!H6,1)+IF(Skills!H6&gt;0,MIN(Skills!I6,MAX(0,MAX(0,Inputs!$B$44-B1628)-((R1590-1)*IF(Inputs!$B$39="pvp",15,MAX(0.1,Skills!D6-IF(Skills!E6=TRUE,3.0,0))))))/Skills!H6,1)))/Inputs!$B$44),G1590*Q1590)*IF(Inputs!$B$39="pvp",1,(1-Summary!$B$55)*(1)+Summary!$B$55*(MIN(Skills!W6,Inputs!$B$37))),0)</f>
        <v/>
      </c>
      <c r="P1590">
        <f>IF(B1629=0,0,O1590/B1629)</f>
        <v/>
      </c>
      <c r="Q1590">
        <f>IFERROR(1/IF(Inputs!$B$39="pvp",15,MAX(0.1,Skills!D6-IF(Skills!E6=TRUE,3.0,0))),0)</f>
        <v/>
      </c>
      <c r="R1590">
        <f>IF(AND(Inputs!$B$39&lt;&gt;"pvp",Inputs!$B$44&gt;0),IF(MAX(0,Inputs!$B$44-B1628)&lt;=0,0,(INT(MAX(0,Inputs!$B$44-B1628)/IF(Inputs!$B$39="pvp",15,MAX(0.1,Skills!D6-IF(Skills!E6=TRUE,3.0,0))))+1)),0)</f>
        <v/>
      </c>
      <c r="S1590">
        <f>IFERROR(O1590/N1590,0)</f>
        <v/>
      </c>
    </row>
    <row r="1591">
      <c r="A1591">
        <f>Skills!A7</f>
        <v/>
      </c>
      <c r="B1591">
        <f>Skills!B7</f>
        <v/>
      </c>
      <c r="C1591">
        <f>Inputs!$B$3&gt;=60</f>
        <v/>
      </c>
      <c r="D1591">
        <f>IF(Skills!C7=1,60+Inputs!$B$25+Inputs!$B$29,IF(Skills!C7=2,90+Inputs!$B$26+Inputs!$B$29,IF(Skills!C7=3,120+Inputs!$B$27+Inputs!$B$29,MAX(0,(Inputs!$B$3-100)*3)+Inputs!$B$28+Inputs!$B$29)))</f>
        <v/>
      </c>
      <c r="E1591">
        <f>INDEX(FactorTable!$B$2:$Y$301, MATCH(ROUND(MIN(300,MAX(1,D1591)),0), FactorTable!$A$2:$A$301,0), Skills!M7+1)</f>
        <v/>
      </c>
      <c r="F1591">
        <f>IF(Skills!N7=TRUE,(Skills!L7/10)*(E1591/1000),Skills!L7/10)+Skills!O7</f>
        <v/>
      </c>
      <c r="G1591">
        <f>Skills!G7*IF(Skills!H7&gt;0,Skills!I7/Skills!H7,1)</f>
        <v/>
      </c>
      <c r="H1591">
        <f>1-(1-Skills!J7/100)^Skills!K7</f>
        <v/>
      </c>
      <c r="I1591" t="inlineStr">
        <is>
          <t>1</t>
        </is>
      </c>
      <c r="J1591" t="inlineStr"/>
      <c r="K1591" t="inlineStr"/>
      <c r="L1591" t="inlineStr"/>
      <c r="M1591" t="inlineStr"/>
      <c r="N1591" t="inlineStr"/>
      <c r="O1591" t="n">
        <v>0</v>
      </c>
      <c r="P1591">
        <f>IF(B1629=0,0,O1591/B1629)</f>
        <v/>
      </c>
      <c r="Q1591" t="n">
        <v>0</v>
      </c>
      <c r="R1591" t="n">
        <v>0</v>
      </c>
      <c r="S1591">
        <f>IFERROR(O1591/N1591,0)</f>
        <v/>
      </c>
    </row>
    <row r="1592">
      <c r="A1592">
        <f>Skills!A8</f>
        <v/>
      </c>
      <c r="B1592">
        <f>Skills!B8</f>
        <v/>
      </c>
      <c r="C1592">
        <f>Inputs!$B$3&gt;=72</f>
        <v/>
      </c>
      <c r="D1592">
        <f>IF(Skills!C8=1,60+Inputs!$B$25+Inputs!$B$29,IF(Skills!C8=2,90+Inputs!$B$26+Inputs!$B$29,IF(Skills!C8=3,120+Inputs!$B$27+Inputs!$B$29,MAX(0,(Inputs!$B$3-100)*3)+Inputs!$B$28+Inputs!$B$29)))</f>
        <v/>
      </c>
      <c r="E1592">
        <f>INDEX(FactorTable!$B$2:$Y$301, MATCH(ROUND(MIN(300,MAX(1,D1592)),0), FactorTable!$A$2:$A$301,0), Skills!M8+1)</f>
        <v/>
      </c>
      <c r="F1592">
        <f>IF(Skills!N8=TRUE,(Skills!L8/10)*(E1592/1000),Skills!L8/10)+Skills!O8</f>
        <v/>
      </c>
      <c r="G1592">
        <f>Skills!G8*IF(Skills!H8&gt;0,Skills!I8/Skills!H8,1)</f>
        <v/>
      </c>
      <c r="H1592">
        <f>1-(1-Skills!J8/100)^Skills!K8</f>
        <v/>
      </c>
      <c r="I1592" t="inlineStr">
        <is>
          <t>1</t>
        </is>
      </c>
      <c r="J1592">
        <f>((Inputs!$B$6*(1+Inputs!$B$7/100))+(((Inputs!$B$12*(1+Inputs!$B$13/100))-(Inputs!$B$12*(1+Inputs!$B$13/100)))+0.25*(Inputs!$B$14-Inputs!$B$14))*(1+Inputs!$B$7/100))*(F1592/100)</f>
        <v/>
      </c>
      <c r="K1592">
        <f>J1592*(1+((Inputs!$B$12*(1+Inputs!$B$13/100))*0.01+Inputs!$B$14*0.0025)/100)*(1+Inputs!$B$15/100)*(1+IF(Inputs!$B$39="pvp",0,(1-Summary!$B$55)*(Inputs!$B$20+0+Skills!P8+B1618)+Summary!$B$55*(Inputs!$B$21+Skills!Q8+B1618))/100)*(1+Inputs!$B$16/100)*(5000/(6000+Inputs!$B$43*(1-Inputs!$B$19/100)))*(1+(Inputs!$B$24+((C1614=TRUE)*(F1614-Calc!F30)))/100)*(1+3.3333333333333335*IF(C1602=TRUE,F1602,0)/100)*(1+(IF(Skills!A8="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1592)</f>
        <v/>
      </c>
      <c r="L1592">
        <f>K1592*(MIN(Inputs!$B$22+((C1608=TRUE)*(F1608-Calc!F24)),Inputs!$B$23+((C1613=TRUE)*(F1613-Calc!F29)))/100+(Inputs!$B$23+((C1613=TRUE)*(F1613-Calc!F29)))/100)/2</f>
        <v/>
      </c>
      <c r="M1592">
        <f>L1592*(1+(Inputs!$B$10+((C1610=TRUE)*(F1610-Calc!F26))+B1624)/100)</f>
        <v/>
      </c>
      <c r="N1592">
        <f>L1592*(1-MIN((Inputs!$B$9+((C1609=TRUE)*(F1609-Calc!F25))+B1617),100)/100)+M1592*(MIN((Inputs!$B$9+((C1609=TRUE)*(F1609-Calc!F25))+B1617),100)/100)</f>
        <v/>
      </c>
      <c r="O1592">
        <f>IF(C1592,H1592*N1592*IF(AND(Inputs!$B$39&lt;&gt;"pvp",Inputs!$B$44&gt;0),((Skills!G8*((R1592-1)*IF(Skills!H8&gt;0,Skills!I8/Skills!H8,1)+IF(Skills!H8&gt;0,MIN(Skills!I8,MAX(0,MAX(0,Inputs!$B$44-B1628)-((R1592-1)*IF(Inputs!$B$39="pvp",15,MAX(0.1,Skills!D8-IF(Skills!E8=TRUE,3.0,0))))))/Skills!H8,1)))/Inputs!$B$44),G1592*Q1592)*IF(Inputs!$B$39="pvp",1,(1-Summary!$B$55)*(1)+Summary!$B$55*(MIN(Skills!W8,Inputs!$B$37))),0)</f>
        <v/>
      </c>
      <c r="P1592">
        <f>IF(B1629=0,0,O1592/B1629)</f>
        <v/>
      </c>
      <c r="Q1592">
        <f>IFERROR(1/IF(Inputs!$B$39="pvp",15,MAX(0.1,Skills!D8-IF(Skills!E8=TRUE,3.0,0))),0)</f>
        <v/>
      </c>
      <c r="R1592">
        <f>IF(AND(Inputs!$B$39&lt;&gt;"pvp",Inputs!$B$44&gt;0),IF(MAX(0,Inputs!$B$44-B1628)&lt;=0,0,(INT(MAX(0,Inputs!$B$44-B1628)/IF(Inputs!$B$39="pvp",15,MAX(0.1,Skills!D8-IF(Skills!E8=TRUE,3.0,0))))+1)),0)</f>
        <v/>
      </c>
      <c r="S1592">
        <f>IFERROR(O1592/N1592,0)</f>
        <v/>
      </c>
    </row>
    <row r="1593">
      <c r="A1593">
        <f>Skills!A9</f>
        <v/>
      </c>
      <c r="B1593">
        <f>Skills!B9</f>
        <v/>
      </c>
      <c r="C1593">
        <f>Inputs!$B$3&gt;=117</f>
        <v/>
      </c>
      <c r="D1593">
        <f>IF(Skills!C9=1,60+Inputs!$B$25+Inputs!$B$29,IF(Skills!C9=2,90+Inputs!$B$26+Inputs!$B$29,IF(Skills!C9=3,120+Inputs!$B$27+Inputs!$B$29,MAX(0,(Inputs!$B$3-100)*3)+Inputs!$B$28+Inputs!$B$29)))</f>
        <v/>
      </c>
      <c r="E1593">
        <f>INDEX(FactorTable!$B$2:$Y$301, MATCH(ROUND(MIN(300,MAX(1,D1593)),0), FactorTable!$A$2:$A$301,0), Skills!M9+1)</f>
        <v/>
      </c>
      <c r="F1593">
        <f>IF(Skills!N9=TRUE,(Skills!L9/10)*(E1593/1000),Skills!L9/10)+Skills!O9</f>
        <v/>
      </c>
      <c r="G1593">
        <f>Skills!G9*IF(Skills!H9&gt;0,Skills!I9/Skills!H9,1)</f>
        <v/>
      </c>
      <c r="H1593">
        <f>1-(1-Skills!J9/100)^Skills!K9</f>
        <v/>
      </c>
      <c r="I1593" t="inlineStr">
        <is>
          <t>1</t>
        </is>
      </c>
      <c r="J1593">
        <f>((Inputs!$B$6*(1+Inputs!$B$7/100))+(((Inputs!$B$12*(1+Inputs!$B$13/100))-(Inputs!$B$12*(1+Inputs!$B$13/100)))+0.25*(Inputs!$B$14-Inputs!$B$14))*(1+Inputs!$B$7/100))*(F1593/100)</f>
        <v/>
      </c>
      <c r="K1593">
        <f>J1593*(1+((Inputs!$B$12*(1+Inputs!$B$13/100))*0.01+Inputs!$B$14*0.0025)/100)*(1+Inputs!$B$15/100)*(1+IF(Inputs!$B$39="pvp",0,(1-Summary!$B$55)*(Inputs!$B$20+0+Skills!P9+B1618)+Summary!$B$55*(Inputs!$B$21+Skills!Q9+B1618))/100)*(1+Inputs!$B$16/100)*(5000/(6000+Inputs!$B$43*(1-Inputs!$B$19/100)))*(1+(Inputs!$B$24+((C1614=TRUE)*(F1614-Calc!F30)))/100)*(1+(IF(Skills!A9="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1593)</f>
        <v/>
      </c>
      <c r="L1593">
        <f>K1593*(MIN(Inputs!$B$22+((C1608=TRUE)*(F1608-Calc!F24)),Inputs!$B$23+((C1613=TRUE)*(F1613-Calc!F29)))/100+(Inputs!$B$23+((C1613=TRUE)*(F1613-Calc!F29)))/100)/2</f>
        <v/>
      </c>
      <c r="M1593">
        <f>L1593*(1+(Inputs!$B$10+((C1610=TRUE)*(F1610-Calc!F26))+B1624)/100)</f>
        <v/>
      </c>
      <c r="N1593">
        <f>L1593*(1-MIN((Inputs!$B$9+((C1609=TRUE)*(F1609-Calc!F25))+B1617),100)/100)+M1593*(MIN((Inputs!$B$9+((C1609=TRUE)*(F1609-Calc!F25))+B1617),100)/100)</f>
        <v/>
      </c>
      <c r="O1593">
        <f>IF(C1593,0.2*SUMPRODUCT((Skills!Z2:Z30=TRUE)*(C1586:C1614=TRUE)*S1586:S1614)*N1593,0)</f>
        <v/>
      </c>
      <c r="P1593">
        <f>IF(B1629=0,0,O1593/B1629)</f>
        <v/>
      </c>
      <c r="Q1593" t="n">
        <v>0</v>
      </c>
      <c r="R1593" t="n">
        <v>0</v>
      </c>
      <c r="S1593" t="n">
        <v>0</v>
      </c>
    </row>
    <row r="1594">
      <c r="A1594">
        <f>Skills!A10</f>
        <v/>
      </c>
      <c r="B1594">
        <f>Skills!B10</f>
        <v/>
      </c>
      <c r="C1594">
        <f>Inputs!$B$3&gt;=74</f>
        <v/>
      </c>
      <c r="D1594">
        <f>IF(Skills!C10=1,60+Inputs!$B$25+Inputs!$B$29,IF(Skills!C10=2,90+Inputs!$B$26+Inputs!$B$29,IF(Skills!C10=3,120+Inputs!$B$27+Inputs!$B$29,MAX(0,(Inputs!$B$3-100)*3)+Inputs!$B$28+Inputs!$B$29)))</f>
        <v/>
      </c>
      <c r="E1594">
        <f>INDEX(FactorTable!$B$2:$Y$301, MATCH(ROUND(MIN(300,MAX(1,D1594)),0), FactorTable!$A$2:$A$301,0), Skills!M10+1)</f>
        <v/>
      </c>
      <c r="F1594">
        <f>IF(Skills!N10=TRUE,(Skills!L10/10)*(E1594/1000),Skills!L10/10)+Skills!O10</f>
        <v/>
      </c>
      <c r="G1594">
        <f>Skills!G10*IF(Skills!H10&gt;0,Skills!I10/Skills!H10,1)</f>
        <v/>
      </c>
      <c r="H1594">
        <f>1-(1-Skills!J10/100)^Skills!K10</f>
        <v/>
      </c>
      <c r="I1594" t="inlineStr">
        <is>
          <t>1</t>
        </is>
      </c>
      <c r="J1594" t="inlineStr"/>
      <c r="K1594" t="inlineStr"/>
      <c r="L1594" t="inlineStr"/>
      <c r="M1594" t="inlineStr"/>
      <c r="N1594" t="inlineStr"/>
      <c r="O1594" t="n">
        <v>0</v>
      </c>
      <c r="P1594">
        <f>IF(B1629=0,0,O1594/B1629)</f>
        <v/>
      </c>
      <c r="Q1594">
        <f>IFERROR(1/IF(Inputs!$B$39="pvp",15,MAX(0.1,Skills!D10-IF(Skills!E10=TRUE,3.0,0))),0)</f>
        <v/>
      </c>
      <c r="R1594">
        <f>IF(AND(Inputs!$B$39&lt;&gt;"pvp",Inputs!$B$44&gt;0),IF(Inputs!$B$44&lt;=0,0,(INT(Inputs!$B$44/IF(Inputs!$B$39="pvp",15,MAX(0.1,Skills!D10-IF(Skills!E10=TRUE,3.0,0))))+1)),0)</f>
        <v/>
      </c>
      <c r="S1594">
        <f>IFERROR(O1594/N1594,0)</f>
        <v/>
      </c>
    </row>
    <row r="1595">
      <c r="A1595">
        <f>Skills!A11</f>
        <v/>
      </c>
      <c r="B1595">
        <f>Skills!B11</f>
        <v/>
      </c>
      <c r="C1595">
        <f>Inputs!$B$3&gt;=103</f>
        <v/>
      </c>
      <c r="D1595">
        <f>IF(Skills!C11=1,60+Inputs!$B$25+Inputs!$B$29,IF(Skills!C11=2,90+Inputs!$B$26+Inputs!$B$29,IF(Skills!C11=3,120+Inputs!$B$27+Inputs!$B$29,MAX(0,(Inputs!$B$3-100)*3)+Inputs!$B$28+Inputs!$B$29)))</f>
        <v/>
      </c>
      <c r="E1595">
        <f>INDEX(FactorTable!$B$2:$Y$301, MATCH(ROUND(MIN(300,MAX(1,D1595)),0), FactorTable!$A$2:$A$301,0), Skills!M11+1)</f>
        <v/>
      </c>
      <c r="F1595">
        <f>(Skills!L11/10)*(E1595/1000)+IF(Inputs!$B$3&gt;=134,50,0)+0.5*(30000/10)*(INDEX(FactorTable!$B$2:$Y$301, MATCH(ROUND(MIN(300,MAX(1,D1595)),0), FactorTable!$A$2:$A$301,0), 13)/1000)*B1627</f>
        <v/>
      </c>
      <c r="G1595">
        <f>Skills!G11*IF(Skills!H11&gt;0,Skills!I11/Skills!H11,1)</f>
        <v/>
      </c>
      <c r="H1595">
        <f>1-(1-Skills!J11/100)^Skills!K11</f>
        <v/>
      </c>
      <c r="I1595" t="inlineStr">
        <is>
          <t>1</t>
        </is>
      </c>
      <c r="J1595">
        <f>((Inputs!$B$6*(1+Inputs!$B$7/100))+(((Inputs!$B$12*(1+Inputs!$B$13/100))-(Inputs!$B$12*(1+Inputs!$B$13/100)))+0.25*(Inputs!$B$14-Inputs!$B$14))*(1+Inputs!$B$7/100))*(F1595/100)</f>
        <v/>
      </c>
      <c r="K1595">
        <f>J1595*(1+((Inputs!$B$12*(1+Inputs!$B$13/100))*0.01+Inputs!$B$14*0.0025)/100)*(1+Inputs!$B$15/100)*(1+IF(Inputs!$B$39="pvp",0,(1-Summary!$B$55)*(Inputs!$B$20+0+Skills!P11+B1618)+Summary!$B$55*(Inputs!$B$21+Skills!Q11+B1618))/100)*(1+Inputs!$B$16/100)*(5000/(6000+Inputs!$B$43*(1-Inputs!$B$19/100)))*(1+(Inputs!$B$24+((C1614=TRUE)*(F1614-Calc!F30)))/100)*(1+(IF(Skills!A11="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1595)</f>
        <v/>
      </c>
      <c r="L1595">
        <f>K1595*(MIN(Inputs!$B$22+((C1608=TRUE)*(F1608-Calc!F24)),Inputs!$B$23+((C1613=TRUE)*(F1613-Calc!F29)))/100+(Inputs!$B$23+((C1613=TRUE)*(F1613-Calc!F29)))/100)/2</f>
        <v/>
      </c>
      <c r="M1595">
        <f>L1595*(1+(Inputs!$B$10+((C1610=TRUE)*(F1610-Calc!F26))+B1624)/100)</f>
        <v/>
      </c>
      <c r="N1595">
        <f>L1595*(1-MIN((Inputs!$B$9+((C1609=TRUE)*(F1609-Calc!F25))+B1617),100)/100)+M1595*(MIN((Inputs!$B$9+((C1609=TRUE)*(F1609-Calc!F25))+B1617),100)/100)</f>
        <v/>
      </c>
      <c r="O1595">
        <f>IF(C1595,H1595*N1595*IF(AND(Inputs!$B$39&lt;&gt;"pvp",Inputs!$B$44&gt;0),((Skills!G11*((R1595-1)*IF(Skills!H11&gt;0,Skills!I11/Skills!H11,1)+IF(Skills!H11&gt;0,MIN(Skills!I11,MAX(0,MAX(0,Inputs!$B$44-B1628)-((R1595-1)*IF(Inputs!$B$39="pvp",15,MAX(0.1,Skills!D11-IF(Skills!E11=TRUE,3.0,0))))))/Skills!H11,1)))/Inputs!$B$44),G1595*Q1595)*IF(Inputs!$B$39="pvp",1,(1-Summary!$B$55)*(1)+Summary!$B$55*(MIN(Skills!W11,Inputs!$B$37))),0)</f>
        <v/>
      </c>
      <c r="P1595">
        <f>IF(B1629=0,0,O1595/B1629)</f>
        <v/>
      </c>
      <c r="Q1595">
        <f>IFERROR(1/IF(Inputs!$B$39="pvp",15,MAX(0.1,Skills!D11-IF(Skills!E11=TRUE,3.0,0))),0)</f>
        <v/>
      </c>
      <c r="R1595">
        <f>IF(AND(Inputs!$B$39&lt;&gt;"pvp",Inputs!$B$44&gt;0),IF(MAX(0,Inputs!$B$44-B1628)&lt;=0,0,(INT(MAX(0,Inputs!$B$44-B1628)/IF(Inputs!$B$39="pvp",15,MAX(0.1,Skills!D11-IF(Skills!E11=TRUE,3.0,0))))+1)),0)</f>
        <v/>
      </c>
      <c r="S1595">
        <f>IFERROR(O1595/N1595,0)</f>
        <v/>
      </c>
    </row>
    <row r="1596">
      <c r="A1596">
        <f>Skills!A12</f>
        <v/>
      </c>
      <c r="B1596">
        <f>Skills!B12</f>
        <v/>
      </c>
      <c r="C1596">
        <f>Inputs!$B$3&gt;=105</f>
        <v/>
      </c>
      <c r="D1596">
        <f>IF(Skills!C12=1,60+Inputs!$B$25+Inputs!$B$29,IF(Skills!C12=2,90+Inputs!$B$26+Inputs!$B$29,IF(Skills!C12=3,120+Inputs!$B$27+Inputs!$B$29,MAX(0,(Inputs!$B$3-100)*3)+Inputs!$B$28+Inputs!$B$29)))</f>
        <v/>
      </c>
      <c r="E1596">
        <f>INDEX(FactorTable!$B$2:$Y$301, MATCH(ROUND(MIN(300,MAX(1,D1596)),0), FactorTable!$A$2:$A$301,0), Skills!M12+1)</f>
        <v/>
      </c>
      <c r="F1596">
        <f>IF(Skills!N12=TRUE,(Skills!L12/10)*(E1596/1000),Skills!L12/10)+Skills!O12</f>
        <v/>
      </c>
      <c r="G1596">
        <f>Skills!G12*IF(Skills!H12&gt;0,Skills!I12/Skills!H12,1)</f>
        <v/>
      </c>
      <c r="H1596">
        <f>1-(1-Skills!J12/100)^Skills!K12</f>
        <v/>
      </c>
      <c r="I1596" t="inlineStr">
        <is>
          <t>1</t>
        </is>
      </c>
      <c r="J1596">
        <f>((Inputs!$B$6*(1+Inputs!$B$7/100))+(((Inputs!$B$12*(1+Inputs!$B$13/100))-(Inputs!$B$12*(1+Inputs!$B$13/100)))+0.25*(Inputs!$B$14-Inputs!$B$14))*(1+Inputs!$B$7/100))*(F1596/100)</f>
        <v/>
      </c>
      <c r="K1596">
        <f>J1596*(1+((Inputs!$B$12*(1+Inputs!$B$13/100))*0.01+Inputs!$B$14*0.0025)/100)*(1+Inputs!$B$15/100)*(1+IF(Inputs!$B$39="pvp",0,(1-Summary!$B$55)*(Inputs!$B$20+0+Skills!P12+B1618)+Summary!$B$55*(Inputs!$B$21+Skills!Q12+B1618))/100)*(1+Inputs!$B$16/100)*(5000/(6000+Inputs!$B$43*(1-Inputs!$B$19/100)))*(1+(Inputs!$B$24+((C1614=TRUE)*(F1614-Calc!F30)))/100)*(1+(IF(Skills!A12="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1596)</f>
        <v/>
      </c>
      <c r="L1596">
        <f>K1596*(MIN(Inputs!$B$22+((C1608=TRUE)*(F1608-Calc!F24)),Inputs!$B$23+((C1613=TRUE)*(F1613-Calc!F29)))/100+(Inputs!$B$23+((C1613=TRUE)*(F1613-Calc!F29)))/100)/2</f>
        <v/>
      </c>
      <c r="M1596">
        <f>L1596*(1+(Inputs!$B$10+((C1610=TRUE)*(F1610-Calc!F26))+B1624)/100)</f>
        <v/>
      </c>
      <c r="N1596">
        <f>L1596*(1-MIN((Inputs!$B$9+((C1609=TRUE)*(F1609-Calc!F25))+B1617),100)/100)+M1596*(MIN((Inputs!$B$9+((C1609=TRUE)*(F1609-Calc!F25))+B1617),100)/100)</f>
        <v/>
      </c>
      <c r="O1596">
        <f>IF(C1596,H1596*N1596*IF(AND(Inputs!$B$39&lt;&gt;"pvp",Inputs!$B$44&gt;0),((Skills!G12*((R1596-1)*IF(Skills!H12&gt;0,Skills!I12/Skills!H12,1)+IF(Skills!H12&gt;0,MIN(Skills!I12,MAX(0,MAX(0,Inputs!$B$44-B1628)-((R1596-1)*IF(Inputs!$B$39="pvp",15,MAX(0.1,Skills!D12-IF(Skills!E12=TRUE,3.0,0))))))/Skills!H12,1)))/Inputs!$B$44),G1596*Q1596)*IF(Inputs!$B$39="pvp",1,(1-Summary!$B$55)*(1)+Summary!$B$55*(MIN(Skills!W12,Inputs!$B$37))),0)</f>
        <v/>
      </c>
      <c r="P1596">
        <f>IF(B1629=0,0,O1596/B1629)</f>
        <v/>
      </c>
      <c r="Q1596">
        <f>IFERROR(1/IF(Inputs!$B$39="pvp",15,MAX(0.1,Skills!D12-IF(Skills!E12=TRUE,3.0,0))),0)</f>
        <v/>
      </c>
      <c r="R1596">
        <f>IF(AND(Inputs!$B$39&lt;&gt;"pvp",Inputs!$B$44&gt;0),IF(MAX(0,Inputs!$B$44-B1628)&lt;=0,0,(INT(MAX(0,Inputs!$B$44-B1628)/IF(Inputs!$B$39="pvp",15,MAX(0.1,Skills!D12-IF(Skills!E12=TRUE,3.0,0))))+1)),0)</f>
        <v/>
      </c>
      <c r="S1596">
        <f>IFERROR(O1596/N1596,0)</f>
        <v/>
      </c>
    </row>
    <row r="1597">
      <c r="A1597">
        <f>Skills!A13</f>
        <v/>
      </c>
      <c r="B1597">
        <f>Skills!B13</f>
        <v/>
      </c>
      <c r="C1597">
        <f>Inputs!$B$3&gt;=105</f>
        <v/>
      </c>
      <c r="D1597">
        <f>IF(Skills!C13=1,60+Inputs!$B$25+Inputs!$B$29,IF(Skills!C13=2,90+Inputs!$B$26+Inputs!$B$29,IF(Skills!C13=3,120+Inputs!$B$27+Inputs!$B$29,MAX(0,(Inputs!$B$3-100)*3)+Inputs!$B$28+Inputs!$B$29)))</f>
        <v/>
      </c>
      <c r="E1597">
        <f>INDEX(FactorTable!$B$2:$Y$301, MATCH(ROUND(MIN(300,MAX(1,D1597)),0), FactorTable!$A$2:$A$301,0), Skills!M13+1)</f>
        <v/>
      </c>
      <c r="F1597">
        <f>IF(Skills!N13=TRUE,(Skills!L13/10)*(E1597/1000),Skills!L13/10)+Skills!O13</f>
        <v/>
      </c>
      <c r="G1597">
        <f>Skills!G13*IF(Skills!H13&gt;0,Skills!I13/Skills!H13,1)</f>
        <v/>
      </c>
      <c r="H1597">
        <f>1-(1-Skills!J13/100)^Skills!K13</f>
        <v/>
      </c>
      <c r="I1597" t="inlineStr">
        <is>
          <t>1</t>
        </is>
      </c>
      <c r="J1597">
        <f>((Inputs!$B$6*(1+Inputs!$B$7/100))+(((Inputs!$B$12*(1+Inputs!$B$13/100))-(Inputs!$B$12*(1+Inputs!$B$13/100)))+0.25*(Inputs!$B$14-Inputs!$B$14))*(1+Inputs!$B$7/100))*(F1597/100)</f>
        <v/>
      </c>
      <c r="K1597">
        <f>J1597*(1+((Inputs!$B$12*(1+Inputs!$B$13/100))*0.01+Inputs!$B$14*0.0025)/100)*(1+Inputs!$B$15/100)*(1+IF(Inputs!$B$39="pvp",0,(1-Summary!$B$55)*(Inputs!$B$20+0+Skills!P13+B1618)+Summary!$B$55*(Inputs!$B$21+Skills!Q13+B1618))/100)*(1+Inputs!$B$16/100)*(5000/(6000+Inputs!$B$43*(1-Inputs!$B$19/100)))*(1+(Inputs!$B$24+((C1614=TRUE)*(F1614-Calc!F30)))/100)*(1+(IF(Skills!A13="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1597)</f>
        <v/>
      </c>
      <c r="L1597">
        <f>K1597*(MIN(Inputs!$B$22+((C1608=TRUE)*(F1608-Calc!F24)),Inputs!$B$23+((C1613=TRUE)*(F1613-Calc!F29)))/100+(Inputs!$B$23+((C1613=TRUE)*(F1613-Calc!F29)))/100)/2</f>
        <v/>
      </c>
      <c r="M1597">
        <f>L1597*(1+(Inputs!$B$10+((C1610=TRUE)*(F1610-Calc!F26))+B1624)/100)</f>
        <v/>
      </c>
      <c r="N1597">
        <f>L1597*(1-MIN((Inputs!$B$9+((C1609=TRUE)*(F1609-Calc!F25))+B1617),100)/100)+M1597*(MIN((Inputs!$B$9+((C1609=TRUE)*(F1609-Calc!F25))+B1617),100)/100)</f>
        <v/>
      </c>
      <c r="O1597">
        <f>IF(C1597,H1597*N1597*IF(AND(Inputs!$B$39&lt;&gt;"pvp",Inputs!$B$44&gt;0),((Skills!G13*((R1597-1)*IF(Skills!H13&gt;0,Skills!I13/Skills!H13,1)+IF(Skills!H13&gt;0,MIN(Skills!I13,MAX(0,MAX(0,Inputs!$B$44-B1628)-((R1597-1)*IF(Inputs!$B$39="pvp",15,MAX(0.1,Skills!D13-IF(Skills!E13=TRUE,3.0,0))))))/Skills!H13,1)))/Inputs!$B$44),G1597*Q1597)*IF(Inputs!$B$39="pvp",1,(1-Summary!$B$55)*(1)+Summary!$B$55*(MIN(Skills!W13,Inputs!$B$37))),0)</f>
        <v/>
      </c>
      <c r="P1597">
        <f>IF(B1629=0,0,O1597/B1629)</f>
        <v/>
      </c>
      <c r="Q1597">
        <f>IFERROR(1/IF(Inputs!$B$39="pvp",15,MAX(0.1,Skills!D13-IF(Skills!E13=TRUE,3.0,0))),0)</f>
        <v/>
      </c>
      <c r="R1597">
        <f>IF(AND(Inputs!$B$39&lt;&gt;"pvp",Inputs!$B$44&gt;0),IF(MAX(0,Inputs!$B$44-B1628)&lt;=0,0,(INT(MAX(0,Inputs!$B$44-B1628)/IF(Inputs!$B$39="pvp",15,MAX(0.1,Skills!D13-IF(Skills!E13=TRUE,3.0,0))))+1)),0)</f>
        <v/>
      </c>
      <c r="S1597">
        <f>IFERROR(O1597/N1597,0)</f>
        <v/>
      </c>
    </row>
    <row r="1598">
      <c r="A1598">
        <f>Skills!A14</f>
        <v/>
      </c>
      <c r="B1598">
        <f>Skills!B14</f>
        <v/>
      </c>
      <c r="C1598">
        <f>Inputs!$B$3&gt;=107</f>
        <v/>
      </c>
      <c r="D1598">
        <f>IF(Skills!C14=1,60+Inputs!$B$25+Inputs!$B$29,IF(Skills!C14=2,90+Inputs!$B$26+Inputs!$B$29,IF(Skills!C14=3,120+Inputs!$B$27+Inputs!$B$29,MAX(0,(Inputs!$B$3-100)*3)+Inputs!$B$28+Inputs!$B$29)))</f>
        <v/>
      </c>
      <c r="E1598">
        <f>INDEX(FactorTable!$B$2:$Y$301, MATCH(ROUND(MIN(300,MAX(1,D1598)),0), FactorTable!$A$2:$A$301,0), Skills!M14+1)</f>
        <v/>
      </c>
      <c r="F1598">
        <f>IF(Skills!N14=TRUE,(Skills!L14/10)*(E1598/1000),Skills!L14/10)+Skills!O14</f>
        <v/>
      </c>
      <c r="G1598">
        <f>Skills!G14*IF(Skills!H14&gt;0,Skills!I14/Skills!H14,1)</f>
        <v/>
      </c>
      <c r="H1598">
        <f>1-(1-Skills!J14/100)^Skills!K14</f>
        <v/>
      </c>
      <c r="I1598" t="inlineStr">
        <is>
          <t>1</t>
        </is>
      </c>
      <c r="J1598">
        <f>((Inputs!$B$6*(1+Inputs!$B$7/100))+(((Inputs!$B$12*(1+Inputs!$B$13/100))-(Inputs!$B$12*(1+Inputs!$B$13/100)))+0.25*(Inputs!$B$14-Inputs!$B$14))*(1+Inputs!$B$7/100))*(F1598/100)</f>
        <v/>
      </c>
      <c r="K1598">
        <f>J1598*(1+((Inputs!$B$12*(1+Inputs!$B$13/100))*0.01+Inputs!$B$14*0.0025)/100)*(1+Inputs!$B$15/100)*(1+IF(Inputs!$B$39="pvp",0,(1-Summary!$B$55)*(Inputs!$B$20+0+Skills!P14+B1618)+Summary!$B$55*(Inputs!$B$21+Skills!Q14+B1618))/100)*(1+Inputs!$B$16/100)*(5000/(6000+Inputs!$B$43*(1-Inputs!$B$19/100)))*(1+(Inputs!$B$24+((C1614=TRUE)*(F1614-Calc!F30)))/100)*(1+(IF(Skills!A14="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1598)</f>
        <v/>
      </c>
      <c r="L1598">
        <f>K1598*(MIN(Inputs!$B$22+((C1608=TRUE)*(F1608-Calc!F24)),Inputs!$B$23+((C1613=TRUE)*(F1613-Calc!F29)))/100+(Inputs!$B$23+((C1613=TRUE)*(F1613-Calc!F29)))/100)/2</f>
        <v/>
      </c>
      <c r="M1598">
        <f>L1598*(1+(Inputs!$B$10+((C1610=TRUE)*(F1610-Calc!F26))+B1624)/100)</f>
        <v/>
      </c>
      <c r="N1598">
        <f>L1598*(1-MIN((Inputs!$B$9+((C1609=TRUE)*(F1609-Calc!F25))+B1617),100)/100)+M1598*(MIN((Inputs!$B$9+((C1609=TRUE)*(F1609-Calc!F25))+B1617),100)/100)</f>
        <v/>
      </c>
      <c r="O1598">
        <f>IF(C1598,H1598*N1598*IF(AND(Inputs!$B$39&lt;&gt;"pvp",Inputs!$B$44&gt;0),((Skills!G14*((R1598-1)*IF(Skills!H14&gt;0,Skills!I14/Skills!H14,1)+IF(Skills!H14&gt;0,MIN(Skills!I14,MAX(0,MAX(0,Inputs!$B$44-B1628)-((R1598-1)*IF(Inputs!$B$39="pvp",15,MAX(0.1,Skills!D14-IF(Skills!E14=TRUE,3.0,0))))))/Skills!H14,1)))/Inputs!$B$44),G1598*Q1598)*IF(Inputs!$B$39="pvp",1,(1-Summary!$B$55)*(1)+Summary!$B$55*(MIN(MIN(5,0.25*B1621*Skills!D4)*Skills!V14,Inputs!$B$37))),0)</f>
        <v/>
      </c>
      <c r="P1598">
        <f>IF(B1629=0,0,O1598/B1629)</f>
        <v/>
      </c>
      <c r="Q1598">
        <f>IFERROR(1/IF(Inputs!$B$39="pvp",15,MAX(0.1,Skills!D14-IF(Skills!E14=TRUE,3.0,0))),0)</f>
        <v/>
      </c>
      <c r="R1598">
        <f>IF(AND(Inputs!$B$39&lt;&gt;"pvp",Inputs!$B$44&gt;0),IF(MAX(0,Inputs!$B$44-B1628)&lt;=0,0,(INT(MAX(0,Inputs!$B$44-B1628)/IF(Inputs!$B$39="pvp",15,MAX(0.1,Skills!D14-IF(Skills!E14=TRUE,3.0,0))))+1)),0)</f>
        <v/>
      </c>
      <c r="S1598">
        <f>IFERROR(O1598/N1598,0)</f>
        <v/>
      </c>
    </row>
    <row r="1599">
      <c r="A1599">
        <f>Skills!A15</f>
        <v/>
      </c>
      <c r="B1599">
        <f>Skills!B15</f>
        <v/>
      </c>
      <c r="C1599">
        <f>Inputs!$B$3&gt;=110</f>
        <v/>
      </c>
      <c r="D1599">
        <f>IF(Skills!C15=1,60+Inputs!$B$25+Inputs!$B$29,IF(Skills!C15=2,90+Inputs!$B$26+Inputs!$B$29,IF(Skills!C15=3,120+Inputs!$B$27+Inputs!$B$29,MAX(0,(Inputs!$B$3-100)*3)+Inputs!$B$28+Inputs!$B$29)))</f>
        <v/>
      </c>
      <c r="E1599">
        <f>INDEX(FactorTable!$B$2:$Y$301, MATCH(ROUND(MIN(300,MAX(1,D1599)),0), FactorTable!$A$2:$A$301,0), Skills!M15+1)</f>
        <v/>
      </c>
      <c r="F1599">
        <f>IF(Skills!N15=TRUE,(Skills!L15/10)*(E1599/1000),Skills!L15/10)+Skills!O15</f>
        <v/>
      </c>
      <c r="G1599">
        <f>Skills!G15*IF(Skills!H15&gt;0,Skills!I15/Skills!H15,1)</f>
        <v/>
      </c>
      <c r="H1599">
        <f>1-(1-Skills!J15/100)^Skills!K15</f>
        <v/>
      </c>
      <c r="I1599" t="inlineStr">
        <is>
          <t>1</t>
        </is>
      </c>
      <c r="J1599" t="inlineStr"/>
      <c r="K1599" t="inlineStr"/>
      <c r="L1599" t="inlineStr"/>
      <c r="M1599" t="inlineStr"/>
      <c r="N1599" t="inlineStr"/>
      <c r="O1599" t="n">
        <v>0</v>
      </c>
      <c r="P1599">
        <f>IF(B1629=0,0,O1599/B1629)</f>
        <v/>
      </c>
      <c r="Q1599">
        <f>IFERROR(1/IF(Inputs!$B$39="pvp",15,MAX(0.1,Skills!D15-IF(Skills!E15=TRUE,3.0,0))),0)</f>
        <v/>
      </c>
      <c r="R1599">
        <f>IF(AND(Inputs!$B$39&lt;&gt;"pvp",Inputs!$B$44&gt;0),IF(Inputs!$B$44&lt;=0,0,(INT(Inputs!$B$44/IF(Inputs!$B$39="pvp",15,MAX(0.1,Skills!D15-IF(Skills!E15=TRUE,3.0,0))))+1)),0)</f>
        <v/>
      </c>
      <c r="S1599">
        <f>IFERROR(O1599/N1599,0)</f>
        <v/>
      </c>
    </row>
    <row r="1600">
      <c r="A1600">
        <f>Skills!A16</f>
        <v/>
      </c>
      <c r="B1600">
        <f>Skills!B16</f>
        <v/>
      </c>
      <c r="C1600">
        <f>Inputs!$B$3&gt;=115</f>
        <v/>
      </c>
      <c r="D1600">
        <f>IF(Skills!C16=1,60+Inputs!$B$25+Inputs!$B$29,IF(Skills!C16=2,90+Inputs!$B$26+Inputs!$B$29,IF(Skills!C16=3,120+Inputs!$B$27+Inputs!$B$29,MAX(0,(Inputs!$B$3-100)*3)+Inputs!$B$28+Inputs!$B$29)))</f>
        <v/>
      </c>
      <c r="E1600">
        <f>INDEX(FactorTable!$B$2:$Y$301, MATCH(ROUND(MIN(300,MAX(1,D1600)),0), FactorTable!$A$2:$A$301,0), Skills!M16+1)</f>
        <v/>
      </c>
      <c r="F1600">
        <f>IF(Skills!N16=TRUE,(Skills!L16/10)*(E1600/1000),Skills!L16/10)+Skills!O16</f>
        <v/>
      </c>
      <c r="G1600">
        <f>Skills!G16*IF(Skills!H16&gt;0,Skills!I16/Skills!H16,1)</f>
        <v/>
      </c>
      <c r="H1600">
        <f>1-(1-Skills!J16/100)^Skills!K16</f>
        <v/>
      </c>
      <c r="I1600" t="inlineStr">
        <is>
          <t>1</t>
        </is>
      </c>
      <c r="J1600">
        <f>((Inputs!$B$6*(1+Inputs!$B$7/100))+(((Inputs!$B$12*(1+Inputs!$B$13/100))-(Inputs!$B$12*(1+Inputs!$B$13/100)))+0.25*(Inputs!$B$14-Inputs!$B$14))*(1+Inputs!$B$7/100))*(F1600/100)</f>
        <v/>
      </c>
      <c r="K1600">
        <f>J1600*(1+((Inputs!$B$12*(1+Inputs!$B$13/100))*0.01+Inputs!$B$14*0.0025)/100)*(1+Inputs!$B$15/100)*(1+IF(Inputs!$B$39="pvp",0,(1-Summary!$B$55)*(Inputs!$B$20+0+Skills!P16+B1618)+Summary!$B$55*(Inputs!$B$21+Skills!Q16+B1618))/100)*(1+Inputs!$B$16/100)*(5000/(6000+Inputs!$B$43*(1-Inputs!$B$19/100)))*(1+(Inputs!$B$24+((C1614=TRUE)*(F1614-Calc!F30)))/100)*(1+(IF(Skills!A16="CRUEL_STAB",Inputs!$B$17+((C1611=TRUE)*(F1611-Calc!F27)),Inputs!$B$18+((C1612=TRUE)*(F1612-Calc!F28))))/100)*(((1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B1619*I1600)</f>
        <v/>
      </c>
      <c r="L1600">
        <f>K1600*(MIN(Inputs!$B$22+((C1608=TRUE)*(F1608-Calc!F24)),Inputs!$B$23+((C1613=TRUE)*(F1613-Calc!F29)))/100+(Inputs!$B$23+((C1613=TRUE)*(F1613-Calc!F29)))/100)/2</f>
        <v/>
      </c>
      <c r="M1600">
        <f>L1600*(1+(Inputs!$B$10+((C1610=TRUE)*(F1610-Calc!F26))+B1624)/100)</f>
        <v/>
      </c>
      <c r="N1600">
        <f>L1600*(1-MIN((Inputs!$B$9+((C1609=TRUE)*(F1609-Calc!F25))+B1617),100)/100)+M1600*(MIN((Inputs!$B$9+((C1609=TRUE)*(F1609-Calc!F25))+B1617),100)/100)</f>
        <v/>
      </c>
      <c r="O1600">
        <f>IF(C1600,Inputs!$B$38*0.2*N1600,0)</f>
        <v/>
      </c>
      <c r="P1600">
        <f>IF(B1629=0,0,O1600/B1629)</f>
        <v/>
      </c>
      <c r="Q1600" t="n">
        <v>0</v>
      </c>
      <c r="R1600" t="n">
        <v>0</v>
      </c>
      <c r="S1600">
        <f>IFERROR(O1600/N1600,0)</f>
        <v/>
      </c>
    </row>
    <row r="1601">
      <c r="A1601">
        <f>Skills!A17</f>
        <v/>
      </c>
      <c r="B1601">
        <f>Skills!B17</f>
        <v/>
      </c>
      <c r="C1601">
        <f>Inputs!$B$3&gt;=115</f>
        <v/>
      </c>
      <c r="D1601">
        <f>IF(Skills!C17=1,60+Inputs!$B$25+Inputs!$B$29,IF(Skills!C17=2,90+Inputs!$B$26+Inputs!$B$29,IF(Skills!C17=3,120+Inputs!$B$27+Inputs!$B$29,MAX(0,(Inputs!$B$3-100)*3)+Inputs!$B$28+Inputs!$B$29)))</f>
        <v/>
      </c>
      <c r="E1601">
        <f>INDEX(FactorTable!$B$2:$Y$301, MATCH(ROUND(MIN(300,MAX(1,D1601)),0), FactorTable!$A$2:$A$301,0), Skills!M17+1)</f>
        <v/>
      </c>
      <c r="F1601">
        <f>IF(Skills!N17=TRUE,(Skills!L17/10)*(E1601/1000),Skills!L17/10)+Skills!O17</f>
        <v/>
      </c>
      <c r="G1601">
        <f>Skills!G17*IF(Skills!H17&gt;0,Skills!I17/Skills!H17,1)</f>
        <v/>
      </c>
      <c r="H1601">
        <f>1-(1-Skills!J17/100)^Skills!K17</f>
        <v/>
      </c>
      <c r="I1601" t="inlineStr">
        <is>
          <t>1</t>
        </is>
      </c>
      <c r="J1601" t="inlineStr"/>
      <c r="K1601" t="inlineStr"/>
      <c r="L1601" t="inlineStr"/>
      <c r="M1601" t="inlineStr"/>
      <c r="N1601" t="inlineStr"/>
      <c r="O1601" t="n">
        <v>0</v>
      </c>
      <c r="P1601">
        <f>IF(B1629=0,0,O1601/B1629)</f>
        <v/>
      </c>
      <c r="Q1601" t="n">
        <v>0</v>
      </c>
      <c r="R1601" t="n">
        <v>0</v>
      </c>
      <c r="S1601">
        <f>IFERROR(O1601/N1601,0)</f>
        <v/>
      </c>
    </row>
    <row r="1602">
      <c r="A1602">
        <f>Skills!A18</f>
        <v/>
      </c>
      <c r="B1602">
        <f>Skills!B18</f>
        <v/>
      </c>
      <c r="C1602">
        <f>Inputs!$B$3&gt;=100</f>
        <v/>
      </c>
      <c r="D1602">
        <f>IF(Skills!C18=1,60+Inputs!$B$25+Inputs!$B$29,IF(Skills!C18=2,90+Inputs!$B$26+Inputs!$B$29,IF(Skills!C18=3,120+Inputs!$B$27+Inputs!$B$29,MAX(0,(Inputs!$B$3-100)*3)+Inputs!$B$28+Inputs!$B$29)))</f>
        <v/>
      </c>
      <c r="E1602">
        <f>INDEX(FactorTable!$B$2:$Y$301, MATCH(ROUND(MIN(300,MAX(1,D1602)),0), FactorTable!$A$2:$A$301,0), Skills!M18+1)</f>
        <v/>
      </c>
      <c r="F1602">
        <f>IF(Skills!N18=TRUE,(Skills!L18/10)*(E1602/1000),Skills!L18/10)+Skills!O18</f>
        <v/>
      </c>
      <c r="G1602">
        <f>Skills!G18*IF(Skills!H18&gt;0,Skills!I18/Skills!H18,1)</f>
        <v/>
      </c>
      <c r="H1602">
        <f>1-(1-Skills!J18/100)^Skills!K18</f>
        <v/>
      </c>
      <c r="I1602" t="inlineStr">
        <is>
          <t>1</t>
        </is>
      </c>
      <c r="J1602" t="inlineStr"/>
      <c r="K1602" t="inlineStr"/>
      <c r="L1602" t="inlineStr"/>
      <c r="M1602" t="inlineStr"/>
      <c r="N1602" t="inlineStr"/>
      <c r="O1602" t="n">
        <v>0</v>
      </c>
      <c r="P1602">
        <f>IF(B1629=0,0,O1602/B1629)</f>
        <v/>
      </c>
      <c r="Q1602" t="n">
        <v>0</v>
      </c>
      <c r="R1602" t="n">
        <v>0</v>
      </c>
      <c r="S1602">
        <f>IFERROR(O1602/N1602,0)</f>
        <v/>
      </c>
    </row>
    <row r="1603">
      <c r="A1603">
        <f>Skills!A19</f>
        <v/>
      </c>
      <c r="B1603">
        <f>Skills!B19</f>
        <v/>
      </c>
      <c r="C1603">
        <f>TRUE</f>
        <v/>
      </c>
      <c r="D1603">
        <f>IF(Skills!C19=1,60+Inputs!$B$25+Inputs!$B$29,IF(Skills!C19=2,90+Inputs!$B$26+Inputs!$B$29,IF(Skills!C19=3,120+Inputs!$B$27+Inputs!$B$29,MAX(0,(Inputs!$B$3-100)*3)+Inputs!$B$28+Inputs!$B$29)))</f>
        <v/>
      </c>
      <c r="E1603">
        <f>INDEX(FactorTable!$B$2:$Y$301, MATCH(ROUND(MIN(300,MAX(1,D1603)),0), FactorTable!$A$2:$A$301,0), Skills!M19+1)</f>
        <v/>
      </c>
      <c r="F1603">
        <f>IF(Skills!N19=TRUE,(Skills!L19/10)*(E1603/1000),Skills!L19/10)+Skills!O19</f>
        <v/>
      </c>
      <c r="G1603">
        <f>Skills!G19*IF(Skills!H19&gt;0,Skills!I19/Skills!H19,1)</f>
        <v/>
      </c>
      <c r="H1603">
        <f>1-(1-Skills!J19/100)^Skills!K19</f>
        <v/>
      </c>
      <c r="I1603" t="inlineStr">
        <is>
          <t>1</t>
        </is>
      </c>
      <c r="J1603" t="inlineStr"/>
      <c r="K1603" t="inlineStr"/>
      <c r="L1603" t="inlineStr"/>
      <c r="M1603" t="inlineStr"/>
      <c r="N1603" t="inlineStr"/>
      <c r="O1603" t="n">
        <v>0</v>
      </c>
      <c r="P1603">
        <f>IF(B1629=0,0,O1603/B1629)</f>
        <v/>
      </c>
      <c r="Q1603">
        <f>IFERROR(1/IF(Inputs!$B$39="pvp",15,MAX(0.1,Skills!D19-IF(Skills!E19=TRUE,3.0,0))),0)</f>
        <v/>
      </c>
      <c r="R1603">
        <f>IF(AND(Inputs!$B$39&lt;&gt;"pvp",Inputs!$B$44&gt;0),IF(Inputs!$B$44&lt;=0,0,(INT(Inputs!$B$44/IF(Inputs!$B$39="pvp",15,MAX(0.1,Skills!D19-IF(Skills!E19=TRUE,3.0,0))))+1)),0)</f>
        <v/>
      </c>
      <c r="S1603">
        <f>IFERROR(O1603/N1603,0)</f>
        <v/>
      </c>
    </row>
    <row r="1604">
      <c r="A1604">
        <f>Skills!A20</f>
        <v/>
      </c>
      <c r="B1604">
        <f>Skills!B20</f>
        <v/>
      </c>
      <c r="C1604">
        <f>Inputs!$B$3&gt;=15</f>
        <v/>
      </c>
      <c r="D1604">
        <f>IF(Skills!C20=1,60+Inputs!$B$25+Inputs!$B$29,IF(Skills!C20=2,90+Inputs!$B$26+Inputs!$B$29,IF(Skills!C20=3,120+Inputs!$B$27+Inputs!$B$29,MAX(0,(Inputs!$B$3-100)*3)+Inputs!$B$28+Inputs!$B$29)))</f>
        <v/>
      </c>
      <c r="E1604">
        <f>INDEX(FactorTable!$B$2:$Y$301, MATCH(ROUND(MIN(300,MAX(1,D1604)),0), FactorTable!$A$2:$A$301,0), Skills!M20+1)</f>
        <v/>
      </c>
      <c r="F1604">
        <f>IF(Skills!N20=TRUE,(Skills!L20/10)*(E1604/1000),Skills!L20/10)+Skills!O20</f>
        <v/>
      </c>
      <c r="G1604">
        <f>Skills!G20*IF(Skills!H20&gt;0,Skills!I20/Skills!H20,1)</f>
        <v/>
      </c>
      <c r="H1604">
        <f>1-(1-Skills!J20/100)^Skills!K20</f>
        <v/>
      </c>
      <c r="I1604" t="inlineStr">
        <is>
          <t>1</t>
        </is>
      </c>
      <c r="J1604" t="inlineStr"/>
      <c r="K1604" t="inlineStr"/>
      <c r="L1604" t="inlineStr"/>
      <c r="M1604" t="inlineStr"/>
      <c r="N1604" t="inlineStr"/>
      <c r="O1604" t="n">
        <v>0</v>
      </c>
      <c r="P1604">
        <f>IF(B1629=0,0,O1604/B1629)</f>
        <v/>
      </c>
      <c r="Q1604">
        <f>IFERROR(1/IF(Inputs!$B$39="pvp",15,MAX(0.1,Skills!D20-IF(Skills!E20=TRUE,3.0,0))),0)</f>
        <v/>
      </c>
      <c r="R1604">
        <f>IF(AND(Inputs!$B$39&lt;&gt;"pvp",Inputs!$B$44&gt;0),IF(Inputs!$B$44&lt;=0,0,(INT(Inputs!$B$44/IF(Inputs!$B$39="pvp",15,MAX(0.1,Skills!D20-IF(Skills!E20=TRUE,3.0,0))))+1)),0)</f>
        <v/>
      </c>
      <c r="S1604">
        <f>IFERROR(O1604/N1604,0)</f>
        <v/>
      </c>
    </row>
    <row r="1605">
      <c r="A1605">
        <f>Skills!A21</f>
        <v/>
      </c>
      <c r="B1605">
        <f>Skills!B21</f>
        <v/>
      </c>
      <c r="C1605">
        <f>Inputs!$B$3&gt;=15</f>
        <v/>
      </c>
      <c r="D1605">
        <f>IF(Skills!C21=1,60+Inputs!$B$25+Inputs!$B$29,IF(Skills!C21=2,90+Inputs!$B$26+Inputs!$B$29,IF(Skills!C21=3,120+Inputs!$B$27+Inputs!$B$29,MAX(0,(Inputs!$B$3-100)*3)+Inputs!$B$28+Inputs!$B$29)))</f>
        <v/>
      </c>
      <c r="E1605">
        <f>INDEX(FactorTable!$B$2:$Y$301, MATCH(ROUND(MIN(300,MAX(1,D1605)),0), FactorTable!$A$2:$A$301,0), Skills!M21+1)</f>
        <v/>
      </c>
      <c r="F1605">
        <f>IF(Skills!N21=TRUE,(Skills!L21/10)*(E1605/1000),Skills!L21/10)+Skills!O21</f>
        <v/>
      </c>
      <c r="G1605">
        <f>Skills!G21*IF(Skills!H21&gt;0,Skills!I21/Skills!H21,1)</f>
        <v/>
      </c>
      <c r="H1605">
        <f>1-(1-Skills!J21/100)^Skills!K21</f>
        <v/>
      </c>
      <c r="I1605" t="inlineStr">
        <is>
          <t>1</t>
        </is>
      </c>
      <c r="J1605" t="inlineStr"/>
      <c r="K1605" t="inlineStr"/>
      <c r="L1605" t="inlineStr"/>
      <c r="M1605" t="inlineStr"/>
      <c r="N1605" t="inlineStr"/>
      <c r="O1605" t="n">
        <v>0</v>
      </c>
      <c r="P1605">
        <f>IF(B1629=0,0,O1605/B1629)</f>
        <v/>
      </c>
      <c r="Q1605">
        <f>IFERROR(1/IF(Inputs!$B$39="pvp",15,MAX(0.1,Skills!D21-IF(Skills!E21=TRUE,3.0,0))),0)</f>
        <v/>
      </c>
      <c r="R1605">
        <f>IF(AND(Inputs!$B$39&lt;&gt;"pvp",Inputs!$B$44&gt;0),IF(Inputs!$B$44&lt;=0,0,(INT(Inputs!$B$44/IF(Inputs!$B$39="pvp",15,MAX(0.1,Skills!D21-IF(Skills!E21=TRUE,3.0,0))))+1)),0)</f>
        <v/>
      </c>
      <c r="S1605">
        <f>IFERROR(O1605/N1605,0)</f>
        <v/>
      </c>
    </row>
    <row r="1606">
      <c r="A1606">
        <f>Skills!A22</f>
        <v/>
      </c>
      <c r="B1606">
        <f>Skills!B22</f>
        <v/>
      </c>
      <c r="C1606">
        <f>Inputs!$B$3&gt;=33</f>
        <v/>
      </c>
      <c r="D1606">
        <f>IF(Skills!C22=1,60+Inputs!$B$25+Inputs!$B$29,IF(Skills!C22=2,90+Inputs!$B$26+Inputs!$B$29,IF(Skills!C22=3,120+Inputs!$B$27+Inputs!$B$29,MAX(0,(Inputs!$B$3-100)*3)+Inputs!$B$28+Inputs!$B$29)))</f>
        <v/>
      </c>
      <c r="E1606">
        <f>INDEX(FactorTable!$B$2:$Y$301, MATCH(ROUND(MIN(300,MAX(1,D1606)),0), FactorTable!$A$2:$A$301,0), Skills!M22+1)</f>
        <v/>
      </c>
      <c r="F1606">
        <f>IF(Skills!N22=TRUE,(Skills!L22/10)*(E1606/1000),Skills!L22/10)+Skills!O22</f>
        <v/>
      </c>
      <c r="G1606">
        <f>Skills!G22*IF(Skills!H22&gt;0,Skills!I22/Skills!H22,1)</f>
        <v/>
      </c>
      <c r="H1606">
        <f>1-(1-Skills!J22/100)^Skills!K22</f>
        <v/>
      </c>
      <c r="I1606" t="inlineStr">
        <is>
          <t>1</t>
        </is>
      </c>
      <c r="J1606" t="inlineStr"/>
      <c r="K1606" t="inlineStr"/>
      <c r="L1606" t="inlineStr"/>
      <c r="M1606" t="inlineStr"/>
      <c r="N1606" t="inlineStr"/>
      <c r="O1606" t="n">
        <v>0</v>
      </c>
      <c r="P1606">
        <f>IF(B1629=0,0,O1606/B1629)</f>
        <v/>
      </c>
      <c r="Q1606" t="n">
        <v>0</v>
      </c>
      <c r="R1606" t="n">
        <v>0</v>
      </c>
      <c r="S1606">
        <f>IFERROR(O1606/N1606,0)</f>
        <v/>
      </c>
    </row>
    <row r="1607">
      <c r="A1607">
        <f>Skills!A23</f>
        <v/>
      </c>
      <c r="B1607">
        <f>Skills!B23</f>
        <v/>
      </c>
      <c r="C1607">
        <f>Inputs!$B$3&gt;=40</f>
        <v/>
      </c>
      <c r="D1607">
        <f>IF(Skills!C23=1,60+Inputs!$B$25+Inputs!$B$29,IF(Skills!C23=2,90+Inputs!$B$26+Inputs!$B$29,IF(Skills!C23=3,120+Inputs!$B$27+Inputs!$B$29,MAX(0,(Inputs!$B$3-100)*3)+Inputs!$B$28+Inputs!$B$29)))</f>
        <v/>
      </c>
      <c r="E1607">
        <f>INDEX(FactorTable!$B$2:$Y$301, MATCH(ROUND(MIN(300,MAX(1,D1607)),0), FactorTable!$A$2:$A$301,0), Skills!M23+1)</f>
        <v/>
      </c>
      <c r="F1607">
        <f>IF(Skills!N23=TRUE,(Skills!L23/10)*(E1607/1000),Skills!L23/10)+Skills!O23</f>
        <v/>
      </c>
      <c r="G1607">
        <f>Skills!G23*IF(Skills!H23&gt;0,Skills!I23/Skills!H23,1)</f>
        <v/>
      </c>
      <c r="H1607">
        <f>1-(1-Skills!J23/100)^Skills!K23</f>
        <v/>
      </c>
      <c r="I1607" t="inlineStr">
        <is>
          <t>1</t>
        </is>
      </c>
      <c r="J1607" t="inlineStr"/>
      <c r="K1607" t="inlineStr"/>
      <c r="L1607" t="inlineStr"/>
      <c r="M1607" t="inlineStr"/>
      <c r="N1607" t="inlineStr"/>
      <c r="O1607" t="n">
        <v>0</v>
      </c>
      <c r="P1607">
        <f>IF(B1629=0,0,O1607/B1629)</f>
        <v/>
      </c>
      <c r="Q1607" t="n">
        <v>0</v>
      </c>
      <c r="R1607" t="n">
        <v>0</v>
      </c>
      <c r="S1607">
        <f>IFERROR(O1607/N1607,0)</f>
        <v/>
      </c>
    </row>
    <row r="1608">
      <c r="A1608">
        <f>Skills!A24</f>
        <v/>
      </c>
      <c r="B1608">
        <f>Skills!B24</f>
        <v/>
      </c>
      <c r="C1608">
        <f>Inputs!$B$3&gt;=43</f>
        <v/>
      </c>
      <c r="D1608">
        <f>IF(Skills!C24=1,60+Inputs!$B$25+Inputs!$B$29,IF(Skills!C24=2,90+Inputs!$B$26+Inputs!$B$29,IF(Skills!C24=3,120+Inputs!$B$27+Inputs!$B$29,MAX(0,(Inputs!$B$3-100)*3)+Inputs!$B$28+Inputs!$B$29)))</f>
        <v/>
      </c>
      <c r="E1608">
        <f>INDEX(FactorTable!$B$2:$Y$301, MATCH(ROUND(MIN(300,MAX(1,D1608)),0), FactorTable!$A$2:$A$301,0), Skills!M24+1)</f>
        <v/>
      </c>
      <c r="F1608">
        <f>IF(Skills!N24=TRUE,(Skills!L24/10)*(E1608/1000),Skills!L24/10)+Skills!O24</f>
        <v/>
      </c>
      <c r="G1608">
        <f>Skills!G24*IF(Skills!H24&gt;0,Skills!I24/Skills!H24,1)</f>
        <v/>
      </c>
      <c r="H1608">
        <f>1-(1-Skills!J24/100)^Skills!K24</f>
        <v/>
      </c>
      <c r="I1608" t="inlineStr">
        <is>
          <t>1</t>
        </is>
      </c>
      <c r="J1608" t="inlineStr"/>
      <c r="K1608" t="inlineStr"/>
      <c r="L1608" t="inlineStr"/>
      <c r="M1608" t="inlineStr"/>
      <c r="N1608" t="inlineStr"/>
      <c r="O1608" t="n">
        <v>0</v>
      </c>
      <c r="P1608">
        <f>IF(B1629=0,0,O1608/B1629)</f>
        <v/>
      </c>
      <c r="Q1608" t="n">
        <v>0</v>
      </c>
      <c r="R1608" t="n">
        <v>0</v>
      </c>
      <c r="S1608">
        <f>IFERROR(O1608/N1608,0)</f>
        <v/>
      </c>
    </row>
    <row r="1609">
      <c r="A1609">
        <f>Skills!A25</f>
        <v/>
      </c>
      <c r="B1609">
        <f>Skills!B25</f>
        <v/>
      </c>
      <c r="C1609">
        <f>Inputs!$B$3&gt;=50</f>
        <v/>
      </c>
      <c r="D1609">
        <f>IF(Skills!C25=1,60+Inputs!$B$25+Inputs!$B$29,IF(Skills!C25=2,90+Inputs!$B$26+Inputs!$B$29,IF(Skills!C25=3,120+Inputs!$B$27+Inputs!$B$29,MAX(0,(Inputs!$B$3-100)*3)+Inputs!$B$28+Inputs!$B$29)))</f>
        <v/>
      </c>
      <c r="E1609">
        <f>INDEX(FactorTable!$B$2:$Y$301, MATCH(ROUND(MIN(300,MAX(1,D1609)),0), FactorTable!$A$2:$A$301,0), Skills!M25+1)</f>
        <v/>
      </c>
      <c r="F1609">
        <f>IF(Skills!N25=TRUE,(Skills!L25/10)*(E1609/1000),Skills!L25/10)+Skills!O25</f>
        <v/>
      </c>
      <c r="G1609">
        <f>Skills!G25*IF(Skills!H25&gt;0,Skills!I25/Skills!H25,1)</f>
        <v/>
      </c>
      <c r="H1609">
        <f>1-(1-Skills!J25/100)^Skills!K25</f>
        <v/>
      </c>
      <c r="I1609" t="inlineStr">
        <is>
          <t>1</t>
        </is>
      </c>
      <c r="J1609" t="inlineStr"/>
      <c r="K1609" t="inlineStr"/>
      <c r="L1609" t="inlineStr"/>
      <c r="M1609" t="inlineStr"/>
      <c r="N1609" t="inlineStr"/>
      <c r="O1609" t="n">
        <v>0</v>
      </c>
      <c r="P1609">
        <f>IF(B1629=0,0,O1609/B1629)</f>
        <v/>
      </c>
      <c r="Q1609" t="n">
        <v>0</v>
      </c>
      <c r="R1609" t="n">
        <v>0</v>
      </c>
      <c r="S1609">
        <f>IFERROR(O1609/N1609,0)</f>
        <v/>
      </c>
    </row>
    <row r="1610">
      <c r="A1610">
        <f>Skills!A26</f>
        <v/>
      </c>
      <c r="B1610">
        <f>Skills!B26</f>
        <v/>
      </c>
      <c r="C1610">
        <f>Inputs!$B$3&gt;=50</f>
        <v/>
      </c>
      <c r="D1610">
        <f>IF(Skills!C26=1,60+Inputs!$B$25+Inputs!$B$29,IF(Skills!C26=2,90+Inputs!$B$26+Inputs!$B$29,IF(Skills!C26=3,120+Inputs!$B$27+Inputs!$B$29,MAX(0,(Inputs!$B$3-100)*3)+Inputs!$B$28+Inputs!$B$29)))</f>
        <v/>
      </c>
      <c r="E1610">
        <f>INDEX(FactorTable!$B$2:$Y$301, MATCH(ROUND(MIN(300,MAX(1,D1610)),0), FactorTable!$A$2:$A$301,0), Skills!M26+1)</f>
        <v/>
      </c>
      <c r="F1610">
        <f>IF(Skills!N26=TRUE,(Skills!L26/10)*(E1610/1000),Skills!L26/10)+Skills!O26</f>
        <v/>
      </c>
      <c r="G1610">
        <f>Skills!G26*IF(Skills!H26&gt;0,Skills!I26/Skills!H26,1)</f>
        <v/>
      </c>
      <c r="H1610">
        <f>1-(1-Skills!J26/100)^Skills!K26</f>
        <v/>
      </c>
      <c r="I1610" t="inlineStr">
        <is>
          <t>1</t>
        </is>
      </c>
      <c r="J1610" t="inlineStr"/>
      <c r="K1610" t="inlineStr"/>
      <c r="L1610" t="inlineStr"/>
      <c r="M1610" t="inlineStr"/>
      <c r="N1610" t="inlineStr"/>
      <c r="O1610" t="n">
        <v>0</v>
      </c>
      <c r="P1610">
        <f>IF(B1629=0,0,O1610/B1629)</f>
        <v/>
      </c>
      <c r="Q1610" t="n">
        <v>0</v>
      </c>
      <c r="R1610" t="n">
        <v>0</v>
      </c>
      <c r="S1610">
        <f>IFERROR(O1610/N1610,0)</f>
        <v/>
      </c>
    </row>
    <row r="1611">
      <c r="A1611">
        <f>Skills!A27</f>
        <v/>
      </c>
      <c r="B1611">
        <f>Skills!B27</f>
        <v/>
      </c>
      <c r="C1611">
        <f>Inputs!$B$3&gt;=38</f>
        <v/>
      </c>
      <c r="D1611">
        <f>IF(Skills!C27=1,60+Inputs!$B$25+Inputs!$B$29,IF(Skills!C27=2,90+Inputs!$B$26+Inputs!$B$29,IF(Skills!C27=3,120+Inputs!$B$27+Inputs!$B$29,MAX(0,(Inputs!$B$3-100)*3)+Inputs!$B$28+Inputs!$B$29)))</f>
        <v/>
      </c>
      <c r="E1611">
        <f>INDEX(FactorTable!$B$2:$Y$301, MATCH(ROUND(MIN(300,MAX(1,D1611)),0), FactorTable!$A$2:$A$301,0), Skills!M27+1)</f>
        <v/>
      </c>
      <c r="F1611">
        <f>IF(Skills!N27=TRUE,(Skills!L27/10)*(E1611/1000),Skills!L27/10)+Skills!O27</f>
        <v/>
      </c>
      <c r="G1611">
        <f>Skills!G27*IF(Skills!H27&gt;0,Skills!I27/Skills!H27,1)</f>
        <v/>
      </c>
      <c r="H1611">
        <f>1-(1-Skills!J27/100)^Skills!K27</f>
        <v/>
      </c>
      <c r="I1611" t="inlineStr">
        <is>
          <t>1</t>
        </is>
      </c>
      <c r="J1611" t="inlineStr"/>
      <c r="K1611" t="inlineStr"/>
      <c r="L1611" t="inlineStr"/>
      <c r="M1611" t="inlineStr"/>
      <c r="N1611" t="inlineStr"/>
      <c r="O1611" t="n">
        <v>0</v>
      </c>
      <c r="P1611">
        <f>IF(B1629=0,0,O1611/B1629)</f>
        <v/>
      </c>
      <c r="Q1611" t="n">
        <v>0</v>
      </c>
      <c r="R1611" t="n">
        <v>0</v>
      </c>
      <c r="S1611">
        <f>IFERROR(O1611/N1611,0)</f>
        <v/>
      </c>
    </row>
    <row r="1612">
      <c r="A1612">
        <f>Skills!A28</f>
        <v/>
      </c>
      <c r="B1612">
        <f>Skills!B28</f>
        <v/>
      </c>
      <c r="C1612">
        <f>Inputs!$B$3&gt;=120</f>
        <v/>
      </c>
      <c r="D1612">
        <f>IF(Skills!C28=1,60+Inputs!$B$25+Inputs!$B$29,IF(Skills!C28=2,90+Inputs!$B$26+Inputs!$B$29,IF(Skills!C28=3,120+Inputs!$B$27+Inputs!$B$29,MAX(0,(Inputs!$B$3-100)*3)+Inputs!$B$28+Inputs!$B$29)))</f>
        <v/>
      </c>
      <c r="E1612">
        <f>INDEX(FactorTable!$B$2:$Y$301, MATCH(ROUND(MIN(300,MAX(1,D1612)),0), FactorTable!$A$2:$A$301,0), Skills!M28+1)</f>
        <v/>
      </c>
      <c r="F1612">
        <f>IF(Skills!N28=TRUE,(Skills!L28/10)*(E1612/1000),Skills!L28/10)+Skills!O28</f>
        <v/>
      </c>
      <c r="G1612">
        <f>Skills!G28*IF(Skills!H28&gt;0,Skills!I28/Skills!H28,1)</f>
        <v/>
      </c>
      <c r="H1612">
        <f>1-(1-Skills!J28/100)^Skills!K28</f>
        <v/>
      </c>
      <c r="I1612" t="inlineStr">
        <is>
          <t>1</t>
        </is>
      </c>
      <c r="J1612" t="inlineStr"/>
      <c r="K1612" t="inlineStr"/>
      <c r="L1612" t="inlineStr"/>
      <c r="M1612" t="inlineStr"/>
      <c r="N1612" t="inlineStr"/>
      <c r="O1612" t="n">
        <v>0</v>
      </c>
      <c r="P1612">
        <f>IF(B1629=0,0,O1612/B1629)</f>
        <v/>
      </c>
      <c r="Q1612" t="n">
        <v>0</v>
      </c>
      <c r="R1612" t="n">
        <v>0</v>
      </c>
      <c r="S1612">
        <f>IFERROR(O1612/N1612,0)</f>
        <v/>
      </c>
    </row>
    <row r="1613">
      <c r="A1613">
        <f>Skills!A29</f>
        <v/>
      </c>
      <c r="B1613">
        <f>Skills!B29</f>
        <v/>
      </c>
      <c r="C1613">
        <f>Inputs!$B$3&gt;=120</f>
        <v/>
      </c>
      <c r="D1613">
        <f>IF(Skills!C29=1,60+Inputs!$B$25+Inputs!$B$29,IF(Skills!C29=2,90+Inputs!$B$26+Inputs!$B$29,IF(Skills!C29=3,120+Inputs!$B$27+Inputs!$B$29,MAX(0,(Inputs!$B$3-100)*3)+Inputs!$B$28+Inputs!$B$29)))</f>
        <v/>
      </c>
      <c r="E1613">
        <f>INDEX(FactorTable!$B$2:$Y$301, MATCH(ROUND(MIN(300,MAX(1,D1613)),0), FactorTable!$A$2:$A$301,0), Skills!M29+1)</f>
        <v/>
      </c>
      <c r="F1613">
        <f>IF(Skills!N29=TRUE,(Skills!L29/10)*(E1613/1000),Skills!L29/10)+Skills!O29</f>
        <v/>
      </c>
      <c r="G1613">
        <f>Skills!G29*IF(Skills!H29&gt;0,Skills!I29/Skills!H29,1)</f>
        <v/>
      </c>
      <c r="H1613">
        <f>1-(1-Skills!J29/100)^Skills!K29</f>
        <v/>
      </c>
      <c r="I1613" t="inlineStr">
        <is>
          <t>1</t>
        </is>
      </c>
      <c r="J1613" t="inlineStr"/>
      <c r="K1613" t="inlineStr"/>
      <c r="L1613" t="inlineStr"/>
      <c r="M1613" t="inlineStr"/>
      <c r="N1613" t="inlineStr"/>
      <c r="O1613" t="n">
        <v>0</v>
      </c>
      <c r="P1613">
        <f>IF(B1629=0,0,O1613/B1629)</f>
        <v/>
      </c>
      <c r="Q1613" t="n">
        <v>0</v>
      </c>
      <c r="R1613" t="n">
        <v>0</v>
      </c>
      <c r="S1613">
        <f>IFERROR(O1613/N1613,0)</f>
        <v/>
      </c>
    </row>
    <row r="1614">
      <c r="A1614">
        <f>Skills!A30</f>
        <v/>
      </c>
      <c r="B1614">
        <f>Skills!B30</f>
        <v/>
      </c>
      <c r="C1614">
        <f>Inputs!$B$3&gt;=125</f>
        <v/>
      </c>
      <c r="D1614">
        <f>IF(Skills!C30=1,60+Inputs!$B$25+Inputs!$B$29,IF(Skills!C30=2,90+Inputs!$B$26+Inputs!$B$29,IF(Skills!C30=3,120+Inputs!$B$27+Inputs!$B$29,MAX(0,(Inputs!$B$3-100)*3)+Inputs!$B$28+Inputs!$B$29)))</f>
        <v/>
      </c>
      <c r="E1614">
        <f>INDEX(FactorTable!$B$2:$Y$301, MATCH(ROUND(MIN(300,MAX(1,D1614)),0), FactorTable!$A$2:$A$301,0), Skills!M30+1)</f>
        <v/>
      </c>
      <c r="F1614">
        <f>IF(Skills!N30=TRUE,(Skills!L30/10)*(E1614/1000),Skills!L30/10)+Skills!O30</f>
        <v/>
      </c>
      <c r="G1614">
        <f>Skills!G30*IF(Skills!H30&gt;0,Skills!I30/Skills!H30,1)</f>
        <v/>
      </c>
      <c r="H1614">
        <f>1-(1-Skills!J30/100)^Skills!K30</f>
        <v/>
      </c>
      <c r="I1614" t="inlineStr">
        <is>
          <t>1</t>
        </is>
      </c>
      <c r="J1614" t="inlineStr"/>
      <c r="K1614" t="inlineStr"/>
      <c r="L1614" t="inlineStr"/>
      <c r="M1614" t="inlineStr"/>
      <c r="N1614" t="inlineStr"/>
      <c r="O1614" t="n">
        <v>0</v>
      </c>
      <c r="P1614">
        <f>IF(B1629=0,0,O1614/B1629)</f>
        <v/>
      </c>
      <c r="Q1614" t="n">
        <v>0</v>
      </c>
      <c r="R1614" t="n">
        <v>0</v>
      </c>
      <c r="S1614">
        <f>IFERROR(O1614/N1614,0)</f>
        <v/>
      </c>
    </row>
    <row r="1616">
      <c r="A1616" t="inlineStr">
        <is>
          <t>Average Buff Multiplier</t>
        </is>
      </c>
      <c r="B1616">
        <f>(1+(((C1605=TRUE)*F1605*IF(AND(Inputs!$B$39&lt;&gt;"pvp",Inputs!$B$44&gt;0),(((R1605-1)*(Skills!Y21*(1+Inputs!$B$34/100))+MIN((Skills!Y21*(1+Inputs!$B$34/100)),MAX(0,Inputs!$B$44-((R1605-1)*Skills!D21))))/Inputs!$B$44),IF(Inputs!$B$39="pvp",MIN((Skills!Y21*(1+Inputs!$B$34/100)),15)/15,(Skills!Y21*(1+Inputs!$B$34/100))/Skills!D21)))+((C1607=TRUE)*(F1607-Calc!F23))+((C1601=TRUE)*(F1601-Calc!F17)))/100)*(1+((C1594=TRUE)*F1594*IF(AND(Inputs!$B$39&lt;&gt;"pvp",Inputs!$B$44&gt;0),(((R1594-1)*(Skills!Y10*(1+Inputs!$B$34/100))+MIN((Skills!Y10*(1+Inputs!$B$34/100)),MAX(0,Inputs!$B$44-((R1594-1)*Skills!D10))))/Inputs!$B$44),IF(Inputs!$B$39="pvp",MIN((Skills!Y10*(1+Inputs!$B$34/100)),15)/15,(Skills!Y10*(1+Inputs!$B$34/100))/Skills!D10)))/100)*(1+((C1599=TRUE)*F1599*IF(AND(Inputs!$B$39&lt;&gt;"pvp",Inputs!$B$44&gt;0),(((R1599-1)*(Skills!Y15*(1+Inputs!$B$34/100))+MIN((Skills!Y15*(1+Inputs!$B$34/100)),MAX(0,Inputs!$B$44-((R1599-1)*Skills!D15))))/Inputs!$B$44),IF(Inputs!$B$39="pvp",MIN((Skills!Y15*(1+Inputs!$B$34/100)),15)/15,(Skills!Y15*(1+Inputs!$B$34/100))/Skills!D15)))/100)</f>
        <v/>
      </c>
    </row>
    <row r="1617">
      <c r="A1617" t="inlineStr">
        <is>
          <t>Global Crit Rate Bonus %</t>
        </is>
      </c>
      <c r="B1617">
        <f>((C1604=TRUE)*F1604*IF(AND(Inputs!$B$39&lt;&gt;"pvp",Inputs!$B$44&gt;0),(((R1604-1)*(Skills!Y20*(1+Inputs!$B$34/100))+MIN((Skills!Y20*(1+Inputs!$B$34/100)),MAX(0,Inputs!$B$44-((R1604-1)*Skills!D20))))/Inputs!$B$44),IF(Inputs!$B$39="pvp",MIN((Skills!Y20*(1+Inputs!$B$34/100)),15)/15,(Skills!Y20*(1+Inputs!$B$34/100))/Skills!D20)))</f>
        <v/>
      </c>
    </row>
    <row r="1618">
      <c r="A1618" t="inlineStr">
        <is>
          <t>Global Monster Damage-Taken Bonus %</t>
        </is>
      </c>
      <c r="B1618">
        <f>IF(Inputs!$B$3&gt;=82,15,0)</f>
        <v/>
      </c>
    </row>
    <row r="1619">
      <c r="A1619" t="inlineStr">
        <is>
          <t>Shadow Partner Average Multiplier</t>
        </is>
      </c>
      <c r="B1619">
        <f>1+((C1591=TRUE)*F1591*(1+3.3333333333333335*IF(C1602=TRUE,F1602,0)/100)*I1591*Skills!J7/100)/100</f>
        <v/>
      </c>
    </row>
    <row r="1620">
      <c r="A1620" t="inlineStr">
        <is>
          <t>Attack Speed Buff Bonus %</t>
        </is>
      </c>
      <c r="B1620">
        <f>((C1603=TRUE)*F1603*IF(AND(Inputs!$B$39&lt;&gt;"pvp",Inputs!$B$44&gt;0),(((R1603-1)*(Skills!Y19*(1+Inputs!$B$34/100))+MIN((Skills!Y19*(1+Inputs!$B$34/100)),MAX(0,Inputs!$B$44-((R1603-1)*Skills!D19))))/Inputs!$B$44),IF(Inputs!$B$39="pvp",MIN((Skills!Y19*(1+Inputs!$B$34/100)),15)/15,(Skills!Y19*(1+Inputs!$B$34/100))/Skills!D19)))+((C1587=TRUE)*F1587*3)</f>
        <v/>
      </c>
    </row>
    <row r="1621">
      <c r="A1621" t="inlineStr">
        <is>
          <t>Actions Per Second</t>
        </is>
      </c>
      <c r="B1621">
        <f>1+MIN(150,150*(1-(1-(Inputs!$B$11+((C1606=TRUE)*(F1606-Calc!F22)))/150)*(1-B1620/150)))/100</f>
        <v/>
      </c>
    </row>
    <row r="1622">
      <c r="A1622" t="inlineStr">
        <is>
          <t>Skill + Buff Cast Rate</t>
        </is>
      </c>
      <c r="B1622">
        <f>IF(AND(Inputs!$B$39&lt;&gt;"pvp",Inputs!$B$44&gt;0),SUMPRODUCT((Skills!E2:E30=TRUE)*(C1586:C1614=TRUE)*R1586:R1614*Skills!F2:F30)/Inputs!$B$44,SUMPRODUCT((Skills!E2:E30=TRUE)*(C1586:C1614=TRUE)*Q1586:Q1614*Skills!F2:F30))</f>
        <v/>
      </c>
    </row>
    <row r="1623">
      <c r="A1623" t="inlineStr">
        <is>
          <t>Cruel Stab Casts Per Second</t>
        </is>
      </c>
      <c r="B1623">
        <f>MAX(0,B1621-B1622)</f>
        <v/>
      </c>
    </row>
    <row r="1624">
      <c r="A1624" t="inlineStr">
        <is>
          <t>Global Critical Damage Bonus % (Smokescreen Mastery Lv.113)</t>
        </is>
      </c>
      <c r="B1624">
        <f>IF(Inputs!$B$3&gt;=113,30,0)*IF(AND(Inputs!$B$39&lt;&gt;"pvp",Inputs!$B$44&gt;0),(((R1599-1)*(Skills!Y15*(1+Inputs!$B$34/100))+MIN((Skills!Y15*(1+Inputs!$B$34/100)),MAX(0,Inputs!$B$44-((R1599-1)*Skills!D15))))/Inputs!$B$44),IF(Inputs!$B$39="pvp",MIN((Skills!Y15*(1+Inputs!$B$34/100)),15)/15,(Skills!Y15*(1+Inputs!$B$34/100))/Skills!D15))</f>
        <v/>
      </c>
    </row>
    <row r="1625">
      <c r="A1625" t="inlineStr">
        <is>
          <t>Meso Explosion average stack count</t>
        </is>
      </c>
      <c r="B1625">
        <f>MIN(10,0.5*B1621*Skills!D4)</f>
        <v/>
      </c>
    </row>
    <row r="1626">
      <c r="A1626" t="inlineStr">
        <is>
          <t>Blood Money average stack count</t>
        </is>
      </c>
      <c r="B1626">
        <f>MIN(5,0.25*B1621*Skills!D4)</f>
        <v/>
      </c>
    </row>
    <row r="1627">
      <c r="A1627" t="inlineStr">
        <is>
          <t>Assassinate Murderous Intent Multiplier</t>
        </is>
      </c>
      <c r="B1627">
        <f>1+IFERROR(MIN(1,Q1598*2/Q1595),0)</f>
        <v/>
      </c>
    </row>
    <row r="1628">
      <c r="A1628" t="inlineStr">
        <is>
          <t>Buff-Casting Startup Delay (s, fixed-duration only)</t>
        </is>
      </c>
      <c r="B1628">
        <f>IF(AND(Inputs!$B$39&lt;&gt;"pvp",Inputs!$B$44&gt;0),SUMPRODUCT((Skills!Y2:Y30&gt;0)*(Skills!E2:E30=TRUE)*(C1586:C1614=TRUE))/B1621,0)</f>
        <v/>
      </c>
    </row>
    <row r="1629">
      <c r="A1629" s="5" t="inlineStr">
        <is>
          <t>TOTAL DPS</t>
        </is>
      </c>
      <c r="B1629" s="5">
        <f>SUM(O1586:O1614)</f>
        <v/>
      </c>
    </row>
    <row r="1632">
      <c r="A1632" s="5" t="inlineStr">
        <is>
          <t>Stat: CDR = 3.5s</t>
        </is>
      </c>
    </row>
    <row r="1633">
      <c r="A1633" s="9" t="inlineStr">
        <is>
          <t>Key</t>
        </is>
      </c>
      <c r="B1633" s="9" t="inlineStr">
        <is>
          <t>Name</t>
        </is>
      </c>
      <c r="C1633" s="9" t="inlineStr">
        <is>
          <t>Unlocked</t>
        </is>
      </c>
      <c r="D1633" s="9" t="inlineStr">
        <is>
          <t>InputLevel</t>
        </is>
      </c>
      <c r="E1633" s="9" t="inlineStr">
        <is>
          <t>Factor</t>
        </is>
      </c>
      <c r="F1633" s="9" t="inlineStr">
        <is>
          <t>CoefficientPercent</t>
        </is>
      </c>
      <c r="G1633" s="9" t="inlineStr">
        <is>
          <t>EffectiveHits</t>
        </is>
      </c>
      <c r="H1633" s="9" t="inlineStr">
        <is>
          <t>ProcProbability</t>
        </is>
      </c>
      <c r="I1633" s="9" t="inlineStr">
        <is>
          <t>MapleHeroMultiplier</t>
        </is>
      </c>
      <c r="J1633" s="9" t="inlineStr">
        <is>
          <t>BaseDamage</t>
        </is>
      </c>
      <c r="K1633" s="9" t="inlineStr">
        <is>
          <t>BaseHitDamage</t>
        </is>
      </c>
      <c r="L1633" s="9" t="inlineStr">
        <is>
          <t>NonCritAvg</t>
        </is>
      </c>
      <c r="M1633" s="9" t="inlineStr">
        <is>
          <t>CritAvg</t>
        </is>
      </c>
      <c r="N1633" s="9" t="inlineStr">
        <is>
          <t>ExpectedDamage(perHit)</t>
        </is>
      </c>
      <c r="O1633" s="9" t="inlineStr">
        <is>
          <t>DPS</t>
        </is>
      </c>
      <c r="P1633" s="9" t="inlineStr">
        <is>
          <t>% of Total</t>
        </is>
      </c>
      <c r="Q1633" s="9" t="inlineStr">
        <is>
          <t>InvCooldown</t>
        </is>
      </c>
      <c r="R1633" s="9" t="inlineStr">
        <is>
          <t>CastsInFight</t>
        </is>
      </c>
      <c r="S1633" s="9" t="inlineStr">
        <is>
          <t>HitRate(perSec)</t>
        </is>
      </c>
      <c r="U1633" t="inlineStr">
        <is>
          <t>helpers</t>
        </is>
      </c>
    </row>
    <row r="1634">
      <c r="A1634">
        <f>Skills!A2</f>
        <v/>
      </c>
      <c r="B1634">
        <f>Skills!B2</f>
        <v/>
      </c>
      <c r="C1634">
        <f>Inputs!$B$3&gt;=100</f>
        <v/>
      </c>
      <c r="D1634" t="inlineStr"/>
      <c r="E1634" t="inlineStr"/>
      <c r="F1634">
        <f>U1636+Skills!O2</f>
        <v/>
      </c>
      <c r="G1634">
        <f>Skills!G2*IF(Skills!H2&gt;0,Skills!I2/Skills!H2,1)</f>
        <v/>
      </c>
      <c r="H1634">
        <f>1-(1-Skills!J2/100)^Skills!K2</f>
        <v/>
      </c>
      <c r="I1634" t="inlineStr">
        <is>
          <t>1</t>
        </is>
      </c>
      <c r="J1634">
        <f>((Inputs!$B$6*(1+Inputs!$B$7/100))+(((Inputs!$B$12*(1+Inputs!$B$13/100))-(Inputs!$B$12*(1+Inputs!$B$13/100)))+0.25*(Inputs!$B$14-Inputs!$B$14))*(1+Inputs!$B$7/100))*(F1634/100)</f>
        <v/>
      </c>
      <c r="K1634">
        <f>J1634*(1+((Inputs!$B$12*(1+Inputs!$B$13/100))*0.01+Inputs!$B$14*0.0025)/100)*(1+Inputs!$B$15/100)*(1+IF(Inputs!$B$39="pvp",0,(1-Summary!$B$55)*(Inputs!$B$20+0+Skills!P2+B1666)+Summary!$B$55*(Inputs!$B$21+Skills!Q2+B1666))/100)*(1+Inputs!$B$16/100)*(5000/(6000+Inputs!$B$43*(1-Inputs!$B$19/100)))*(1+(Inputs!$B$24+((C1662=TRUE)*(F1662-Calc!F30)))/100)*(1+(IF(Skills!A2="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1634)</f>
        <v/>
      </c>
      <c r="L1634">
        <f>K1634*(MIN(Inputs!$B$22+((C1656=TRUE)*(F1656-Calc!F24)),Inputs!$B$23+((C1661=TRUE)*(F1661-Calc!F29)))/100+(Inputs!$B$23+((C1661=TRUE)*(F1661-Calc!F29)))/100)/2</f>
        <v/>
      </c>
      <c r="M1634">
        <f>L1634*(1+(Inputs!$B$10+((C1658=TRUE)*(F1658-Calc!F26))+B1672)/100)</f>
        <v/>
      </c>
      <c r="N1634">
        <f>L1634*(1-MIN((Inputs!$B$9+((C1657=TRUE)*(F1657-Calc!F25))+B1665),100)/100)+M1634*(MIN((Inputs!$B$9+((C1657=TRUE)*(F1657-Calc!F25))+B1665),100)/100)</f>
        <v/>
      </c>
      <c r="O1634">
        <f>IF(C1634,Skills!G2*N1634*B1671*IF(Inputs!$B$39="pvp",1,(1-Summary!$B$55)*(1)+Summary!$B$55*(MIN((6+Inputs!$B$33),Inputs!$B$37))),0)</f>
        <v/>
      </c>
      <c r="P1634">
        <f>IF(B1677=0,0,O1634/B1677)</f>
        <v/>
      </c>
      <c r="Q1634" t="n">
        <v>0</v>
      </c>
      <c r="R1634" t="n">
        <v>0</v>
      </c>
      <c r="S1634">
        <f>IFERROR(O1634/N1634,0)</f>
        <v/>
      </c>
      <c r="U1634">
        <f>MAX(0,(Inputs!$B$3-100)*3)+Inputs!$B$28+Inputs!$B$29</f>
        <v/>
      </c>
    </row>
    <row r="1635">
      <c r="A1635">
        <f>Skills!A3</f>
        <v/>
      </c>
      <c r="B1635">
        <f>Skills!B3</f>
        <v/>
      </c>
      <c r="C1635">
        <f>Inputs!$B$3&gt;=35</f>
        <v/>
      </c>
      <c r="D1635">
        <f>IF(Skills!C3=1,60+Inputs!$B$25+Inputs!$B$29,IF(Skills!C3=2,90+Inputs!$B$26+Inputs!$B$29,IF(Skills!C3=3,120+Inputs!$B$27+Inputs!$B$29,MAX(0,(Inputs!$B$3-100)*3)+Inputs!$B$28+Inputs!$B$29)))</f>
        <v/>
      </c>
      <c r="E1635">
        <f>INDEX(FactorTable!$B$2:$Y$301, MATCH(ROUND(MIN(300,MAX(1,D1635)),0), FactorTable!$A$2:$A$301,0), Skills!M3+1)</f>
        <v/>
      </c>
      <c r="F1635">
        <f>IF(Skills!N3=TRUE,(Skills!L3/10)*(E1635/1000),Skills!L3/10)+Skills!O3</f>
        <v/>
      </c>
      <c r="G1635">
        <f>Skills!G3*IF(Skills!H3&gt;0,Skills!I3/Skills!H3,1)</f>
        <v/>
      </c>
      <c r="H1635">
        <f>1-(1-Skills!J3/100)^Skills!K3</f>
        <v/>
      </c>
      <c r="I1635" t="inlineStr">
        <is>
          <t>1</t>
        </is>
      </c>
      <c r="J1635" t="inlineStr"/>
      <c r="K1635" t="inlineStr"/>
      <c r="L1635" t="inlineStr"/>
      <c r="M1635" t="inlineStr"/>
      <c r="N1635" t="inlineStr"/>
      <c r="O1635" t="n">
        <v>0</v>
      </c>
      <c r="P1635">
        <f>IF(B1677=0,0,O1635/B1677)</f>
        <v/>
      </c>
      <c r="Q1635" t="n">
        <v>0</v>
      </c>
      <c r="R1635" t="n">
        <v>0</v>
      </c>
      <c r="S1635">
        <f>IFERROR(O1635/N1635,0)</f>
        <v/>
      </c>
      <c r="U1635">
        <f>INDEX(FactorTable!$B$2:$Y$301, MATCH(ROUND(MIN(300,MAX(1,U1634)),0), FactorTable!$A$2:$A$301,0), 22)</f>
        <v/>
      </c>
    </row>
    <row r="1636">
      <c r="A1636">
        <f>Skills!A4</f>
        <v/>
      </c>
      <c r="B1636">
        <f>Skills!B4</f>
        <v/>
      </c>
      <c r="C1636">
        <f>Inputs!$B$3&gt;=66</f>
        <v/>
      </c>
      <c r="D1636">
        <f>IF(Skills!C4=1,60+Inputs!$B$25+Inputs!$B$29,IF(Skills!C4=2,90+Inputs!$B$26+Inputs!$B$29,IF(Skills!C4=3,120+Inputs!$B$27+Inputs!$B$29,MAX(0,(Inputs!$B$3-100)*3)+Inputs!$B$28+Inputs!$B$29)))</f>
        <v/>
      </c>
      <c r="E1636">
        <f>INDEX(FactorTable!$B$2:$Y$301, MATCH(ROUND(MIN(300,MAX(1,D1636)),0), FactorTable!$A$2:$A$301,0), Skills!M4+1)</f>
        <v/>
      </c>
      <c r="F1636">
        <f>IF(Skills!N4=TRUE,(Skills!L4/10)*(E1636/1000),Skills!L4/10)+Skills!O4</f>
        <v/>
      </c>
      <c r="G1636">
        <f>Skills!G4*IF(Skills!H4&gt;0,Skills!I4/Skills!H4,1)</f>
        <v/>
      </c>
      <c r="H1636">
        <f>1-(1-Skills!J4/100)^Skills!K4</f>
        <v/>
      </c>
      <c r="I1636" t="inlineStr">
        <is>
          <t>1</t>
        </is>
      </c>
      <c r="J1636">
        <f>((Inputs!$B$6*(1+Inputs!$B$7/100))+(((Inputs!$B$12*(1+Inputs!$B$13/100))-(Inputs!$B$12*(1+Inputs!$B$13/100)))+0.25*(Inputs!$B$14-Inputs!$B$14))*(1+Inputs!$B$7/100))*(F1636/100)</f>
        <v/>
      </c>
      <c r="K1636">
        <f>J1636*(1+((Inputs!$B$12*(1+Inputs!$B$13/100))*0.01+Inputs!$B$14*0.0025)/100)*(1+Inputs!$B$15/100)*(1+IF(Inputs!$B$39="pvp",0,(1-Summary!$B$55)*(Inputs!$B$20+0+Skills!P4+B1666)+Summary!$B$55*(Inputs!$B$21+Skills!Q4+B1666))/100)*(1+Inputs!$B$16/100)*(5000/(6000+Inputs!$B$43*(1-Inputs!$B$19/100)))*(1+(Inputs!$B$24+((C1662=TRUE)*(F1662-Calc!F30)))/100)*(1+(IF(Skills!A4="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1636)</f>
        <v/>
      </c>
      <c r="L1636">
        <f>K1636*(MIN(Inputs!$B$22+((C1656=TRUE)*(F1656-Calc!F24)),Inputs!$B$23+((C1661=TRUE)*(F1661-Calc!F29)))/100+(Inputs!$B$23+((C1661=TRUE)*(F1661-Calc!F29)))/100)/2</f>
        <v/>
      </c>
      <c r="M1636">
        <f>L1636*(1+(Inputs!$B$10+((C1658=TRUE)*(F1658-Calc!F26))+B1672)/100)</f>
        <v/>
      </c>
      <c r="N1636">
        <f>L1636*(1-MIN((Inputs!$B$9+((C1657=TRUE)*(F1657-Calc!F25))+B1665),100)/100)+M1636*(MIN((Inputs!$B$9+((C1657=TRUE)*(F1657-Calc!F25))+B1665),100)/100)</f>
        <v/>
      </c>
      <c r="O1636">
        <f>IF(C1636,H1636*N1636*IF(AND(Inputs!$B$39&lt;&gt;"pvp",Inputs!$B$44&gt;0),((Skills!G4*((R1636-1)*IF(Skills!H4&gt;0,Skills!I4/Skills!H4,1)+IF(Skills!H4&gt;0,MIN(Skills!I4,MAX(0,MAX(0,Inputs!$B$44-B1676)-((R1636-1)*IF(Inputs!$B$39="pvp",15,MAX(0.1,Skills!D4-IF(Skills!E4=TRUE,3.5,0))))))/Skills!H4,1)))/Inputs!$B$44),G1636*Q1636)*IF(Inputs!$B$39="pvp",1,(1-Summary!$B$55)*(1)+Summary!$B$55*(MIN(MIN(10,0.5*B1669*Skills!D4),Inputs!$B$37))),0)</f>
        <v/>
      </c>
      <c r="P1636">
        <f>IF(B1677=0,0,O1636/B1677)</f>
        <v/>
      </c>
      <c r="Q1636">
        <f>IFERROR(1/IF(Inputs!$B$39="pvp",15,MAX(0.1,Skills!D4-IF(Skills!E4=TRUE,3.5,0))),0)</f>
        <v/>
      </c>
      <c r="R1636">
        <f>IF(AND(Inputs!$B$39&lt;&gt;"pvp",Inputs!$B$44&gt;0),IF(MAX(0,Inputs!$B$44-B1676)&lt;=0,0,(INT(MAX(0,Inputs!$B$44-B1676)/IF(Inputs!$B$39="pvp",15,MAX(0.1,Skills!D4-IF(Skills!E4=TRUE,3.5,0))))+1)),0)</f>
        <v/>
      </c>
      <c r="S1636">
        <f>IFERROR(O1636/N1636,0)</f>
        <v/>
      </c>
      <c r="U1636">
        <f>290*U1635/1000</f>
        <v/>
      </c>
    </row>
    <row r="1637">
      <c r="A1637">
        <f>Skills!A5</f>
        <v/>
      </c>
      <c r="B1637">
        <f>Skills!B5</f>
        <v/>
      </c>
      <c r="C1637">
        <f>Inputs!$B$3&gt;=63</f>
        <v/>
      </c>
      <c r="D1637">
        <f>IF(Skills!C5=1,60+Inputs!$B$25+Inputs!$B$29,IF(Skills!C5=2,90+Inputs!$B$26+Inputs!$B$29,IF(Skills!C5=3,120+Inputs!$B$27+Inputs!$B$29,MAX(0,(Inputs!$B$3-100)*3)+Inputs!$B$28+Inputs!$B$29)))</f>
        <v/>
      </c>
      <c r="E1637">
        <f>INDEX(FactorTable!$B$2:$Y$301, MATCH(ROUND(MIN(300,MAX(1,D1637)),0), FactorTable!$A$2:$A$301,0), Skills!M5+1)</f>
        <v/>
      </c>
      <c r="F1637">
        <f>IF(Skills!N5=TRUE,(Skills!L5/10)*(E1637/1000),Skills!L5/10)+Skills!O5</f>
        <v/>
      </c>
      <c r="G1637">
        <f>Skills!G5*IF(Skills!H5&gt;0,Skills!I5/Skills!H5,1)</f>
        <v/>
      </c>
      <c r="H1637">
        <f>1-(1-Skills!J5/100)^Skills!K5</f>
        <v/>
      </c>
      <c r="I1637" t="inlineStr">
        <is>
          <t>1</t>
        </is>
      </c>
      <c r="J1637">
        <f>((Inputs!$B$6*(1+Inputs!$B$7/100))+(((Inputs!$B$12*(1+Inputs!$B$13/100))-(Inputs!$B$12*(1+Inputs!$B$13/100)))+0.25*(Inputs!$B$14-Inputs!$B$14))*(1+Inputs!$B$7/100))*(F1637/100)</f>
        <v/>
      </c>
      <c r="K1637">
        <f>J1637*(1+((Inputs!$B$12*(1+Inputs!$B$13/100))*0.01+Inputs!$B$14*0.0025)/100)*(1+Inputs!$B$15/100)*(1+IF(Inputs!$B$39="pvp",0,(1-Summary!$B$55)*(Inputs!$B$20+0+Skills!P5+B1666)+Summary!$B$55*(Inputs!$B$21+Skills!Q5+B1666))/100)*(1+Inputs!$B$16/100)*(5000/(6000+Inputs!$B$43*(1-Inputs!$B$19/100)))*(1+(Inputs!$B$24+((C1662=TRUE)*(F1662-Calc!F30)))/100)*(1+2.6666666666666665*IF(C1650=TRUE,F1650,0)/100)*(1+(IF(Skills!A5="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1637)</f>
        <v/>
      </c>
      <c r="L1637">
        <f>K1637*(MIN(Inputs!$B$22+((C1656=TRUE)*(F1656-Calc!F24)),Inputs!$B$23+((C1661=TRUE)*(F1661-Calc!F29)))/100+(Inputs!$B$23+((C1661=TRUE)*(F1661-Calc!F29)))/100)/2</f>
        <v/>
      </c>
      <c r="M1637">
        <f>L1637*(1+(Inputs!$B$10+((C1658=TRUE)*(F1658-Calc!F26))+B1672)/100)</f>
        <v/>
      </c>
      <c r="N1637">
        <f>L1637*(1-MIN((Inputs!$B$9+((C1657=TRUE)*(F1657-Calc!F25))+B1665),100)/100)+M1637*(MIN((Inputs!$B$9+((C1657=TRUE)*(F1657-Calc!F25))+B1665),100)/100)</f>
        <v/>
      </c>
      <c r="O1637">
        <f>IF(C1637,H1637*N1637*IF(AND(Inputs!$B$39&lt;&gt;"pvp",Inputs!$B$44&gt;0),((Skills!G5*((R1637-1)*IF(Skills!H5&gt;0,Skills!I5/Skills!H5,1)+IF(Skills!H5&gt;0,MIN(Skills!I5,MAX(0,MAX(0,Inputs!$B$44-B1676)-((R1637-1)*IF(Inputs!$B$39="pvp",15,MAX(0.1,Skills!D5-IF(Skills!E5=TRUE,3.5,0))))))/Skills!H5,1)))/Inputs!$B$44),G1637*Q1637)*IF(Inputs!$B$39="pvp",1,(1-Summary!$B$55)*(1)+Summary!$B$55*(MIN(Skills!W5,Inputs!$B$37))),0)</f>
        <v/>
      </c>
      <c r="P1637">
        <f>IF(B1677=0,0,O1637/B1677)</f>
        <v/>
      </c>
      <c r="Q1637">
        <f>IFERROR(1/IF(Inputs!$B$39="pvp",15,MAX(0.1,Skills!D5-IF(Skills!E5=TRUE,3.5,0))),0)</f>
        <v/>
      </c>
      <c r="R1637">
        <f>IF(AND(Inputs!$B$39&lt;&gt;"pvp",Inputs!$B$44&gt;0),IF(MAX(0,Inputs!$B$44-B1676)&lt;=0,0,(INT(MAX(0,Inputs!$B$44-B1676)/IF(Inputs!$B$39="pvp",15,MAX(0.1,Skills!D5-IF(Skills!E5=TRUE,3.5,0))))+1)),0)</f>
        <v/>
      </c>
      <c r="S1637">
        <f>IFERROR(O1637/N1637,0)</f>
        <v/>
      </c>
    </row>
    <row r="1638">
      <c r="A1638">
        <f>Skills!A6</f>
        <v/>
      </c>
      <c r="B1638">
        <f>Skills!B6</f>
        <v/>
      </c>
      <c r="C1638">
        <f>Inputs!$B$3&gt;=69</f>
        <v/>
      </c>
      <c r="D1638">
        <f>IF(Skills!C6=1,60+Inputs!$B$25+Inputs!$B$29,IF(Skills!C6=2,90+Inputs!$B$26+Inputs!$B$29,IF(Skills!C6=3,120+Inputs!$B$27+Inputs!$B$29,MAX(0,(Inputs!$B$3-100)*3)+Inputs!$B$28+Inputs!$B$29)))</f>
        <v/>
      </c>
      <c r="E1638">
        <f>INDEX(FactorTable!$B$2:$Y$301, MATCH(ROUND(MIN(300,MAX(1,D1638)),0), FactorTable!$A$2:$A$301,0), Skills!M6+1)</f>
        <v/>
      </c>
      <c r="F1638">
        <f>IF(Skills!N6=TRUE,(Skills!L6/10)*(E1638/1000),Skills!L6/10)+Skills!O6</f>
        <v/>
      </c>
      <c r="G1638">
        <f>Skills!G6*IF(Skills!H6&gt;0,Skills!I6/Skills!H6,1)</f>
        <v/>
      </c>
      <c r="H1638">
        <f>1-(1-Skills!J6/100)^Skills!K6</f>
        <v/>
      </c>
      <c r="I1638" t="inlineStr">
        <is>
          <t>1</t>
        </is>
      </c>
      <c r="J1638">
        <f>((Inputs!$B$6*(1+Inputs!$B$7/100))+(((Inputs!$B$12*(1+Inputs!$B$13/100))-(Inputs!$B$12*(1+Inputs!$B$13/100)))+0.25*(Inputs!$B$14-Inputs!$B$14))*(1+Inputs!$B$7/100))*(F1638/100)</f>
        <v/>
      </c>
      <c r="K1638">
        <f>J1638*(1+((Inputs!$B$12*(1+Inputs!$B$13/100))*0.01+Inputs!$B$14*0.0025)/100)*(1+Inputs!$B$15/100)*(1+IF(Inputs!$B$39="pvp",0,(1-Summary!$B$55)*(Inputs!$B$20+0+Skills!P6+B1666)+Summary!$B$55*(Inputs!$B$21+Skills!Q6+B1666))/100)*(1+Inputs!$B$16/100)*(5000/(6000+Inputs!$B$43*(1-Inputs!$B$19/100)))*(1+(Inputs!$B$24+((C1662=TRUE)*(F1662-Calc!F30)))/100)*(1+1.0*IF(C1650=TRUE,F1650,0)/100)*(1+(IF(Skills!A6="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1638)</f>
        <v/>
      </c>
      <c r="L1638">
        <f>K1638*(MIN(Inputs!$B$22+((C1656=TRUE)*(F1656-Calc!F24)),Inputs!$B$23+((C1661=TRUE)*(F1661-Calc!F29)))/100+(Inputs!$B$23+((C1661=TRUE)*(F1661-Calc!F29)))/100)/2</f>
        <v/>
      </c>
      <c r="M1638">
        <f>L1638*(1+(Inputs!$B$10+((C1658=TRUE)*(F1658-Calc!F26))+B1672)/100)</f>
        <v/>
      </c>
      <c r="N1638">
        <f>L1638*(1-MIN((Inputs!$B$9+((C1657=TRUE)*(F1657-Calc!F25))+B1665),100)/100)+M1638*(MIN((Inputs!$B$9+((C1657=TRUE)*(F1657-Calc!F25))+B1665),100)/100)</f>
        <v/>
      </c>
      <c r="O1638">
        <f>IF(C1638,H1638*N1638*IF(AND(Inputs!$B$39&lt;&gt;"pvp",Inputs!$B$44&gt;0),((Skills!G6*((R1638-1)*IF(Skills!H6&gt;0,Skills!I6/Skills!H6,1)+IF(Skills!H6&gt;0,MIN(Skills!I6,MAX(0,MAX(0,Inputs!$B$44-B1676)-((R1638-1)*IF(Inputs!$B$39="pvp",15,MAX(0.1,Skills!D6-IF(Skills!E6=TRUE,3.5,0))))))/Skills!H6,1)))/Inputs!$B$44),G1638*Q1638)*IF(Inputs!$B$39="pvp",1,(1-Summary!$B$55)*(1)+Summary!$B$55*(MIN(Skills!W6,Inputs!$B$37))),0)</f>
        <v/>
      </c>
      <c r="P1638">
        <f>IF(B1677=0,0,O1638/B1677)</f>
        <v/>
      </c>
      <c r="Q1638">
        <f>IFERROR(1/IF(Inputs!$B$39="pvp",15,MAX(0.1,Skills!D6-IF(Skills!E6=TRUE,3.5,0))),0)</f>
        <v/>
      </c>
      <c r="R1638">
        <f>IF(AND(Inputs!$B$39&lt;&gt;"pvp",Inputs!$B$44&gt;0),IF(MAX(0,Inputs!$B$44-B1676)&lt;=0,0,(INT(MAX(0,Inputs!$B$44-B1676)/IF(Inputs!$B$39="pvp",15,MAX(0.1,Skills!D6-IF(Skills!E6=TRUE,3.5,0))))+1)),0)</f>
        <v/>
      </c>
      <c r="S1638">
        <f>IFERROR(O1638/N1638,0)</f>
        <v/>
      </c>
    </row>
    <row r="1639">
      <c r="A1639">
        <f>Skills!A7</f>
        <v/>
      </c>
      <c r="B1639">
        <f>Skills!B7</f>
        <v/>
      </c>
      <c r="C1639">
        <f>Inputs!$B$3&gt;=60</f>
        <v/>
      </c>
      <c r="D1639">
        <f>IF(Skills!C7=1,60+Inputs!$B$25+Inputs!$B$29,IF(Skills!C7=2,90+Inputs!$B$26+Inputs!$B$29,IF(Skills!C7=3,120+Inputs!$B$27+Inputs!$B$29,MAX(0,(Inputs!$B$3-100)*3)+Inputs!$B$28+Inputs!$B$29)))</f>
        <v/>
      </c>
      <c r="E1639">
        <f>INDEX(FactorTable!$B$2:$Y$301, MATCH(ROUND(MIN(300,MAX(1,D1639)),0), FactorTable!$A$2:$A$301,0), Skills!M7+1)</f>
        <v/>
      </c>
      <c r="F1639">
        <f>IF(Skills!N7=TRUE,(Skills!L7/10)*(E1639/1000),Skills!L7/10)+Skills!O7</f>
        <v/>
      </c>
      <c r="G1639">
        <f>Skills!G7*IF(Skills!H7&gt;0,Skills!I7/Skills!H7,1)</f>
        <v/>
      </c>
      <c r="H1639">
        <f>1-(1-Skills!J7/100)^Skills!K7</f>
        <v/>
      </c>
      <c r="I1639" t="inlineStr">
        <is>
          <t>1</t>
        </is>
      </c>
      <c r="J1639" t="inlineStr"/>
      <c r="K1639" t="inlineStr"/>
      <c r="L1639" t="inlineStr"/>
      <c r="M1639" t="inlineStr"/>
      <c r="N1639" t="inlineStr"/>
      <c r="O1639" t="n">
        <v>0</v>
      </c>
      <c r="P1639">
        <f>IF(B1677=0,0,O1639/B1677)</f>
        <v/>
      </c>
      <c r="Q1639" t="n">
        <v>0</v>
      </c>
      <c r="R1639" t="n">
        <v>0</v>
      </c>
      <c r="S1639">
        <f>IFERROR(O1639/N1639,0)</f>
        <v/>
      </c>
    </row>
    <row r="1640">
      <c r="A1640">
        <f>Skills!A8</f>
        <v/>
      </c>
      <c r="B1640">
        <f>Skills!B8</f>
        <v/>
      </c>
      <c r="C1640">
        <f>Inputs!$B$3&gt;=72</f>
        <v/>
      </c>
      <c r="D1640">
        <f>IF(Skills!C8=1,60+Inputs!$B$25+Inputs!$B$29,IF(Skills!C8=2,90+Inputs!$B$26+Inputs!$B$29,IF(Skills!C8=3,120+Inputs!$B$27+Inputs!$B$29,MAX(0,(Inputs!$B$3-100)*3)+Inputs!$B$28+Inputs!$B$29)))</f>
        <v/>
      </c>
      <c r="E1640">
        <f>INDEX(FactorTable!$B$2:$Y$301, MATCH(ROUND(MIN(300,MAX(1,D1640)),0), FactorTable!$A$2:$A$301,0), Skills!M8+1)</f>
        <v/>
      </c>
      <c r="F1640">
        <f>IF(Skills!N8=TRUE,(Skills!L8/10)*(E1640/1000),Skills!L8/10)+Skills!O8</f>
        <v/>
      </c>
      <c r="G1640">
        <f>Skills!G8*IF(Skills!H8&gt;0,Skills!I8/Skills!H8,1)</f>
        <v/>
      </c>
      <c r="H1640">
        <f>1-(1-Skills!J8/100)^Skills!K8</f>
        <v/>
      </c>
      <c r="I1640" t="inlineStr">
        <is>
          <t>1</t>
        </is>
      </c>
      <c r="J1640">
        <f>((Inputs!$B$6*(1+Inputs!$B$7/100))+(((Inputs!$B$12*(1+Inputs!$B$13/100))-(Inputs!$B$12*(1+Inputs!$B$13/100)))+0.25*(Inputs!$B$14-Inputs!$B$14))*(1+Inputs!$B$7/100))*(F1640/100)</f>
        <v/>
      </c>
      <c r="K1640">
        <f>J1640*(1+((Inputs!$B$12*(1+Inputs!$B$13/100))*0.01+Inputs!$B$14*0.0025)/100)*(1+Inputs!$B$15/100)*(1+IF(Inputs!$B$39="pvp",0,(1-Summary!$B$55)*(Inputs!$B$20+0+Skills!P8+B1666)+Summary!$B$55*(Inputs!$B$21+Skills!Q8+B1666))/100)*(1+Inputs!$B$16/100)*(5000/(6000+Inputs!$B$43*(1-Inputs!$B$19/100)))*(1+(Inputs!$B$24+((C1662=TRUE)*(F1662-Calc!F30)))/100)*(1+3.3333333333333335*IF(C1650=TRUE,F1650,0)/100)*(1+(IF(Skills!A8="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1640)</f>
        <v/>
      </c>
      <c r="L1640">
        <f>K1640*(MIN(Inputs!$B$22+((C1656=TRUE)*(F1656-Calc!F24)),Inputs!$B$23+((C1661=TRUE)*(F1661-Calc!F29)))/100+(Inputs!$B$23+((C1661=TRUE)*(F1661-Calc!F29)))/100)/2</f>
        <v/>
      </c>
      <c r="M1640">
        <f>L1640*(1+(Inputs!$B$10+((C1658=TRUE)*(F1658-Calc!F26))+B1672)/100)</f>
        <v/>
      </c>
      <c r="N1640">
        <f>L1640*(1-MIN((Inputs!$B$9+((C1657=TRUE)*(F1657-Calc!F25))+B1665),100)/100)+M1640*(MIN((Inputs!$B$9+((C1657=TRUE)*(F1657-Calc!F25))+B1665),100)/100)</f>
        <v/>
      </c>
      <c r="O1640">
        <f>IF(C1640,H1640*N1640*IF(AND(Inputs!$B$39&lt;&gt;"pvp",Inputs!$B$44&gt;0),((Skills!G8*((R1640-1)*IF(Skills!H8&gt;0,Skills!I8/Skills!H8,1)+IF(Skills!H8&gt;0,MIN(Skills!I8,MAX(0,MAX(0,Inputs!$B$44-B1676)-((R1640-1)*IF(Inputs!$B$39="pvp",15,MAX(0.1,Skills!D8-IF(Skills!E8=TRUE,3.5,0))))))/Skills!H8,1)))/Inputs!$B$44),G1640*Q1640)*IF(Inputs!$B$39="pvp",1,(1-Summary!$B$55)*(1)+Summary!$B$55*(MIN(Skills!W8,Inputs!$B$37))),0)</f>
        <v/>
      </c>
      <c r="P1640">
        <f>IF(B1677=0,0,O1640/B1677)</f>
        <v/>
      </c>
      <c r="Q1640">
        <f>IFERROR(1/IF(Inputs!$B$39="pvp",15,MAX(0.1,Skills!D8-IF(Skills!E8=TRUE,3.5,0))),0)</f>
        <v/>
      </c>
      <c r="R1640">
        <f>IF(AND(Inputs!$B$39&lt;&gt;"pvp",Inputs!$B$44&gt;0),IF(MAX(0,Inputs!$B$44-B1676)&lt;=0,0,(INT(MAX(0,Inputs!$B$44-B1676)/IF(Inputs!$B$39="pvp",15,MAX(0.1,Skills!D8-IF(Skills!E8=TRUE,3.5,0))))+1)),0)</f>
        <v/>
      </c>
      <c r="S1640">
        <f>IFERROR(O1640/N1640,0)</f>
        <v/>
      </c>
    </row>
    <row r="1641">
      <c r="A1641">
        <f>Skills!A9</f>
        <v/>
      </c>
      <c r="B1641">
        <f>Skills!B9</f>
        <v/>
      </c>
      <c r="C1641">
        <f>Inputs!$B$3&gt;=117</f>
        <v/>
      </c>
      <c r="D1641">
        <f>IF(Skills!C9=1,60+Inputs!$B$25+Inputs!$B$29,IF(Skills!C9=2,90+Inputs!$B$26+Inputs!$B$29,IF(Skills!C9=3,120+Inputs!$B$27+Inputs!$B$29,MAX(0,(Inputs!$B$3-100)*3)+Inputs!$B$28+Inputs!$B$29)))</f>
        <v/>
      </c>
      <c r="E1641">
        <f>INDEX(FactorTable!$B$2:$Y$301, MATCH(ROUND(MIN(300,MAX(1,D1641)),0), FactorTable!$A$2:$A$301,0), Skills!M9+1)</f>
        <v/>
      </c>
      <c r="F1641">
        <f>IF(Skills!N9=TRUE,(Skills!L9/10)*(E1641/1000),Skills!L9/10)+Skills!O9</f>
        <v/>
      </c>
      <c r="G1641">
        <f>Skills!G9*IF(Skills!H9&gt;0,Skills!I9/Skills!H9,1)</f>
        <v/>
      </c>
      <c r="H1641">
        <f>1-(1-Skills!J9/100)^Skills!K9</f>
        <v/>
      </c>
      <c r="I1641" t="inlineStr">
        <is>
          <t>1</t>
        </is>
      </c>
      <c r="J1641">
        <f>((Inputs!$B$6*(1+Inputs!$B$7/100))+(((Inputs!$B$12*(1+Inputs!$B$13/100))-(Inputs!$B$12*(1+Inputs!$B$13/100)))+0.25*(Inputs!$B$14-Inputs!$B$14))*(1+Inputs!$B$7/100))*(F1641/100)</f>
        <v/>
      </c>
      <c r="K1641">
        <f>J1641*(1+((Inputs!$B$12*(1+Inputs!$B$13/100))*0.01+Inputs!$B$14*0.0025)/100)*(1+Inputs!$B$15/100)*(1+IF(Inputs!$B$39="pvp",0,(1-Summary!$B$55)*(Inputs!$B$20+0+Skills!P9+B1666)+Summary!$B$55*(Inputs!$B$21+Skills!Q9+B1666))/100)*(1+Inputs!$B$16/100)*(5000/(6000+Inputs!$B$43*(1-Inputs!$B$19/100)))*(1+(Inputs!$B$24+((C1662=TRUE)*(F1662-Calc!F30)))/100)*(1+(IF(Skills!A9="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1641)</f>
        <v/>
      </c>
      <c r="L1641">
        <f>K1641*(MIN(Inputs!$B$22+((C1656=TRUE)*(F1656-Calc!F24)),Inputs!$B$23+((C1661=TRUE)*(F1661-Calc!F29)))/100+(Inputs!$B$23+((C1661=TRUE)*(F1661-Calc!F29)))/100)/2</f>
        <v/>
      </c>
      <c r="M1641">
        <f>L1641*(1+(Inputs!$B$10+((C1658=TRUE)*(F1658-Calc!F26))+B1672)/100)</f>
        <v/>
      </c>
      <c r="N1641">
        <f>L1641*(1-MIN((Inputs!$B$9+((C1657=TRUE)*(F1657-Calc!F25))+B1665),100)/100)+M1641*(MIN((Inputs!$B$9+((C1657=TRUE)*(F1657-Calc!F25))+B1665),100)/100)</f>
        <v/>
      </c>
      <c r="O1641">
        <f>IF(C1641,0.2*SUMPRODUCT((Skills!Z2:Z30=TRUE)*(C1634:C1662=TRUE)*S1634:S1662)*N1641,0)</f>
        <v/>
      </c>
      <c r="P1641">
        <f>IF(B1677=0,0,O1641/B1677)</f>
        <v/>
      </c>
      <c r="Q1641" t="n">
        <v>0</v>
      </c>
      <c r="R1641" t="n">
        <v>0</v>
      </c>
      <c r="S1641" t="n">
        <v>0</v>
      </c>
    </row>
    <row r="1642">
      <c r="A1642">
        <f>Skills!A10</f>
        <v/>
      </c>
      <c r="B1642">
        <f>Skills!B10</f>
        <v/>
      </c>
      <c r="C1642">
        <f>Inputs!$B$3&gt;=74</f>
        <v/>
      </c>
      <c r="D1642">
        <f>IF(Skills!C10=1,60+Inputs!$B$25+Inputs!$B$29,IF(Skills!C10=2,90+Inputs!$B$26+Inputs!$B$29,IF(Skills!C10=3,120+Inputs!$B$27+Inputs!$B$29,MAX(0,(Inputs!$B$3-100)*3)+Inputs!$B$28+Inputs!$B$29)))</f>
        <v/>
      </c>
      <c r="E1642">
        <f>INDEX(FactorTable!$B$2:$Y$301, MATCH(ROUND(MIN(300,MAX(1,D1642)),0), FactorTable!$A$2:$A$301,0), Skills!M10+1)</f>
        <v/>
      </c>
      <c r="F1642">
        <f>IF(Skills!N10=TRUE,(Skills!L10/10)*(E1642/1000),Skills!L10/10)+Skills!O10</f>
        <v/>
      </c>
      <c r="G1642">
        <f>Skills!G10*IF(Skills!H10&gt;0,Skills!I10/Skills!H10,1)</f>
        <v/>
      </c>
      <c r="H1642">
        <f>1-(1-Skills!J10/100)^Skills!K10</f>
        <v/>
      </c>
      <c r="I1642" t="inlineStr">
        <is>
          <t>1</t>
        </is>
      </c>
      <c r="J1642" t="inlineStr"/>
      <c r="K1642" t="inlineStr"/>
      <c r="L1642" t="inlineStr"/>
      <c r="M1642" t="inlineStr"/>
      <c r="N1642" t="inlineStr"/>
      <c r="O1642" t="n">
        <v>0</v>
      </c>
      <c r="P1642">
        <f>IF(B1677=0,0,O1642/B1677)</f>
        <v/>
      </c>
      <c r="Q1642">
        <f>IFERROR(1/IF(Inputs!$B$39="pvp",15,MAX(0.1,Skills!D10-IF(Skills!E10=TRUE,3.5,0))),0)</f>
        <v/>
      </c>
      <c r="R1642">
        <f>IF(AND(Inputs!$B$39&lt;&gt;"pvp",Inputs!$B$44&gt;0),IF(Inputs!$B$44&lt;=0,0,(INT(Inputs!$B$44/IF(Inputs!$B$39="pvp",15,MAX(0.1,Skills!D10-IF(Skills!E10=TRUE,3.5,0))))+1)),0)</f>
        <v/>
      </c>
      <c r="S1642">
        <f>IFERROR(O1642/N1642,0)</f>
        <v/>
      </c>
    </row>
    <row r="1643">
      <c r="A1643">
        <f>Skills!A11</f>
        <v/>
      </c>
      <c r="B1643">
        <f>Skills!B11</f>
        <v/>
      </c>
      <c r="C1643">
        <f>Inputs!$B$3&gt;=103</f>
        <v/>
      </c>
      <c r="D1643">
        <f>IF(Skills!C11=1,60+Inputs!$B$25+Inputs!$B$29,IF(Skills!C11=2,90+Inputs!$B$26+Inputs!$B$29,IF(Skills!C11=3,120+Inputs!$B$27+Inputs!$B$29,MAX(0,(Inputs!$B$3-100)*3)+Inputs!$B$28+Inputs!$B$29)))</f>
        <v/>
      </c>
      <c r="E1643">
        <f>INDEX(FactorTable!$B$2:$Y$301, MATCH(ROUND(MIN(300,MAX(1,D1643)),0), FactorTable!$A$2:$A$301,0), Skills!M11+1)</f>
        <v/>
      </c>
      <c r="F1643">
        <f>(Skills!L11/10)*(E1643/1000)+IF(Inputs!$B$3&gt;=134,50,0)+0.5*(30000/10)*(INDEX(FactorTable!$B$2:$Y$301, MATCH(ROUND(MIN(300,MAX(1,D1643)),0), FactorTable!$A$2:$A$301,0), 13)/1000)*B1675</f>
        <v/>
      </c>
      <c r="G1643">
        <f>Skills!G11*IF(Skills!H11&gt;0,Skills!I11/Skills!H11,1)</f>
        <v/>
      </c>
      <c r="H1643">
        <f>1-(1-Skills!J11/100)^Skills!K11</f>
        <v/>
      </c>
      <c r="I1643" t="inlineStr">
        <is>
          <t>1</t>
        </is>
      </c>
      <c r="J1643">
        <f>((Inputs!$B$6*(1+Inputs!$B$7/100))+(((Inputs!$B$12*(1+Inputs!$B$13/100))-(Inputs!$B$12*(1+Inputs!$B$13/100)))+0.25*(Inputs!$B$14-Inputs!$B$14))*(1+Inputs!$B$7/100))*(F1643/100)</f>
        <v/>
      </c>
      <c r="K1643">
        <f>J1643*(1+((Inputs!$B$12*(1+Inputs!$B$13/100))*0.01+Inputs!$B$14*0.0025)/100)*(1+Inputs!$B$15/100)*(1+IF(Inputs!$B$39="pvp",0,(1-Summary!$B$55)*(Inputs!$B$20+0+Skills!P11+B1666)+Summary!$B$55*(Inputs!$B$21+Skills!Q11+B1666))/100)*(1+Inputs!$B$16/100)*(5000/(6000+Inputs!$B$43*(1-Inputs!$B$19/100)))*(1+(Inputs!$B$24+((C1662=TRUE)*(F1662-Calc!F30)))/100)*(1+(IF(Skills!A11="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1643)</f>
        <v/>
      </c>
      <c r="L1643">
        <f>K1643*(MIN(Inputs!$B$22+((C1656=TRUE)*(F1656-Calc!F24)),Inputs!$B$23+((C1661=TRUE)*(F1661-Calc!F29)))/100+(Inputs!$B$23+((C1661=TRUE)*(F1661-Calc!F29)))/100)/2</f>
        <v/>
      </c>
      <c r="M1643">
        <f>L1643*(1+(Inputs!$B$10+((C1658=TRUE)*(F1658-Calc!F26))+B1672)/100)</f>
        <v/>
      </c>
      <c r="N1643">
        <f>L1643*(1-MIN((Inputs!$B$9+((C1657=TRUE)*(F1657-Calc!F25))+B1665),100)/100)+M1643*(MIN((Inputs!$B$9+((C1657=TRUE)*(F1657-Calc!F25))+B1665),100)/100)</f>
        <v/>
      </c>
      <c r="O1643">
        <f>IF(C1643,H1643*N1643*IF(AND(Inputs!$B$39&lt;&gt;"pvp",Inputs!$B$44&gt;0),((Skills!G11*((R1643-1)*IF(Skills!H11&gt;0,Skills!I11/Skills!H11,1)+IF(Skills!H11&gt;0,MIN(Skills!I11,MAX(0,MAX(0,Inputs!$B$44-B1676)-((R1643-1)*IF(Inputs!$B$39="pvp",15,MAX(0.1,Skills!D11-IF(Skills!E11=TRUE,3.5,0))))))/Skills!H11,1)))/Inputs!$B$44),G1643*Q1643)*IF(Inputs!$B$39="pvp",1,(1-Summary!$B$55)*(1)+Summary!$B$55*(MIN(Skills!W11,Inputs!$B$37))),0)</f>
        <v/>
      </c>
      <c r="P1643">
        <f>IF(B1677=0,0,O1643/B1677)</f>
        <v/>
      </c>
      <c r="Q1643">
        <f>IFERROR(1/IF(Inputs!$B$39="pvp",15,MAX(0.1,Skills!D11-IF(Skills!E11=TRUE,3.5,0))),0)</f>
        <v/>
      </c>
      <c r="R1643">
        <f>IF(AND(Inputs!$B$39&lt;&gt;"pvp",Inputs!$B$44&gt;0),IF(MAX(0,Inputs!$B$44-B1676)&lt;=0,0,(INT(MAX(0,Inputs!$B$44-B1676)/IF(Inputs!$B$39="pvp",15,MAX(0.1,Skills!D11-IF(Skills!E11=TRUE,3.5,0))))+1)),0)</f>
        <v/>
      </c>
      <c r="S1643">
        <f>IFERROR(O1643/N1643,0)</f>
        <v/>
      </c>
    </row>
    <row r="1644">
      <c r="A1644">
        <f>Skills!A12</f>
        <v/>
      </c>
      <c r="B1644">
        <f>Skills!B12</f>
        <v/>
      </c>
      <c r="C1644">
        <f>Inputs!$B$3&gt;=105</f>
        <v/>
      </c>
      <c r="D1644">
        <f>IF(Skills!C12=1,60+Inputs!$B$25+Inputs!$B$29,IF(Skills!C12=2,90+Inputs!$B$26+Inputs!$B$29,IF(Skills!C12=3,120+Inputs!$B$27+Inputs!$B$29,MAX(0,(Inputs!$B$3-100)*3)+Inputs!$B$28+Inputs!$B$29)))</f>
        <v/>
      </c>
      <c r="E1644">
        <f>INDEX(FactorTable!$B$2:$Y$301, MATCH(ROUND(MIN(300,MAX(1,D1644)),0), FactorTable!$A$2:$A$301,0), Skills!M12+1)</f>
        <v/>
      </c>
      <c r="F1644">
        <f>IF(Skills!N12=TRUE,(Skills!L12/10)*(E1644/1000),Skills!L12/10)+Skills!O12</f>
        <v/>
      </c>
      <c r="G1644">
        <f>Skills!G12*IF(Skills!H12&gt;0,Skills!I12/Skills!H12,1)</f>
        <v/>
      </c>
      <c r="H1644">
        <f>1-(1-Skills!J12/100)^Skills!K12</f>
        <v/>
      </c>
      <c r="I1644" t="inlineStr">
        <is>
          <t>1</t>
        </is>
      </c>
      <c r="J1644">
        <f>((Inputs!$B$6*(1+Inputs!$B$7/100))+(((Inputs!$B$12*(1+Inputs!$B$13/100))-(Inputs!$B$12*(1+Inputs!$B$13/100)))+0.25*(Inputs!$B$14-Inputs!$B$14))*(1+Inputs!$B$7/100))*(F1644/100)</f>
        <v/>
      </c>
      <c r="K1644">
        <f>J1644*(1+((Inputs!$B$12*(1+Inputs!$B$13/100))*0.01+Inputs!$B$14*0.0025)/100)*(1+Inputs!$B$15/100)*(1+IF(Inputs!$B$39="pvp",0,(1-Summary!$B$55)*(Inputs!$B$20+0+Skills!P12+B1666)+Summary!$B$55*(Inputs!$B$21+Skills!Q12+B1666))/100)*(1+Inputs!$B$16/100)*(5000/(6000+Inputs!$B$43*(1-Inputs!$B$19/100)))*(1+(Inputs!$B$24+((C1662=TRUE)*(F1662-Calc!F30)))/100)*(1+(IF(Skills!A12="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1644)</f>
        <v/>
      </c>
      <c r="L1644">
        <f>K1644*(MIN(Inputs!$B$22+((C1656=TRUE)*(F1656-Calc!F24)),Inputs!$B$23+((C1661=TRUE)*(F1661-Calc!F29)))/100+(Inputs!$B$23+((C1661=TRUE)*(F1661-Calc!F29)))/100)/2</f>
        <v/>
      </c>
      <c r="M1644">
        <f>L1644*(1+(Inputs!$B$10+((C1658=TRUE)*(F1658-Calc!F26))+B1672)/100)</f>
        <v/>
      </c>
      <c r="N1644">
        <f>L1644*(1-MIN((Inputs!$B$9+((C1657=TRUE)*(F1657-Calc!F25))+B1665),100)/100)+M1644*(MIN((Inputs!$B$9+((C1657=TRUE)*(F1657-Calc!F25))+B1665),100)/100)</f>
        <v/>
      </c>
      <c r="O1644">
        <f>IF(C1644,H1644*N1644*IF(AND(Inputs!$B$39&lt;&gt;"pvp",Inputs!$B$44&gt;0),((Skills!G12*((R1644-1)*IF(Skills!H12&gt;0,Skills!I12/Skills!H12,1)+IF(Skills!H12&gt;0,MIN(Skills!I12,MAX(0,MAX(0,Inputs!$B$44-B1676)-((R1644-1)*IF(Inputs!$B$39="pvp",15,MAX(0.1,Skills!D12-IF(Skills!E12=TRUE,3.5,0))))))/Skills!H12,1)))/Inputs!$B$44),G1644*Q1644)*IF(Inputs!$B$39="pvp",1,(1-Summary!$B$55)*(1)+Summary!$B$55*(MIN(Skills!W12,Inputs!$B$37))),0)</f>
        <v/>
      </c>
      <c r="P1644">
        <f>IF(B1677=0,0,O1644/B1677)</f>
        <v/>
      </c>
      <c r="Q1644">
        <f>IFERROR(1/IF(Inputs!$B$39="pvp",15,MAX(0.1,Skills!D12-IF(Skills!E12=TRUE,3.5,0))),0)</f>
        <v/>
      </c>
      <c r="R1644">
        <f>IF(AND(Inputs!$B$39&lt;&gt;"pvp",Inputs!$B$44&gt;0),IF(MAX(0,Inputs!$B$44-B1676)&lt;=0,0,(INT(MAX(0,Inputs!$B$44-B1676)/IF(Inputs!$B$39="pvp",15,MAX(0.1,Skills!D12-IF(Skills!E12=TRUE,3.5,0))))+1)),0)</f>
        <v/>
      </c>
      <c r="S1644">
        <f>IFERROR(O1644/N1644,0)</f>
        <v/>
      </c>
    </row>
    <row r="1645">
      <c r="A1645">
        <f>Skills!A13</f>
        <v/>
      </c>
      <c r="B1645">
        <f>Skills!B13</f>
        <v/>
      </c>
      <c r="C1645">
        <f>Inputs!$B$3&gt;=105</f>
        <v/>
      </c>
      <c r="D1645">
        <f>IF(Skills!C13=1,60+Inputs!$B$25+Inputs!$B$29,IF(Skills!C13=2,90+Inputs!$B$26+Inputs!$B$29,IF(Skills!C13=3,120+Inputs!$B$27+Inputs!$B$29,MAX(0,(Inputs!$B$3-100)*3)+Inputs!$B$28+Inputs!$B$29)))</f>
        <v/>
      </c>
      <c r="E1645">
        <f>INDEX(FactorTable!$B$2:$Y$301, MATCH(ROUND(MIN(300,MAX(1,D1645)),0), FactorTable!$A$2:$A$301,0), Skills!M13+1)</f>
        <v/>
      </c>
      <c r="F1645">
        <f>IF(Skills!N13=TRUE,(Skills!L13/10)*(E1645/1000),Skills!L13/10)+Skills!O13</f>
        <v/>
      </c>
      <c r="G1645">
        <f>Skills!G13*IF(Skills!H13&gt;0,Skills!I13/Skills!H13,1)</f>
        <v/>
      </c>
      <c r="H1645">
        <f>1-(1-Skills!J13/100)^Skills!K13</f>
        <v/>
      </c>
      <c r="I1645" t="inlineStr">
        <is>
          <t>1</t>
        </is>
      </c>
      <c r="J1645">
        <f>((Inputs!$B$6*(1+Inputs!$B$7/100))+(((Inputs!$B$12*(1+Inputs!$B$13/100))-(Inputs!$B$12*(1+Inputs!$B$13/100)))+0.25*(Inputs!$B$14-Inputs!$B$14))*(1+Inputs!$B$7/100))*(F1645/100)</f>
        <v/>
      </c>
      <c r="K1645">
        <f>J1645*(1+((Inputs!$B$12*(1+Inputs!$B$13/100))*0.01+Inputs!$B$14*0.0025)/100)*(1+Inputs!$B$15/100)*(1+IF(Inputs!$B$39="pvp",0,(1-Summary!$B$55)*(Inputs!$B$20+0+Skills!P13+B1666)+Summary!$B$55*(Inputs!$B$21+Skills!Q13+B1666))/100)*(1+Inputs!$B$16/100)*(5000/(6000+Inputs!$B$43*(1-Inputs!$B$19/100)))*(1+(Inputs!$B$24+((C1662=TRUE)*(F1662-Calc!F30)))/100)*(1+(IF(Skills!A13="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1645)</f>
        <v/>
      </c>
      <c r="L1645">
        <f>K1645*(MIN(Inputs!$B$22+((C1656=TRUE)*(F1656-Calc!F24)),Inputs!$B$23+((C1661=TRUE)*(F1661-Calc!F29)))/100+(Inputs!$B$23+((C1661=TRUE)*(F1661-Calc!F29)))/100)/2</f>
        <v/>
      </c>
      <c r="M1645">
        <f>L1645*(1+(Inputs!$B$10+((C1658=TRUE)*(F1658-Calc!F26))+B1672)/100)</f>
        <v/>
      </c>
      <c r="N1645">
        <f>L1645*(1-MIN((Inputs!$B$9+((C1657=TRUE)*(F1657-Calc!F25))+B1665),100)/100)+M1645*(MIN((Inputs!$B$9+((C1657=TRUE)*(F1657-Calc!F25))+B1665),100)/100)</f>
        <v/>
      </c>
      <c r="O1645">
        <f>IF(C1645,H1645*N1645*IF(AND(Inputs!$B$39&lt;&gt;"pvp",Inputs!$B$44&gt;0),((Skills!G13*((R1645-1)*IF(Skills!H13&gt;0,Skills!I13/Skills!H13,1)+IF(Skills!H13&gt;0,MIN(Skills!I13,MAX(0,MAX(0,Inputs!$B$44-B1676)-((R1645-1)*IF(Inputs!$B$39="pvp",15,MAX(0.1,Skills!D13-IF(Skills!E13=TRUE,3.5,0))))))/Skills!H13,1)))/Inputs!$B$44),G1645*Q1645)*IF(Inputs!$B$39="pvp",1,(1-Summary!$B$55)*(1)+Summary!$B$55*(MIN(Skills!W13,Inputs!$B$37))),0)</f>
        <v/>
      </c>
      <c r="P1645">
        <f>IF(B1677=0,0,O1645/B1677)</f>
        <v/>
      </c>
      <c r="Q1645">
        <f>IFERROR(1/IF(Inputs!$B$39="pvp",15,MAX(0.1,Skills!D13-IF(Skills!E13=TRUE,3.5,0))),0)</f>
        <v/>
      </c>
      <c r="R1645">
        <f>IF(AND(Inputs!$B$39&lt;&gt;"pvp",Inputs!$B$44&gt;0),IF(MAX(0,Inputs!$B$44-B1676)&lt;=0,0,(INT(MAX(0,Inputs!$B$44-B1676)/IF(Inputs!$B$39="pvp",15,MAX(0.1,Skills!D13-IF(Skills!E13=TRUE,3.5,0))))+1)),0)</f>
        <v/>
      </c>
      <c r="S1645">
        <f>IFERROR(O1645/N1645,0)</f>
        <v/>
      </c>
    </row>
    <row r="1646">
      <c r="A1646">
        <f>Skills!A14</f>
        <v/>
      </c>
      <c r="B1646">
        <f>Skills!B14</f>
        <v/>
      </c>
      <c r="C1646">
        <f>Inputs!$B$3&gt;=107</f>
        <v/>
      </c>
      <c r="D1646">
        <f>IF(Skills!C14=1,60+Inputs!$B$25+Inputs!$B$29,IF(Skills!C14=2,90+Inputs!$B$26+Inputs!$B$29,IF(Skills!C14=3,120+Inputs!$B$27+Inputs!$B$29,MAX(0,(Inputs!$B$3-100)*3)+Inputs!$B$28+Inputs!$B$29)))</f>
        <v/>
      </c>
      <c r="E1646">
        <f>INDEX(FactorTable!$B$2:$Y$301, MATCH(ROUND(MIN(300,MAX(1,D1646)),0), FactorTable!$A$2:$A$301,0), Skills!M14+1)</f>
        <v/>
      </c>
      <c r="F1646">
        <f>IF(Skills!N14=TRUE,(Skills!L14/10)*(E1646/1000),Skills!L14/10)+Skills!O14</f>
        <v/>
      </c>
      <c r="G1646">
        <f>Skills!G14*IF(Skills!H14&gt;0,Skills!I14/Skills!H14,1)</f>
        <v/>
      </c>
      <c r="H1646">
        <f>1-(1-Skills!J14/100)^Skills!K14</f>
        <v/>
      </c>
      <c r="I1646" t="inlineStr">
        <is>
          <t>1</t>
        </is>
      </c>
      <c r="J1646">
        <f>((Inputs!$B$6*(1+Inputs!$B$7/100))+(((Inputs!$B$12*(1+Inputs!$B$13/100))-(Inputs!$B$12*(1+Inputs!$B$13/100)))+0.25*(Inputs!$B$14-Inputs!$B$14))*(1+Inputs!$B$7/100))*(F1646/100)</f>
        <v/>
      </c>
      <c r="K1646">
        <f>J1646*(1+((Inputs!$B$12*(1+Inputs!$B$13/100))*0.01+Inputs!$B$14*0.0025)/100)*(1+Inputs!$B$15/100)*(1+IF(Inputs!$B$39="pvp",0,(1-Summary!$B$55)*(Inputs!$B$20+0+Skills!P14+B1666)+Summary!$B$55*(Inputs!$B$21+Skills!Q14+B1666))/100)*(1+Inputs!$B$16/100)*(5000/(6000+Inputs!$B$43*(1-Inputs!$B$19/100)))*(1+(Inputs!$B$24+((C1662=TRUE)*(F1662-Calc!F30)))/100)*(1+(IF(Skills!A14="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1646)</f>
        <v/>
      </c>
      <c r="L1646">
        <f>K1646*(MIN(Inputs!$B$22+((C1656=TRUE)*(F1656-Calc!F24)),Inputs!$B$23+((C1661=TRUE)*(F1661-Calc!F29)))/100+(Inputs!$B$23+((C1661=TRUE)*(F1661-Calc!F29)))/100)/2</f>
        <v/>
      </c>
      <c r="M1646">
        <f>L1646*(1+(Inputs!$B$10+((C1658=TRUE)*(F1658-Calc!F26))+B1672)/100)</f>
        <v/>
      </c>
      <c r="N1646">
        <f>L1646*(1-MIN((Inputs!$B$9+((C1657=TRUE)*(F1657-Calc!F25))+B1665),100)/100)+M1646*(MIN((Inputs!$B$9+((C1657=TRUE)*(F1657-Calc!F25))+B1665),100)/100)</f>
        <v/>
      </c>
      <c r="O1646">
        <f>IF(C1646,H1646*N1646*IF(AND(Inputs!$B$39&lt;&gt;"pvp",Inputs!$B$44&gt;0),((Skills!G14*((R1646-1)*IF(Skills!H14&gt;0,Skills!I14/Skills!H14,1)+IF(Skills!H14&gt;0,MIN(Skills!I14,MAX(0,MAX(0,Inputs!$B$44-B1676)-((R1646-1)*IF(Inputs!$B$39="pvp",15,MAX(0.1,Skills!D14-IF(Skills!E14=TRUE,3.5,0))))))/Skills!H14,1)))/Inputs!$B$44),G1646*Q1646)*IF(Inputs!$B$39="pvp",1,(1-Summary!$B$55)*(1)+Summary!$B$55*(MIN(MIN(5,0.25*B1669*Skills!D4)*Skills!V14,Inputs!$B$37))),0)</f>
        <v/>
      </c>
      <c r="P1646">
        <f>IF(B1677=0,0,O1646/B1677)</f>
        <v/>
      </c>
      <c r="Q1646">
        <f>IFERROR(1/IF(Inputs!$B$39="pvp",15,MAX(0.1,Skills!D14-IF(Skills!E14=TRUE,3.5,0))),0)</f>
        <v/>
      </c>
      <c r="R1646">
        <f>IF(AND(Inputs!$B$39&lt;&gt;"pvp",Inputs!$B$44&gt;0),IF(MAX(0,Inputs!$B$44-B1676)&lt;=0,0,(INT(MAX(0,Inputs!$B$44-B1676)/IF(Inputs!$B$39="pvp",15,MAX(0.1,Skills!D14-IF(Skills!E14=TRUE,3.5,0))))+1)),0)</f>
        <v/>
      </c>
      <c r="S1646">
        <f>IFERROR(O1646/N1646,0)</f>
        <v/>
      </c>
    </row>
    <row r="1647">
      <c r="A1647">
        <f>Skills!A15</f>
        <v/>
      </c>
      <c r="B1647">
        <f>Skills!B15</f>
        <v/>
      </c>
      <c r="C1647">
        <f>Inputs!$B$3&gt;=110</f>
        <v/>
      </c>
      <c r="D1647">
        <f>IF(Skills!C15=1,60+Inputs!$B$25+Inputs!$B$29,IF(Skills!C15=2,90+Inputs!$B$26+Inputs!$B$29,IF(Skills!C15=3,120+Inputs!$B$27+Inputs!$B$29,MAX(0,(Inputs!$B$3-100)*3)+Inputs!$B$28+Inputs!$B$29)))</f>
        <v/>
      </c>
      <c r="E1647">
        <f>INDEX(FactorTable!$B$2:$Y$301, MATCH(ROUND(MIN(300,MAX(1,D1647)),0), FactorTable!$A$2:$A$301,0), Skills!M15+1)</f>
        <v/>
      </c>
      <c r="F1647">
        <f>IF(Skills!N15=TRUE,(Skills!L15/10)*(E1647/1000),Skills!L15/10)+Skills!O15</f>
        <v/>
      </c>
      <c r="G1647">
        <f>Skills!G15*IF(Skills!H15&gt;0,Skills!I15/Skills!H15,1)</f>
        <v/>
      </c>
      <c r="H1647">
        <f>1-(1-Skills!J15/100)^Skills!K15</f>
        <v/>
      </c>
      <c r="I1647" t="inlineStr">
        <is>
          <t>1</t>
        </is>
      </c>
      <c r="J1647" t="inlineStr"/>
      <c r="K1647" t="inlineStr"/>
      <c r="L1647" t="inlineStr"/>
      <c r="M1647" t="inlineStr"/>
      <c r="N1647" t="inlineStr"/>
      <c r="O1647" t="n">
        <v>0</v>
      </c>
      <c r="P1647">
        <f>IF(B1677=0,0,O1647/B1677)</f>
        <v/>
      </c>
      <c r="Q1647">
        <f>IFERROR(1/IF(Inputs!$B$39="pvp",15,MAX(0.1,Skills!D15-IF(Skills!E15=TRUE,3.5,0))),0)</f>
        <v/>
      </c>
      <c r="R1647">
        <f>IF(AND(Inputs!$B$39&lt;&gt;"pvp",Inputs!$B$44&gt;0),IF(Inputs!$B$44&lt;=0,0,(INT(Inputs!$B$44/IF(Inputs!$B$39="pvp",15,MAX(0.1,Skills!D15-IF(Skills!E15=TRUE,3.5,0))))+1)),0)</f>
        <v/>
      </c>
      <c r="S1647">
        <f>IFERROR(O1647/N1647,0)</f>
        <v/>
      </c>
    </row>
    <row r="1648">
      <c r="A1648">
        <f>Skills!A16</f>
        <v/>
      </c>
      <c r="B1648">
        <f>Skills!B16</f>
        <v/>
      </c>
      <c r="C1648">
        <f>Inputs!$B$3&gt;=115</f>
        <v/>
      </c>
      <c r="D1648">
        <f>IF(Skills!C16=1,60+Inputs!$B$25+Inputs!$B$29,IF(Skills!C16=2,90+Inputs!$B$26+Inputs!$B$29,IF(Skills!C16=3,120+Inputs!$B$27+Inputs!$B$29,MAX(0,(Inputs!$B$3-100)*3)+Inputs!$B$28+Inputs!$B$29)))</f>
        <v/>
      </c>
      <c r="E1648">
        <f>INDEX(FactorTable!$B$2:$Y$301, MATCH(ROUND(MIN(300,MAX(1,D1648)),0), FactorTable!$A$2:$A$301,0), Skills!M16+1)</f>
        <v/>
      </c>
      <c r="F1648">
        <f>IF(Skills!N16=TRUE,(Skills!L16/10)*(E1648/1000),Skills!L16/10)+Skills!O16</f>
        <v/>
      </c>
      <c r="G1648">
        <f>Skills!G16*IF(Skills!H16&gt;0,Skills!I16/Skills!H16,1)</f>
        <v/>
      </c>
      <c r="H1648">
        <f>1-(1-Skills!J16/100)^Skills!K16</f>
        <v/>
      </c>
      <c r="I1648" t="inlineStr">
        <is>
          <t>1</t>
        </is>
      </c>
      <c r="J1648">
        <f>((Inputs!$B$6*(1+Inputs!$B$7/100))+(((Inputs!$B$12*(1+Inputs!$B$13/100))-(Inputs!$B$12*(1+Inputs!$B$13/100)))+0.25*(Inputs!$B$14-Inputs!$B$14))*(1+Inputs!$B$7/100))*(F1648/100)</f>
        <v/>
      </c>
      <c r="K1648">
        <f>J1648*(1+((Inputs!$B$12*(1+Inputs!$B$13/100))*0.01+Inputs!$B$14*0.0025)/100)*(1+Inputs!$B$15/100)*(1+IF(Inputs!$B$39="pvp",0,(1-Summary!$B$55)*(Inputs!$B$20+0+Skills!P16+B1666)+Summary!$B$55*(Inputs!$B$21+Skills!Q16+B1666))/100)*(1+Inputs!$B$16/100)*(5000/(6000+Inputs!$B$43*(1-Inputs!$B$19/100)))*(1+(Inputs!$B$24+((C1662=TRUE)*(F1662-Calc!F30)))/100)*(1+(IF(Skills!A16="CRUEL_STAB",Inputs!$B$17+((C1659=TRUE)*(F1659-Calc!F27)),Inputs!$B$18+((C1660=TRUE)*(F1660-Calc!F28))))/100)*(((1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B1667*I1648)</f>
        <v/>
      </c>
      <c r="L1648">
        <f>K1648*(MIN(Inputs!$B$22+((C1656=TRUE)*(F1656-Calc!F24)),Inputs!$B$23+((C1661=TRUE)*(F1661-Calc!F29)))/100+(Inputs!$B$23+((C1661=TRUE)*(F1661-Calc!F29)))/100)/2</f>
        <v/>
      </c>
      <c r="M1648">
        <f>L1648*(1+(Inputs!$B$10+((C1658=TRUE)*(F1658-Calc!F26))+B1672)/100)</f>
        <v/>
      </c>
      <c r="N1648">
        <f>L1648*(1-MIN((Inputs!$B$9+((C1657=TRUE)*(F1657-Calc!F25))+B1665),100)/100)+M1648*(MIN((Inputs!$B$9+((C1657=TRUE)*(F1657-Calc!F25))+B1665),100)/100)</f>
        <v/>
      </c>
      <c r="O1648">
        <f>IF(C1648,Inputs!$B$38*0.2*N1648,0)</f>
        <v/>
      </c>
      <c r="P1648">
        <f>IF(B1677=0,0,O1648/B1677)</f>
        <v/>
      </c>
      <c r="Q1648" t="n">
        <v>0</v>
      </c>
      <c r="R1648" t="n">
        <v>0</v>
      </c>
      <c r="S1648">
        <f>IFERROR(O1648/N1648,0)</f>
        <v/>
      </c>
    </row>
    <row r="1649">
      <c r="A1649">
        <f>Skills!A17</f>
        <v/>
      </c>
      <c r="B1649">
        <f>Skills!B17</f>
        <v/>
      </c>
      <c r="C1649">
        <f>Inputs!$B$3&gt;=115</f>
        <v/>
      </c>
      <c r="D1649">
        <f>IF(Skills!C17=1,60+Inputs!$B$25+Inputs!$B$29,IF(Skills!C17=2,90+Inputs!$B$26+Inputs!$B$29,IF(Skills!C17=3,120+Inputs!$B$27+Inputs!$B$29,MAX(0,(Inputs!$B$3-100)*3)+Inputs!$B$28+Inputs!$B$29)))</f>
        <v/>
      </c>
      <c r="E1649">
        <f>INDEX(FactorTable!$B$2:$Y$301, MATCH(ROUND(MIN(300,MAX(1,D1649)),0), FactorTable!$A$2:$A$301,0), Skills!M17+1)</f>
        <v/>
      </c>
      <c r="F1649">
        <f>IF(Skills!N17=TRUE,(Skills!L17/10)*(E1649/1000),Skills!L17/10)+Skills!O17</f>
        <v/>
      </c>
      <c r="G1649">
        <f>Skills!G17*IF(Skills!H17&gt;0,Skills!I17/Skills!H17,1)</f>
        <v/>
      </c>
      <c r="H1649">
        <f>1-(1-Skills!J17/100)^Skills!K17</f>
        <v/>
      </c>
      <c r="I1649" t="inlineStr">
        <is>
          <t>1</t>
        </is>
      </c>
      <c r="J1649" t="inlineStr"/>
      <c r="K1649" t="inlineStr"/>
      <c r="L1649" t="inlineStr"/>
      <c r="M1649" t="inlineStr"/>
      <c r="N1649" t="inlineStr"/>
      <c r="O1649" t="n">
        <v>0</v>
      </c>
      <c r="P1649">
        <f>IF(B1677=0,0,O1649/B1677)</f>
        <v/>
      </c>
      <c r="Q1649" t="n">
        <v>0</v>
      </c>
      <c r="R1649" t="n">
        <v>0</v>
      </c>
      <c r="S1649">
        <f>IFERROR(O1649/N1649,0)</f>
        <v/>
      </c>
    </row>
    <row r="1650">
      <c r="A1650">
        <f>Skills!A18</f>
        <v/>
      </c>
      <c r="B1650">
        <f>Skills!B18</f>
        <v/>
      </c>
      <c r="C1650">
        <f>Inputs!$B$3&gt;=100</f>
        <v/>
      </c>
      <c r="D1650">
        <f>IF(Skills!C18=1,60+Inputs!$B$25+Inputs!$B$29,IF(Skills!C18=2,90+Inputs!$B$26+Inputs!$B$29,IF(Skills!C18=3,120+Inputs!$B$27+Inputs!$B$29,MAX(0,(Inputs!$B$3-100)*3)+Inputs!$B$28+Inputs!$B$29)))</f>
        <v/>
      </c>
      <c r="E1650">
        <f>INDEX(FactorTable!$B$2:$Y$301, MATCH(ROUND(MIN(300,MAX(1,D1650)),0), FactorTable!$A$2:$A$301,0), Skills!M18+1)</f>
        <v/>
      </c>
      <c r="F1650">
        <f>IF(Skills!N18=TRUE,(Skills!L18/10)*(E1650/1000),Skills!L18/10)+Skills!O18</f>
        <v/>
      </c>
      <c r="G1650">
        <f>Skills!G18*IF(Skills!H18&gt;0,Skills!I18/Skills!H18,1)</f>
        <v/>
      </c>
      <c r="H1650">
        <f>1-(1-Skills!J18/100)^Skills!K18</f>
        <v/>
      </c>
      <c r="I1650" t="inlineStr">
        <is>
          <t>1</t>
        </is>
      </c>
      <c r="J1650" t="inlineStr"/>
      <c r="K1650" t="inlineStr"/>
      <c r="L1650" t="inlineStr"/>
      <c r="M1650" t="inlineStr"/>
      <c r="N1650" t="inlineStr"/>
      <c r="O1650" t="n">
        <v>0</v>
      </c>
      <c r="P1650">
        <f>IF(B1677=0,0,O1650/B1677)</f>
        <v/>
      </c>
      <c r="Q1650" t="n">
        <v>0</v>
      </c>
      <c r="R1650" t="n">
        <v>0</v>
      </c>
      <c r="S1650">
        <f>IFERROR(O1650/N1650,0)</f>
        <v/>
      </c>
    </row>
    <row r="1651">
      <c r="A1651">
        <f>Skills!A19</f>
        <v/>
      </c>
      <c r="B1651">
        <f>Skills!B19</f>
        <v/>
      </c>
      <c r="C1651">
        <f>TRUE</f>
        <v/>
      </c>
      <c r="D1651">
        <f>IF(Skills!C19=1,60+Inputs!$B$25+Inputs!$B$29,IF(Skills!C19=2,90+Inputs!$B$26+Inputs!$B$29,IF(Skills!C19=3,120+Inputs!$B$27+Inputs!$B$29,MAX(0,(Inputs!$B$3-100)*3)+Inputs!$B$28+Inputs!$B$29)))</f>
        <v/>
      </c>
      <c r="E1651">
        <f>INDEX(FactorTable!$B$2:$Y$301, MATCH(ROUND(MIN(300,MAX(1,D1651)),0), FactorTable!$A$2:$A$301,0), Skills!M19+1)</f>
        <v/>
      </c>
      <c r="F1651">
        <f>IF(Skills!N19=TRUE,(Skills!L19/10)*(E1651/1000),Skills!L19/10)+Skills!O19</f>
        <v/>
      </c>
      <c r="G1651">
        <f>Skills!G19*IF(Skills!H19&gt;0,Skills!I19/Skills!H19,1)</f>
        <v/>
      </c>
      <c r="H1651">
        <f>1-(1-Skills!J19/100)^Skills!K19</f>
        <v/>
      </c>
      <c r="I1651" t="inlineStr">
        <is>
          <t>1</t>
        </is>
      </c>
      <c r="J1651" t="inlineStr"/>
      <c r="K1651" t="inlineStr"/>
      <c r="L1651" t="inlineStr"/>
      <c r="M1651" t="inlineStr"/>
      <c r="N1651" t="inlineStr"/>
      <c r="O1651" t="n">
        <v>0</v>
      </c>
      <c r="P1651">
        <f>IF(B1677=0,0,O1651/B1677)</f>
        <v/>
      </c>
      <c r="Q1651">
        <f>IFERROR(1/IF(Inputs!$B$39="pvp",15,MAX(0.1,Skills!D19-IF(Skills!E19=TRUE,3.5,0))),0)</f>
        <v/>
      </c>
      <c r="R1651">
        <f>IF(AND(Inputs!$B$39&lt;&gt;"pvp",Inputs!$B$44&gt;0),IF(Inputs!$B$44&lt;=0,0,(INT(Inputs!$B$44/IF(Inputs!$B$39="pvp",15,MAX(0.1,Skills!D19-IF(Skills!E19=TRUE,3.5,0))))+1)),0)</f>
        <v/>
      </c>
      <c r="S1651">
        <f>IFERROR(O1651/N1651,0)</f>
        <v/>
      </c>
    </row>
    <row r="1652">
      <c r="A1652">
        <f>Skills!A20</f>
        <v/>
      </c>
      <c r="B1652">
        <f>Skills!B20</f>
        <v/>
      </c>
      <c r="C1652">
        <f>Inputs!$B$3&gt;=15</f>
        <v/>
      </c>
      <c r="D1652">
        <f>IF(Skills!C20=1,60+Inputs!$B$25+Inputs!$B$29,IF(Skills!C20=2,90+Inputs!$B$26+Inputs!$B$29,IF(Skills!C20=3,120+Inputs!$B$27+Inputs!$B$29,MAX(0,(Inputs!$B$3-100)*3)+Inputs!$B$28+Inputs!$B$29)))</f>
        <v/>
      </c>
      <c r="E1652">
        <f>INDEX(FactorTable!$B$2:$Y$301, MATCH(ROUND(MIN(300,MAX(1,D1652)),0), FactorTable!$A$2:$A$301,0), Skills!M20+1)</f>
        <v/>
      </c>
      <c r="F1652">
        <f>IF(Skills!N20=TRUE,(Skills!L20/10)*(E1652/1000),Skills!L20/10)+Skills!O20</f>
        <v/>
      </c>
      <c r="G1652">
        <f>Skills!G20*IF(Skills!H20&gt;0,Skills!I20/Skills!H20,1)</f>
        <v/>
      </c>
      <c r="H1652">
        <f>1-(1-Skills!J20/100)^Skills!K20</f>
        <v/>
      </c>
      <c r="I1652" t="inlineStr">
        <is>
          <t>1</t>
        </is>
      </c>
      <c r="J1652" t="inlineStr"/>
      <c r="K1652" t="inlineStr"/>
      <c r="L1652" t="inlineStr"/>
      <c r="M1652" t="inlineStr"/>
      <c r="N1652" t="inlineStr"/>
      <c r="O1652" t="n">
        <v>0</v>
      </c>
      <c r="P1652">
        <f>IF(B1677=0,0,O1652/B1677)</f>
        <v/>
      </c>
      <c r="Q1652">
        <f>IFERROR(1/IF(Inputs!$B$39="pvp",15,MAX(0.1,Skills!D20-IF(Skills!E20=TRUE,3.5,0))),0)</f>
        <v/>
      </c>
      <c r="R1652">
        <f>IF(AND(Inputs!$B$39&lt;&gt;"pvp",Inputs!$B$44&gt;0),IF(Inputs!$B$44&lt;=0,0,(INT(Inputs!$B$44/IF(Inputs!$B$39="pvp",15,MAX(0.1,Skills!D20-IF(Skills!E20=TRUE,3.5,0))))+1)),0)</f>
        <v/>
      </c>
      <c r="S1652">
        <f>IFERROR(O1652/N1652,0)</f>
        <v/>
      </c>
    </row>
    <row r="1653">
      <c r="A1653">
        <f>Skills!A21</f>
        <v/>
      </c>
      <c r="B1653">
        <f>Skills!B21</f>
        <v/>
      </c>
      <c r="C1653">
        <f>Inputs!$B$3&gt;=15</f>
        <v/>
      </c>
      <c r="D1653">
        <f>IF(Skills!C21=1,60+Inputs!$B$25+Inputs!$B$29,IF(Skills!C21=2,90+Inputs!$B$26+Inputs!$B$29,IF(Skills!C21=3,120+Inputs!$B$27+Inputs!$B$29,MAX(0,(Inputs!$B$3-100)*3)+Inputs!$B$28+Inputs!$B$29)))</f>
        <v/>
      </c>
      <c r="E1653">
        <f>INDEX(FactorTable!$B$2:$Y$301, MATCH(ROUND(MIN(300,MAX(1,D1653)),0), FactorTable!$A$2:$A$301,0), Skills!M21+1)</f>
        <v/>
      </c>
      <c r="F1653">
        <f>IF(Skills!N21=TRUE,(Skills!L21/10)*(E1653/1000),Skills!L21/10)+Skills!O21</f>
        <v/>
      </c>
      <c r="G1653">
        <f>Skills!G21*IF(Skills!H21&gt;0,Skills!I21/Skills!H21,1)</f>
        <v/>
      </c>
      <c r="H1653">
        <f>1-(1-Skills!J21/100)^Skills!K21</f>
        <v/>
      </c>
      <c r="I1653" t="inlineStr">
        <is>
          <t>1</t>
        </is>
      </c>
      <c r="J1653" t="inlineStr"/>
      <c r="K1653" t="inlineStr"/>
      <c r="L1653" t="inlineStr"/>
      <c r="M1653" t="inlineStr"/>
      <c r="N1653" t="inlineStr"/>
      <c r="O1653" t="n">
        <v>0</v>
      </c>
      <c r="P1653">
        <f>IF(B1677=0,0,O1653/B1677)</f>
        <v/>
      </c>
      <c r="Q1653">
        <f>IFERROR(1/IF(Inputs!$B$39="pvp",15,MAX(0.1,Skills!D21-IF(Skills!E21=TRUE,3.5,0))),0)</f>
        <v/>
      </c>
      <c r="R1653">
        <f>IF(AND(Inputs!$B$39&lt;&gt;"pvp",Inputs!$B$44&gt;0),IF(Inputs!$B$44&lt;=0,0,(INT(Inputs!$B$44/IF(Inputs!$B$39="pvp",15,MAX(0.1,Skills!D21-IF(Skills!E21=TRUE,3.5,0))))+1)),0)</f>
        <v/>
      </c>
      <c r="S1653">
        <f>IFERROR(O1653/N1653,0)</f>
        <v/>
      </c>
    </row>
    <row r="1654">
      <c r="A1654">
        <f>Skills!A22</f>
        <v/>
      </c>
      <c r="B1654">
        <f>Skills!B22</f>
        <v/>
      </c>
      <c r="C1654">
        <f>Inputs!$B$3&gt;=33</f>
        <v/>
      </c>
      <c r="D1654">
        <f>IF(Skills!C22=1,60+Inputs!$B$25+Inputs!$B$29,IF(Skills!C22=2,90+Inputs!$B$26+Inputs!$B$29,IF(Skills!C22=3,120+Inputs!$B$27+Inputs!$B$29,MAX(0,(Inputs!$B$3-100)*3)+Inputs!$B$28+Inputs!$B$29)))</f>
        <v/>
      </c>
      <c r="E1654">
        <f>INDEX(FactorTable!$B$2:$Y$301, MATCH(ROUND(MIN(300,MAX(1,D1654)),0), FactorTable!$A$2:$A$301,0), Skills!M22+1)</f>
        <v/>
      </c>
      <c r="F1654">
        <f>IF(Skills!N22=TRUE,(Skills!L22/10)*(E1654/1000),Skills!L22/10)+Skills!O22</f>
        <v/>
      </c>
      <c r="G1654">
        <f>Skills!G22*IF(Skills!H22&gt;0,Skills!I22/Skills!H22,1)</f>
        <v/>
      </c>
      <c r="H1654">
        <f>1-(1-Skills!J22/100)^Skills!K22</f>
        <v/>
      </c>
      <c r="I1654" t="inlineStr">
        <is>
          <t>1</t>
        </is>
      </c>
      <c r="J1654" t="inlineStr"/>
      <c r="K1654" t="inlineStr"/>
      <c r="L1654" t="inlineStr"/>
      <c r="M1654" t="inlineStr"/>
      <c r="N1654" t="inlineStr"/>
      <c r="O1654" t="n">
        <v>0</v>
      </c>
      <c r="P1654">
        <f>IF(B1677=0,0,O1654/B1677)</f>
        <v/>
      </c>
      <c r="Q1654" t="n">
        <v>0</v>
      </c>
      <c r="R1654" t="n">
        <v>0</v>
      </c>
      <c r="S1654">
        <f>IFERROR(O1654/N1654,0)</f>
        <v/>
      </c>
    </row>
    <row r="1655">
      <c r="A1655">
        <f>Skills!A23</f>
        <v/>
      </c>
      <c r="B1655">
        <f>Skills!B23</f>
        <v/>
      </c>
      <c r="C1655">
        <f>Inputs!$B$3&gt;=40</f>
        <v/>
      </c>
      <c r="D1655">
        <f>IF(Skills!C23=1,60+Inputs!$B$25+Inputs!$B$29,IF(Skills!C23=2,90+Inputs!$B$26+Inputs!$B$29,IF(Skills!C23=3,120+Inputs!$B$27+Inputs!$B$29,MAX(0,(Inputs!$B$3-100)*3)+Inputs!$B$28+Inputs!$B$29)))</f>
        <v/>
      </c>
      <c r="E1655">
        <f>INDEX(FactorTable!$B$2:$Y$301, MATCH(ROUND(MIN(300,MAX(1,D1655)),0), FactorTable!$A$2:$A$301,0), Skills!M23+1)</f>
        <v/>
      </c>
      <c r="F1655">
        <f>IF(Skills!N23=TRUE,(Skills!L23/10)*(E1655/1000),Skills!L23/10)+Skills!O23</f>
        <v/>
      </c>
      <c r="G1655">
        <f>Skills!G23*IF(Skills!H23&gt;0,Skills!I23/Skills!H23,1)</f>
        <v/>
      </c>
      <c r="H1655">
        <f>1-(1-Skills!J23/100)^Skills!K23</f>
        <v/>
      </c>
      <c r="I1655" t="inlineStr">
        <is>
          <t>1</t>
        </is>
      </c>
      <c r="J1655" t="inlineStr"/>
      <c r="K1655" t="inlineStr"/>
      <c r="L1655" t="inlineStr"/>
      <c r="M1655" t="inlineStr"/>
      <c r="N1655" t="inlineStr"/>
      <c r="O1655" t="n">
        <v>0</v>
      </c>
      <c r="P1655">
        <f>IF(B1677=0,0,O1655/B1677)</f>
        <v/>
      </c>
      <c r="Q1655" t="n">
        <v>0</v>
      </c>
      <c r="R1655" t="n">
        <v>0</v>
      </c>
      <c r="S1655">
        <f>IFERROR(O1655/N1655,0)</f>
        <v/>
      </c>
    </row>
    <row r="1656">
      <c r="A1656">
        <f>Skills!A24</f>
        <v/>
      </c>
      <c r="B1656">
        <f>Skills!B24</f>
        <v/>
      </c>
      <c r="C1656">
        <f>Inputs!$B$3&gt;=43</f>
        <v/>
      </c>
      <c r="D1656">
        <f>IF(Skills!C24=1,60+Inputs!$B$25+Inputs!$B$29,IF(Skills!C24=2,90+Inputs!$B$26+Inputs!$B$29,IF(Skills!C24=3,120+Inputs!$B$27+Inputs!$B$29,MAX(0,(Inputs!$B$3-100)*3)+Inputs!$B$28+Inputs!$B$29)))</f>
        <v/>
      </c>
      <c r="E1656">
        <f>INDEX(FactorTable!$B$2:$Y$301, MATCH(ROUND(MIN(300,MAX(1,D1656)),0), FactorTable!$A$2:$A$301,0), Skills!M24+1)</f>
        <v/>
      </c>
      <c r="F1656">
        <f>IF(Skills!N24=TRUE,(Skills!L24/10)*(E1656/1000),Skills!L24/10)+Skills!O24</f>
        <v/>
      </c>
      <c r="G1656">
        <f>Skills!G24*IF(Skills!H24&gt;0,Skills!I24/Skills!H24,1)</f>
        <v/>
      </c>
      <c r="H1656">
        <f>1-(1-Skills!J24/100)^Skills!K24</f>
        <v/>
      </c>
      <c r="I1656" t="inlineStr">
        <is>
          <t>1</t>
        </is>
      </c>
      <c r="J1656" t="inlineStr"/>
      <c r="K1656" t="inlineStr"/>
      <c r="L1656" t="inlineStr"/>
      <c r="M1656" t="inlineStr"/>
      <c r="N1656" t="inlineStr"/>
      <c r="O1656" t="n">
        <v>0</v>
      </c>
      <c r="P1656">
        <f>IF(B1677=0,0,O1656/B1677)</f>
        <v/>
      </c>
      <c r="Q1656" t="n">
        <v>0</v>
      </c>
      <c r="R1656" t="n">
        <v>0</v>
      </c>
      <c r="S1656">
        <f>IFERROR(O1656/N1656,0)</f>
        <v/>
      </c>
    </row>
    <row r="1657">
      <c r="A1657">
        <f>Skills!A25</f>
        <v/>
      </c>
      <c r="B1657">
        <f>Skills!B25</f>
        <v/>
      </c>
      <c r="C1657">
        <f>Inputs!$B$3&gt;=50</f>
        <v/>
      </c>
      <c r="D1657">
        <f>IF(Skills!C25=1,60+Inputs!$B$25+Inputs!$B$29,IF(Skills!C25=2,90+Inputs!$B$26+Inputs!$B$29,IF(Skills!C25=3,120+Inputs!$B$27+Inputs!$B$29,MAX(0,(Inputs!$B$3-100)*3)+Inputs!$B$28+Inputs!$B$29)))</f>
        <v/>
      </c>
      <c r="E1657">
        <f>INDEX(FactorTable!$B$2:$Y$301, MATCH(ROUND(MIN(300,MAX(1,D1657)),0), FactorTable!$A$2:$A$301,0), Skills!M25+1)</f>
        <v/>
      </c>
      <c r="F1657">
        <f>IF(Skills!N25=TRUE,(Skills!L25/10)*(E1657/1000),Skills!L25/10)+Skills!O25</f>
        <v/>
      </c>
      <c r="G1657">
        <f>Skills!G25*IF(Skills!H25&gt;0,Skills!I25/Skills!H25,1)</f>
        <v/>
      </c>
      <c r="H1657">
        <f>1-(1-Skills!J25/100)^Skills!K25</f>
        <v/>
      </c>
      <c r="I1657" t="inlineStr">
        <is>
          <t>1</t>
        </is>
      </c>
      <c r="J1657" t="inlineStr"/>
      <c r="K1657" t="inlineStr"/>
      <c r="L1657" t="inlineStr"/>
      <c r="M1657" t="inlineStr"/>
      <c r="N1657" t="inlineStr"/>
      <c r="O1657" t="n">
        <v>0</v>
      </c>
      <c r="P1657">
        <f>IF(B1677=0,0,O1657/B1677)</f>
        <v/>
      </c>
      <c r="Q1657" t="n">
        <v>0</v>
      </c>
      <c r="R1657" t="n">
        <v>0</v>
      </c>
      <c r="S1657">
        <f>IFERROR(O1657/N1657,0)</f>
        <v/>
      </c>
    </row>
    <row r="1658">
      <c r="A1658">
        <f>Skills!A26</f>
        <v/>
      </c>
      <c r="B1658">
        <f>Skills!B26</f>
        <v/>
      </c>
      <c r="C1658">
        <f>Inputs!$B$3&gt;=50</f>
        <v/>
      </c>
      <c r="D1658">
        <f>IF(Skills!C26=1,60+Inputs!$B$25+Inputs!$B$29,IF(Skills!C26=2,90+Inputs!$B$26+Inputs!$B$29,IF(Skills!C26=3,120+Inputs!$B$27+Inputs!$B$29,MAX(0,(Inputs!$B$3-100)*3)+Inputs!$B$28+Inputs!$B$29)))</f>
        <v/>
      </c>
      <c r="E1658">
        <f>INDEX(FactorTable!$B$2:$Y$301, MATCH(ROUND(MIN(300,MAX(1,D1658)),0), FactorTable!$A$2:$A$301,0), Skills!M26+1)</f>
        <v/>
      </c>
      <c r="F1658">
        <f>IF(Skills!N26=TRUE,(Skills!L26/10)*(E1658/1000),Skills!L26/10)+Skills!O26</f>
        <v/>
      </c>
      <c r="G1658">
        <f>Skills!G26*IF(Skills!H26&gt;0,Skills!I26/Skills!H26,1)</f>
        <v/>
      </c>
      <c r="H1658">
        <f>1-(1-Skills!J26/100)^Skills!K26</f>
        <v/>
      </c>
      <c r="I1658" t="inlineStr">
        <is>
          <t>1</t>
        </is>
      </c>
      <c r="J1658" t="inlineStr"/>
      <c r="K1658" t="inlineStr"/>
      <c r="L1658" t="inlineStr"/>
      <c r="M1658" t="inlineStr"/>
      <c r="N1658" t="inlineStr"/>
      <c r="O1658" t="n">
        <v>0</v>
      </c>
      <c r="P1658">
        <f>IF(B1677=0,0,O1658/B1677)</f>
        <v/>
      </c>
      <c r="Q1658" t="n">
        <v>0</v>
      </c>
      <c r="R1658" t="n">
        <v>0</v>
      </c>
      <c r="S1658">
        <f>IFERROR(O1658/N1658,0)</f>
        <v/>
      </c>
    </row>
    <row r="1659">
      <c r="A1659">
        <f>Skills!A27</f>
        <v/>
      </c>
      <c r="B1659">
        <f>Skills!B27</f>
        <v/>
      </c>
      <c r="C1659">
        <f>Inputs!$B$3&gt;=38</f>
        <v/>
      </c>
      <c r="D1659">
        <f>IF(Skills!C27=1,60+Inputs!$B$25+Inputs!$B$29,IF(Skills!C27=2,90+Inputs!$B$26+Inputs!$B$29,IF(Skills!C27=3,120+Inputs!$B$27+Inputs!$B$29,MAX(0,(Inputs!$B$3-100)*3)+Inputs!$B$28+Inputs!$B$29)))</f>
        <v/>
      </c>
      <c r="E1659">
        <f>INDEX(FactorTable!$B$2:$Y$301, MATCH(ROUND(MIN(300,MAX(1,D1659)),0), FactorTable!$A$2:$A$301,0), Skills!M27+1)</f>
        <v/>
      </c>
      <c r="F1659">
        <f>IF(Skills!N27=TRUE,(Skills!L27/10)*(E1659/1000),Skills!L27/10)+Skills!O27</f>
        <v/>
      </c>
      <c r="G1659">
        <f>Skills!G27*IF(Skills!H27&gt;0,Skills!I27/Skills!H27,1)</f>
        <v/>
      </c>
      <c r="H1659">
        <f>1-(1-Skills!J27/100)^Skills!K27</f>
        <v/>
      </c>
      <c r="I1659" t="inlineStr">
        <is>
          <t>1</t>
        </is>
      </c>
      <c r="J1659" t="inlineStr"/>
      <c r="K1659" t="inlineStr"/>
      <c r="L1659" t="inlineStr"/>
      <c r="M1659" t="inlineStr"/>
      <c r="N1659" t="inlineStr"/>
      <c r="O1659" t="n">
        <v>0</v>
      </c>
      <c r="P1659">
        <f>IF(B1677=0,0,O1659/B1677)</f>
        <v/>
      </c>
      <c r="Q1659" t="n">
        <v>0</v>
      </c>
      <c r="R1659" t="n">
        <v>0</v>
      </c>
      <c r="S1659">
        <f>IFERROR(O1659/N1659,0)</f>
        <v/>
      </c>
    </row>
    <row r="1660">
      <c r="A1660">
        <f>Skills!A28</f>
        <v/>
      </c>
      <c r="B1660">
        <f>Skills!B28</f>
        <v/>
      </c>
      <c r="C1660">
        <f>Inputs!$B$3&gt;=120</f>
        <v/>
      </c>
      <c r="D1660">
        <f>IF(Skills!C28=1,60+Inputs!$B$25+Inputs!$B$29,IF(Skills!C28=2,90+Inputs!$B$26+Inputs!$B$29,IF(Skills!C28=3,120+Inputs!$B$27+Inputs!$B$29,MAX(0,(Inputs!$B$3-100)*3)+Inputs!$B$28+Inputs!$B$29)))</f>
        <v/>
      </c>
      <c r="E1660">
        <f>INDEX(FactorTable!$B$2:$Y$301, MATCH(ROUND(MIN(300,MAX(1,D1660)),0), FactorTable!$A$2:$A$301,0), Skills!M28+1)</f>
        <v/>
      </c>
      <c r="F1660">
        <f>IF(Skills!N28=TRUE,(Skills!L28/10)*(E1660/1000),Skills!L28/10)+Skills!O28</f>
        <v/>
      </c>
      <c r="G1660">
        <f>Skills!G28*IF(Skills!H28&gt;0,Skills!I28/Skills!H28,1)</f>
        <v/>
      </c>
      <c r="H1660">
        <f>1-(1-Skills!J28/100)^Skills!K28</f>
        <v/>
      </c>
      <c r="I1660" t="inlineStr">
        <is>
          <t>1</t>
        </is>
      </c>
      <c r="J1660" t="inlineStr"/>
      <c r="K1660" t="inlineStr"/>
      <c r="L1660" t="inlineStr"/>
      <c r="M1660" t="inlineStr"/>
      <c r="N1660" t="inlineStr"/>
      <c r="O1660" t="n">
        <v>0</v>
      </c>
      <c r="P1660">
        <f>IF(B1677=0,0,O1660/B1677)</f>
        <v/>
      </c>
      <c r="Q1660" t="n">
        <v>0</v>
      </c>
      <c r="R1660" t="n">
        <v>0</v>
      </c>
      <c r="S1660">
        <f>IFERROR(O1660/N1660,0)</f>
        <v/>
      </c>
    </row>
    <row r="1661">
      <c r="A1661">
        <f>Skills!A29</f>
        <v/>
      </c>
      <c r="B1661">
        <f>Skills!B29</f>
        <v/>
      </c>
      <c r="C1661">
        <f>Inputs!$B$3&gt;=120</f>
        <v/>
      </c>
      <c r="D1661">
        <f>IF(Skills!C29=1,60+Inputs!$B$25+Inputs!$B$29,IF(Skills!C29=2,90+Inputs!$B$26+Inputs!$B$29,IF(Skills!C29=3,120+Inputs!$B$27+Inputs!$B$29,MAX(0,(Inputs!$B$3-100)*3)+Inputs!$B$28+Inputs!$B$29)))</f>
        <v/>
      </c>
      <c r="E1661">
        <f>INDEX(FactorTable!$B$2:$Y$301, MATCH(ROUND(MIN(300,MAX(1,D1661)),0), FactorTable!$A$2:$A$301,0), Skills!M29+1)</f>
        <v/>
      </c>
      <c r="F1661">
        <f>IF(Skills!N29=TRUE,(Skills!L29/10)*(E1661/1000),Skills!L29/10)+Skills!O29</f>
        <v/>
      </c>
      <c r="G1661">
        <f>Skills!G29*IF(Skills!H29&gt;0,Skills!I29/Skills!H29,1)</f>
        <v/>
      </c>
      <c r="H1661">
        <f>1-(1-Skills!J29/100)^Skills!K29</f>
        <v/>
      </c>
      <c r="I1661" t="inlineStr">
        <is>
          <t>1</t>
        </is>
      </c>
      <c r="J1661" t="inlineStr"/>
      <c r="K1661" t="inlineStr"/>
      <c r="L1661" t="inlineStr"/>
      <c r="M1661" t="inlineStr"/>
      <c r="N1661" t="inlineStr"/>
      <c r="O1661" t="n">
        <v>0</v>
      </c>
      <c r="P1661">
        <f>IF(B1677=0,0,O1661/B1677)</f>
        <v/>
      </c>
      <c r="Q1661" t="n">
        <v>0</v>
      </c>
      <c r="R1661" t="n">
        <v>0</v>
      </c>
      <c r="S1661">
        <f>IFERROR(O1661/N1661,0)</f>
        <v/>
      </c>
    </row>
    <row r="1662">
      <c r="A1662">
        <f>Skills!A30</f>
        <v/>
      </c>
      <c r="B1662">
        <f>Skills!B30</f>
        <v/>
      </c>
      <c r="C1662">
        <f>Inputs!$B$3&gt;=125</f>
        <v/>
      </c>
      <c r="D1662">
        <f>IF(Skills!C30=1,60+Inputs!$B$25+Inputs!$B$29,IF(Skills!C30=2,90+Inputs!$B$26+Inputs!$B$29,IF(Skills!C30=3,120+Inputs!$B$27+Inputs!$B$29,MAX(0,(Inputs!$B$3-100)*3)+Inputs!$B$28+Inputs!$B$29)))</f>
        <v/>
      </c>
      <c r="E1662">
        <f>INDEX(FactorTable!$B$2:$Y$301, MATCH(ROUND(MIN(300,MAX(1,D1662)),0), FactorTable!$A$2:$A$301,0), Skills!M30+1)</f>
        <v/>
      </c>
      <c r="F1662">
        <f>IF(Skills!N30=TRUE,(Skills!L30/10)*(E1662/1000),Skills!L30/10)+Skills!O30</f>
        <v/>
      </c>
      <c r="G1662">
        <f>Skills!G30*IF(Skills!H30&gt;0,Skills!I30/Skills!H30,1)</f>
        <v/>
      </c>
      <c r="H1662">
        <f>1-(1-Skills!J30/100)^Skills!K30</f>
        <v/>
      </c>
      <c r="I1662" t="inlineStr">
        <is>
          <t>1</t>
        </is>
      </c>
      <c r="J1662" t="inlineStr"/>
      <c r="K1662" t="inlineStr"/>
      <c r="L1662" t="inlineStr"/>
      <c r="M1662" t="inlineStr"/>
      <c r="N1662" t="inlineStr"/>
      <c r="O1662" t="n">
        <v>0</v>
      </c>
      <c r="P1662">
        <f>IF(B1677=0,0,O1662/B1677)</f>
        <v/>
      </c>
      <c r="Q1662" t="n">
        <v>0</v>
      </c>
      <c r="R1662" t="n">
        <v>0</v>
      </c>
      <c r="S1662">
        <f>IFERROR(O1662/N1662,0)</f>
        <v/>
      </c>
    </row>
    <row r="1664">
      <c r="A1664" t="inlineStr">
        <is>
          <t>Average Buff Multiplier</t>
        </is>
      </c>
      <c r="B1664">
        <f>(1+(((C1653=TRUE)*F1653*IF(AND(Inputs!$B$39&lt;&gt;"pvp",Inputs!$B$44&gt;0),(((R1653-1)*(Skills!Y21*(1+Inputs!$B$34/100))+MIN((Skills!Y21*(1+Inputs!$B$34/100)),MAX(0,Inputs!$B$44-((R1653-1)*Skills!D21))))/Inputs!$B$44),IF(Inputs!$B$39="pvp",MIN((Skills!Y21*(1+Inputs!$B$34/100)),15)/15,(Skills!Y21*(1+Inputs!$B$34/100))/Skills!D21)))+((C1655=TRUE)*(F1655-Calc!F23))+((C1649=TRUE)*(F1649-Calc!F17)))/100)*(1+((C1642=TRUE)*F1642*IF(AND(Inputs!$B$39&lt;&gt;"pvp",Inputs!$B$44&gt;0),(((R1642-1)*(Skills!Y10*(1+Inputs!$B$34/100))+MIN((Skills!Y10*(1+Inputs!$B$34/100)),MAX(0,Inputs!$B$44-((R1642-1)*Skills!D10))))/Inputs!$B$44),IF(Inputs!$B$39="pvp",MIN((Skills!Y10*(1+Inputs!$B$34/100)),15)/15,(Skills!Y10*(1+Inputs!$B$34/100))/Skills!D10)))/100)*(1+((C1647=TRUE)*F1647*IF(AND(Inputs!$B$39&lt;&gt;"pvp",Inputs!$B$44&gt;0),(((R1647-1)*(Skills!Y15*(1+Inputs!$B$34/100))+MIN((Skills!Y15*(1+Inputs!$B$34/100)),MAX(0,Inputs!$B$44-((R1647-1)*Skills!D15))))/Inputs!$B$44),IF(Inputs!$B$39="pvp",MIN((Skills!Y15*(1+Inputs!$B$34/100)),15)/15,(Skills!Y15*(1+Inputs!$B$34/100))/Skills!D15)))/100)</f>
        <v/>
      </c>
    </row>
    <row r="1665">
      <c r="A1665" t="inlineStr">
        <is>
          <t>Global Crit Rate Bonus %</t>
        </is>
      </c>
      <c r="B1665">
        <f>((C1652=TRUE)*F1652*IF(AND(Inputs!$B$39&lt;&gt;"pvp",Inputs!$B$44&gt;0),(((R1652-1)*(Skills!Y20*(1+Inputs!$B$34/100))+MIN((Skills!Y20*(1+Inputs!$B$34/100)),MAX(0,Inputs!$B$44-((R1652-1)*Skills!D20))))/Inputs!$B$44),IF(Inputs!$B$39="pvp",MIN((Skills!Y20*(1+Inputs!$B$34/100)),15)/15,(Skills!Y20*(1+Inputs!$B$34/100))/Skills!D20)))</f>
        <v/>
      </c>
    </row>
    <row r="1666">
      <c r="A1666" t="inlineStr">
        <is>
          <t>Global Monster Damage-Taken Bonus %</t>
        </is>
      </c>
      <c r="B1666">
        <f>IF(Inputs!$B$3&gt;=82,15,0)</f>
        <v/>
      </c>
    </row>
    <row r="1667">
      <c r="A1667" t="inlineStr">
        <is>
          <t>Shadow Partner Average Multiplier</t>
        </is>
      </c>
      <c r="B1667">
        <f>1+((C1639=TRUE)*F1639*(1+3.3333333333333335*IF(C1650=TRUE,F1650,0)/100)*I1639*Skills!J7/100)/100</f>
        <v/>
      </c>
    </row>
    <row r="1668">
      <c r="A1668" t="inlineStr">
        <is>
          <t>Attack Speed Buff Bonus %</t>
        </is>
      </c>
      <c r="B1668">
        <f>((C1651=TRUE)*F1651*IF(AND(Inputs!$B$39&lt;&gt;"pvp",Inputs!$B$44&gt;0),(((R1651-1)*(Skills!Y19*(1+Inputs!$B$34/100))+MIN((Skills!Y19*(1+Inputs!$B$34/100)),MAX(0,Inputs!$B$44-((R1651-1)*Skills!D19))))/Inputs!$B$44),IF(Inputs!$B$39="pvp",MIN((Skills!Y19*(1+Inputs!$B$34/100)),15)/15,(Skills!Y19*(1+Inputs!$B$34/100))/Skills!D19)))+((C1635=TRUE)*F1635*3)</f>
        <v/>
      </c>
    </row>
    <row r="1669">
      <c r="A1669" t="inlineStr">
        <is>
          <t>Actions Per Second</t>
        </is>
      </c>
      <c r="B1669">
        <f>1+MIN(150,150*(1-(1-(Inputs!$B$11+((C1654=TRUE)*(F1654-Calc!F22)))/150)*(1-B1668/150)))/100</f>
        <v/>
      </c>
    </row>
    <row r="1670">
      <c r="A1670" t="inlineStr">
        <is>
          <t>Skill + Buff Cast Rate</t>
        </is>
      </c>
      <c r="B1670">
        <f>IF(AND(Inputs!$B$39&lt;&gt;"pvp",Inputs!$B$44&gt;0),SUMPRODUCT((Skills!E2:E30=TRUE)*(C1634:C1662=TRUE)*R1634:R1662*Skills!F2:F30)/Inputs!$B$44,SUMPRODUCT((Skills!E2:E30=TRUE)*(C1634:C1662=TRUE)*Q1634:Q1662*Skills!F2:F30))</f>
        <v/>
      </c>
    </row>
    <row r="1671">
      <c r="A1671" t="inlineStr">
        <is>
          <t>Cruel Stab Casts Per Second</t>
        </is>
      </c>
      <c r="B1671">
        <f>MAX(0,B1669-B1670)</f>
        <v/>
      </c>
    </row>
    <row r="1672">
      <c r="A1672" t="inlineStr">
        <is>
          <t>Global Critical Damage Bonus % (Smokescreen Mastery Lv.113)</t>
        </is>
      </c>
      <c r="B1672">
        <f>IF(Inputs!$B$3&gt;=113,30,0)*IF(AND(Inputs!$B$39&lt;&gt;"pvp",Inputs!$B$44&gt;0),(((R1647-1)*(Skills!Y15*(1+Inputs!$B$34/100))+MIN((Skills!Y15*(1+Inputs!$B$34/100)),MAX(0,Inputs!$B$44-((R1647-1)*Skills!D15))))/Inputs!$B$44),IF(Inputs!$B$39="pvp",MIN((Skills!Y15*(1+Inputs!$B$34/100)),15)/15,(Skills!Y15*(1+Inputs!$B$34/100))/Skills!D15))</f>
        <v/>
      </c>
    </row>
    <row r="1673">
      <c r="A1673" t="inlineStr">
        <is>
          <t>Meso Explosion average stack count</t>
        </is>
      </c>
      <c r="B1673">
        <f>MIN(10,0.5*B1669*Skills!D4)</f>
        <v/>
      </c>
    </row>
    <row r="1674">
      <c r="A1674" t="inlineStr">
        <is>
          <t>Blood Money average stack count</t>
        </is>
      </c>
      <c r="B1674">
        <f>MIN(5,0.25*B1669*Skills!D4)</f>
        <v/>
      </c>
    </row>
    <row r="1675">
      <c r="A1675" t="inlineStr">
        <is>
          <t>Assassinate Murderous Intent Multiplier</t>
        </is>
      </c>
      <c r="B1675">
        <f>1+IFERROR(MIN(1,Q1646*2/Q1643),0)</f>
        <v/>
      </c>
    </row>
    <row r="1676">
      <c r="A1676" t="inlineStr">
        <is>
          <t>Buff-Casting Startup Delay (s, fixed-duration only)</t>
        </is>
      </c>
      <c r="B1676">
        <f>IF(AND(Inputs!$B$39&lt;&gt;"pvp",Inputs!$B$44&gt;0),SUMPRODUCT((Skills!Y2:Y30&gt;0)*(Skills!E2:E30=TRUE)*(C1634:C1662=TRUE))/B1669,0)</f>
        <v/>
      </c>
    </row>
    <row r="1677">
      <c r="A1677" s="5" t="inlineStr">
        <is>
          <t>TOTAL DPS</t>
        </is>
      </c>
      <c r="B1677" s="5">
        <f>SUM(O1634:O1662)</f>
        <v/>
      </c>
    </row>
    <row r="1680">
      <c r="A1680" s="5" t="inlineStr">
        <is>
          <t>Stat: CDR = 4.0s</t>
        </is>
      </c>
    </row>
    <row r="1681">
      <c r="A1681" s="9" t="inlineStr">
        <is>
          <t>Key</t>
        </is>
      </c>
      <c r="B1681" s="9" t="inlineStr">
        <is>
          <t>Name</t>
        </is>
      </c>
      <c r="C1681" s="9" t="inlineStr">
        <is>
          <t>Unlocked</t>
        </is>
      </c>
      <c r="D1681" s="9" t="inlineStr">
        <is>
          <t>InputLevel</t>
        </is>
      </c>
      <c r="E1681" s="9" t="inlineStr">
        <is>
          <t>Factor</t>
        </is>
      </c>
      <c r="F1681" s="9" t="inlineStr">
        <is>
          <t>CoefficientPercent</t>
        </is>
      </c>
      <c r="G1681" s="9" t="inlineStr">
        <is>
          <t>EffectiveHits</t>
        </is>
      </c>
      <c r="H1681" s="9" t="inlineStr">
        <is>
          <t>ProcProbability</t>
        </is>
      </c>
      <c r="I1681" s="9" t="inlineStr">
        <is>
          <t>MapleHeroMultiplier</t>
        </is>
      </c>
      <c r="J1681" s="9" t="inlineStr">
        <is>
          <t>BaseDamage</t>
        </is>
      </c>
      <c r="K1681" s="9" t="inlineStr">
        <is>
          <t>BaseHitDamage</t>
        </is>
      </c>
      <c r="L1681" s="9" t="inlineStr">
        <is>
          <t>NonCritAvg</t>
        </is>
      </c>
      <c r="M1681" s="9" t="inlineStr">
        <is>
          <t>CritAvg</t>
        </is>
      </c>
      <c r="N1681" s="9" t="inlineStr">
        <is>
          <t>ExpectedDamage(perHit)</t>
        </is>
      </c>
      <c r="O1681" s="9" t="inlineStr">
        <is>
          <t>DPS</t>
        </is>
      </c>
      <c r="P1681" s="9" t="inlineStr">
        <is>
          <t>% of Total</t>
        </is>
      </c>
      <c r="Q1681" s="9" t="inlineStr">
        <is>
          <t>InvCooldown</t>
        </is>
      </c>
      <c r="R1681" s="9" t="inlineStr">
        <is>
          <t>CastsInFight</t>
        </is>
      </c>
      <c r="S1681" s="9" t="inlineStr">
        <is>
          <t>HitRate(perSec)</t>
        </is>
      </c>
      <c r="U1681" t="inlineStr">
        <is>
          <t>helpers</t>
        </is>
      </c>
    </row>
    <row r="1682">
      <c r="A1682">
        <f>Skills!A2</f>
        <v/>
      </c>
      <c r="B1682">
        <f>Skills!B2</f>
        <v/>
      </c>
      <c r="C1682">
        <f>Inputs!$B$3&gt;=100</f>
        <v/>
      </c>
      <c r="D1682" t="inlineStr"/>
      <c r="E1682" t="inlineStr"/>
      <c r="F1682">
        <f>U1684+Skills!O2</f>
        <v/>
      </c>
      <c r="G1682">
        <f>Skills!G2*IF(Skills!H2&gt;0,Skills!I2/Skills!H2,1)</f>
        <v/>
      </c>
      <c r="H1682">
        <f>1-(1-Skills!J2/100)^Skills!K2</f>
        <v/>
      </c>
      <c r="I1682" t="inlineStr">
        <is>
          <t>1</t>
        </is>
      </c>
      <c r="J1682">
        <f>((Inputs!$B$6*(1+Inputs!$B$7/100))+(((Inputs!$B$12*(1+Inputs!$B$13/100))-(Inputs!$B$12*(1+Inputs!$B$13/100)))+0.25*(Inputs!$B$14-Inputs!$B$14))*(1+Inputs!$B$7/100))*(F1682/100)</f>
        <v/>
      </c>
      <c r="K1682">
        <f>J1682*(1+((Inputs!$B$12*(1+Inputs!$B$13/100))*0.01+Inputs!$B$14*0.0025)/100)*(1+Inputs!$B$15/100)*(1+IF(Inputs!$B$39="pvp",0,(1-Summary!$B$55)*(Inputs!$B$20+0+Skills!P2+B1714)+Summary!$B$55*(Inputs!$B$21+Skills!Q2+B1714))/100)*(1+Inputs!$B$16/100)*(5000/(6000+Inputs!$B$43*(1-Inputs!$B$19/100)))*(1+(Inputs!$B$24+((C1710=TRUE)*(F1710-Calc!F30)))/100)*(1+(IF(Skills!A2="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1682)</f>
        <v/>
      </c>
      <c r="L1682">
        <f>K1682*(MIN(Inputs!$B$22+((C1704=TRUE)*(F1704-Calc!F24)),Inputs!$B$23+((C1709=TRUE)*(F1709-Calc!F29)))/100+(Inputs!$B$23+((C1709=TRUE)*(F1709-Calc!F29)))/100)/2</f>
        <v/>
      </c>
      <c r="M1682">
        <f>L1682*(1+(Inputs!$B$10+((C1706=TRUE)*(F1706-Calc!F26))+B1720)/100)</f>
        <v/>
      </c>
      <c r="N1682">
        <f>L1682*(1-MIN((Inputs!$B$9+((C1705=TRUE)*(F1705-Calc!F25))+B1713),100)/100)+M1682*(MIN((Inputs!$B$9+((C1705=TRUE)*(F1705-Calc!F25))+B1713),100)/100)</f>
        <v/>
      </c>
      <c r="O1682">
        <f>IF(C1682,Skills!G2*N1682*B1719*IF(Inputs!$B$39="pvp",1,(1-Summary!$B$55)*(1)+Summary!$B$55*(MIN((6+Inputs!$B$33),Inputs!$B$37))),0)</f>
        <v/>
      </c>
      <c r="P1682">
        <f>IF(B1725=0,0,O1682/B1725)</f>
        <v/>
      </c>
      <c r="Q1682" t="n">
        <v>0</v>
      </c>
      <c r="R1682" t="n">
        <v>0</v>
      </c>
      <c r="S1682">
        <f>IFERROR(O1682/N1682,0)</f>
        <v/>
      </c>
      <c r="U1682">
        <f>MAX(0,(Inputs!$B$3-100)*3)+Inputs!$B$28+Inputs!$B$29</f>
        <v/>
      </c>
    </row>
    <row r="1683">
      <c r="A1683">
        <f>Skills!A3</f>
        <v/>
      </c>
      <c r="B1683">
        <f>Skills!B3</f>
        <v/>
      </c>
      <c r="C1683">
        <f>Inputs!$B$3&gt;=35</f>
        <v/>
      </c>
      <c r="D1683">
        <f>IF(Skills!C3=1,60+Inputs!$B$25+Inputs!$B$29,IF(Skills!C3=2,90+Inputs!$B$26+Inputs!$B$29,IF(Skills!C3=3,120+Inputs!$B$27+Inputs!$B$29,MAX(0,(Inputs!$B$3-100)*3)+Inputs!$B$28+Inputs!$B$29)))</f>
        <v/>
      </c>
      <c r="E1683">
        <f>INDEX(FactorTable!$B$2:$Y$301, MATCH(ROUND(MIN(300,MAX(1,D1683)),0), FactorTable!$A$2:$A$301,0), Skills!M3+1)</f>
        <v/>
      </c>
      <c r="F1683">
        <f>IF(Skills!N3=TRUE,(Skills!L3/10)*(E1683/1000),Skills!L3/10)+Skills!O3</f>
        <v/>
      </c>
      <c r="G1683">
        <f>Skills!G3*IF(Skills!H3&gt;0,Skills!I3/Skills!H3,1)</f>
        <v/>
      </c>
      <c r="H1683">
        <f>1-(1-Skills!J3/100)^Skills!K3</f>
        <v/>
      </c>
      <c r="I1683" t="inlineStr">
        <is>
          <t>1</t>
        </is>
      </c>
      <c r="J1683" t="inlineStr"/>
      <c r="K1683" t="inlineStr"/>
      <c r="L1683" t="inlineStr"/>
      <c r="M1683" t="inlineStr"/>
      <c r="N1683" t="inlineStr"/>
      <c r="O1683" t="n">
        <v>0</v>
      </c>
      <c r="P1683">
        <f>IF(B1725=0,0,O1683/B1725)</f>
        <v/>
      </c>
      <c r="Q1683" t="n">
        <v>0</v>
      </c>
      <c r="R1683" t="n">
        <v>0</v>
      </c>
      <c r="S1683">
        <f>IFERROR(O1683/N1683,0)</f>
        <v/>
      </c>
      <c r="U1683">
        <f>INDEX(FactorTable!$B$2:$Y$301, MATCH(ROUND(MIN(300,MAX(1,U1682)),0), FactorTable!$A$2:$A$301,0), 22)</f>
        <v/>
      </c>
    </row>
    <row r="1684">
      <c r="A1684">
        <f>Skills!A4</f>
        <v/>
      </c>
      <c r="B1684">
        <f>Skills!B4</f>
        <v/>
      </c>
      <c r="C1684">
        <f>Inputs!$B$3&gt;=66</f>
        <v/>
      </c>
      <c r="D1684">
        <f>IF(Skills!C4=1,60+Inputs!$B$25+Inputs!$B$29,IF(Skills!C4=2,90+Inputs!$B$26+Inputs!$B$29,IF(Skills!C4=3,120+Inputs!$B$27+Inputs!$B$29,MAX(0,(Inputs!$B$3-100)*3)+Inputs!$B$28+Inputs!$B$29)))</f>
        <v/>
      </c>
      <c r="E1684">
        <f>INDEX(FactorTable!$B$2:$Y$301, MATCH(ROUND(MIN(300,MAX(1,D1684)),0), FactorTable!$A$2:$A$301,0), Skills!M4+1)</f>
        <v/>
      </c>
      <c r="F1684">
        <f>IF(Skills!N4=TRUE,(Skills!L4/10)*(E1684/1000),Skills!L4/10)+Skills!O4</f>
        <v/>
      </c>
      <c r="G1684">
        <f>Skills!G4*IF(Skills!H4&gt;0,Skills!I4/Skills!H4,1)</f>
        <v/>
      </c>
      <c r="H1684">
        <f>1-(1-Skills!J4/100)^Skills!K4</f>
        <v/>
      </c>
      <c r="I1684" t="inlineStr">
        <is>
          <t>1</t>
        </is>
      </c>
      <c r="J1684">
        <f>((Inputs!$B$6*(1+Inputs!$B$7/100))+(((Inputs!$B$12*(1+Inputs!$B$13/100))-(Inputs!$B$12*(1+Inputs!$B$13/100)))+0.25*(Inputs!$B$14-Inputs!$B$14))*(1+Inputs!$B$7/100))*(F1684/100)</f>
        <v/>
      </c>
      <c r="K1684">
        <f>J1684*(1+((Inputs!$B$12*(1+Inputs!$B$13/100))*0.01+Inputs!$B$14*0.0025)/100)*(1+Inputs!$B$15/100)*(1+IF(Inputs!$B$39="pvp",0,(1-Summary!$B$55)*(Inputs!$B$20+0+Skills!P4+B1714)+Summary!$B$55*(Inputs!$B$21+Skills!Q4+B1714))/100)*(1+Inputs!$B$16/100)*(5000/(6000+Inputs!$B$43*(1-Inputs!$B$19/100)))*(1+(Inputs!$B$24+((C1710=TRUE)*(F1710-Calc!F30)))/100)*(1+(IF(Skills!A4="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1684)</f>
        <v/>
      </c>
      <c r="L1684">
        <f>K1684*(MIN(Inputs!$B$22+((C1704=TRUE)*(F1704-Calc!F24)),Inputs!$B$23+((C1709=TRUE)*(F1709-Calc!F29)))/100+(Inputs!$B$23+((C1709=TRUE)*(F1709-Calc!F29)))/100)/2</f>
        <v/>
      </c>
      <c r="M1684">
        <f>L1684*(1+(Inputs!$B$10+((C1706=TRUE)*(F1706-Calc!F26))+B1720)/100)</f>
        <v/>
      </c>
      <c r="N1684">
        <f>L1684*(1-MIN((Inputs!$B$9+((C1705=TRUE)*(F1705-Calc!F25))+B1713),100)/100)+M1684*(MIN((Inputs!$B$9+((C1705=TRUE)*(F1705-Calc!F25))+B1713),100)/100)</f>
        <v/>
      </c>
      <c r="O1684">
        <f>IF(C1684,H1684*N1684*IF(AND(Inputs!$B$39&lt;&gt;"pvp",Inputs!$B$44&gt;0),((Skills!G4*((R1684-1)*IF(Skills!H4&gt;0,Skills!I4/Skills!H4,1)+IF(Skills!H4&gt;0,MIN(Skills!I4,MAX(0,MAX(0,Inputs!$B$44-B1724)-((R1684-1)*IF(Inputs!$B$39="pvp",15,MAX(0.1,Skills!D4-IF(Skills!E4=TRUE,4.0,0))))))/Skills!H4,1)))/Inputs!$B$44),G1684*Q1684)*IF(Inputs!$B$39="pvp",1,(1-Summary!$B$55)*(1)+Summary!$B$55*(MIN(MIN(10,0.5*B1717*Skills!D4),Inputs!$B$37))),0)</f>
        <v/>
      </c>
      <c r="P1684">
        <f>IF(B1725=0,0,O1684/B1725)</f>
        <v/>
      </c>
      <c r="Q1684">
        <f>IFERROR(1/IF(Inputs!$B$39="pvp",15,MAX(0.1,Skills!D4-IF(Skills!E4=TRUE,4.0,0))),0)</f>
        <v/>
      </c>
      <c r="R1684">
        <f>IF(AND(Inputs!$B$39&lt;&gt;"pvp",Inputs!$B$44&gt;0),IF(MAX(0,Inputs!$B$44-B1724)&lt;=0,0,(INT(MAX(0,Inputs!$B$44-B1724)/IF(Inputs!$B$39="pvp",15,MAX(0.1,Skills!D4-IF(Skills!E4=TRUE,4.0,0))))+1)),0)</f>
        <v/>
      </c>
      <c r="S1684">
        <f>IFERROR(O1684/N1684,0)</f>
        <v/>
      </c>
      <c r="U1684">
        <f>290*U1683/1000</f>
        <v/>
      </c>
    </row>
    <row r="1685">
      <c r="A1685">
        <f>Skills!A5</f>
        <v/>
      </c>
      <c r="B1685">
        <f>Skills!B5</f>
        <v/>
      </c>
      <c r="C1685">
        <f>Inputs!$B$3&gt;=63</f>
        <v/>
      </c>
      <c r="D1685">
        <f>IF(Skills!C5=1,60+Inputs!$B$25+Inputs!$B$29,IF(Skills!C5=2,90+Inputs!$B$26+Inputs!$B$29,IF(Skills!C5=3,120+Inputs!$B$27+Inputs!$B$29,MAX(0,(Inputs!$B$3-100)*3)+Inputs!$B$28+Inputs!$B$29)))</f>
        <v/>
      </c>
      <c r="E1685">
        <f>INDEX(FactorTable!$B$2:$Y$301, MATCH(ROUND(MIN(300,MAX(1,D1685)),0), FactorTable!$A$2:$A$301,0), Skills!M5+1)</f>
        <v/>
      </c>
      <c r="F1685">
        <f>IF(Skills!N5=TRUE,(Skills!L5/10)*(E1685/1000),Skills!L5/10)+Skills!O5</f>
        <v/>
      </c>
      <c r="G1685">
        <f>Skills!G5*IF(Skills!H5&gt;0,Skills!I5/Skills!H5,1)</f>
        <v/>
      </c>
      <c r="H1685">
        <f>1-(1-Skills!J5/100)^Skills!K5</f>
        <v/>
      </c>
      <c r="I1685" t="inlineStr">
        <is>
          <t>1</t>
        </is>
      </c>
      <c r="J1685">
        <f>((Inputs!$B$6*(1+Inputs!$B$7/100))+(((Inputs!$B$12*(1+Inputs!$B$13/100))-(Inputs!$B$12*(1+Inputs!$B$13/100)))+0.25*(Inputs!$B$14-Inputs!$B$14))*(1+Inputs!$B$7/100))*(F1685/100)</f>
        <v/>
      </c>
      <c r="K1685">
        <f>J1685*(1+((Inputs!$B$12*(1+Inputs!$B$13/100))*0.01+Inputs!$B$14*0.0025)/100)*(1+Inputs!$B$15/100)*(1+IF(Inputs!$B$39="pvp",0,(1-Summary!$B$55)*(Inputs!$B$20+0+Skills!P5+B1714)+Summary!$B$55*(Inputs!$B$21+Skills!Q5+B1714))/100)*(1+Inputs!$B$16/100)*(5000/(6000+Inputs!$B$43*(1-Inputs!$B$19/100)))*(1+(Inputs!$B$24+((C1710=TRUE)*(F1710-Calc!F30)))/100)*(1+2.6666666666666665*IF(C1698=TRUE,F1698,0)/100)*(1+(IF(Skills!A5="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1685)</f>
        <v/>
      </c>
      <c r="L1685">
        <f>K1685*(MIN(Inputs!$B$22+((C1704=TRUE)*(F1704-Calc!F24)),Inputs!$B$23+((C1709=TRUE)*(F1709-Calc!F29)))/100+(Inputs!$B$23+((C1709=TRUE)*(F1709-Calc!F29)))/100)/2</f>
        <v/>
      </c>
      <c r="M1685">
        <f>L1685*(1+(Inputs!$B$10+((C1706=TRUE)*(F1706-Calc!F26))+B1720)/100)</f>
        <v/>
      </c>
      <c r="N1685">
        <f>L1685*(1-MIN((Inputs!$B$9+((C1705=TRUE)*(F1705-Calc!F25))+B1713),100)/100)+M1685*(MIN((Inputs!$B$9+((C1705=TRUE)*(F1705-Calc!F25))+B1713),100)/100)</f>
        <v/>
      </c>
      <c r="O1685">
        <f>IF(C1685,H1685*N1685*IF(AND(Inputs!$B$39&lt;&gt;"pvp",Inputs!$B$44&gt;0),((Skills!G5*((R1685-1)*IF(Skills!H5&gt;0,Skills!I5/Skills!H5,1)+IF(Skills!H5&gt;0,MIN(Skills!I5,MAX(0,MAX(0,Inputs!$B$44-B1724)-((R1685-1)*IF(Inputs!$B$39="pvp",15,MAX(0.1,Skills!D5-IF(Skills!E5=TRUE,4.0,0))))))/Skills!H5,1)))/Inputs!$B$44),G1685*Q1685)*IF(Inputs!$B$39="pvp",1,(1-Summary!$B$55)*(1)+Summary!$B$55*(MIN(Skills!W5,Inputs!$B$37))),0)</f>
        <v/>
      </c>
      <c r="P1685">
        <f>IF(B1725=0,0,O1685/B1725)</f>
        <v/>
      </c>
      <c r="Q1685">
        <f>IFERROR(1/IF(Inputs!$B$39="pvp",15,MAX(0.1,Skills!D5-IF(Skills!E5=TRUE,4.0,0))),0)</f>
        <v/>
      </c>
      <c r="R1685">
        <f>IF(AND(Inputs!$B$39&lt;&gt;"pvp",Inputs!$B$44&gt;0),IF(MAX(0,Inputs!$B$44-B1724)&lt;=0,0,(INT(MAX(0,Inputs!$B$44-B1724)/IF(Inputs!$B$39="pvp",15,MAX(0.1,Skills!D5-IF(Skills!E5=TRUE,4.0,0))))+1)),0)</f>
        <v/>
      </c>
      <c r="S1685">
        <f>IFERROR(O1685/N1685,0)</f>
        <v/>
      </c>
    </row>
    <row r="1686">
      <c r="A1686">
        <f>Skills!A6</f>
        <v/>
      </c>
      <c r="B1686">
        <f>Skills!B6</f>
        <v/>
      </c>
      <c r="C1686">
        <f>Inputs!$B$3&gt;=69</f>
        <v/>
      </c>
      <c r="D1686">
        <f>IF(Skills!C6=1,60+Inputs!$B$25+Inputs!$B$29,IF(Skills!C6=2,90+Inputs!$B$26+Inputs!$B$29,IF(Skills!C6=3,120+Inputs!$B$27+Inputs!$B$29,MAX(0,(Inputs!$B$3-100)*3)+Inputs!$B$28+Inputs!$B$29)))</f>
        <v/>
      </c>
      <c r="E1686">
        <f>INDEX(FactorTable!$B$2:$Y$301, MATCH(ROUND(MIN(300,MAX(1,D1686)),0), FactorTable!$A$2:$A$301,0), Skills!M6+1)</f>
        <v/>
      </c>
      <c r="F1686">
        <f>IF(Skills!N6=TRUE,(Skills!L6/10)*(E1686/1000),Skills!L6/10)+Skills!O6</f>
        <v/>
      </c>
      <c r="G1686">
        <f>Skills!G6*IF(Skills!H6&gt;0,Skills!I6/Skills!H6,1)</f>
        <v/>
      </c>
      <c r="H1686">
        <f>1-(1-Skills!J6/100)^Skills!K6</f>
        <v/>
      </c>
      <c r="I1686" t="inlineStr">
        <is>
          <t>1</t>
        </is>
      </c>
      <c r="J1686">
        <f>((Inputs!$B$6*(1+Inputs!$B$7/100))+(((Inputs!$B$12*(1+Inputs!$B$13/100))-(Inputs!$B$12*(1+Inputs!$B$13/100)))+0.25*(Inputs!$B$14-Inputs!$B$14))*(1+Inputs!$B$7/100))*(F1686/100)</f>
        <v/>
      </c>
      <c r="K1686">
        <f>J1686*(1+((Inputs!$B$12*(1+Inputs!$B$13/100))*0.01+Inputs!$B$14*0.0025)/100)*(1+Inputs!$B$15/100)*(1+IF(Inputs!$B$39="pvp",0,(1-Summary!$B$55)*(Inputs!$B$20+0+Skills!P6+B1714)+Summary!$B$55*(Inputs!$B$21+Skills!Q6+B1714))/100)*(1+Inputs!$B$16/100)*(5000/(6000+Inputs!$B$43*(1-Inputs!$B$19/100)))*(1+(Inputs!$B$24+((C1710=TRUE)*(F1710-Calc!F30)))/100)*(1+1.0*IF(C1698=TRUE,F1698,0)/100)*(1+(IF(Skills!A6="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1686)</f>
        <v/>
      </c>
      <c r="L1686">
        <f>K1686*(MIN(Inputs!$B$22+((C1704=TRUE)*(F1704-Calc!F24)),Inputs!$B$23+((C1709=TRUE)*(F1709-Calc!F29)))/100+(Inputs!$B$23+((C1709=TRUE)*(F1709-Calc!F29)))/100)/2</f>
        <v/>
      </c>
      <c r="M1686">
        <f>L1686*(1+(Inputs!$B$10+((C1706=TRUE)*(F1706-Calc!F26))+B1720)/100)</f>
        <v/>
      </c>
      <c r="N1686">
        <f>L1686*(1-MIN((Inputs!$B$9+((C1705=TRUE)*(F1705-Calc!F25))+B1713),100)/100)+M1686*(MIN((Inputs!$B$9+((C1705=TRUE)*(F1705-Calc!F25))+B1713),100)/100)</f>
        <v/>
      </c>
      <c r="O1686">
        <f>IF(C1686,H1686*N1686*IF(AND(Inputs!$B$39&lt;&gt;"pvp",Inputs!$B$44&gt;0),((Skills!G6*((R1686-1)*IF(Skills!H6&gt;0,Skills!I6/Skills!H6,1)+IF(Skills!H6&gt;0,MIN(Skills!I6,MAX(0,MAX(0,Inputs!$B$44-B1724)-((R1686-1)*IF(Inputs!$B$39="pvp",15,MAX(0.1,Skills!D6-IF(Skills!E6=TRUE,4.0,0))))))/Skills!H6,1)))/Inputs!$B$44),G1686*Q1686)*IF(Inputs!$B$39="pvp",1,(1-Summary!$B$55)*(1)+Summary!$B$55*(MIN(Skills!W6,Inputs!$B$37))),0)</f>
        <v/>
      </c>
      <c r="P1686">
        <f>IF(B1725=0,0,O1686/B1725)</f>
        <v/>
      </c>
      <c r="Q1686">
        <f>IFERROR(1/IF(Inputs!$B$39="pvp",15,MAX(0.1,Skills!D6-IF(Skills!E6=TRUE,4.0,0))),0)</f>
        <v/>
      </c>
      <c r="R1686">
        <f>IF(AND(Inputs!$B$39&lt;&gt;"pvp",Inputs!$B$44&gt;0),IF(MAX(0,Inputs!$B$44-B1724)&lt;=0,0,(INT(MAX(0,Inputs!$B$44-B1724)/IF(Inputs!$B$39="pvp",15,MAX(0.1,Skills!D6-IF(Skills!E6=TRUE,4.0,0))))+1)),0)</f>
        <v/>
      </c>
      <c r="S1686">
        <f>IFERROR(O1686/N1686,0)</f>
        <v/>
      </c>
    </row>
    <row r="1687">
      <c r="A1687">
        <f>Skills!A7</f>
        <v/>
      </c>
      <c r="B1687">
        <f>Skills!B7</f>
        <v/>
      </c>
      <c r="C1687">
        <f>Inputs!$B$3&gt;=60</f>
        <v/>
      </c>
      <c r="D1687">
        <f>IF(Skills!C7=1,60+Inputs!$B$25+Inputs!$B$29,IF(Skills!C7=2,90+Inputs!$B$26+Inputs!$B$29,IF(Skills!C7=3,120+Inputs!$B$27+Inputs!$B$29,MAX(0,(Inputs!$B$3-100)*3)+Inputs!$B$28+Inputs!$B$29)))</f>
        <v/>
      </c>
      <c r="E1687">
        <f>INDEX(FactorTable!$B$2:$Y$301, MATCH(ROUND(MIN(300,MAX(1,D1687)),0), FactorTable!$A$2:$A$301,0), Skills!M7+1)</f>
        <v/>
      </c>
      <c r="F1687">
        <f>IF(Skills!N7=TRUE,(Skills!L7/10)*(E1687/1000),Skills!L7/10)+Skills!O7</f>
        <v/>
      </c>
      <c r="G1687">
        <f>Skills!G7*IF(Skills!H7&gt;0,Skills!I7/Skills!H7,1)</f>
        <v/>
      </c>
      <c r="H1687">
        <f>1-(1-Skills!J7/100)^Skills!K7</f>
        <v/>
      </c>
      <c r="I1687" t="inlineStr">
        <is>
          <t>1</t>
        </is>
      </c>
      <c r="J1687" t="inlineStr"/>
      <c r="K1687" t="inlineStr"/>
      <c r="L1687" t="inlineStr"/>
      <c r="M1687" t="inlineStr"/>
      <c r="N1687" t="inlineStr"/>
      <c r="O1687" t="n">
        <v>0</v>
      </c>
      <c r="P1687">
        <f>IF(B1725=0,0,O1687/B1725)</f>
        <v/>
      </c>
      <c r="Q1687" t="n">
        <v>0</v>
      </c>
      <c r="R1687" t="n">
        <v>0</v>
      </c>
      <c r="S1687">
        <f>IFERROR(O1687/N1687,0)</f>
        <v/>
      </c>
    </row>
    <row r="1688">
      <c r="A1688">
        <f>Skills!A8</f>
        <v/>
      </c>
      <c r="B1688">
        <f>Skills!B8</f>
        <v/>
      </c>
      <c r="C1688">
        <f>Inputs!$B$3&gt;=72</f>
        <v/>
      </c>
      <c r="D1688">
        <f>IF(Skills!C8=1,60+Inputs!$B$25+Inputs!$B$29,IF(Skills!C8=2,90+Inputs!$B$26+Inputs!$B$29,IF(Skills!C8=3,120+Inputs!$B$27+Inputs!$B$29,MAX(0,(Inputs!$B$3-100)*3)+Inputs!$B$28+Inputs!$B$29)))</f>
        <v/>
      </c>
      <c r="E1688">
        <f>INDEX(FactorTable!$B$2:$Y$301, MATCH(ROUND(MIN(300,MAX(1,D1688)),0), FactorTable!$A$2:$A$301,0), Skills!M8+1)</f>
        <v/>
      </c>
      <c r="F1688">
        <f>IF(Skills!N8=TRUE,(Skills!L8/10)*(E1688/1000),Skills!L8/10)+Skills!O8</f>
        <v/>
      </c>
      <c r="G1688">
        <f>Skills!G8*IF(Skills!H8&gt;0,Skills!I8/Skills!H8,1)</f>
        <v/>
      </c>
      <c r="H1688">
        <f>1-(1-Skills!J8/100)^Skills!K8</f>
        <v/>
      </c>
      <c r="I1688" t="inlineStr">
        <is>
          <t>1</t>
        </is>
      </c>
      <c r="J1688">
        <f>((Inputs!$B$6*(1+Inputs!$B$7/100))+(((Inputs!$B$12*(1+Inputs!$B$13/100))-(Inputs!$B$12*(1+Inputs!$B$13/100)))+0.25*(Inputs!$B$14-Inputs!$B$14))*(1+Inputs!$B$7/100))*(F1688/100)</f>
        <v/>
      </c>
      <c r="K1688">
        <f>J1688*(1+((Inputs!$B$12*(1+Inputs!$B$13/100))*0.01+Inputs!$B$14*0.0025)/100)*(1+Inputs!$B$15/100)*(1+IF(Inputs!$B$39="pvp",0,(1-Summary!$B$55)*(Inputs!$B$20+0+Skills!P8+B1714)+Summary!$B$55*(Inputs!$B$21+Skills!Q8+B1714))/100)*(1+Inputs!$B$16/100)*(5000/(6000+Inputs!$B$43*(1-Inputs!$B$19/100)))*(1+(Inputs!$B$24+((C1710=TRUE)*(F1710-Calc!F30)))/100)*(1+3.3333333333333335*IF(C1698=TRUE,F1698,0)/100)*(1+(IF(Skills!A8="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1688)</f>
        <v/>
      </c>
      <c r="L1688">
        <f>K1688*(MIN(Inputs!$B$22+((C1704=TRUE)*(F1704-Calc!F24)),Inputs!$B$23+((C1709=TRUE)*(F1709-Calc!F29)))/100+(Inputs!$B$23+((C1709=TRUE)*(F1709-Calc!F29)))/100)/2</f>
        <v/>
      </c>
      <c r="M1688">
        <f>L1688*(1+(Inputs!$B$10+((C1706=TRUE)*(F1706-Calc!F26))+B1720)/100)</f>
        <v/>
      </c>
      <c r="N1688">
        <f>L1688*(1-MIN((Inputs!$B$9+((C1705=TRUE)*(F1705-Calc!F25))+B1713),100)/100)+M1688*(MIN((Inputs!$B$9+((C1705=TRUE)*(F1705-Calc!F25))+B1713),100)/100)</f>
        <v/>
      </c>
      <c r="O1688">
        <f>IF(C1688,H1688*N1688*IF(AND(Inputs!$B$39&lt;&gt;"pvp",Inputs!$B$44&gt;0),((Skills!G8*((R1688-1)*IF(Skills!H8&gt;0,Skills!I8/Skills!H8,1)+IF(Skills!H8&gt;0,MIN(Skills!I8,MAX(0,MAX(0,Inputs!$B$44-B1724)-((R1688-1)*IF(Inputs!$B$39="pvp",15,MAX(0.1,Skills!D8-IF(Skills!E8=TRUE,4.0,0))))))/Skills!H8,1)))/Inputs!$B$44),G1688*Q1688)*IF(Inputs!$B$39="pvp",1,(1-Summary!$B$55)*(1)+Summary!$B$55*(MIN(Skills!W8,Inputs!$B$37))),0)</f>
        <v/>
      </c>
      <c r="P1688">
        <f>IF(B1725=0,0,O1688/B1725)</f>
        <v/>
      </c>
      <c r="Q1688">
        <f>IFERROR(1/IF(Inputs!$B$39="pvp",15,MAX(0.1,Skills!D8-IF(Skills!E8=TRUE,4.0,0))),0)</f>
        <v/>
      </c>
      <c r="R1688">
        <f>IF(AND(Inputs!$B$39&lt;&gt;"pvp",Inputs!$B$44&gt;0),IF(MAX(0,Inputs!$B$44-B1724)&lt;=0,0,(INT(MAX(0,Inputs!$B$44-B1724)/IF(Inputs!$B$39="pvp",15,MAX(0.1,Skills!D8-IF(Skills!E8=TRUE,4.0,0))))+1)),0)</f>
        <v/>
      </c>
      <c r="S1688">
        <f>IFERROR(O1688/N1688,0)</f>
        <v/>
      </c>
    </row>
    <row r="1689">
      <c r="A1689">
        <f>Skills!A9</f>
        <v/>
      </c>
      <c r="B1689">
        <f>Skills!B9</f>
        <v/>
      </c>
      <c r="C1689">
        <f>Inputs!$B$3&gt;=117</f>
        <v/>
      </c>
      <c r="D1689">
        <f>IF(Skills!C9=1,60+Inputs!$B$25+Inputs!$B$29,IF(Skills!C9=2,90+Inputs!$B$26+Inputs!$B$29,IF(Skills!C9=3,120+Inputs!$B$27+Inputs!$B$29,MAX(0,(Inputs!$B$3-100)*3)+Inputs!$B$28+Inputs!$B$29)))</f>
        <v/>
      </c>
      <c r="E1689">
        <f>INDEX(FactorTable!$B$2:$Y$301, MATCH(ROUND(MIN(300,MAX(1,D1689)),0), FactorTable!$A$2:$A$301,0), Skills!M9+1)</f>
        <v/>
      </c>
      <c r="F1689">
        <f>IF(Skills!N9=TRUE,(Skills!L9/10)*(E1689/1000),Skills!L9/10)+Skills!O9</f>
        <v/>
      </c>
      <c r="G1689">
        <f>Skills!G9*IF(Skills!H9&gt;0,Skills!I9/Skills!H9,1)</f>
        <v/>
      </c>
      <c r="H1689">
        <f>1-(1-Skills!J9/100)^Skills!K9</f>
        <v/>
      </c>
      <c r="I1689" t="inlineStr">
        <is>
          <t>1</t>
        </is>
      </c>
      <c r="J1689">
        <f>((Inputs!$B$6*(1+Inputs!$B$7/100))+(((Inputs!$B$12*(1+Inputs!$B$13/100))-(Inputs!$B$12*(1+Inputs!$B$13/100)))+0.25*(Inputs!$B$14-Inputs!$B$14))*(1+Inputs!$B$7/100))*(F1689/100)</f>
        <v/>
      </c>
      <c r="K1689">
        <f>J1689*(1+((Inputs!$B$12*(1+Inputs!$B$13/100))*0.01+Inputs!$B$14*0.0025)/100)*(1+Inputs!$B$15/100)*(1+IF(Inputs!$B$39="pvp",0,(1-Summary!$B$55)*(Inputs!$B$20+0+Skills!P9+B1714)+Summary!$B$55*(Inputs!$B$21+Skills!Q9+B1714))/100)*(1+Inputs!$B$16/100)*(5000/(6000+Inputs!$B$43*(1-Inputs!$B$19/100)))*(1+(Inputs!$B$24+((C1710=TRUE)*(F1710-Calc!F30)))/100)*(1+(IF(Skills!A9="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1689)</f>
        <v/>
      </c>
      <c r="L1689">
        <f>K1689*(MIN(Inputs!$B$22+((C1704=TRUE)*(F1704-Calc!F24)),Inputs!$B$23+((C1709=TRUE)*(F1709-Calc!F29)))/100+(Inputs!$B$23+((C1709=TRUE)*(F1709-Calc!F29)))/100)/2</f>
        <v/>
      </c>
      <c r="M1689">
        <f>L1689*(1+(Inputs!$B$10+((C1706=TRUE)*(F1706-Calc!F26))+B1720)/100)</f>
        <v/>
      </c>
      <c r="N1689">
        <f>L1689*(1-MIN((Inputs!$B$9+((C1705=TRUE)*(F1705-Calc!F25))+B1713),100)/100)+M1689*(MIN((Inputs!$B$9+((C1705=TRUE)*(F1705-Calc!F25))+B1713),100)/100)</f>
        <v/>
      </c>
      <c r="O1689">
        <f>IF(C1689,0.2*SUMPRODUCT((Skills!Z2:Z30=TRUE)*(C1682:C1710=TRUE)*S1682:S1710)*N1689,0)</f>
        <v/>
      </c>
      <c r="P1689">
        <f>IF(B1725=0,0,O1689/B1725)</f>
        <v/>
      </c>
      <c r="Q1689" t="n">
        <v>0</v>
      </c>
      <c r="R1689" t="n">
        <v>0</v>
      </c>
      <c r="S1689" t="n">
        <v>0</v>
      </c>
    </row>
    <row r="1690">
      <c r="A1690">
        <f>Skills!A10</f>
        <v/>
      </c>
      <c r="B1690">
        <f>Skills!B10</f>
        <v/>
      </c>
      <c r="C1690">
        <f>Inputs!$B$3&gt;=74</f>
        <v/>
      </c>
      <c r="D1690">
        <f>IF(Skills!C10=1,60+Inputs!$B$25+Inputs!$B$29,IF(Skills!C10=2,90+Inputs!$B$26+Inputs!$B$29,IF(Skills!C10=3,120+Inputs!$B$27+Inputs!$B$29,MAX(0,(Inputs!$B$3-100)*3)+Inputs!$B$28+Inputs!$B$29)))</f>
        <v/>
      </c>
      <c r="E1690">
        <f>INDEX(FactorTable!$B$2:$Y$301, MATCH(ROUND(MIN(300,MAX(1,D1690)),0), FactorTable!$A$2:$A$301,0), Skills!M10+1)</f>
        <v/>
      </c>
      <c r="F1690">
        <f>IF(Skills!N10=TRUE,(Skills!L10/10)*(E1690/1000),Skills!L10/10)+Skills!O10</f>
        <v/>
      </c>
      <c r="G1690">
        <f>Skills!G10*IF(Skills!H10&gt;0,Skills!I10/Skills!H10,1)</f>
        <v/>
      </c>
      <c r="H1690">
        <f>1-(1-Skills!J10/100)^Skills!K10</f>
        <v/>
      </c>
      <c r="I1690" t="inlineStr">
        <is>
          <t>1</t>
        </is>
      </c>
      <c r="J1690" t="inlineStr"/>
      <c r="K1690" t="inlineStr"/>
      <c r="L1690" t="inlineStr"/>
      <c r="M1690" t="inlineStr"/>
      <c r="N1690" t="inlineStr"/>
      <c r="O1690" t="n">
        <v>0</v>
      </c>
      <c r="P1690">
        <f>IF(B1725=0,0,O1690/B1725)</f>
        <v/>
      </c>
      <c r="Q1690">
        <f>IFERROR(1/IF(Inputs!$B$39="pvp",15,MAX(0.1,Skills!D10-IF(Skills!E10=TRUE,4.0,0))),0)</f>
        <v/>
      </c>
      <c r="R1690">
        <f>IF(AND(Inputs!$B$39&lt;&gt;"pvp",Inputs!$B$44&gt;0),IF(Inputs!$B$44&lt;=0,0,(INT(Inputs!$B$44/IF(Inputs!$B$39="pvp",15,MAX(0.1,Skills!D10-IF(Skills!E10=TRUE,4.0,0))))+1)),0)</f>
        <v/>
      </c>
      <c r="S1690">
        <f>IFERROR(O1690/N1690,0)</f>
        <v/>
      </c>
    </row>
    <row r="1691">
      <c r="A1691">
        <f>Skills!A11</f>
        <v/>
      </c>
      <c r="B1691">
        <f>Skills!B11</f>
        <v/>
      </c>
      <c r="C1691">
        <f>Inputs!$B$3&gt;=103</f>
        <v/>
      </c>
      <c r="D1691">
        <f>IF(Skills!C11=1,60+Inputs!$B$25+Inputs!$B$29,IF(Skills!C11=2,90+Inputs!$B$26+Inputs!$B$29,IF(Skills!C11=3,120+Inputs!$B$27+Inputs!$B$29,MAX(0,(Inputs!$B$3-100)*3)+Inputs!$B$28+Inputs!$B$29)))</f>
        <v/>
      </c>
      <c r="E1691">
        <f>INDEX(FactorTable!$B$2:$Y$301, MATCH(ROUND(MIN(300,MAX(1,D1691)),0), FactorTable!$A$2:$A$301,0), Skills!M11+1)</f>
        <v/>
      </c>
      <c r="F1691">
        <f>(Skills!L11/10)*(E1691/1000)+IF(Inputs!$B$3&gt;=134,50,0)+0.5*(30000/10)*(INDEX(FactorTable!$B$2:$Y$301, MATCH(ROUND(MIN(300,MAX(1,D1691)),0), FactorTable!$A$2:$A$301,0), 13)/1000)*B1723</f>
        <v/>
      </c>
      <c r="G1691">
        <f>Skills!G11*IF(Skills!H11&gt;0,Skills!I11/Skills!H11,1)</f>
        <v/>
      </c>
      <c r="H1691">
        <f>1-(1-Skills!J11/100)^Skills!K11</f>
        <v/>
      </c>
      <c r="I1691" t="inlineStr">
        <is>
          <t>1</t>
        </is>
      </c>
      <c r="J1691">
        <f>((Inputs!$B$6*(1+Inputs!$B$7/100))+(((Inputs!$B$12*(1+Inputs!$B$13/100))-(Inputs!$B$12*(1+Inputs!$B$13/100)))+0.25*(Inputs!$B$14-Inputs!$B$14))*(1+Inputs!$B$7/100))*(F1691/100)</f>
        <v/>
      </c>
      <c r="K1691">
        <f>J1691*(1+((Inputs!$B$12*(1+Inputs!$B$13/100))*0.01+Inputs!$B$14*0.0025)/100)*(1+Inputs!$B$15/100)*(1+IF(Inputs!$B$39="pvp",0,(1-Summary!$B$55)*(Inputs!$B$20+0+Skills!P11+B1714)+Summary!$B$55*(Inputs!$B$21+Skills!Q11+B1714))/100)*(1+Inputs!$B$16/100)*(5000/(6000+Inputs!$B$43*(1-Inputs!$B$19/100)))*(1+(Inputs!$B$24+((C1710=TRUE)*(F1710-Calc!F30)))/100)*(1+(IF(Skills!A11="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1691)</f>
        <v/>
      </c>
      <c r="L1691">
        <f>K1691*(MIN(Inputs!$B$22+((C1704=TRUE)*(F1704-Calc!F24)),Inputs!$B$23+((C1709=TRUE)*(F1709-Calc!F29)))/100+(Inputs!$B$23+((C1709=TRUE)*(F1709-Calc!F29)))/100)/2</f>
        <v/>
      </c>
      <c r="M1691">
        <f>L1691*(1+(Inputs!$B$10+((C1706=TRUE)*(F1706-Calc!F26))+B1720)/100)</f>
        <v/>
      </c>
      <c r="N1691">
        <f>L1691*(1-MIN((Inputs!$B$9+((C1705=TRUE)*(F1705-Calc!F25))+B1713),100)/100)+M1691*(MIN((Inputs!$B$9+((C1705=TRUE)*(F1705-Calc!F25))+B1713),100)/100)</f>
        <v/>
      </c>
      <c r="O1691">
        <f>IF(C1691,H1691*N1691*IF(AND(Inputs!$B$39&lt;&gt;"pvp",Inputs!$B$44&gt;0),((Skills!G11*((R1691-1)*IF(Skills!H11&gt;0,Skills!I11/Skills!H11,1)+IF(Skills!H11&gt;0,MIN(Skills!I11,MAX(0,MAX(0,Inputs!$B$44-B1724)-((R1691-1)*IF(Inputs!$B$39="pvp",15,MAX(0.1,Skills!D11-IF(Skills!E11=TRUE,4.0,0))))))/Skills!H11,1)))/Inputs!$B$44),G1691*Q1691)*IF(Inputs!$B$39="pvp",1,(1-Summary!$B$55)*(1)+Summary!$B$55*(MIN(Skills!W11,Inputs!$B$37))),0)</f>
        <v/>
      </c>
      <c r="P1691">
        <f>IF(B1725=0,0,O1691/B1725)</f>
        <v/>
      </c>
      <c r="Q1691">
        <f>IFERROR(1/IF(Inputs!$B$39="pvp",15,MAX(0.1,Skills!D11-IF(Skills!E11=TRUE,4.0,0))),0)</f>
        <v/>
      </c>
      <c r="R1691">
        <f>IF(AND(Inputs!$B$39&lt;&gt;"pvp",Inputs!$B$44&gt;0),IF(MAX(0,Inputs!$B$44-B1724)&lt;=0,0,(INT(MAX(0,Inputs!$B$44-B1724)/IF(Inputs!$B$39="pvp",15,MAX(0.1,Skills!D11-IF(Skills!E11=TRUE,4.0,0))))+1)),0)</f>
        <v/>
      </c>
      <c r="S1691">
        <f>IFERROR(O1691/N1691,0)</f>
        <v/>
      </c>
    </row>
    <row r="1692">
      <c r="A1692">
        <f>Skills!A12</f>
        <v/>
      </c>
      <c r="B1692">
        <f>Skills!B12</f>
        <v/>
      </c>
      <c r="C1692">
        <f>Inputs!$B$3&gt;=105</f>
        <v/>
      </c>
      <c r="D1692">
        <f>IF(Skills!C12=1,60+Inputs!$B$25+Inputs!$B$29,IF(Skills!C12=2,90+Inputs!$B$26+Inputs!$B$29,IF(Skills!C12=3,120+Inputs!$B$27+Inputs!$B$29,MAX(0,(Inputs!$B$3-100)*3)+Inputs!$B$28+Inputs!$B$29)))</f>
        <v/>
      </c>
      <c r="E1692">
        <f>INDEX(FactorTable!$B$2:$Y$301, MATCH(ROUND(MIN(300,MAX(1,D1692)),0), FactorTable!$A$2:$A$301,0), Skills!M12+1)</f>
        <v/>
      </c>
      <c r="F1692">
        <f>IF(Skills!N12=TRUE,(Skills!L12/10)*(E1692/1000),Skills!L12/10)+Skills!O12</f>
        <v/>
      </c>
      <c r="G1692">
        <f>Skills!G12*IF(Skills!H12&gt;0,Skills!I12/Skills!H12,1)</f>
        <v/>
      </c>
      <c r="H1692">
        <f>1-(1-Skills!J12/100)^Skills!K12</f>
        <v/>
      </c>
      <c r="I1692" t="inlineStr">
        <is>
          <t>1</t>
        </is>
      </c>
      <c r="J1692">
        <f>((Inputs!$B$6*(1+Inputs!$B$7/100))+(((Inputs!$B$12*(1+Inputs!$B$13/100))-(Inputs!$B$12*(1+Inputs!$B$13/100)))+0.25*(Inputs!$B$14-Inputs!$B$14))*(1+Inputs!$B$7/100))*(F1692/100)</f>
        <v/>
      </c>
      <c r="K1692">
        <f>J1692*(1+((Inputs!$B$12*(1+Inputs!$B$13/100))*0.01+Inputs!$B$14*0.0025)/100)*(1+Inputs!$B$15/100)*(1+IF(Inputs!$B$39="pvp",0,(1-Summary!$B$55)*(Inputs!$B$20+0+Skills!P12+B1714)+Summary!$B$55*(Inputs!$B$21+Skills!Q12+B1714))/100)*(1+Inputs!$B$16/100)*(5000/(6000+Inputs!$B$43*(1-Inputs!$B$19/100)))*(1+(Inputs!$B$24+((C1710=TRUE)*(F1710-Calc!F30)))/100)*(1+(IF(Skills!A12="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1692)</f>
        <v/>
      </c>
      <c r="L1692">
        <f>K1692*(MIN(Inputs!$B$22+((C1704=TRUE)*(F1704-Calc!F24)),Inputs!$B$23+((C1709=TRUE)*(F1709-Calc!F29)))/100+(Inputs!$B$23+((C1709=TRUE)*(F1709-Calc!F29)))/100)/2</f>
        <v/>
      </c>
      <c r="M1692">
        <f>L1692*(1+(Inputs!$B$10+((C1706=TRUE)*(F1706-Calc!F26))+B1720)/100)</f>
        <v/>
      </c>
      <c r="N1692">
        <f>L1692*(1-MIN((Inputs!$B$9+((C1705=TRUE)*(F1705-Calc!F25))+B1713),100)/100)+M1692*(MIN((Inputs!$B$9+((C1705=TRUE)*(F1705-Calc!F25))+B1713),100)/100)</f>
        <v/>
      </c>
      <c r="O1692">
        <f>IF(C1692,H1692*N1692*IF(AND(Inputs!$B$39&lt;&gt;"pvp",Inputs!$B$44&gt;0),((Skills!G12*((R1692-1)*IF(Skills!H12&gt;0,Skills!I12/Skills!H12,1)+IF(Skills!H12&gt;0,MIN(Skills!I12,MAX(0,MAX(0,Inputs!$B$44-B1724)-((R1692-1)*IF(Inputs!$B$39="pvp",15,MAX(0.1,Skills!D12-IF(Skills!E12=TRUE,4.0,0))))))/Skills!H12,1)))/Inputs!$B$44),G1692*Q1692)*IF(Inputs!$B$39="pvp",1,(1-Summary!$B$55)*(1)+Summary!$B$55*(MIN(Skills!W12,Inputs!$B$37))),0)</f>
        <v/>
      </c>
      <c r="P1692">
        <f>IF(B1725=0,0,O1692/B1725)</f>
        <v/>
      </c>
      <c r="Q1692">
        <f>IFERROR(1/IF(Inputs!$B$39="pvp",15,MAX(0.1,Skills!D12-IF(Skills!E12=TRUE,4.0,0))),0)</f>
        <v/>
      </c>
      <c r="R1692">
        <f>IF(AND(Inputs!$B$39&lt;&gt;"pvp",Inputs!$B$44&gt;0),IF(MAX(0,Inputs!$B$44-B1724)&lt;=0,0,(INT(MAX(0,Inputs!$B$44-B1724)/IF(Inputs!$B$39="pvp",15,MAX(0.1,Skills!D12-IF(Skills!E12=TRUE,4.0,0))))+1)),0)</f>
        <v/>
      </c>
      <c r="S1692">
        <f>IFERROR(O1692/N1692,0)</f>
        <v/>
      </c>
    </row>
    <row r="1693">
      <c r="A1693">
        <f>Skills!A13</f>
        <v/>
      </c>
      <c r="B1693">
        <f>Skills!B13</f>
        <v/>
      </c>
      <c r="C1693">
        <f>Inputs!$B$3&gt;=105</f>
        <v/>
      </c>
      <c r="D1693">
        <f>IF(Skills!C13=1,60+Inputs!$B$25+Inputs!$B$29,IF(Skills!C13=2,90+Inputs!$B$26+Inputs!$B$29,IF(Skills!C13=3,120+Inputs!$B$27+Inputs!$B$29,MAX(0,(Inputs!$B$3-100)*3)+Inputs!$B$28+Inputs!$B$29)))</f>
        <v/>
      </c>
      <c r="E1693">
        <f>INDEX(FactorTable!$B$2:$Y$301, MATCH(ROUND(MIN(300,MAX(1,D1693)),0), FactorTable!$A$2:$A$301,0), Skills!M13+1)</f>
        <v/>
      </c>
      <c r="F1693">
        <f>IF(Skills!N13=TRUE,(Skills!L13/10)*(E1693/1000),Skills!L13/10)+Skills!O13</f>
        <v/>
      </c>
      <c r="G1693">
        <f>Skills!G13*IF(Skills!H13&gt;0,Skills!I13/Skills!H13,1)</f>
        <v/>
      </c>
      <c r="H1693">
        <f>1-(1-Skills!J13/100)^Skills!K13</f>
        <v/>
      </c>
      <c r="I1693" t="inlineStr">
        <is>
          <t>1</t>
        </is>
      </c>
      <c r="J1693">
        <f>((Inputs!$B$6*(1+Inputs!$B$7/100))+(((Inputs!$B$12*(1+Inputs!$B$13/100))-(Inputs!$B$12*(1+Inputs!$B$13/100)))+0.25*(Inputs!$B$14-Inputs!$B$14))*(1+Inputs!$B$7/100))*(F1693/100)</f>
        <v/>
      </c>
      <c r="K1693">
        <f>J1693*(1+((Inputs!$B$12*(1+Inputs!$B$13/100))*0.01+Inputs!$B$14*0.0025)/100)*(1+Inputs!$B$15/100)*(1+IF(Inputs!$B$39="pvp",0,(1-Summary!$B$55)*(Inputs!$B$20+0+Skills!P13+B1714)+Summary!$B$55*(Inputs!$B$21+Skills!Q13+B1714))/100)*(1+Inputs!$B$16/100)*(5000/(6000+Inputs!$B$43*(1-Inputs!$B$19/100)))*(1+(Inputs!$B$24+((C1710=TRUE)*(F1710-Calc!F30)))/100)*(1+(IF(Skills!A13="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1693)</f>
        <v/>
      </c>
      <c r="L1693">
        <f>K1693*(MIN(Inputs!$B$22+((C1704=TRUE)*(F1704-Calc!F24)),Inputs!$B$23+((C1709=TRUE)*(F1709-Calc!F29)))/100+(Inputs!$B$23+((C1709=TRUE)*(F1709-Calc!F29)))/100)/2</f>
        <v/>
      </c>
      <c r="M1693">
        <f>L1693*(1+(Inputs!$B$10+((C1706=TRUE)*(F1706-Calc!F26))+B1720)/100)</f>
        <v/>
      </c>
      <c r="N1693">
        <f>L1693*(1-MIN((Inputs!$B$9+((C1705=TRUE)*(F1705-Calc!F25))+B1713),100)/100)+M1693*(MIN((Inputs!$B$9+((C1705=TRUE)*(F1705-Calc!F25))+B1713),100)/100)</f>
        <v/>
      </c>
      <c r="O1693">
        <f>IF(C1693,H1693*N1693*IF(AND(Inputs!$B$39&lt;&gt;"pvp",Inputs!$B$44&gt;0),((Skills!G13*((R1693-1)*IF(Skills!H13&gt;0,Skills!I13/Skills!H13,1)+IF(Skills!H13&gt;0,MIN(Skills!I13,MAX(0,MAX(0,Inputs!$B$44-B1724)-((R1693-1)*IF(Inputs!$B$39="pvp",15,MAX(0.1,Skills!D13-IF(Skills!E13=TRUE,4.0,0))))))/Skills!H13,1)))/Inputs!$B$44),G1693*Q1693)*IF(Inputs!$B$39="pvp",1,(1-Summary!$B$55)*(1)+Summary!$B$55*(MIN(Skills!W13,Inputs!$B$37))),0)</f>
        <v/>
      </c>
      <c r="P1693">
        <f>IF(B1725=0,0,O1693/B1725)</f>
        <v/>
      </c>
      <c r="Q1693">
        <f>IFERROR(1/IF(Inputs!$B$39="pvp",15,MAX(0.1,Skills!D13-IF(Skills!E13=TRUE,4.0,0))),0)</f>
        <v/>
      </c>
      <c r="R1693">
        <f>IF(AND(Inputs!$B$39&lt;&gt;"pvp",Inputs!$B$44&gt;0),IF(MAX(0,Inputs!$B$44-B1724)&lt;=0,0,(INT(MAX(0,Inputs!$B$44-B1724)/IF(Inputs!$B$39="pvp",15,MAX(0.1,Skills!D13-IF(Skills!E13=TRUE,4.0,0))))+1)),0)</f>
        <v/>
      </c>
      <c r="S1693">
        <f>IFERROR(O1693/N1693,0)</f>
        <v/>
      </c>
    </row>
    <row r="1694">
      <c r="A1694">
        <f>Skills!A14</f>
        <v/>
      </c>
      <c r="B1694">
        <f>Skills!B14</f>
        <v/>
      </c>
      <c r="C1694">
        <f>Inputs!$B$3&gt;=107</f>
        <v/>
      </c>
      <c r="D1694">
        <f>IF(Skills!C14=1,60+Inputs!$B$25+Inputs!$B$29,IF(Skills!C14=2,90+Inputs!$B$26+Inputs!$B$29,IF(Skills!C14=3,120+Inputs!$B$27+Inputs!$B$29,MAX(0,(Inputs!$B$3-100)*3)+Inputs!$B$28+Inputs!$B$29)))</f>
        <v/>
      </c>
      <c r="E1694">
        <f>INDEX(FactorTable!$B$2:$Y$301, MATCH(ROUND(MIN(300,MAX(1,D1694)),0), FactorTable!$A$2:$A$301,0), Skills!M14+1)</f>
        <v/>
      </c>
      <c r="F1694">
        <f>IF(Skills!N14=TRUE,(Skills!L14/10)*(E1694/1000),Skills!L14/10)+Skills!O14</f>
        <v/>
      </c>
      <c r="G1694">
        <f>Skills!G14*IF(Skills!H14&gt;0,Skills!I14/Skills!H14,1)</f>
        <v/>
      </c>
      <c r="H1694">
        <f>1-(1-Skills!J14/100)^Skills!K14</f>
        <v/>
      </c>
      <c r="I1694" t="inlineStr">
        <is>
          <t>1</t>
        </is>
      </c>
      <c r="J1694">
        <f>((Inputs!$B$6*(1+Inputs!$B$7/100))+(((Inputs!$B$12*(1+Inputs!$B$13/100))-(Inputs!$B$12*(1+Inputs!$B$13/100)))+0.25*(Inputs!$B$14-Inputs!$B$14))*(1+Inputs!$B$7/100))*(F1694/100)</f>
        <v/>
      </c>
      <c r="K1694">
        <f>J1694*(1+((Inputs!$B$12*(1+Inputs!$B$13/100))*0.01+Inputs!$B$14*0.0025)/100)*(1+Inputs!$B$15/100)*(1+IF(Inputs!$B$39="pvp",0,(1-Summary!$B$55)*(Inputs!$B$20+0+Skills!P14+B1714)+Summary!$B$55*(Inputs!$B$21+Skills!Q14+B1714))/100)*(1+Inputs!$B$16/100)*(5000/(6000+Inputs!$B$43*(1-Inputs!$B$19/100)))*(1+(Inputs!$B$24+((C1710=TRUE)*(F1710-Calc!F30)))/100)*(1+(IF(Skills!A14="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1694)</f>
        <v/>
      </c>
      <c r="L1694">
        <f>K1694*(MIN(Inputs!$B$22+((C1704=TRUE)*(F1704-Calc!F24)),Inputs!$B$23+((C1709=TRUE)*(F1709-Calc!F29)))/100+(Inputs!$B$23+((C1709=TRUE)*(F1709-Calc!F29)))/100)/2</f>
        <v/>
      </c>
      <c r="M1694">
        <f>L1694*(1+(Inputs!$B$10+((C1706=TRUE)*(F1706-Calc!F26))+B1720)/100)</f>
        <v/>
      </c>
      <c r="N1694">
        <f>L1694*(1-MIN((Inputs!$B$9+((C1705=TRUE)*(F1705-Calc!F25))+B1713),100)/100)+M1694*(MIN((Inputs!$B$9+((C1705=TRUE)*(F1705-Calc!F25))+B1713),100)/100)</f>
        <v/>
      </c>
      <c r="O1694">
        <f>IF(C1694,H1694*N1694*IF(AND(Inputs!$B$39&lt;&gt;"pvp",Inputs!$B$44&gt;0),((Skills!G14*((R1694-1)*IF(Skills!H14&gt;0,Skills!I14/Skills!H14,1)+IF(Skills!H14&gt;0,MIN(Skills!I14,MAX(0,MAX(0,Inputs!$B$44-B1724)-((R1694-1)*IF(Inputs!$B$39="pvp",15,MAX(0.1,Skills!D14-IF(Skills!E14=TRUE,4.0,0))))))/Skills!H14,1)))/Inputs!$B$44),G1694*Q1694)*IF(Inputs!$B$39="pvp",1,(1-Summary!$B$55)*(1)+Summary!$B$55*(MIN(MIN(5,0.25*B1717*Skills!D4)*Skills!V14,Inputs!$B$37))),0)</f>
        <v/>
      </c>
      <c r="P1694">
        <f>IF(B1725=0,0,O1694/B1725)</f>
        <v/>
      </c>
      <c r="Q1694">
        <f>IFERROR(1/IF(Inputs!$B$39="pvp",15,MAX(0.1,Skills!D14-IF(Skills!E14=TRUE,4.0,0))),0)</f>
        <v/>
      </c>
      <c r="R1694">
        <f>IF(AND(Inputs!$B$39&lt;&gt;"pvp",Inputs!$B$44&gt;0),IF(MAX(0,Inputs!$B$44-B1724)&lt;=0,0,(INT(MAX(0,Inputs!$B$44-B1724)/IF(Inputs!$B$39="pvp",15,MAX(0.1,Skills!D14-IF(Skills!E14=TRUE,4.0,0))))+1)),0)</f>
        <v/>
      </c>
      <c r="S1694">
        <f>IFERROR(O1694/N1694,0)</f>
        <v/>
      </c>
    </row>
    <row r="1695">
      <c r="A1695">
        <f>Skills!A15</f>
        <v/>
      </c>
      <c r="B1695">
        <f>Skills!B15</f>
        <v/>
      </c>
      <c r="C1695">
        <f>Inputs!$B$3&gt;=110</f>
        <v/>
      </c>
      <c r="D1695">
        <f>IF(Skills!C15=1,60+Inputs!$B$25+Inputs!$B$29,IF(Skills!C15=2,90+Inputs!$B$26+Inputs!$B$29,IF(Skills!C15=3,120+Inputs!$B$27+Inputs!$B$29,MAX(0,(Inputs!$B$3-100)*3)+Inputs!$B$28+Inputs!$B$29)))</f>
        <v/>
      </c>
      <c r="E1695">
        <f>INDEX(FactorTable!$B$2:$Y$301, MATCH(ROUND(MIN(300,MAX(1,D1695)),0), FactorTable!$A$2:$A$301,0), Skills!M15+1)</f>
        <v/>
      </c>
      <c r="F1695">
        <f>IF(Skills!N15=TRUE,(Skills!L15/10)*(E1695/1000),Skills!L15/10)+Skills!O15</f>
        <v/>
      </c>
      <c r="G1695">
        <f>Skills!G15*IF(Skills!H15&gt;0,Skills!I15/Skills!H15,1)</f>
        <v/>
      </c>
      <c r="H1695">
        <f>1-(1-Skills!J15/100)^Skills!K15</f>
        <v/>
      </c>
      <c r="I1695" t="inlineStr">
        <is>
          <t>1</t>
        </is>
      </c>
      <c r="J1695" t="inlineStr"/>
      <c r="K1695" t="inlineStr"/>
      <c r="L1695" t="inlineStr"/>
      <c r="M1695" t="inlineStr"/>
      <c r="N1695" t="inlineStr"/>
      <c r="O1695" t="n">
        <v>0</v>
      </c>
      <c r="P1695">
        <f>IF(B1725=0,0,O1695/B1725)</f>
        <v/>
      </c>
      <c r="Q1695">
        <f>IFERROR(1/IF(Inputs!$B$39="pvp",15,MAX(0.1,Skills!D15-IF(Skills!E15=TRUE,4.0,0))),0)</f>
        <v/>
      </c>
      <c r="R1695">
        <f>IF(AND(Inputs!$B$39&lt;&gt;"pvp",Inputs!$B$44&gt;0),IF(Inputs!$B$44&lt;=0,0,(INT(Inputs!$B$44/IF(Inputs!$B$39="pvp",15,MAX(0.1,Skills!D15-IF(Skills!E15=TRUE,4.0,0))))+1)),0)</f>
        <v/>
      </c>
      <c r="S1695">
        <f>IFERROR(O1695/N1695,0)</f>
        <v/>
      </c>
    </row>
    <row r="1696">
      <c r="A1696">
        <f>Skills!A16</f>
        <v/>
      </c>
      <c r="B1696">
        <f>Skills!B16</f>
        <v/>
      </c>
      <c r="C1696">
        <f>Inputs!$B$3&gt;=115</f>
        <v/>
      </c>
      <c r="D1696">
        <f>IF(Skills!C16=1,60+Inputs!$B$25+Inputs!$B$29,IF(Skills!C16=2,90+Inputs!$B$26+Inputs!$B$29,IF(Skills!C16=3,120+Inputs!$B$27+Inputs!$B$29,MAX(0,(Inputs!$B$3-100)*3)+Inputs!$B$28+Inputs!$B$29)))</f>
        <v/>
      </c>
      <c r="E1696">
        <f>INDEX(FactorTable!$B$2:$Y$301, MATCH(ROUND(MIN(300,MAX(1,D1696)),0), FactorTable!$A$2:$A$301,0), Skills!M16+1)</f>
        <v/>
      </c>
      <c r="F1696">
        <f>IF(Skills!N16=TRUE,(Skills!L16/10)*(E1696/1000),Skills!L16/10)+Skills!O16</f>
        <v/>
      </c>
      <c r="G1696">
        <f>Skills!G16*IF(Skills!H16&gt;0,Skills!I16/Skills!H16,1)</f>
        <v/>
      </c>
      <c r="H1696">
        <f>1-(1-Skills!J16/100)^Skills!K16</f>
        <v/>
      </c>
      <c r="I1696" t="inlineStr">
        <is>
          <t>1</t>
        </is>
      </c>
      <c r="J1696">
        <f>((Inputs!$B$6*(1+Inputs!$B$7/100))+(((Inputs!$B$12*(1+Inputs!$B$13/100))-(Inputs!$B$12*(1+Inputs!$B$13/100)))+0.25*(Inputs!$B$14-Inputs!$B$14))*(1+Inputs!$B$7/100))*(F1696/100)</f>
        <v/>
      </c>
      <c r="K1696">
        <f>J1696*(1+((Inputs!$B$12*(1+Inputs!$B$13/100))*0.01+Inputs!$B$14*0.0025)/100)*(1+Inputs!$B$15/100)*(1+IF(Inputs!$B$39="pvp",0,(1-Summary!$B$55)*(Inputs!$B$20+0+Skills!P16+B1714)+Summary!$B$55*(Inputs!$B$21+Skills!Q16+B1714))/100)*(1+Inputs!$B$16/100)*(5000/(6000+Inputs!$B$43*(1-Inputs!$B$19/100)))*(1+(Inputs!$B$24+((C1710=TRUE)*(F1710-Calc!F30)))/100)*(1+(IF(Skills!A16="CRUEL_STAB",Inputs!$B$17+((C1707=TRUE)*(F1707-Calc!F27)),Inputs!$B$18+((C1708=TRUE)*(F1708-Calc!F28))))/100)*(((1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B1715*I1696)</f>
        <v/>
      </c>
      <c r="L1696">
        <f>K1696*(MIN(Inputs!$B$22+((C1704=TRUE)*(F1704-Calc!F24)),Inputs!$B$23+((C1709=TRUE)*(F1709-Calc!F29)))/100+(Inputs!$B$23+((C1709=TRUE)*(F1709-Calc!F29)))/100)/2</f>
        <v/>
      </c>
      <c r="M1696">
        <f>L1696*(1+(Inputs!$B$10+((C1706=TRUE)*(F1706-Calc!F26))+B1720)/100)</f>
        <v/>
      </c>
      <c r="N1696">
        <f>L1696*(1-MIN((Inputs!$B$9+((C1705=TRUE)*(F1705-Calc!F25))+B1713),100)/100)+M1696*(MIN((Inputs!$B$9+((C1705=TRUE)*(F1705-Calc!F25))+B1713),100)/100)</f>
        <v/>
      </c>
      <c r="O1696">
        <f>IF(C1696,Inputs!$B$38*0.2*N1696,0)</f>
        <v/>
      </c>
      <c r="P1696">
        <f>IF(B1725=0,0,O1696/B1725)</f>
        <v/>
      </c>
      <c r="Q1696" t="n">
        <v>0</v>
      </c>
      <c r="R1696" t="n">
        <v>0</v>
      </c>
      <c r="S1696">
        <f>IFERROR(O1696/N1696,0)</f>
        <v/>
      </c>
    </row>
    <row r="1697">
      <c r="A1697">
        <f>Skills!A17</f>
        <v/>
      </c>
      <c r="B1697">
        <f>Skills!B17</f>
        <v/>
      </c>
      <c r="C1697">
        <f>Inputs!$B$3&gt;=115</f>
        <v/>
      </c>
      <c r="D1697">
        <f>IF(Skills!C17=1,60+Inputs!$B$25+Inputs!$B$29,IF(Skills!C17=2,90+Inputs!$B$26+Inputs!$B$29,IF(Skills!C17=3,120+Inputs!$B$27+Inputs!$B$29,MAX(0,(Inputs!$B$3-100)*3)+Inputs!$B$28+Inputs!$B$29)))</f>
        <v/>
      </c>
      <c r="E1697">
        <f>INDEX(FactorTable!$B$2:$Y$301, MATCH(ROUND(MIN(300,MAX(1,D1697)),0), FactorTable!$A$2:$A$301,0), Skills!M17+1)</f>
        <v/>
      </c>
      <c r="F1697">
        <f>IF(Skills!N17=TRUE,(Skills!L17/10)*(E1697/1000),Skills!L17/10)+Skills!O17</f>
        <v/>
      </c>
      <c r="G1697">
        <f>Skills!G17*IF(Skills!H17&gt;0,Skills!I17/Skills!H17,1)</f>
        <v/>
      </c>
      <c r="H1697">
        <f>1-(1-Skills!J17/100)^Skills!K17</f>
        <v/>
      </c>
      <c r="I1697" t="inlineStr">
        <is>
          <t>1</t>
        </is>
      </c>
      <c r="J1697" t="inlineStr"/>
      <c r="K1697" t="inlineStr"/>
      <c r="L1697" t="inlineStr"/>
      <c r="M1697" t="inlineStr"/>
      <c r="N1697" t="inlineStr"/>
      <c r="O1697" t="n">
        <v>0</v>
      </c>
      <c r="P1697">
        <f>IF(B1725=0,0,O1697/B1725)</f>
        <v/>
      </c>
      <c r="Q1697" t="n">
        <v>0</v>
      </c>
      <c r="R1697" t="n">
        <v>0</v>
      </c>
      <c r="S1697">
        <f>IFERROR(O1697/N1697,0)</f>
        <v/>
      </c>
    </row>
    <row r="1698">
      <c r="A1698">
        <f>Skills!A18</f>
        <v/>
      </c>
      <c r="B1698">
        <f>Skills!B18</f>
        <v/>
      </c>
      <c r="C1698">
        <f>Inputs!$B$3&gt;=100</f>
        <v/>
      </c>
      <c r="D1698">
        <f>IF(Skills!C18=1,60+Inputs!$B$25+Inputs!$B$29,IF(Skills!C18=2,90+Inputs!$B$26+Inputs!$B$29,IF(Skills!C18=3,120+Inputs!$B$27+Inputs!$B$29,MAX(0,(Inputs!$B$3-100)*3)+Inputs!$B$28+Inputs!$B$29)))</f>
        <v/>
      </c>
      <c r="E1698">
        <f>INDEX(FactorTable!$B$2:$Y$301, MATCH(ROUND(MIN(300,MAX(1,D1698)),0), FactorTable!$A$2:$A$301,0), Skills!M18+1)</f>
        <v/>
      </c>
      <c r="F1698">
        <f>IF(Skills!N18=TRUE,(Skills!L18/10)*(E1698/1000),Skills!L18/10)+Skills!O18</f>
        <v/>
      </c>
      <c r="G1698">
        <f>Skills!G18*IF(Skills!H18&gt;0,Skills!I18/Skills!H18,1)</f>
        <v/>
      </c>
      <c r="H1698">
        <f>1-(1-Skills!J18/100)^Skills!K18</f>
        <v/>
      </c>
      <c r="I1698" t="inlineStr">
        <is>
          <t>1</t>
        </is>
      </c>
      <c r="J1698" t="inlineStr"/>
      <c r="K1698" t="inlineStr"/>
      <c r="L1698" t="inlineStr"/>
      <c r="M1698" t="inlineStr"/>
      <c r="N1698" t="inlineStr"/>
      <c r="O1698" t="n">
        <v>0</v>
      </c>
      <c r="P1698">
        <f>IF(B1725=0,0,O1698/B1725)</f>
        <v/>
      </c>
      <c r="Q1698" t="n">
        <v>0</v>
      </c>
      <c r="R1698" t="n">
        <v>0</v>
      </c>
      <c r="S1698">
        <f>IFERROR(O1698/N1698,0)</f>
        <v/>
      </c>
    </row>
    <row r="1699">
      <c r="A1699">
        <f>Skills!A19</f>
        <v/>
      </c>
      <c r="B1699">
        <f>Skills!B19</f>
        <v/>
      </c>
      <c r="C1699">
        <f>TRUE</f>
        <v/>
      </c>
      <c r="D1699">
        <f>IF(Skills!C19=1,60+Inputs!$B$25+Inputs!$B$29,IF(Skills!C19=2,90+Inputs!$B$26+Inputs!$B$29,IF(Skills!C19=3,120+Inputs!$B$27+Inputs!$B$29,MAX(0,(Inputs!$B$3-100)*3)+Inputs!$B$28+Inputs!$B$29)))</f>
        <v/>
      </c>
      <c r="E1699">
        <f>INDEX(FactorTable!$B$2:$Y$301, MATCH(ROUND(MIN(300,MAX(1,D1699)),0), FactorTable!$A$2:$A$301,0), Skills!M19+1)</f>
        <v/>
      </c>
      <c r="F1699">
        <f>IF(Skills!N19=TRUE,(Skills!L19/10)*(E1699/1000),Skills!L19/10)+Skills!O19</f>
        <v/>
      </c>
      <c r="G1699">
        <f>Skills!G19*IF(Skills!H19&gt;0,Skills!I19/Skills!H19,1)</f>
        <v/>
      </c>
      <c r="H1699">
        <f>1-(1-Skills!J19/100)^Skills!K19</f>
        <v/>
      </c>
      <c r="I1699" t="inlineStr">
        <is>
          <t>1</t>
        </is>
      </c>
      <c r="J1699" t="inlineStr"/>
      <c r="K1699" t="inlineStr"/>
      <c r="L1699" t="inlineStr"/>
      <c r="M1699" t="inlineStr"/>
      <c r="N1699" t="inlineStr"/>
      <c r="O1699" t="n">
        <v>0</v>
      </c>
      <c r="P1699">
        <f>IF(B1725=0,0,O1699/B1725)</f>
        <v/>
      </c>
      <c r="Q1699">
        <f>IFERROR(1/IF(Inputs!$B$39="pvp",15,MAX(0.1,Skills!D19-IF(Skills!E19=TRUE,4.0,0))),0)</f>
        <v/>
      </c>
      <c r="R1699">
        <f>IF(AND(Inputs!$B$39&lt;&gt;"pvp",Inputs!$B$44&gt;0),IF(Inputs!$B$44&lt;=0,0,(INT(Inputs!$B$44/IF(Inputs!$B$39="pvp",15,MAX(0.1,Skills!D19-IF(Skills!E19=TRUE,4.0,0))))+1)),0)</f>
        <v/>
      </c>
      <c r="S1699">
        <f>IFERROR(O1699/N1699,0)</f>
        <v/>
      </c>
    </row>
    <row r="1700">
      <c r="A1700">
        <f>Skills!A20</f>
        <v/>
      </c>
      <c r="B1700">
        <f>Skills!B20</f>
        <v/>
      </c>
      <c r="C1700">
        <f>Inputs!$B$3&gt;=15</f>
        <v/>
      </c>
      <c r="D1700">
        <f>IF(Skills!C20=1,60+Inputs!$B$25+Inputs!$B$29,IF(Skills!C20=2,90+Inputs!$B$26+Inputs!$B$29,IF(Skills!C20=3,120+Inputs!$B$27+Inputs!$B$29,MAX(0,(Inputs!$B$3-100)*3)+Inputs!$B$28+Inputs!$B$29)))</f>
        <v/>
      </c>
      <c r="E1700">
        <f>INDEX(FactorTable!$B$2:$Y$301, MATCH(ROUND(MIN(300,MAX(1,D1700)),0), FactorTable!$A$2:$A$301,0), Skills!M20+1)</f>
        <v/>
      </c>
      <c r="F1700">
        <f>IF(Skills!N20=TRUE,(Skills!L20/10)*(E1700/1000),Skills!L20/10)+Skills!O20</f>
        <v/>
      </c>
      <c r="G1700">
        <f>Skills!G20*IF(Skills!H20&gt;0,Skills!I20/Skills!H20,1)</f>
        <v/>
      </c>
      <c r="H1700">
        <f>1-(1-Skills!J20/100)^Skills!K20</f>
        <v/>
      </c>
      <c r="I1700" t="inlineStr">
        <is>
          <t>1</t>
        </is>
      </c>
      <c r="J1700" t="inlineStr"/>
      <c r="K1700" t="inlineStr"/>
      <c r="L1700" t="inlineStr"/>
      <c r="M1700" t="inlineStr"/>
      <c r="N1700" t="inlineStr"/>
      <c r="O1700" t="n">
        <v>0</v>
      </c>
      <c r="P1700">
        <f>IF(B1725=0,0,O1700/B1725)</f>
        <v/>
      </c>
      <c r="Q1700">
        <f>IFERROR(1/IF(Inputs!$B$39="pvp",15,MAX(0.1,Skills!D20-IF(Skills!E20=TRUE,4.0,0))),0)</f>
        <v/>
      </c>
      <c r="R1700">
        <f>IF(AND(Inputs!$B$39&lt;&gt;"pvp",Inputs!$B$44&gt;0),IF(Inputs!$B$44&lt;=0,0,(INT(Inputs!$B$44/IF(Inputs!$B$39="pvp",15,MAX(0.1,Skills!D20-IF(Skills!E20=TRUE,4.0,0))))+1)),0)</f>
        <v/>
      </c>
      <c r="S1700">
        <f>IFERROR(O1700/N1700,0)</f>
        <v/>
      </c>
    </row>
    <row r="1701">
      <c r="A1701">
        <f>Skills!A21</f>
        <v/>
      </c>
      <c r="B1701">
        <f>Skills!B21</f>
        <v/>
      </c>
      <c r="C1701">
        <f>Inputs!$B$3&gt;=15</f>
        <v/>
      </c>
      <c r="D1701">
        <f>IF(Skills!C21=1,60+Inputs!$B$25+Inputs!$B$29,IF(Skills!C21=2,90+Inputs!$B$26+Inputs!$B$29,IF(Skills!C21=3,120+Inputs!$B$27+Inputs!$B$29,MAX(0,(Inputs!$B$3-100)*3)+Inputs!$B$28+Inputs!$B$29)))</f>
        <v/>
      </c>
      <c r="E1701">
        <f>INDEX(FactorTable!$B$2:$Y$301, MATCH(ROUND(MIN(300,MAX(1,D1701)),0), FactorTable!$A$2:$A$301,0), Skills!M21+1)</f>
        <v/>
      </c>
      <c r="F1701">
        <f>IF(Skills!N21=TRUE,(Skills!L21/10)*(E1701/1000),Skills!L21/10)+Skills!O21</f>
        <v/>
      </c>
      <c r="G1701">
        <f>Skills!G21*IF(Skills!H21&gt;0,Skills!I21/Skills!H21,1)</f>
        <v/>
      </c>
      <c r="H1701">
        <f>1-(1-Skills!J21/100)^Skills!K21</f>
        <v/>
      </c>
      <c r="I1701" t="inlineStr">
        <is>
          <t>1</t>
        </is>
      </c>
      <c r="J1701" t="inlineStr"/>
      <c r="K1701" t="inlineStr"/>
      <c r="L1701" t="inlineStr"/>
      <c r="M1701" t="inlineStr"/>
      <c r="N1701" t="inlineStr"/>
      <c r="O1701" t="n">
        <v>0</v>
      </c>
      <c r="P1701">
        <f>IF(B1725=0,0,O1701/B1725)</f>
        <v/>
      </c>
      <c r="Q1701">
        <f>IFERROR(1/IF(Inputs!$B$39="pvp",15,MAX(0.1,Skills!D21-IF(Skills!E21=TRUE,4.0,0))),0)</f>
        <v/>
      </c>
      <c r="R1701">
        <f>IF(AND(Inputs!$B$39&lt;&gt;"pvp",Inputs!$B$44&gt;0),IF(Inputs!$B$44&lt;=0,0,(INT(Inputs!$B$44/IF(Inputs!$B$39="pvp",15,MAX(0.1,Skills!D21-IF(Skills!E21=TRUE,4.0,0))))+1)),0)</f>
        <v/>
      </c>
      <c r="S1701">
        <f>IFERROR(O1701/N1701,0)</f>
        <v/>
      </c>
    </row>
    <row r="1702">
      <c r="A1702">
        <f>Skills!A22</f>
        <v/>
      </c>
      <c r="B1702">
        <f>Skills!B22</f>
        <v/>
      </c>
      <c r="C1702">
        <f>Inputs!$B$3&gt;=33</f>
        <v/>
      </c>
      <c r="D1702">
        <f>IF(Skills!C22=1,60+Inputs!$B$25+Inputs!$B$29,IF(Skills!C22=2,90+Inputs!$B$26+Inputs!$B$29,IF(Skills!C22=3,120+Inputs!$B$27+Inputs!$B$29,MAX(0,(Inputs!$B$3-100)*3)+Inputs!$B$28+Inputs!$B$29)))</f>
        <v/>
      </c>
      <c r="E1702">
        <f>INDEX(FactorTable!$B$2:$Y$301, MATCH(ROUND(MIN(300,MAX(1,D1702)),0), FactorTable!$A$2:$A$301,0), Skills!M22+1)</f>
        <v/>
      </c>
      <c r="F1702">
        <f>IF(Skills!N22=TRUE,(Skills!L22/10)*(E1702/1000),Skills!L22/10)+Skills!O22</f>
        <v/>
      </c>
      <c r="G1702">
        <f>Skills!G22*IF(Skills!H22&gt;0,Skills!I22/Skills!H22,1)</f>
        <v/>
      </c>
      <c r="H1702">
        <f>1-(1-Skills!J22/100)^Skills!K22</f>
        <v/>
      </c>
      <c r="I1702" t="inlineStr">
        <is>
          <t>1</t>
        </is>
      </c>
      <c r="J1702" t="inlineStr"/>
      <c r="K1702" t="inlineStr"/>
      <c r="L1702" t="inlineStr"/>
      <c r="M1702" t="inlineStr"/>
      <c r="N1702" t="inlineStr"/>
      <c r="O1702" t="n">
        <v>0</v>
      </c>
      <c r="P1702">
        <f>IF(B1725=0,0,O1702/B1725)</f>
        <v/>
      </c>
      <c r="Q1702" t="n">
        <v>0</v>
      </c>
      <c r="R1702" t="n">
        <v>0</v>
      </c>
      <c r="S1702">
        <f>IFERROR(O1702/N1702,0)</f>
        <v/>
      </c>
    </row>
    <row r="1703">
      <c r="A1703">
        <f>Skills!A23</f>
        <v/>
      </c>
      <c r="B1703">
        <f>Skills!B23</f>
        <v/>
      </c>
      <c r="C1703">
        <f>Inputs!$B$3&gt;=40</f>
        <v/>
      </c>
      <c r="D1703">
        <f>IF(Skills!C23=1,60+Inputs!$B$25+Inputs!$B$29,IF(Skills!C23=2,90+Inputs!$B$26+Inputs!$B$29,IF(Skills!C23=3,120+Inputs!$B$27+Inputs!$B$29,MAX(0,(Inputs!$B$3-100)*3)+Inputs!$B$28+Inputs!$B$29)))</f>
        <v/>
      </c>
      <c r="E1703">
        <f>INDEX(FactorTable!$B$2:$Y$301, MATCH(ROUND(MIN(300,MAX(1,D1703)),0), FactorTable!$A$2:$A$301,0), Skills!M23+1)</f>
        <v/>
      </c>
      <c r="F1703">
        <f>IF(Skills!N23=TRUE,(Skills!L23/10)*(E1703/1000),Skills!L23/10)+Skills!O23</f>
        <v/>
      </c>
      <c r="G1703">
        <f>Skills!G23*IF(Skills!H23&gt;0,Skills!I23/Skills!H23,1)</f>
        <v/>
      </c>
      <c r="H1703">
        <f>1-(1-Skills!J23/100)^Skills!K23</f>
        <v/>
      </c>
      <c r="I1703" t="inlineStr">
        <is>
          <t>1</t>
        </is>
      </c>
      <c r="J1703" t="inlineStr"/>
      <c r="K1703" t="inlineStr"/>
      <c r="L1703" t="inlineStr"/>
      <c r="M1703" t="inlineStr"/>
      <c r="N1703" t="inlineStr"/>
      <c r="O1703" t="n">
        <v>0</v>
      </c>
      <c r="P1703">
        <f>IF(B1725=0,0,O1703/B1725)</f>
        <v/>
      </c>
      <c r="Q1703" t="n">
        <v>0</v>
      </c>
      <c r="R1703" t="n">
        <v>0</v>
      </c>
      <c r="S1703">
        <f>IFERROR(O1703/N1703,0)</f>
        <v/>
      </c>
    </row>
    <row r="1704">
      <c r="A1704">
        <f>Skills!A24</f>
        <v/>
      </c>
      <c r="B1704">
        <f>Skills!B24</f>
        <v/>
      </c>
      <c r="C1704">
        <f>Inputs!$B$3&gt;=43</f>
        <v/>
      </c>
      <c r="D1704">
        <f>IF(Skills!C24=1,60+Inputs!$B$25+Inputs!$B$29,IF(Skills!C24=2,90+Inputs!$B$26+Inputs!$B$29,IF(Skills!C24=3,120+Inputs!$B$27+Inputs!$B$29,MAX(0,(Inputs!$B$3-100)*3)+Inputs!$B$28+Inputs!$B$29)))</f>
        <v/>
      </c>
      <c r="E1704">
        <f>INDEX(FactorTable!$B$2:$Y$301, MATCH(ROUND(MIN(300,MAX(1,D1704)),0), FactorTable!$A$2:$A$301,0), Skills!M24+1)</f>
        <v/>
      </c>
      <c r="F1704">
        <f>IF(Skills!N24=TRUE,(Skills!L24/10)*(E1704/1000),Skills!L24/10)+Skills!O24</f>
        <v/>
      </c>
      <c r="G1704">
        <f>Skills!G24*IF(Skills!H24&gt;0,Skills!I24/Skills!H24,1)</f>
        <v/>
      </c>
      <c r="H1704">
        <f>1-(1-Skills!J24/100)^Skills!K24</f>
        <v/>
      </c>
      <c r="I1704" t="inlineStr">
        <is>
          <t>1</t>
        </is>
      </c>
      <c r="J1704" t="inlineStr"/>
      <c r="K1704" t="inlineStr"/>
      <c r="L1704" t="inlineStr"/>
      <c r="M1704" t="inlineStr"/>
      <c r="N1704" t="inlineStr"/>
      <c r="O1704" t="n">
        <v>0</v>
      </c>
      <c r="P1704">
        <f>IF(B1725=0,0,O1704/B1725)</f>
        <v/>
      </c>
      <c r="Q1704" t="n">
        <v>0</v>
      </c>
      <c r="R1704" t="n">
        <v>0</v>
      </c>
      <c r="S1704">
        <f>IFERROR(O1704/N1704,0)</f>
        <v/>
      </c>
    </row>
    <row r="1705">
      <c r="A1705">
        <f>Skills!A25</f>
        <v/>
      </c>
      <c r="B1705">
        <f>Skills!B25</f>
        <v/>
      </c>
      <c r="C1705">
        <f>Inputs!$B$3&gt;=50</f>
        <v/>
      </c>
      <c r="D1705">
        <f>IF(Skills!C25=1,60+Inputs!$B$25+Inputs!$B$29,IF(Skills!C25=2,90+Inputs!$B$26+Inputs!$B$29,IF(Skills!C25=3,120+Inputs!$B$27+Inputs!$B$29,MAX(0,(Inputs!$B$3-100)*3)+Inputs!$B$28+Inputs!$B$29)))</f>
        <v/>
      </c>
      <c r="E1705">
        <f>INDEX(FactorTable!$B$2:$Y$301, MATCH(ROUND(MIN(300,MAX(1,D1705)),0), FactorTable!$A$2:$A$301,0), Skills!M25+1)</f>
        <v/>
      </c>
      <c r="F1705">
        <f>IF(Skills!N25=TRUE,(Skills!L25/10)*(E1705/1000),Skills!L25/10)+Skills!O25</f>
        <v/>
      </c>
      <c r="G1705">
        <f>Skills!G25*IF(Skills!H25&gt;0,Skills!I25/Skills!H25,1)</f>
        <v/>
      </c>
      <c r="H1705">
        <f>1-(1-Skills!J25/100)^Skills!K25</f>
        <v/>
      </c>
      <c r="I1705" t="inlineStr">
        <is>
          <t>1</t>
        </is>
      </c>
      <c r="J1705" t="inlineStr"/>
      <c r="K1705" t="inlineStr"/>
      <c r="L1705" t="inlineStr"/>
      <c r="M1705" t="inlineStr"/>
      <c r="N1705" t="inlineStr"/>
      <c r="O1705" t="n">
        <v>0</v>
      </c>
      <c r="P1705">
        <f>IF(B1725=0,0,O1705/B1725)</f>
        <v/>
      </c>
      <c r="Q1705" t="n">
        <v>0</v>
      </c>
      <c r="R1705" t="n">
        <v>0</v>
      </c>
      <c r="S1705">
        <f>IFERROR(O1705/N1705,0)</f>
        <v/>
      </c>
    </row>
    <row r="1706">
      <c r="A1706">
        <f>Skills!A26</f>
        <v/>
      </c>
      <c r="B1706">
        <f>Skills!B26</f>
        <v/>
      </c>
      <c r="C1706">
        <f>Inputs!$B$3&gt;=50</f>
        <v/>
      </c>
      <c r="D1706">
        <f>IF(Skills!C26=1,60+Inputs!$B$25+Inputs!$B$29,IF(Skills!C26=2,90+Inputs!$B$26+Inputs!$B$29,IF(Skills!C26=3,120+Inputs!$B$27+Inputs!$B$29,MAX(0,(Inputs!$B$3-100)*3)+Inputs!$B$28+Inputs!$B$29)))</f>
        <v/>
      </c>
      <c r="E1706">
        <f>INDEX(FactorTable!$B$2:$Y$301, MATCH(ROUND(MIN(300,MAX(1,D1706)),0), FactorTable!$A$2:$A$301,0), Skills!M26+1)</f>
        <v/>
      </c>
      <c r="F1706">
        <f>IF(Skills!N26=TRUE,(Skills!L26/10)*(E1706/1000),Skills!L26/10)+Skills!O26</f>
        <v/>
      </c>
      <c r="G1706">
        <f>Skills!G26*IF(Skills!H26&gt;0,Skills!I26/Skills!H26,1)</f>
        <v/>
      </c>
      <c r="H1706">
        <f>1-(1-Skills!J26/100)^Skills!K26</f>
        <v/>
      </c>
      <c r="I1706" t="inlineStr">
        <is>
          <t>1</t>
        </is>
      </c>
      <c r="J1706" t="inlineStr"/>
      <c r="K1706" t="inlineStr"/>
      <c r="L1706" t="inlineStr"/>
      <c r="M1706" t="inlineStr"/>
      <c r="N1706" t="inlineStr"/>
      <c r="O1706" t="n">
        <v>0</v>
      </c>
      <c r="P1706">
        <f>IF(B1725=0,0,O1706/B1725)</f>
        <v/>
      </c>
      <c r="Q1706" t="n">
        <v>0</v>
      </c>
      <c r="R1706" t="n">
        <v>0</v>
      </c>
      <c r="S1706">
        <f>IFERROR(O1706/N1706,0)</f>
        <v/>
      </c>
    </row>
    <row r="1707">
      <c r="A1707">
        <f>Skills!A27</f>
        <v/>
      </c>
      <c r="B1707">
        <f>Skills!B27</f>
        <v/>
      </c>
      <c r="C1707">
        <f>Inputs!$B$3&gt;=38</f>
        <v/>
      </c>
      <c r="D1707">
        <f>IF(Skills!C27=1,60+Inputs!$B$25+Inputs!$B$29,IF(Skills!C27=2,90+Inputs!$B$26+Inputs!$B$29,IF(Skills!C27=3,120+Inputs!$B$27+Inputs!$B$29,MAX(0,(Inputs!$B$3-100)*3)+Inputs!$B$28+Inputs!$B$29)))</f>
        <v/>
      </c>
      <c r="E1707">
        <f>INDEX(FactorTable!$B$2:$Y$301, MATCH(ROUND(MIN(300,MAX(1,D1707)),0), FactorTable!$A$2:$A$301,0), Skills!M27+1)</f>
        <v/>
      </c>
      <c r="F1707">
        <f>IF(Skills!N27=TRUE,(Skills!L27/10)*(E1707/1000),Skills!L27/10)+Skills!O27</f>
        <v/>
      </c>
      <c r="G1707">
        <f>Skills!G27*IF(Skills!H27&gt;0,Skills!I27/Skills!H27,1)</f>
        <v/>
      </c>
      <c r="H1707">
        <f>1-(1-Skills!J27/100)^Skills!K27</f>
        <v/>
      </c>
      <c r="I1707" t="inlineStr">
        <is>
          <t>1</t>
        </is>
      </c>
      <c r="J1707" t="inlineStr"/>
      <c r="K1707" t="inlineStr"/>
      <c r="L1707" t="inlineStr"/>
      <c r="M1707" t="inlineStr"/>
      <c r="N1707" t="inlineStr"/>
      <c r="O1707" t="n">
        <v>0</v>
      </c>
      <c r="P1707">
        <f>IF(B1725=0,0,O1707/B1725)</f>
        <v/>
      </c>
      <c r="Q1707" t="n">
        <v>0</v>
      </c>
      <c r="R1707" t="n">
        <v>0</v>
      </c>
      <c r="S1707">
        <f>IFERROR(O1707/N1707,0)</f>
        <v/>
      </c>
    </row>
    <row r="1708">
      <c r="A1708">
        <f>Skills!A28</f>
        <v/>
      </c>
      <c r="B1708">
        <f>Skills!B28</f>
        <v/>
      </c>
      <c r="C1708">
        <f>Inputs!$B$3&gt;=120</f>
        <v/>
      </c>
      <c r="D1708">
        <f>IF(Skills!C28=1,60+Inputs!$B$25+Inputs!$B$29,IF(Skills!C28=2,90+Inputs!$B$26+Inputs!$B$29,IF(Skills!C28=3,120+Inputs!$B$27+Inputs!$B$29,MAX(0,(Inputs!$B$3-100)*3)+Inputs!$B$28+Inputs!$B$29)))</f>
        <v/>
      </c>
      <c r="E1708">
        <f>INDEX(FactorTable!$B$2:$Y$301, MATCH(ROUND(MIN(300,MAX(1,D1708)),0), FactorTable!$A$2:$A$301,0), Skills!M28+1)</f>
        <v/>
      </c>
      <c r="F1708">
        <f>IF(Skills!N28=TRUE,(Skills!L28/10)*(E1708/1000),Skills!L28/10)+Skills!O28</f>
        <v/>
      </c>
      <c r="G1708">
        <f>Skills!G28*IF(Skills!H28&gt;0,Skills!I28/Skills!H28,1)</f>
        <v/>
      </c>
      <c r="H1708">
        <f>1-(1-Skills!J28/100)^Skills!K28</f>
        <v/>
      </c>
      <c r="I1708" t="inlineStr">
        <is>
          <t>1</t>
        </is>
      </c>
      <c r="J1708" t="inlineStr"/>
      <c r="K1708" t="inlineStr"/>
      <c r="L1708" t="inlineStr"/>
      <c r="M1708" t="inlineStr"/>
      <c r="N1708" t="inlineStr"/>
      <c r="O1708" t="n">
        <v>0</v>
      </c>
      <c r="P1708">
        <f>IF(B1725=0,0,O1708/B1725)</f>
        <v/>
      </c>
      <c r="Q1708" t="n">
        <v>0</v>
      </c>
      <c r="R1708" t="n">
        <v>0</v>
      </c>
      <c r="S1708">
        <f>IFERROR(O1708/N1708,0)</f>
        <v/>
      </c>
    </row>
    <row r="1709">
      <c r="A1709">
        <f>Skills!A29</f>
        <v/>
      </c>
      <c r="B1709">
        <f>Skills!B29</f>
        <v/>
      </c>
      <c r="C1709">
        <f>Inputs!$B$3&gt;=120</f>
        <v/>
      </c>
      <c r="D1709">
        <f>IF(Skills!C29=1,60+Inputs!$B$25+Inputs!$B$29,IF(Skills!C29=2,90+Inputs!$B$26+Inputs!$B$29,IF(Skills!C29=3,120+Inputs!$B$27+Inputs!$B$29,MAX(0,(Inputs!$B$3-100)*3)+Inputs!$B$28+Inputs!$B$29)))</f>
        <v/>
      </c>
      <c r="E1709">
        <f>INDEX(FactorTable!$B$2:$Y$301, MATCH(ROUND(MIN(300,MAX(1,D1709)),0), FactorTable!$A$2:$A$301,0), Skills!M29+1)</f>
        <v/>
      </c>
      <c r="F1709">
        <f>IF(Skills!N29=TRUE,(Skills!L29/10)*(E1709/1000),Skills!L29/10)+Skills!O29</f>
        <v/>
      </c>
      <c r="G1709">
        <f>Skills!G29*IF(Skills!H29&gt;0,Skills!I29/Skills!H29,1)</f>
        <v/>
      </c>
      <c r="H1709">
        <f>1-(1-Skills!J29/100)^Skills!K29</f>
        <v/>
      </c>
      <c r="I1709" t="inlineStr">
        <is>
          <t>1</t>
        </is>
      </c>
      <c r="J1709" t="inlineStr"/>
      <c r="K1709" t="inlineStr"/>
      <c r="L1709" t="inlineStr"/>
      <c r="M1709" t="inlineStr"/>
      <c r="N1709" t="inlineStr"/>
      <c r="O1709" t="n">
        <v>0</v>
      </c>
      <c r="P1709">
        <f>IF(B1725=0,0,O1709/B1725)</f>
        <v/>
      </c>
      <c r="Q1709" t="n">
        <v>0</v>
      </c>
      <c r="R1709" t="n">
        <v>0</v>
      </c>
      <c r="S1709">
        <f>IFERROR(O1709/N1709,0)</f>
        <v/>
      </c>
    </row>
    <row r="1710">
      <c r="A1710">
        <f>Skills!A30</f>
        <v/>
      </c>
      <c r="B1710">
        <f>Skills!B30</f>
        <v/>
      </c>
      <c r="C1710">
        <f>Inputs!$B$3&gt;=125</f>
        <v/>
      </c>
      <c r="D1710">
        <f>IF(Skills!C30=1,60+Inputs!$B$25+Inputs!$B$29,IF(Skills!C30=2,90+Inputs!$B$26+Inputs!$B$29,IF(Skills!C30=3,120+Inputs!$B$27+Inputs!$B$29,MAX(0,(Inputs!$B$3-100)*3)+Inputs!$B$28+Inputs!$B$29)))</f>
        <v/>
      </c>
      <c r="E1710">
        <f>INDEX(FactorTable!$B$2:$Y$301, MATCH(ROUND(MIN(300,MAX(1,D1710)),0), FactorTable!$A$2:$A$301,0), Skills!M30+1)</f>
        <v/>
      </c>
      <c r="F1710">
        <f>IF(Skills!N30=TRUE,(Skills!L30/10)*(E1710/1000),Skills!L30/10)+Skills!O30</f>
        <v/>
      </c>
      <c r="G1710">
        <f>Skills!G30*IF(Skills!H30&gt;0,Skills!I30/Skills!H30,1)</f>
        <v/>
      </c>
      <c r="H1710">
        <f>1-(1-Skills!J30/100)^Skills!K30</f>
        <v/>
      </c>
      <c r="I1710" t="inlineStr">
        <is>
          <t>1</t>
        </is>
      </c>
      <c r="J1710" t="inlineStr"/>
      <c r="K1710" t="inlineStr"/>
      <c r="L1710" t="inlineStr"/>
      <c r="M1710" t="inlineStr"/>
      <c r="N1710" t="inlineStr"/>
      <c r="O1710" t="n">
        <v>0</v>
      </c>
      <c r="P1710">
        <f>IF(B1725=0,0,O1710/B1725)</f>
        <v/>
      </c>
      <c r="Q1710" t="n">
        <v>0</v>
      </c>
      <c r="R1710" t="n">
        <v>0</v>
      </c>
      <c r="S1710">
        <f>IFERROR(O1710/N1710,0)</f>
        <v/>
      </c>
    </row>
    <row r="1712">
      <c r="A1712" t="inlineStr">
        <is>
          <t>Average Buff Multiplier</t>
        </is>
      </c>
      <c r="B1712">
        <f>(1+(((C1701=TRUE)*F1701*IF(AND(Inputs!$B$39&lt;&gt;"pvp",Inputs!$B$44&gt;0),(((R1701-1)*(Skills!Y21*(1+Inputs!$B$34/100))+MIN((Skills!Y21*(1+Inputs!$B$34/100)),MAX(0,Inputs!$B$44-((R1701-1)*Skills!D21))))/Inputs!$B$44),IF(Inputs!$B$39="pvp",MIN((Skills!Y21*(1+Inputs!$B$34/100)),15)/15,(Skills!Y21*(1+Inputs!$B$34/100))/Skills!D21)))+((C1703=TRUE)*(F1703-Calc!F23))+((C1697=TRUE)*(F1697-Calc!F17)))/100)*(1+((C1690=TRUE)*F1690*IF(AND(Inputs!$B$39&lt;&gt;"pvp",Inputs!$B$44&gt;0),(((R1690-1)*(Skills!Y10*(1+Inputs!$B$34/100))+MIN((Skills!Y10*(1+Inputs!$B$34/100)),MAX(0,Inputs!$B$44-((R1690-1)*Skills!D10))))/Inputs!$B$44),IF(Inputs!$B$39="pvp",MIN((Skills!Y10*(1+Inputs!$B$34/100)),15)/15,(Skills!Y10*(1+Inputs!$B$34/100))/Skills!D10)))/100)*(1+((C1695=TRUE)*F1695*IF(AND(Inputs!$B$39&lt;&gt;"pvp",Inputs!$B$44&gt;0),(((R1695-1)*(Skills!Y15*(1+Inputs!$B$34/100))+MIN((Skills!Y15*(1+Inputs!$B$34/100)),MAX(0,Inputs!$B$44-((R1695-1)*Skills!D15))))/Inputs!$B$44),IF(Inputs!$B$39="pvp",MIN((Skills!Y15*(1+Inputs!$B$34/100)),15)/15,(Skills!Y15*(1+Inputs!$B$34/100))/Skills!D15)))/100)</f>
        <v/>
      </c>
    </row>
    <row r="1713">
      <c r="A1713" t="inlineStr">
        <is>
          <t>Global Crit Rate Bonus %</t>
        </is>
      </c>
      <c r="B1713">
        <f>((C1700=TRUE)*F1700*IF(AND(Inputs!$B$39&lt;&gt;"pvp",Inputs!$B$44&gt;0),(((R1700-1)*(Skills!Y20*(1+Inputs!$B$34/100))+MIN((Skills!Y20*(1+Inputs!$B$34/100)),MAX(0,Inputs!$B$44-((R1700-1)*Skills!D20))))/Inputs!$B$44),IF(Inputs!$B$39="pvp",MIN((Skills!Y20*(1+Inputs!$B$34/100)),15)/15,(Skills!Y20*(1+Inputs!$B$34/100))/Skills!D20)))</f>
        <v/>
      </c>
    </row>
    <row r="1714">
      <c r="A1714" t="inlineStr">
        <is>
          <t>Global Monster Damage-Taken Bonus %</t>
        </is>
      </c>
      <c r="B1714">
        <f>IF(Inputs!$B$3&gt;=82,15,0)</f>
        <v/>
      </c>
    </row>
    <row r="1715">
      <c r="A1715" t="inlineStr">
        <is>
          <t>Shadow Partner Average Multiplier</t>
        </is>
      </c>
      <c r="B1715">
        <f>1+((C1687=TRUE)*F1687*(1+3.3333333333333335*IF(C1698=TRUE,F1698,0)/100)*I1687*Skills!J7/100)/100</f>
        <v/>
      </c>
    </row>
    <row r="1716">
      <c r="A1716" t="inlineStr">
        <is>
          <t>Attack Speed Buff Bonus %</t>
        </is>
      </c>
      <c r="B1716">
        <f>((C1699=TRUE)*F1699*IF(AND(Inputs!$B$39&lt;&gt;"pvp",Inputs!$B$44&gt;0),(((R1699-1)*(Skills!Y19*(1+Inputs!$B$34/100))+MIN((Skills!Y19*(1+Inputs!$B$34/100)),MAX(0,Inputs!$B$44-((R1699-1)*Skills!D19))))/Inputs!$B$44),IF(Inputs!$B$39="pvp",MIN((Skills!Y19*(1+Inputs!$B$34/100)),15)/15,(Skills!Y19*(1+Inputs!$B$34/100))/Skills!D19)))+((C1683=TRUE)*F1683*3)</f>
        <v/>
      </c>
    </row>
    <row r="1717">
      <c r="A1717" t="inlineStr">
        <is>
          <t>Actions Per Second</t>
        </is>
      </c>
      <c r="B1717">
        <f>1+MIN(150,150*(1-(1-(Inputs!$B$11+((C1702=TRUE)*(F1702-Calc!F22)))/150)*(1-B1716/150)))/100</f>
        <v/>
      </c>
    </row>
    <row r="1718">
      <c r="A1718" t="inlineStr">
        <is>
          <t>Skill + Buff Cast Rate</t>
        </is>
      </c>
      <c r="B1718">
        <f>IF(AND(Inputs!$B$39&lt;&gt;"pvp",Inputs!$B$44&gt;0),SUMPRODUCT((Skills!E2:E30=TRUE)*(C1682:C1710=TRUE)*R1682:R1710*Skills!F2:F30)/Inputs!$B$44,SUMPRODUCT((Skills!E2:E30=TRUE)*(C1682:C1710=TRUE)*Q1682:Q1710*Skills!F2:F30))</f>
        <v/>
      </c>
    </row>
    <row r="1719">
      <c r="A1719" t="inlineStr">
        <is>
          <t>Cruel Stab Casts Per Second</t>
        </is>
      </c>
      <c r="B1719">
        <f>MAX(0,B1717-B1718)</f>
        <v/>
      </c>
    </row>
    <row r="1720">
      <c r="A1720" t="inlineStr">
        <is>
          <t>Global Critical Damage Bonus % (Smokescreen Mastery Lv.113)</t>
        </is>
      </c>
      <c r="B1720">
        <f>IF(Inputs!$B$3&gt;=113,30,0)*IF(AND(Inputs!$B$39&lt;&gt;"pvp",Inputs!$B$44&gt;0),(((R1695-1)*(Skills!Y15*(1+Inputs!$B$34/100))+MIN((Skills!Y15*(1+Inputs!$B$34/100)),MAX(0,Inputs!$B$44-((R1695-1)*Skills!D15))))/Inputs!$B$44),IF(Inputs!$B$39="pvp",MIN((Skills!Y15*(1+Inputs!$B$34/100)),15)/15,(Skills!Y15*(1+Inputs!$B$34/100))/Skills!D15))</f>
        <v/>
      </c>
    </row>
    <row r="1721">
      <c r="A1721" t="inlineStr">
        <is>
          <t>Meso Explosion average stack count</t>
        </is>
      </c>
      <c r="B1721">
        <f>MIN(10,0.5*B1717*Skills!D4)</f>
        <v/>
      </c>
    </row>
    <row r="1722">
      <c r="A1722" t="inlineStr">
        <is>
          <t>Blood Money average stack count</t>
        </is>
      </c>
      <c r="B1722">
        <f>MIN(5,0.25*B1717*Skills!D4)</f>
        <v/>
      </c>
    </row>
    <row r="1723">
      <c r="A1723" t="inlineStr">
        <is>
          <t>Assassinate Murderous Intent Multiplier</t>
        </is>
      </c>
      <c r="B1723">
        <f>1+IFERROR(MIN(1,Q1694*2/Q1691),0)</f>
        <v/>
      </c>
    </row>
    <row r="1724">
      <c r="A1724" t="inlineStr">
        <is>
          <t>Buff-Casting Startup Delay (s, fixed-duration only)</t>
        </is>
      </c>
      <c r="B1724">
        <f>IF(AND(Inputs!$B$39&lt;&gt;"pvp",Inputs!$B$44&gt;0),SUMPRODUCT((Skills!Y2:Y30&gt;0)*(Skills!E2:E30=TRUE)*(C1682:C1710=TRUE))/B1717,0)</f>
        <v/>
      </c>
    </row>
    <row r="1725">
      <c r="A1725" s="5" t="inlineStr">
        <is>
          <t>TOTAL DPS</t>
        </is>
      </c>
      <c r="B1725" s="5">
        <f>SUM(O1682:O1710)</f>
        <v/>
      </c>
    </row>
    <row r="1728">
      <c r="A1728" s="5" t="inlineStr">
        <is>
          <t>Stat: CDR = 4.5s</t>
        </is>
      </c>
    </row>
    <row r="1729">
      <c r="A1729" s="9" t="inlineStr">
        <is>
          <t>Key</t>
        </is>
      </c>
      <c r="B1729" s="9" t="inlineStr">
        <is>
          <t>Name</t>
        </is>
      </c>
      <c r="C1729" s="9" t="inlineStr">
        <is>
          <t>Unlocked</t>
        </is>
      </c>
      <c r="D1729" s="9" t="inlineStr">
        <is>
          <t>InputLevel</t>
        </is>
      </c>
      <c r="E1729" s="9" t="inlineStr">
        <is>
          <t>Factor</t>
        </is>
      </c>
      <c r="F1729" s="9" t="inlineStr">
        <is>
          <t>CoefficientPercent</t>
        </is>
      </c>
      <c r="G1729" s="9" t="inlineStr">
        <is>
          <t>EffectiveHits</t>
        </is>
      </c>
      <c r="H1729" s="9" t="inlineStr">
        <is>
          <t>ProcProbability</t>
        </is>
      </c>
      <c r="I1729" s="9" t="inlineStr">
        <is>
          <t>MapleHeroMultiplier</t>
        </is>
      </c>
      <c r="J1729" s="9" t="inlineStr">
        <is>
          <t>BaseDamage</t>
        </is>
      </c>
      <c r="K1729" s="9" t="inlineStr">
        <is>
          <t>BaseHitDamage</t>
        </is>
      </c>
      <c r="L1729" s="9" t="inlineStr">
        <is>
          <t>NonCritAvg</t>
        </is>
      </c>
      <c r="M1729" s="9" t="inlineStr">
        <is>
          <t>CritAvg</t>
        </is>
      </c>
      <c r="N1729" s="9" t="inlineStr">
        <is>
          <t>ExpectedDamage(perHit)</t>
        </is>
      </c>
      <c r="O1729" s="9" t="inlineStr">
        <is>
          <t>DPS</t>
        </is>
      </c>
      <c r="P1729" s="9" t="inlineStr">
        <is>
          <t>% of Total</t>
        </is>
      </c>
      <c r="Q1729" s="9" t="inlineStr">
        <is>
          <t>InvCooldown</t>
        </is>
      </c>
      <c r="R1729" s="9" t="inlineStr">
        <is>
          <t>CastsInFight</t>
        </is>
      </c>
      <c r="S1729" s="9" t="inlineStr">
        <is>
          <t>HitRate(perSec)</t>
        </is>
      </c>
      <c r="U1729" t="inlineStr">
        <is>
          <t>helpers</t>
        </is>
      </c>
    </row>
    <row r="1730">
      <c r="A1730">
        <f>Skills!A2</f>
        <v/>
      </c>
      <c r="B1730">
        <f>Skills!B2</f>
        <v/>
      </c>
      <c r="C1730">
        <f>Inputs!$B$3&gt;=100</f>
        <v/>
      </c>
      <c r="D1730" t="inlineStr"/>
      <c r="E1730" t="inlineStr"/>
      <c r="F1730">
        <f>U1732+Skills!O2</f>
        <v/>
      </c>
      <c r="G1730">
        <f>Skills!G2*IF(Skills!H2&gt;0,Skills!I2/Skills!H2,1)</f>
        <v/>
      </c>
      <c r="H1730">
        <f>1-(1-Skills!J2/100)^Skills!K2</f>
        <v/>
      </c>
      <c r="I1730" t="inlineStr">
        <is>
          <t>1</t>
        </is>
      </c>
      <c r="J1730">
        <f>((Inputs!$B$6*(1+Inputs!$B$7/100))+(((Inputs!$B$12*(1+Inputs!$B$13/100))-(Inputs!$B$12*(1+Inputs!$B$13/100)))+0.25*(Inputs!$B$14-Inputs!$B$14))*(1+Inputs!$B$7/100))*(F1730/100)</f>
        <v/>
      </c>
      <c r="K1730">
        <f>J1730*(1+((Inputs!$B$12*(1+Inputs!$B$13/100))*0.01+Inputs!$B$14*0.0025)/100)*(1+Inputs!$B$15/100)*(1+IF(Inputs!$B$39="pvp",0,(1-Summary!$B$55)*(Inputs!$B$20+0+Skills!P2+B1762)+Summary!$B$55*(Inputs!$B$21+Skills!Q2+B1762))/100)*(1+Inputs!$B$16/100)*(5000/(6000+Inputs!$B$43*(1-Inputs!$B$19/100)))*(1+(Inputs!$B$24+((C1758=TRUE)*(F1758-Calc!F30)))/100)*(1+(IF(Skills!A2="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1730)</f>
        <v/>
      </c>
      <c r="L1730">
        <f>K1730*(MIN(Inputs!$B$22+((C1752=TRUE)*(F1752-Calc!F24)),Inputs!$B$23+((C1757=TRUE)*(F1757-Calc!F29)))/100+(Inputs!$B$23+((C1757=TRUE)*(F1757-Calc!F29)))/100)/2</f>
        <v/>
      </c>
      <c r="M1730">
        <f>L1730*(1+(Inputs!$B$10+((C1754=TRUE)*(F1754-Calc!F26))+B1768)/100)</f>
        <v/>
      </c>
      <c r="N1730">
        <f>L1730*(1-MIN((Inputs!$B$9+((C1753=TRUE)*(F1753-Calc!F25))+B1761),100)/100)+M1730*(MIN((Inputs!$B$9+((C1753=TRUE)*(F1753-Calc!F25))+B1761),100)/100)</f>
        <v/>
      </c>
      <c r="O1730">
        <f>IF(C1730,Skills!G2*N1730*B1767*IF(Inputs!$B$39="pvp",1,(1-Summary!$B$55)*(1)+Summary!$B$55*(MIN((6+Inputs!$B$33),Inputs!$B$37))),0)</f>
        <v/>
      </c>
      <c r="P1730">
        <f>IF(B1773=0,0,O1730/B1773)</f>
        <v/>
      </c>
      <c r="Q1730" t="n">
        <v>0</v>
      </c>
      <c r="R1730" t="n">
        <v>0</v>
      </c>
      <c r="S1730">
        <f>IFERROR(O1730/N1730,0)</f>
        <v/>
      </c>
      <c r="U1730">
        <f>MAX(0,(Inputs!$B$3-100)*3)+Inputs!$B$28+Inputs!$B$29</f>
        <v/>
      </c>
    </row>
    <row r="1731">
      <c r="A1731">
        <f>Skills!A3</f>
        <v/>
      </c>
      <c r="B1731">
        <f>Skills!B3</f>
        <v/>
      </c>
      <c r="C1731">
        <f>Inputs!$B$3&gt;=35</f>
        <v/>
      </c>
      <c r="D1731">
        <f>IF(Skills!C3=1,60+Inputs!$B$25+Inputs!$B$29,IF(Skills!C3=2,90+Inputs!$B$26+Inputs!$B$29,IF(Skills!C3=3,120+Inputs!$B$27+Inputs!$B$29,MAX(0,(Inputs!$B$3-100)*3)+Inputs!$B$28+Inputs!$B$29)))</f>
        <v/>
      </c>
      <c r="E1731">
        <f>INDEX(FactorTable!$B$2:$Y$301, MATCH(ROUND(MIN(300,MAX(1,D1731)),0), FactorTable!$A$2:$A$301,0), Skills!M3+1)</f>
        <v/>
      </c>
      <c r="F1731">
        <f>IF(Skills!N3=TRUE,(Skills!L3/10)*(E1731/1000),Skills!L3/10)+Skills!O3</f>
        <v/>
      </c>
      <c r="G1731">
        <f>Skills!G3*IF(Skills!H3&gt;0,Skills!I3/Skills!H3,1)</f>
        <v/>
      </c>
      <c r="H1731">
        <f>1-(1-Skills!J3/100)^Skills!K3</f>
        <v/>
      </c>
      <c r="I1731" t="inlineStr">
        <is>
          <t>1</t>
        </is>
      </c>
      <c r="J1731" t="inlineStr"/>
      <c r="K1731" t="inlineStr"/>
      <c r="L1731" t="inlineStr"/>
      <c r="M1731" t="inlineStr"/>
      <c r="N1731" t="inlineStr"/>
      <c r="O1731" t="n">
        <v>0</v>
      </c>
      <c r="P1731">
        <f>IF(B1773=0,0,O1731/B1773)</f>
        <v/>
      </c>
      <c r="Q1731" t="n">
        <v>0</v>
      </c>
      <c r="R1731" t="n">
        <v>0</v>
      </c>
      <c r="S1731">
        <f>IFERROR(O1731/N1731,0)</f>
        <v/>
      </c>
      <c r="U1731">
        <f>INDEX(FactorTable!$B$2:$Y$301, MATCH(ROUND(MIN(300,MAX(1,U1730)),0), FactorTable!$A$2:$A$301,0), 22)</f>
        <v/>
      </c>
    </row>
    <row r="1732">
      <c r="A1732">
        <f>Skills!A4</f>
        <v/>
      </c>
      <c r="B1732">
        <f>Skills!B4</f>
        <v/>
      </c>
      <c r="C1732">
        <f>Inputs!$B$3&gt;=66</f>
        <v/>
      </c>
      <c r="D1732">
        <f>IF(Skills!C4=1,60+Inputs!$B$25+Inputs!$B$29,IF(Skills!C4=2,90+Inputs!$B$26+Inputs!$B$29,IF(Skills!C4=3,120+Inputs!$B$27+Inputs!$B$29,MAX(0,(Inputs!$B$3-100)*3)+Inputs!$B$28+Inputs!$B$29)))</f>
        <v/>
      </c>
      <c r="E1732">
        <f>INDEX(FactorTable!$B$2:$Y$301, MATCH(ROUND(MIN(300,MAX(1,D1732)),0), FactorTable!$A$2:$A$301,0), Skills!M4+1)</f>
        <v/>
      </c>
      <c r="F1732">
        <f>IF(Skills!N4=TRUE,(Skills!L4/10)*(E1732/1000),Skills!L4/10)+Skills!O4</f>
        <v/>
      </c>
      <c r="G1732">
        <f>Skills!G4*IF(Skills!H4&gt;0,Skills!I4/Skills!H4,1)</f>
        <v/>
      </c>
      <c r="H1732">
        <f>1-(1-Skills!J4/100)^Skills!K4</f>
        <v/>
      </c>
      <c r="I1732" t="inlineStr">
        <is>
          <t>1</t>
        </is>
      </c>
      <c r="J1732">
        <f>((Inputs!$B$6*(1+Inputs!$B$7/100))+(((Inputs!$B$12*(1+Inputs!$B$13/100))-(Inputs!$B$12*(1+Inputs!$B$13/100)))+0.25*(Inputs!$B$14-Inputs!$B$14))*(1+Inputs!$B$7/100))*(F1732/100)</f>
        <v/>
      </c>
      <c r="K1732">
        <f>J1732*(1+((Inputs!$B$12*(1+Inputs!$B$13/100))*0.01+Inputs!$B$14*0.0025)/100)*(1+Inputs!$B$15/100)*(1+IF(Inputs!$B$39="pvp",0,(1-Summary!$B$55)*(Inputs!$B$20+0+Skills!P4+B1762)+Summary!$B$55*(Inputs!$B$21+Skills!Q4+B1762))/100)*(1+Inputs!$B$16/100)*(5000/(6000+Inputs!$B$43*(1-Inputs!$B$19/100)))*(1+(Inputs!$B$24+((C1758=TRUE)*(F1758-Calc!F30)))/100)*(1+(IF(Skills!A4="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1732)</f>
        <v/>
      </c>
      <c r="L1732">
        <f>K1732*(MIN(Inputs!$B$22+((C1752=TRUE)*(F1752-Calc!F24)),Inputs!$B$23+((C1757=TRUE)*(F1757-Calc!F29)))/100+(Inputs!$B$23+((C1757=TRUE)*(F1757-Calc!F29)))/100)/2</f>
        <v/>
      </c>
      <c r="M1732">
        <f>L1732*(1+(Inputs!$B$10+((C1754=TRUE)*(F1754-Calc!F26))+B1768)/100)</f>
        <v/>
      </c>
      <c r="N1732">
        <f>L1732*(1-MIN((Inputs!$B$9+((C1753=TRUE)*(F1753-Calc!F25))+B1761),100)/100)+M1732*(MIN((Inputs!$B$9+((C1753=TRUE)*(F1753-Calc!F25))+B1761),100)/100)</f>
        <v/>
      </c>
      <c r="O1732">
        <f>IF(C1732,H1732*N1732*IF(AND(Inputs!$B$39&lt;&gt;"pvp",Inputs!$B$44&gt;0),((Skills!G4*((R1732-1)*IF(Skills!H4&gt;0,Skills!I4/Skills!H4,1)+IF(Skills!H4&gt;0,MIN(Skills!I4,MAX(0,MAX(0,Inputs!$B$44-B1772)-((R1732-1)*IF(Inputs!$B$39="pvp",15,MAX(0.1,Skills!D4-IF(Skills!E4=TRUE,4.5,0))))))/Skills!H4,1)))/Inputs!$B$44),G1732*Q1732)*IF(Inputs!$B$39="pvp",1,(1-Summary!$B$55)*(1)+Summary!$B$55*(MIN(MIN(10,0.5*B1765*Skills!D4),Inputs!$B$37))),0)</f>
        <v/>
      </c>
      <c r="P1732">
        <f>IF(B1773=0,0,O1732/B1773)</f>
        <v/>
      </c>
      <c r="Q1732">
        <f>IFERROR(1/IF(Inputs!$B$39="pvp",15,MAX(0.1,Skills!D4-IF(Skills!E4=TRUE,4.5,0))),0)</f>
        <v/>
      </c>
      <c r="R1732">
        <f>IF(AND(Inputs!$B$39&lt;&gt;"pvp",Inputs!$B$44&gt;0),IF(MAX(0,Inputs!$B$44-B1772)&lt;=0,0,(INT(MAX(0,Inputs!$B$44-B1772)/IF(Inputs!$B$39="pvp",15,MAX(0.1,Skills!D4-IF(Skills!E4=TRUE,4.5,0))))+1)),0)</f>
        <v/>
      </c>
      <c r="S1732">
        <f>IFERROR(O1732/N1732,0)</f>
        <v/>
      </c>
      <c r="U1732">
        <f>290*U1731/1000</f>
        <v/>
      </c>
    </row>
    <row r="1733">
      <c r="A1733">
        <f>Skills!A5</f>
        <v/>
      </c>
      <c r="B1733">
        <f>Skills!B5</f>
        <v/>
      </c>
      <c r="C1733">
        <f>Inputs!$B$3&gt;=63</f>
        <v/>
      </c>
      <c r="D1733">
        <f>IF(Skills!C5=1,60+Inputs!$B$25+Inputs!$B$29,IF(Skills!C5=2,90+Inputs!$B$26+Inputs!$B$29,IF(Skills!C5=3,120+Inputs!$B$27+Inputs!$B$29,MAX(0,(Inputs!$B$3-100)*3)+Inputs!$B$28+Inputs!$B$29)))</f>
        <v/>
      </c>
      <c r="E1733">
        <f>INDEX(FactorTable!$B$2:$Y$301, MATCH(ROUND(MIN(300,MAX(1,D1733)),0), FactorTable!$A$2:$A$301,0), Skills!M5+1)</f>
        <v/>
      </c>
      <c r="F1733">
        <f>IF(Skills!N5=TRUE,(Skills!L5/10)*(E1733/1000),Skills!L5/10)+Skills!O5</f>
        <v/>
      </c>
      <c r="G1733">
        <f>Skills!G5*IF(Skills!H5&gt;0,Skills!I5/Skills!H5,1)</f>
        <v/>
      </c>
      <c r="H1733">
        <f>1-(1-Skills!J5/100)^Skills!K5</f>
        <v/>
      </c>
      <c r="I1733" t="inlineStr">
        <is>
          <t>1</t>
        </is>
      </c>
      <c r="J1733">
        <f>((Inputs!$B$6*(1+Inputs!$B$7/100))+(((Inputs!$B$12*(1+Inputs!$B$13/100))-(Inputs!$B$12*(1+Inputs!$B$13/100)))+0.25*(Inputs!$B$14-Inputs!$B$14))*(1+Inputs!$B$7/100))*(F1733/100)</f>
        <v/>
      </c>
      <c r="K1733">
        <f>J1733*(1+((Inputs!$B$12*(1+Inputs!$B$13/100))*0.01+Inputs!$B$14*0.0025)/100)*(1+Inputs!$B$15/100)*(1+IF(Inputs!$B$39="pvp",0,(1-Summary!$B$55)*(Inputs!$B$20+0+Skills!P5+B1762)+Summary!$B$55*(Inputs!$B$21+Skills!Q5+B1762))/100)*(1+Inputs!$B$16/100)*(5000/(6000+Inputs!$B$43*(1-Inputs!$B$19/100)))*(1+(Inputs!$B$24+((C1758=TRUE)*(F1758-Calc!F30)))/100)*(1+2.6666666666666665*IF(C1746=TRUE,F1746,0)/100)*(1+(IF(Skills!A5="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1733)</f>
        <v/>
      </c>
      <c r="L1733">
        <f>K1733*(MIN(Inputs!$B$22+((C1752=TRUE)*(F1752-Calc!F24)),Inputs!$B$23+((C1757=TRUE)*(F1757-Calc!F29)))/100+(Inputs!$B$23+((C1757=TRUE)*(F1757-Calc!F29)))/100)/2</f>
        <v/>
      </c>
      <c r="M1733">
        <f>L1733*(1+(Inputs!$B$10+((C1754=TRUE)*(F1754-Calc!F26))+B1768)/100)</f>
        <v/>
      </c>
      <c r="N1733">
        <f>L1733*(1-MIN((Inputs!$B$9+((C1753=TRUE)*(F1753-Calc!F25))+B1761),100)/100)+M1733*(MIN((Inputs!$B$9+((C1753=TRUE)*(F1753-Calc!F25))+B1761),100)/100)</f>
        <v/>
      </c>
      <c r="O1733">
        <f>IF(C1733,H1733*N1733*IF(AND(Inputs!$B$39&lt;&gt;"pvp",Inputs!$B$44&gt;0),((Skills!G5*((R1733-1)*IF(Skills!H5&gt;0,Skills!I5/Skills!H5,1)+IF(Skills!H5&gt;0,MIN(Skills!I5,MAX(0,MAX(0,Inputs!$B$44-B1772)-((R1733-1)*IF(Inputs!$B$39="pvp",15,MAX(0.1,Skills!D5-IF(Skills!E5=TRUE,4.5,0))))))/Skills!H5,1)))/Inputs!$B$44),G1733*Q1733)*IF(Inputs!$B$39="pvp",1,(1-Summary!$B$55)*(1)+Summary!$B$55*(MIN(Skills!W5,Inputs!$B$37))),0)</f>
        <v/>
      </c>
      <c r="P1733">
        <f>IF(B1773=0,0,O1733/B1773)</f>
        <v/>
      </c>
      <c r="Q1733">
        <f>IFERROR(1/IF(Inputs!$B$39="pvp",15,MAX(0.1,Skills!D5-IF(Skills!E5=TRUE,4.5,0))),0)</f>
        <v/>
      </c>
      <c r="R1733">
        <f>IF(AND(Inputs!$B$39&lt;&gt;"pvp",Inputs!$B$44&gt;0),IF(MAX(0,Inputs!$B$44-B1772)&lt;=0,0,(INT(MAX(0,Inputs!$B$44-B1772)/IF(Inputs!$B$39="pvp",15,MAX(0.1,Skills!D5-IF(Skills!E5=TRUE,4.5,0))))+1)),0)</f>
        <v/>
      </c>
      <c r="S1733">
        <f>IFERROR(O1733/N1733,0)</f>
        <v/>
      </c>
    </row>
    <row r="1734">
      <c r="A1734">
        <f>Skills!A6</f>
        <v/>
      </c>
      <c r="B1734">
        <f>Skills!B6</f>
        <v/>
      </c>
      <c r="C1734">
        <f>Inputs!$B$3&gt;=69</f>
        <v/>
      </c>
      <c r="D1734">
        <f>IF(Skills!C6=1,60+Inputs!$B$25+Inputs!$B$29,IF(Skills!C6=2,90+Inputs!$B$26+Inputs!$B$29,IF(Skills!C6=3,120+Inputs!$B$27+Inputs!$B$29,MAX(0,(Inputs!$B$3-100)*3)+Inputs!$B$28+Inputs!$B$29)))</f>
        <v/>
      </c>
      <c r="E1734">
        <f>INDEX(FactorTable!$B$2:$Y$301, MATCH(ROUND(MIN(300,MAX(1,D1734)),0), FactorTable!$A$2:$A$301,0), Skills!M6+1)</f>
        <v/>
      </c>
      <c r="F1734">
        <f>IF(Skills!N6=TRUE,(Skills!L6/10)*(E1734/1000),Skills!L6/10)+Skills!O6</f>
        <v/>
      </c>
      <c r="G1734">
        <f>Skills!G6*IF(Skills!H6&gt;0,Skills!I6/Skills!H6,1)</f>
        <v/>
      </c>
      <c r="H1734">
        <f>1-(1-Skills!J6/100)^Skills!K6</f>
        <v/>
      </c>
      <c r="I1734" t="inlineStr">
        <is>
          <t>1</t>
        </is>
      </c>
      <c r="J1734">
        <f>((Inputs!$B$6*(1+Inputs!$B$7/100))+(((Inputs!$B$12*(1+Inputs!$B$13/100))-(Inputs!$B$12*(1+Inputs!$B$13/100)))+0.25*(Inputs!$B$14-Inputs!$B$14))*(1+Inputs!$B$7/100))*(F1734/100)</f>
        <v/>
      </c>
      <c r="K1734">
        <f>J1734*(1+((Inputs!$B$12*(1+Inputs!$B$13/100))*0.01+Inputs!$B$14*0.0025)/100)*(1+Inputs!$B$15/100)*(1+IF(Inputs!$B$39="pvp",0,(1-Summary!$B$55)*(Inputs!$B$20+0+Skills!P6+B1762)+Summary!$B$55*(Inputs!$B$21+Skills!Q6+B1762))/100)*(1+Inputs!$B$16/100)*(5000/(6000+Inputs!$B$43*(1-Inputs!$B$19/100)))*(1+(Inputs!$B$24+((C1758=TRUE)*(F1758-Calc!F30)))/100)*(1+1.0*IF(C1746=TRUE,F1746,0)/100)*(1+(IF(Skills!A6="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1734)</f>
        <v/>
      </c>
      <c r="L1734">
        <f>K1734*(MIN(Inputs!$B$22+((C1752=TRUE)*(F1752-Calc!F24)),Inputs!$B$23+((C1757=TRUE)*(F1757-Calc!F29)))/100+(Inputs!$B$23+((C1757=TRUE)*(F1757-Calc!F29)))/100)/2</f>
        <v/>
      </c>
      <c r="M1734">
        <f>L1734*(1+(Inputs!$B$10+((C1754=TRUE)*(F1754-Calc!F26))+B1768)/100)</f>
        <v/>
      </c>
      <c r="N1734">
        <f>L1734*(1-MIN((Inputs!$B$9+((C1753=TRUE)*(F1753-Calc!F25))+B1761),100)/100)+M1734*(MIN((Inputs!$B$9+((C1753=TRUE)*(F1753-Calc!F25))+B1761),100)/100)</f>
        <v/>
      </c>
      <c r="O1734">
        <f>IF(C1734,H1734*N1734*IF(AND(Inputs!$B$39&lt;&gt;"pvp",Inputs!$B$44&gt;0),((Skills!G6*((R1734-1)*IF(Skills!H6&gt;0,Skills!I6/Skills!H6,1)+IF(Skills!H6&gt;0,MIN(Skills!I6,MAX(0,MAX(0,Inputs!$B$44-B1772)-((R1734-1)*IF(Inputs!$B$39="pvp",15,MAX(0.1,Skills!D6-IF(Skills!E6=TRUE,4.5,0))))))/Skills!H6,1)))/Inputs!$B$44),G1734*Q1734)*IF(Inputs!$B$39="pvp",1,(1-Summary!$B$55)*(1)+Summary!$B$55*(MIN(Skills!W6,Inputs!$B$37))),0)</f>
        <v/>
      </c>
      <c r="P1734">
        <f>IF(B1773=0,0,O1734/B1773)</f>
        <v/>
      </c>
      <c r="Q1734">
        <f>IFERROR(1/IF(Inputs!$B$39="pvp",15,MAX(0.1,Skills!D6-IF(Skills!E6=TRUE,4.5,0))),0)</f>
        <v/>
      </c>
      <c r="R1734">
        <f>IF(AND(Inputs!$B$39&lt;&gt;"pvp",Inputs!$B$44&gt;0),IF(MAX(0,Inputs!$B$44-B1772)&lt;=0,0,(INT(MAX(0,Inputs!$B$44-B1772)/IF(Inputs!$B$39="pvp",15,MAX(0.1,Skills!D6-IF(Skills!E6=TRUE,4.5,0))))+1)),0)</f>
        <v/>
      </c>
      <c r="S1734">
        <f>IFERROR(O1734/N1734,0)</f>
        <v/>
      </c>
    </row>
    <row r="1735">
      <c r="A1735">
        <f>Skills!A7</f>
        <v/>
      </c>
      <c r="B1735">
        <f>Skills!B7</f>
        <v/>
      </c>
      <c r="C1735">
        <f>Inputs!$B$3&gt;=60</f>
        <v/>
      </c>
      <c r="D1735">
        <f>IF(Skills!C7=1,60+Inputs!$B$25+Inputs!$B$29,IF(Skills!C7=2,90+Inputs!$B$26+Inputs!$B$29,IF(Skills!C7=3,120+Inputs!$B$27+Inputs!$B$29,MAX(0,(Inputs!$B$3-100)*3)+Inputs!$B$28+Inputs!$B$29)))</f>
        <v/>
      </c>
      <c r="E1735">
        <f>INDEX(FactorTable!$B$2:$Y$301, MATCH(ROUND(MIN(300,MAX(1,D1735)),0), FactorTable!$A$2:$A$301,0), Skills!M7+1)</f>
        <v/>
      </c>
      <c r="F1735">
        <f>IF(Skills!N7=TRUE,(Skills!L7/10)*(E1735/1000),Skills!L7/10)+Skills!O7</f>
        <v/>
      </c>
      <c r="G1735">
        <f>Skills!G7*IF(Skills!H7&gt;0,Skills!I7/Skills!H7,1)</f>
        <v/>
      </c>
      <c r="H1735">
        <f>1-(1-Skills!J7/100)^Skills!K7</f>
        <v/>
      </c>
      <c r="I1735" t="inlineStr">
        <is>
          <t>1</t>
        </is>
      </c>
      <c r="J1735" t="inlineStr"/>
      <c r="K1735" t="inlineStr"/>
      <c r="L1735" t="inlineStr"/>
      <c r="M1735" t="inlineStr"/>
      <c r="N1735" t="inlineStr"/>
      <c r="O1735" t="n">
        <v>0</v>
      </c>
      <c r="P1735">
        <f>IF(B1773=0,0,O1735/B1773)</f>
        <v/>
      </c>
      <c r="Q1735" t="n">
        <v>0</v>
      </c>
      <c r="R1735" t="n">
        <v>0</v>
      </c>
      <c r="S1735">
        <f>IFERROR(O1735/N1735,0)</f>
        <v/>
      </c>
    </row>
    <row r="1736">
      <c r="A1736">
        <f>Skills!A8</f>
        <v/>
      </c>
      <c r="B1736">
        <f>Skills!B8</f>
        <v/>
      </c>
      <c r="C1736">
        <f>Inputs!$B$3&gt;=72</f>
        <v/>
      </c>
      <c r="D1736">
        <f>IF(Skills!C8=1,60+Inputs!$B$25+Inputs!$B$29,IF(Skills!C8=2,90+Inputs!$B$26+Inputs!$B$29,IF(Skills!C8=3,120+Inputs!$B$27+Inputs!$B$29,MAX(0,(Inputs!$B$3-100)*3)+Inputs!$B$28+Inputs!$B$29)))</f>
        <v/>
      </c>
      <c r="E1736">
        <f>INDEX(FactorTable!$B$2:$Y$301, MATCH(ROUND(MIN(300,MAX(1,D1736)),0), FactorTable!$A$2:$A$301,0), Skills!M8+1)</f>
        <v/>
      </c>
      <c r="F1736">
        <f>IF(Skills!N8=TRUE,(Skills!L8/10)*(E1736/1000),Skills!L8/10)+Skills!O8</f>
        <v/>
      </c>
      <c r="G1736">
        <f>Skills!G8*IF(Skills!H8&gt;0,Skills!I8/Skills!H8,1)</f>
        <v/>
      </c>
      <c r="H1736">
        <f>1-(1-Skills!J8/100)^Skills!K8</f>
        <v/>
      </c>
      <c r="I1736" t="inlineStr">
        <is>
          <t>1</t>
        </is>
      </c>
      <c r="J1736">
        <f>((Inputs!$B$6*(1+Inputs!$B$7/100))+(((Inputs!$B$12*(1+Inputs!$B$13/100))-(Inputs!$B$12*(1+Inputs!$B$13/100)))+0.25*(Inputs!$B$14-Inputs!$B$14))*(1+Inputs!$B$7/100))*(F1736/100)</f>
        <v/>
      </c>
      <c r="K1736">
        <f>J1736*(1+((Inputs!$B$12*(1+Inputs!$B$13/100))*0.01+Inputs!$B$14*0.0025)/100)*(1+Inputs!$B$15/100)*(1+IF(Inputs!$B$39="pvp",0,(1-Summary!$B$55)*(Inputs!$B$20+0+Skills!P8+B1762)+Summary!$B$55*(Inputs!$B$21+Skills!Q8+B1762))/100)*(1+Inputs!$B$16/100)*(5000/(6000+Inputs!$B$43*(1-Inputs!$B$19/100)))*(1+(Inputs!$B$24+((C1758=TRUE)*(F1758-Calc!F30)))/100)*(1+3.3333333333333335*IF(C1746=TRUE,F1746,0)/100)*(1+(IF(Skills!A8="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1736)</f>
        <v/>
      </c>
      <c r="L1736">
        <f>K1736*(MIN(Inputs!$B$22+((C1752=TRUE)*(F1752-Calc!F24)),Inputs!$B$23+((C1757=TRUE)*(F1757-Calc!F29)))/100+(Inputs!$B$23+((C1757=TRUE)*(F1757-Calc!F29)))/100)/2</f>
        <v/>
      </c>
      <c r="M1736">
        <f>L1736*(1+(Inputs!$B$10+((C1754=TRUE)*(F1754-Calc!F26))+B1768)/100)</f>
        <v/>
      </c>
      <c r="N1736">
        <f>L1736*(1-MIN((Inputs!$B$9+((C1753=TRUE)*(F1753-Calc!F25))+B1761),100)/100)+M1736*(MIN((Inputs!$B$9+((C1753=TRUE)*(F1753-Calc!F25))+B1761),100)/100)</f>
        <v/>
      </c>
      <c r="O1736">
        <f>IF(C1736,H1736*N1736*IF(AND(Inputs!$B$39&lt;&gt;"pvp",Inputs!$B$44&gt;0),((Skills!G8*((R1736-1)*IF(Skills!H8&gt;0,Skills!I8/Skills!H8,1)+IF(Skills!H8&gt;0,MIN(Skills!I8,MAX(0,MAX(0,Inputs!$B$44-B1772)-((R1736-1)*IF(Inputs!$B$39="pvp",15,MAX(0.1,Skills!D8-IF(Skills!E8=TRUE,4.5,0))))))/Skills!H8,1)))/Inputs!$B$44),G1736*Q1736)*IF(Inputs!$B$39="pvp",1,(1-Summary!$B$55)*(1)+Summary!$B$55*(MIN(Skills!W8,Inputs!$B$37))),0)</f>
        <v/>
      </c>
      <c r="P1736">
        <f>IF(B1773=0,0,O1736/B1773)</f>
        <v/>
      </c>
      <c r="Q1736">
        <f>IFERROR(1/IF(Inputs!$B$39="pvp",15,MAX(0.1,Skills!D8-IF(Skills!E8=TRUE,4.5,0))),0)</f>
        <v/>
      </c>
      <c r="R1736">
        <f>IF(AND(Inputs!$B$39&lt;&gt;"pvp",Inputs!$B$44&gt;0),IF(MAX(0,Inputs!$B$44-B1772)&lt;=0,0,(INT(MAX(0,Inputs!$B$44-B1772)/IF(Inputs!$B$39="pvp",15,MAX(0.1,Skills!D8-IF(Skills!E8=TRUE,4.5,0))))+1)),0)</f>
        <v/>
      </c>
      <c r="S1736">
        <f>IFERROR(O1736/N1736,0)</f>
        <v/>
      </c>
    </row>
    <row r="1737">
      <c r="A1737">
        <f>Skills!A9</f>
        <v/>
      </c>
      <c r="B1737">
        <f>Skills!B9</f>
        <v/>
      </c>
      <c r="C1737">
        <f>Inputs!$B$3&gt;=117</f>
        <v/>
      </c>
      <c r="D1737">
        <f>IF(Skills!C9=1,60+Inputs!$B$25+Inputs!$B$29,IF(Skills!C9=2,90+Inputs!$B$26+Inputs!$B$29,IF(Skills!C9=3,120+Inputs!$B$27+Inputs!$B$29,MAX(0,(Inputs!$B$3-100)*3)+Inputs!$B$28+Inputs!$B$29)))</f>
        <v/>
      </c>
      <c r="E1737">
        <f>INDEX(FactorTable!$B$2:$Y$301, MATCH(ROUND(MIN(300,MAX(1,D1737)),0), FactorTable!$A$2:$A$301,0), Skills!M9+1)</f>
        <v/>
      </c>
      <c r="F1737">
        <f>IF(Skills!N9=TRUE,(Skills!L9/10)*(E1737/1000),Skills!L9/10)+Skills!O9</f>
        <v/>
      </c>
      <c r="G1737">
        <f>Skills!G9*IF(Skills!H9&gt;0,Skills!I9/Skills!H9,1)</f>
        <v/>
      </c>
      <c r="H1737">
        <f>1-(1-Skills!J9/100)^Skills!K9</f>
        <v/>
      </c>
      <c r="I1737" t="inlineStr">
        <is>
          <t>1</t>
        </is>
      </c>
      <c r="J1737">
        <f>((Inputs!$B$6*(1+Inputs!$B$7/100))+(((Inputs!$B$12*(1+Inputs!$B$13/100))-(Inputs!$B$12*(1+Inputs!$B$13/100)))+0.25*(Inputs!$B$14-Inputs!$B$14))*(1+Inputs!$B$7/100))*(F1737/100)</f>
        <v/>
      </c>
      <c r="K1737">
        <f>J1737*(1+((Inputs!$B$12*(1+Inputs!$B$13/100))*0.01+Inputs!$B$14*0.0025)/100)*(1+Inputs!$B$15/100)*(1+IF(Inputs!$B$39="pvp",0,(1-Summary!$B$55)*(Inputs!$B$20+0+Skills!P9+B1762)+Summary!$B$55*(Inputs!$B$21+Skills!Q9+B1762))/100)*(1+Inputs!$B$16/100)*(5000/(6000+Inputs!$B$43*(1-Inputs!$B$19/100)))*(1+(Inputs!$B$24+((C1758=TRUE)*(F1758-Calc!F30)))/100)*(1+(IF(Skills!A9="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1737)</f>
        <v/>
      </c>
      <c r="L1737">
        <f>K1737*(MIN(Inputs!$B$22+((C1752=TRUE)*(F1752-Calc!F24)),Inputs!$B$23+((C1757=TRUE)*(F1757-Calc!F29)))/100+(Inputs!$B$23+((C1757=TRUE)*(F1757-Calc!F29)))/100)/2</f>
        <v/>
      </c>
      <c r="M1737">
        <f>L1737*(1+(Inputs!$B$10+((C1754=TRUE)*(F1754-Calc!F26))+B1768)/100)</f>
        <v/>
      </c>
      <c r="N1737">
        <f>L1737*(1-MIN((Inputs!$B$9+((C1753=TRUE)*(F1753-Calc!F25))+B1761),100)/100)+M1737*(MIN((Inputs!$B$9+((C1753=TRUE)*(F1753-Calc!F25))+B1761),100)/100)</f>
        <v/>
      </c>
      <c r="O1737">
        <f>IF(C1737,0.2*SUMPRODUCT((Skills!Z2:Z30=TRUE)*(C1730:C1758=TRUE)*S1730:S1758)*N1737,0)</f>
        <v/>
      </c>
      <c r="P1737">
        <f>IF(B1773=0,0,O1737/B1773)</f>
        <v/>
      </c>
      <c r="Q1737" t="n">
        <v>0</v>
      </c>
      <c r="R1737" t="n">
        <v>0</v>
      </c>
      <c r="S1737" t="n">
        <v>0</v>
      </c>
    </row>
    <row r="1738">
      <c r="A1738">
        <f>Skills!A10</f>
        <v/>
      </c>
      <c r="B1738">
        <f>Skills!B10</f>
        <v/>
      </c>
      <c r="C1738">
        <f>Inputs!$B$3&gt;=74</f>
        <v/>
      </c>
      <c r="D1738">
        <f>IF(Skills!C10=1,60+Inputs!$B$25+Inputs!$B$29,IF(Skills!C10=2,90+Inputs!$B$26+Inputs!$B$29,IF(Skills!C10=3,120+Inputs!$B$27+Inputs!$B$29,MAX(0,(Inputs!$B$3-100)*3)+Inputs!$B$28+Inputs!$B$29)))</f>
        <v/>
      </c>
      <c r="E1738">
        <f>INDEX(FactorTable!$B$2:$Y$301, MATCH(ROUND(MIN(300,MAX(1,D1738)),0), FactorTable!$A$2:$A$301,0), Skills!M10+1)</f>
        <v/>
      </c>
      <c r="F1738">
        <f>IF(Skills!N10=TRUE,(Skills!L10/10)*(E1738/1000),Skills!L10/10)+Skills!O10</f>
        <v/>
      </c>
      <c r="G1738">
        <f>Skills!G10*IF(Skills!H10&gt;0,Skills!I10/Skills!H10,1)</f>
        <v/>
      </c>
      <c r="H1738">
        <f>1-(1-Skills!J10/100)^Skills!K10</f>
        <v/>
      </c>
      <c r="I1738" t="inlineStr">
        <is>
          <t>1</t>
        </is>
      </c>
      <c r="J1738" t="inlineStr"/>
      <c r="K1738" t="inlineStr"/>
      <c r="L1738" t="inlineStr"/>
      <c r="M1738" t="inlineStr"/>
      <c r="N1738" t="inlineStr"/>
      <c r="O1738" t="n">
        <v>0</v>
      </c>
      <c r="P1738">
        <f>IF(B1773=0,0,O1738/B1773)</f>
        <v/>
      </c>
      <c r="Q1738">
        <f>IFERROR(1/IF(Inputs!$B$39="pvp",15,MAX(0.1,Skills!D10-IF(Skills!E10=TRUE,4.5,0))),0)</f>
        <v/>
      </c>
      <c r="R1738">
        <f>IF(AND(Inputs!$B$39&lt;&gt;"pvp",Inputs!$B$44&gt;0),IF(Inputs!$B$44&lt;=0,0,(INT(Inputs!$B$44/IF(Inputs!$B$39="pvp",15,MAX(0.1,Skills!D10-IF(Skills!E10=TRUE,4.5,0))))+1)),0)</f>
        <v/>
      </c>
      <c r="S1738">
        <f>IFERROR(O1738/N1738,0)</f>
        <v/>
      </c>
    </row>
    <row r="1739">
      <c r="A1739">
        <f>Skills!A11</f>
        <v/>
      </c>
      <c r="B1739">
        <f>Skills!B11</f>
        <v/>
      </c>
      <c r="C1739">
        <f>Inputs!$B$3&gt;=103</f>
        <v/>
      </c>
      <c r="D1739">
        <f>IF(Skills!C11=1,60+Inputs!$B$25+Inputs!$B$29,IF(Skills!C11=2,90+Inputs!$B$26+Inputs!$B$29,IF(Skills!C11=3,120+Inputs!$B$27+Inputs!$B$29,MAX(0,(Inputs!$B$3-100)*3)+Inputs!$B$28+Inputs!$B$29)))</f>
        <v/>
      </c>
      <c r="E1739">
        <f>INDEX(FactorTable!$B$2:$Y$301, MATCH(ROUND(MIN(300,MAX(1,D1739)),0), FactorTable!$A$2:$A$301,0), Skills!M11+1)</f>
        <v/>
      </c>
      <c r="F1739">
        <f>(Skills!L11/10)*(E1739/1000)+IF(Inputs!$B$3&gt;=134,50,0)+0.5*(30000/10)*(INDEX(FactorTable!$B$2:$Y$301, MATCH(ROUND(MIN(300,MAX(1,D1739)),0), FactorTable!$A$2:$A$301,0), 13)/1000)*B1771</f>
        <v/>
      </c>
      <c r="G1739">
        <f>Skills!G11*IF(Skills!H11&gt;0,Skills!I11/Skills!H11,1)</f>
        <v/>
      </c>
      <c r="H1739">
        <f>1-(1-Skills!J11/100)^Skills!K11</f>
        <v/>
      </c>
      <c r="I1739" t="inlineStr">
        <is>
          <t>1</t>
        </is>
      </c>
      <c r="J1739">
        <f>((Inputs!$B$6*(1+Inputs!$B$7/100))+(((Inputs!$B$12*(1+Inputs!$B$13/100))-(Inputs!$B$12*(1+Inputs!$B$13/100)))+0.25*(Inputs!$B$14-Inputs!$B$14))*(1+Inputs!$B$7/100))*(F1739/100)</f>
        <v/>
      </c>
      <c r="K1739">
        <f>J1739*(1+((Inputs!$B$12*(1+Inputs!$B$13/100))*0.01+Inputs!$B$14*0.0025)/100)*(1+Inputs!$B$15/100)*(1+IF(Inputs!$B$39="pvp",0,(1-Summary!$B$55)*(Inputs!$B$20+0+Skills!P11+B1762)+Summary!$B$55*(Inputs!$B$21+Skills!Q11+B1762))/100)*(1+Inputs!$B$16/100)*(5000/(6000+Inputs!$B$43*(1-Inputs!$B$19/100)))*(1+(Inputs!$B$24+((C1758=TRUE)*(F1758-Calc!F30)))/100)*(1+(IF(Skills!A11="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1739)</f>
        <v/>
      </c>
      <c r="L1739">
        <f>K1739*(MIN(Inputs!$B$22+((C1752=TRUE)*(F1752-Calc!F24)),Inputs!$B$23+((C1757=TRUE)*(F1757-Calc!F29)))/100+(Inputs!$B$23+((C1757=TRUE)*(F1757-Calc!F29)))/100)/2</f>
        <v/>
      </c>
      <c r="M1739">
        <f>L1739*(1+(Inputs!$B$10+((C1754=TRUE)*(F1754-Calc!F26))+B1768)/100)</f>
        <v/>
      </c>
      <c r="N1739">
        <f>L1739*(1-MIN((Inputs!$B$9+((C1753=TRUE)*(F1753-Calc!F25))+B1761),100)/100)+M1739*(MIN((Inputs!$B$9+((C1753=TRUE)*(F1753-Calc!F25))+B1761),100)/100)</f>
        <v/>
      </c>
      <c r="O1739">
        <f>IF(C1739,H1739*N1739*IF(AND(Inputs!$B$39&lt;&gt;"pvp",Inputs!$B$44&gt;0),((Skills!G11*((R1739-1)*IF(Skills!H11&gt;0,Skills!I11/Skills!H11,1)+IF(Skills!H11&gt;0,MIN(Skills!I11,MAX(0,MAX(0,Inputs!$B$44-B1772)-((R1739-1)*IF(Inputs!$B$39="pvp",15,MAX(0.1,Skills!D11-IF(Skills!E11=TRUE,4.5,0))))))/Skills!H11,1)))/Inputs!$B$44),G1739*Q1739)*IF(Inputs!$B$39="pvp",1,(1-Summary!$B$55)*(1)+Summary!$B$55*(MIN(Skills!W11,Inputs!$B$37))),0)</f>
        <v/>
      </c>
      <c r="P1739">
        <f>IF(B1773=0,0,O1739/B1773)</f>
        <v/>
      </c>
      <c r="Q1739">
        <f>IFERROR(1/IF(Inputs!$B$39="pvp",15,MAX(0.1,Skills!D11-IF(Skills!E11=TRUE,4.5,0))),0)</f>
        <v/>
      </c>
      <c r="R1739">
        <f>IF(AND(Inputs!$B$39&lt;&gt;"pvp",Inputs!$B$44&gt;0),IF(MAX(0,Inputs!$B$44-B1772)&lt;=0,0,(INT(MAX(0,Inputs!$B$44-B1772)/IF(Inputs!$B$39="pvp",15,MAX(0.1,Skills!D11-IF(Skills!E11=TRUE,4.5,0))))+1)),0)</f>
        <v/>
      </c>
      <c r="S1739">
        <f>IFERROR(O1739/N1739,0)</f>
        <v/>
      </c>
    </row>
    <row r="1740">
      <c r="A1740">
        <f>Skills!A12</f>
        <v/>
      </c>
      <c r="B1740">
        <f>Skills!B12</f>
        <v/>
      </c>
      <c r="C1740">
        <f>Inputs!$B$3&gt;=105</f>
        <v/>
      </c>
      <c r="D1740">
        <f>IF(Skills!C12=1,60+Inputs!$B$25+Inputs!$B$29,IF(Skills!C12=2,90+Inputs!$B$26+Inputs!$B$29,IF(Skills!C12=3,120+Inputs!$B$27+Inputs!$B$29,MAX(0,(Inputs!$B$3-100)*3)+Inputs!$B$28+Inputs!$B$29)))</f>
        <v/>
      </c>
      <c r="E1740">
        <f>INDEX(FactorTable!$B$2:$Y$301, MATCH(ROUND(MIN(300,MAX(1,D1740)),0), FactorTable!$A$2:$A$301,0), Skills!M12+1)</f>
        <v/>
      </c>
      <c r="F1740">
        <f>IF(Skills!N12=TRUE,(Skills!L12/10)*(E1740/1000),Skills!L12/10)+Skills!O12</f>
        <v/>
      </c>
      <c r="G1740">
        <f>Skills!G12*IF(Skills!H12&gt;0,Skills!I12/Skills!H12,1)</f>
        <v/>
      </c>
      <c r="H1740">
        <f>1-(1-Skills!J12/100)^Skills!K12</f>
        <v/>
      </c>
      <c r="I1740" t="inlineStr">
        <is>
          <t>1</t>
        </is>
      </c>
      <c r="J1740">
        <f>((Inputs!$B$6*(1+Inputs!$B$7/100))+(((Inputs!$B$12*(1+Inputs!$B$13/100))-(Inputs!$B$12*(1+Inputs!$B$13/100)))+0.25*(Inputs!$B$14-Inputs!$B$14))*(1+Inputs!$B$7/100))*(F1740/100)</f>
        <v/>
      </c>
      <c r="K1740">
        <f>J1740*(1+((Inputs!$B$12*(1+Inputs!$B$13/100))*0.01+Inputs!$B$14*0.0025)/100)*(1+Inputs!$B$15/100)*(1+IF(Inputs!$B$39="pvp",0,(1-Summary!$B$55)*(Inputs!$B$20+0+Skills!P12+B1762)+Summary!$B$55*(Inputs!$B$21+Skills!Q12+B1762))/100)*(1+Inputs!$B$16/100)*(5000/(6000+Inputs!$B$43*(1-Inputs!$B$19/100)))*(1+(Inputs!$B$24+((C1758=TRUE)*(F1758-Calc!F30)))/100)*(1+(IF(Skills!A12="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1740)</f>
        <v/>
      </c>
      <c r="L1740">
        <f>K1740*(MIN(Inputs!$B$22+((C1752=TRUE)*(F1752-Calc!F24)),Inputs!$B$23+((C1757=TRUE)*(F1757-Calc!F29)))/100+(Inputs!$B$23+((C1757=TRUE)*(F1757-Calc!F29)))/100)/2</f>
        <v/>
      </c>
      <c r="M1740">
        <f>L1740*(1+(Inputs!$B$10+((C1754=TRUE)*(F1754-Calc!F26))+B1768)/100)</f>
        <v/>
      </c>
      <c r="N1740">
        <f>L1740*(1-MIN((Inputs!$B$9+((C1753=TRUE)*(F1753-Calc!F25))+B1761),100)/100)+M1740*(MIN((Inputs!$B$9+((C1753=TRUE)*(F1753-Calc!F25))+B1761),100)/100)</f>
        <v/>
      </c>
      <c r="O1740">
        <f>IF(C1740,H1740*N1740*IF(AND(Inputs!$B$39&lt;&gt;"pvp",Inputs!$B$44&gt;0),((Skills!G12*((R1740-1)*IF(Skills!H12&gt;0,Skills!I12/Skills!H12,1)+IF(Skills!H12&gt;0,MIN(Skills!I12,MAX(0,MAX(0,Inputs!$B$44-B1772)-((R1740-1)*IF(Inputs!$B$39="pvp",15,MAX(0.1,Skills!D12-IF(Skills!E12=TRUE,4.5,0))))))/Skills!H12,1)))/Inputs!$B$44),G1740*Q1740)*IF(Inputs!$B$39="pvp",1,(1-Summary!$B$55)*(1)+Summary!$B$55*(MIN(Skills!W12,Inputs!$B$37))),0)</f>
        <v/>
      </c>
      <c r="P1740">
        <f>IF(B1773=0,0,O1740/B1773)</f>
        <v/>
      </c>
      <c r="Q1740">
        <f>IFERROR(1/IF(Inputs!$B$39="pvp",15,MAX(0.1,Skills!D12-IF(Skills!E12=TRUE,4.5,0))),0)</f>
        <v/>
      </c>
      <c r="R1740">
        <f>IF(AND(Inputs!$B$39&lt;&gt;"pvp",Inputs!$B$44&gt;0),IF(MAX(0,Inputs!$B$44-B1772)&lt;=0,0,(INT(MAX(0,Inputs!$B$44-B1772)/IF(Inputs!$B$39="pvp",15,MAX(0.1,Skills!D12-IF(Skills!E12=TRUE,4.5,0))))+1)),0)</f>
        <v/>
      </c>
      <c r="S1740">
        <f>IFERROR(O1740/N1740,0)</f>
        <v/>
      </c>
    </row>
    <row r="1741">
      <c r="A1741">
        <f>Skills!A13</f>
        <v/>
      </c>
      <c r="B1741">
        <f>Skills!B13</f>
        <v/>
      </c>
      <c r="C1741">
        <f>Inputs!$B$3&gt;=105</f>
        <v/>
      </c>
      <c r="D1741">
        <f>IF(Skills!C13=1,60+Inputs!$B$25+Inputs!$B$29,IF(Skills!C13=2,90+Inputs!$B$26+Inputs!$B$29,IF(Skills!C13=3,120+Inputs!$B$27+Inputs!$B$29,MAX(0,(Inputs!$B$3-100)*3)+Inputs!$B$28+Inputs!$B$29)))</f>
        <v/>
      </c>
      <c r="E1741">
        <f>INDEX(FactorTable!$B$2:$Y$301, MATCH(ROUND(MIN(300,MAX(1,D1741)),0), FactorTable!$A$2:$A$301,0), Skills!M13+1)</f>
        <v/>
      </c>
      <c r="F1741">
        <f>IF(Skills!N13=TRUE,(Skills!L13/10)*(E1741/1000),Skills!L13/10)+Skills!O13</f>
        <v/>
      </c>
      <c r="G1741">
        <f>Skills!G13*IF(Skills!H13&gt;0,Skills!I13/Skills!H13,1)</f>
        <v/>
      </c>
      <c r="H1741">
        <f>1-(1-Skills!J13/100)^Skills!K13</f>
        <v/>
      </c>
      <c r="I1741" t="inlineStr">
        <is>
          <t>1</t>
        </is>
      </c>
      <c r="J1741">
        <f>((Inputs!$B$6*(1+Inputs!$B$7/100))+(((Inputs!$B$12*(1+Inputs!$B$13/100))-(Inputs!$B$12*(1+Inputs!$B$13/100)))+0.25*(Inputs!$B$14-Inputs!$B$14))*(1+Inputs!$B$7/100))*(F1741/100)</f>
        <v/>
      </c>
      <c r="K1741">
        <f>J1741*(1+((Inputs!$B$12*(1+Inputs!$B$13/100))*0.01+Inputs!$B$14*0.0025)/100)*(1+Inputs!$B$15/100)*(1+IF(Inputs!$B$39="pvp",0,(1-Summary!$B$55)*(Inputs!$B$20+0+Skills!P13+B1762)+Summary!$B$55*(Inputs!$B$21+Skills!Q13+B1762))/100)*(1+Inputs!$B$16/100)*(5000/(6000+Inputs!$B$43*(1-Inputs!$B$19/100)))*(1+(Inputs!$B$24+((C1758=TRUE)*(F1758-Calc!F30)))/100)*(1+(IF(Skills!A13="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1741)</f>
        <v/>
      </c>
      <c r="L1741">
        <f>K1741*(MIN(Inputs!$B$22+((C1752=TRUE)*(F1752-Calc!F24)),Inputs!$B$23+((C1757=TRUE)*(F1757-Calc!F29)))/100+(Inputs!$B$23+((C1757=TRUE)*(F1757-Calc!F29)))/100)/2</f>
        <v/>
      </c>
      <c r="M1741">
        <f>L1741*(1+(Inputs!$B$10+((C1754=TRUE)*(F1754-Calc!F26))+B1768)/100)</f>
        <v/>
      </c>
      <c r="N1741">
        <f>L1741*(1-MIN((Inputs!$B$9+((C1753=TRUE)*(F1753-Calc!F25))+B1761),100)/100)+M1741*(MIN((Inputs!$B$9+((C1753=TRUE)*(F1753-Calc!F25))+B1761),100)/100)</f>
        <v/>
      </c>
      <c r="O1741">
        <f>IF(C1741,H1741*N1741*IF(AND(Inputs!$B$39&lt;&gt;"pvp",Inputs!$B$44&gt;0),((Skills!G13*((R1741-1)*IF(Skills!H13&gt;0,Skills!I13/Skills!H13,1)+IF(Skills!H13&gt;0,MIN(Skills!I13,MAX(0,MAX(0,Inputs!$B$44-B1772)-((R1741-1)*IF(Inputs!$B$39="pvp",15,MAX(0.1,Skills!D13-IF(Skills!E13=TRUE,4.5,0))))))/Skills!H13,1)))/Inputs!$B$44),G1741*Q1741)*IF(Inputs!$B$39="pvp",1,(1-Summary!$B$55)*(1)+Summary!$B$55*(MIN(Skills!W13,Inputs!$B$37))),0)</f>
        <v/>
      </c>
      <c r="P1741">
        <f>IF(B1773=0,0,O1741/B1773)</f>
        <v/>
      </c>
      <c r="Q1741">
        <f>IFERROR(1/IF(Inputs!$B$39="pvp",15,MAX(0.1,Skills!D13-IF(Skills!E13=TRUE,4.5,0))),0)</f>
        <v/>
      </c>
      <c r="R1741">
        <f>IF(AND(Inputs!$B$39&lt;&gt;"pvp",Inputs!$B$44&gt;0),IF(MAX(0,Inputs!$B$44-B1772)&lt;=0,0,(INT(MAX(0,Inputs!$B$44-B1772)/IF(Inputs!$B$39="pvp",15,MAX(0.1,Skills!D13-IF(Skills!E13=TRUE,4.5,0))))+1)),0)</f>
        <v/>
      </c>
      <c r="S1741">
        <f>IFERROR(O1741/N1741,0)</f>
        <v/>
      </c>
    </row>
    <row r="1742">
      <c r="A1742">
        <f>Skills!A14</f>
        <v/>
      </c>
      <c r="B1742">
        <f>Skills!B14</f>
        <v/>
      </c>
      <c r="C1742">
        <f>Inputs!$B$3&gt;=107</f>
        <v/>
      </c>
      <c r="D1742">
        <f>IF(Skills!C14=1,60+Inputs!$B$25+Inputs!$B$29,IF(Skills!C14=2,90+Inputs!$B$26+Inputs!$B$29,IF(Skills!C14=3,120+Inputs!$B$27+Inputs!$B$29,MAX(0,(Inputs!$B$3-100)*3)+Inputs!$B$28+Inputs!$B$29)))</f>
        <v/>
      </c>
      <c r="E1742">
        <f>INDEX(FactorTable!$B$2:$Y$301, MATCH(ROUND(MIN(300,MAX(1,D1742)),0), FactorTable!$A$2:$A$301,0), Skills!M14+1)</f>
        <v/>
      </c>
      <c r="F1742">
        <f>IF(Skills!N14=TRUE,(Skills!L14/10)*(E1742/1000),Skills!L14/10)+Skills!O14</f>
        <v/>
      </c>
      <c r="G1742">
        <f>Skills!G14*IF(Skills!H14&gt;0,Skills!I14/Skills!H14,1)</f>
        <v/>
      </c>
      <c r="H1742">
        <f>1-(1-Skills!J14/100)^Skills!K14</f>
        <v/>
      </c>
      <c r="I1742" t="inlineStr">
        <is>
          <t>1</t>
        </is>
      </c>
      <c r="J1742">
        <f>((Inputs!$B$6*(1+Inputs!$B$7/100))+(((Inputs!$B$12*(1+Inputs!$B$13/100))-(Inputs!$B$12*(1+Inputs!$B$13/100)))+0.25*(Inputs!$B$14-Inputs!$B$14))*(1+Inputs!$B$7/100))*(F1742/100)</f>
        <v/>
      </c>
      <c r="K1742">
        <f>J1742*(1+((Inputs!$B$12*(1+Inputs!$B$13/100))*0.01+Inputs!$B$14*0.0025)/100)*(1+Inputs!$B$15/100)*(1+IF(Inputs!$B$39="pvp",0,(1-Summary!$B$55)*(Inputs!$B$20+0+Skills!P14+B1762)+Summary!$B$55*(Inputs!$B$21+Skills!Q14+B1762))/100)*(1+Inputs!$B$16/100)*(5000/(6000+Inputs!$B$43*(1-Inputs!$B$19/100)))*(1+(Inputs!$B$24+((C1758=TRUE)*(F1758-Calc!F30)))/100)*(1+(IF(Skills!A14="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1742)</f>
        <v/>
      </c>
      <c r="L1742">
        <f>K1742*(MIN(Inputs!$B$22+((C1752=TRUE)*(F1752-Calc!F24)),Inputs!$B$23+((C1757=TRUE)*(F1757-Calc!F29)))/100+(Inputs!$B$23+((C1757=TRUE)*(F1757-Calc!F29)))/100)/2</f>
        <v/>
      </c>
      <c r="M1742">
        <f>L1742*(1+(Inputs!$B$10+((C1754=TRUE)*(F1754-Calc!F26))+B1768)/100)</f>
        <v/>
      </c>
      <c r="N1742">
        <f>L1742*(1-MIN((Inputs!$B$9+((C1753=TRUE)*(F1753-Calc!F25))+B1761),100)/100)+M1742*(MIN((Inputs!$B$9+((C1753=TRUE)*(F1753-Calc!F25))+B1761),100)/100)</f>
        <v/>
      </c>
      <c r="O1742">
        <f>IF(C1742,H1742*N1742*IF(AND(Inputs!$B$39&lt;&gt;"pvp",Inputs!$B$44&gt;0),((Skills!G14*((R1742-1)*IF(Skills!H14&gt;0,Skills!I14/Skills!H14,1)+IF(Skills!H14&gt;0,MIN(Skills!I14,MAX(0,MAX(0,Inputs!$B$44-B1772)-((R1742-1)*IF(Inputs!$B$39="pvp",15,MAX(0.1,Skills!D14-IF(Skills!E14=TRUE,4.5,0))))))/Skills!H14,1)))/Inputs!$B$44),G1742*Q1742)*IF(Inputs!$B$39="pvp",1,(1-Summary!$B$55)*(1)+Summary!$B$55*(MIN(MIN(5,0.25*B1765*Skills!D4)*Skills!V14,Inputs!$B$37))),0)</f>
        <v/>
      </c>
      <c r="P1742">
        <f>IF(B1773=0,0,O1742/B1773)</f>
        <v/>
      </c>
      <c r="Q1742">
        <f>IFERROR(1/IF(Inputs!$B$39="pvp",15,MAX(0.1,Skills!D14-IF(Skills!E14=TRUE,4.5,0))),0)</f>
        <v/>
      </c>
      <c r="R1742">
        <f>IF(AND(Inputs!$B$39&lt;&gt;"pvp",Inputs!$B$44&gt;0),IF(MAX(0,Inputs!$B$44-B1772)&lt;=0,0,(INT(MAX(0,Inputs!$B$44-B1772)/IF(Inputs!$B$39="pvp",15,MAX(0.1,Skills!D14-IF(Skills!E14=TRUE,4.5,0))))+1)),0)</f>
        <v/>
      </c>
      <c r="S1742">
        <f>IFERROR(O1742/N1742,0)</f>
        <v/>
      </c>
    </row>
    <row r="1743">
      <c r="A1743">
        <f>Skills!A15</f>
        <v/>
      </c>
      <c r="B1743">
        <f>Skills!B15</f>
        <v/>
      </c>
      <c r="C1743">
        <f>Inputs!$B$3&gt;=110</f>
        <v/>
      </c>
      <c r="D1743">
        <f>IF(Skills!C15=1,60+Inputs!$B$25+Inputs!$B$29,IF(Skills!C15=2,90+Inputs!$B$26+Inputs!$B$29,IF(Skills!C15=3,120+Inputs!$B$27+Inputs!$B$29,MAX(0,(Inputs!$B$3-100)*3)+Inputs!$B$28+Inputs!$B$29)))</f>
        <v/>
      </c>
      <c r="E1743">
        <f>INDEX(FactorTable!$B$2:$Y$301, MATCH(ROUND(MIN(300,MAX(1,D1743)),0), FactorTable!$A$2:$A$301,0), Skills!M15+1)</f>
        <v/>
      </c>
      <c r="F1743">
        <f>IF(Skills!N15=TRUE,(Skills!L15/10)*(E1743/1000),Skills!L15/10)+Skills!O15</f>
        <v/>
      </c>
      <c r="G1743">
        <f>Skills!G15*IF(Skills!H15&gt;0,Skills!I15/Skills!H15,1)</f>
        <v/>
      </c>
      <c r="H1743">
        <f>1-(1-Skills!J15/100)^Skills!K15</f>
        <v/>
      </c>
      <c r="I1743" t="inlineStr">
        <is>
          <t>1</t>
        </is>
      </c>
      <c r="J1743" t="inlineStr"/>
      <c r="K1743" t="inlineStr"/>
      <c r="L1743" t="inlineStr"/>
      <c r="M1743" t="inlineStr"/>
      <c r="N1743" t="inlineStr"/>
      <c r="O1743" t="n">
        <v>0</v>
      </c>
      <c r="P1743">
        <f>IF(B1773=0,0,O1743/B1773)</f>
        <v/>
      </c>
      <c r="Q1743">
        <f>IFERROR(1/IF(Inputs!$B$39="pvp",15,MAX(0.1,Skills!D15-IF(Skills!E15=TRUE,4.5,0))),0)</f>
        <v/>
      </c>
      <c r="R1743">
        <f>IF(AND(Inputs!$B$39&lt;&gt;"pvp",Inputs!$B$44&gt;0),IF(Inputs!$B$44&lt;=0,0,(INT(Inputs!$B$44/IF(Inputs!$B$39="pvp",15,MAX(0.1,Skills!D15-IF(Skills!E15=TRUE,4.5,0))))+1)),0)</f>
        <v/>
      </c>
      <c r="S1743">
        <f>IFERROR(O1743/N1743,0)</f>
        <v/>
      </c>
    </row>
    <row r="1744">
      <c r="A1744">
        <f>Skills!A16</f>
        <v/>
      </c>
      <c r="B1744">
        <f>Skills!B16</f>
        <v/>
      </c>
      <c r="C1744">
        <f>Inputs!$B$3&gt;=115</f>
        <v/>
      </c>
      <c r="D1744">
        <f>IF(Skills!C16=1,60+Inputs!$B$25+Inputs!$B$29,IF(Skills!C16=2,90+Inputs!$B$26+Inputs!$B$29,IF(Skills!C16=3,120+Inputs!$B$27+Inputs!$B$29,MAX(0,(Inputs!$B$3-100)*3)+Inputs!$B$28+Inputs!$B$29)))</f>
        <v/>
      </c>
      <c r="E1744">
        <f>INDEX(FactorTable!$B$2:$Y$301, MATCH(ROUND(MIN(300,MAX(1,D1744)),0), FactorTable!$A$2:$A$301,0), Skills!M16+1)</f>
        <v/>
      </c>
      <c r="F1744">
        <f>IF(Skills!N16=TRUE,(Skills!L16/10)*(E1744/1000),Skills!L16/10)+Skills!O16</f>
        <v/>
      </c>
      <c r="G1744">
        <f>Skills!G16*IF(Skills!H16&gt;0,Skills!I16/Skills!H16,1)</f>
        <v/>
      </c>
      <c r="H1744">
        <f>1-(1-Skills!J16/100)^Skills!K16</f>
        <v/>
      </c>
      <c r="I1744" t="inlineStr">
        <is>
          <t>1</t>
        </is>
      </c>
      <c r="J1744">
        <f>((Inputs!$B$6*(1+Inputs!$B$7/100))+(((Inputs!$B$12*(1+Inputs!$B$13/100))-(Inputs!$B$12*(1+Inputs!$B$13/100)))+0.25*(Inputs!$B$14-Inputs!$B$14))*(1+Inputs!$B$7/100))*(F1744/100)</f>
        <v/>
      </c>
      <c r="K1744">
        <f>J1744*(1+((Inputs!$B$12*(1+Inputs!$B$13/100))*0.01+Inputs!$B$14*0.0025)/100)*(1+Inputs!$B$15/100)*(1+IF(Inputs!$B$39="pvp",0,(1-Summary!$B$55)*(Inputs!$B$20+0+Skills!P16+B1762)+Summary!$B$55*(Inputs!$B$21+Skills!Q16+B1762))/100)*(1+Inputs!$B$16/100)*(5000/(6000+Inputs!$B$43*(1-Inputs!$B$19/100)))*(1+(Inputs!$B$24+((C1758=TRUE)*(F1758-Calc!F30)))/100)*(1+(IF(Skills!A16="CRUEL_STAB",Inputs!$B$17+((C1755=TRUE)*(F1755-Calc!F27)),Inputs!$B$18+((C1756=TRUE)*(F1756-Calc!F28))))/100)*(((1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B1763*I1744)</f>
        <v/>
      </c>
      <c r="L1744">
        <f>K1744*(MIN(Inputs!$B$22+((C1752=TRUE)*(F1752-Calc!F24)),Inputs!$B$23+((C1757=TRUE)*(F1757-Calc!F29)))/100+(Inputs!$B$23+((C1757=TRUE)*(F1757-Calc!F29)))/100)/2</f>
        <v/>
      </c>
      <c r="M1744">
        <f>L1744*(1+(Inputs!$B$10+((C1754=TRUE)*(F1754-Calc!F26))+B1768)/100)</f>
        <v/>
      </c>
      <c r="N1744">
        <f>L1744*(1-MIN((Inputs!$B$9+((C1753=TRUE)*(F1753-Calc!F25))+B1761),100)/100)+M1744*(MIN((Inputs!$B$9+((C1753=TRUE)*(F1753-Calc!F25))+B1761),100)/100)</f>
        <v/>
      </c>
      <c r="O1744">
        <f>IF(C1744,Inputs!$B$38*0.2*N1744,0)</f>
        <v/>
      </c>
      <c r="P1744">
        <f>IF(B1773=0,0,O1744/B1773)</f>
        <v/>
      </c>
      <c r="Q1744" t="n">
        <v>0</v>
      </c>
      <c r="R1744" t="n">
        <v>0</v>
      </c>
      <c r="S1744">
        <f>IFERROR(O1744/N1744,0)</f>
        <v/>
      </c>
    </row>
    <row r="1745">
      <c r="A1745">
        <f>Skills!A17</f>
        <v/>
      </c>
      <c r="B1745">
        <f>Skills!B17</f>
        <v/>
      </c>
      <c r="C1745">
        <f>Inputs!$B$3&gt;=115</f>
        <v/>
      </c>
      <c r="D1745">
        <f>IF(Skills!C17=1,60+Inputs!$B$25+Inputs!$B$29,IF(Skills!C17=2,90+Inputs!$B$26+Inputs!$B$29,IF(Skills!C17=3,120+Inputs!$B$27+Inputs!$B$29,MAX(0,(Inputs!$B$3-100)*3)+Inputs!$B$28+Inputs!$B$29)))</f>
        <v/>
      </c>
      <c r="E1745">
        <f>INDEX(FactorTable!$B$2:$Y$301, MATCH(ROUND(MIN(300,MAX(1,D1745)),0), FactorTable!$A$2:$A$301,0), Skills!M17+1)</f>
        <v/>
      </c>
      <c r="F1745">
        <f>IF(Skills!N17=TRUE,(Skills!L17/10)*(E1745/1000),Skills!L17/10)+Skills!O17</f>
        <v/>
      </c>
      <c r="G1745">
        <f>Skills!G17*IF(Skills!H17&gt;0,Skills!I17/Skills!H17,1)</f>
        <v/>
      </c>
      <c r="H1745">
        <f>1-(1-Skills!J17/100)^Skills!K17</f>
        <v/>
      </c>
      <c r="I1745" t="inlineStr">
        <is>
          <t>1</t>
        </is>
      </c>
      <c r="J1745" t="inlineStr"/>
      <c r="K1745" t="inlineStr"/>
      <c r="L1745" t="inlineStr"/>
      <c r="M1745" t="inlineStr"/>
      <c r="N1745" t="inlineStr"/>
      <c r="O1745" t="n">
        <v>0</v>
      </c>
      <c r="P1745">
        <f>IF(B1773=0,0,O1745/B1773)</f>
        <v/>
      </c>
      <c r="Q1745" t="n">
        <v>0</v>
      </c>
      <c r="R1745" t="n">
        <v>0</v>
      </c>
      <c r="S1745">
        <f>IFERROR(O1745/N1745,0)</f>
        <v/>
      </c>
    </row>
    <row r="1746">
      <c r="A1746">
        <f>Skills!A18</f>
        <v/>
      </c>
      <c r="B1746">
        <f>Skills!B18</f>
        <v/>
      </c>
      <c r="C1746">
        <f>Inputs!$B$3&gt;=100</f>
        <v/>
      </c>
      <c r="D1746">
        <f>IF(Skills!C18=1,60+Inputs!$B$25+Inputs!$B$29,IF(Skills!C18=2,90+Inputs!$B$26+Inputs!$B$29,IF(Skills!C18=3,120+Inputs!$B$27+Inputs!$B$29,MAX(0,(Inputs!$B$3-100)*3)+Inputs!$B$28+Inputs!$B$29)))</f>
        <v/>
      </c>
      <c r="E1746">
        <f>INDEX(FactorTable!$B$2:$Y$301, MATCH(ROUND(MIN(300,MAX(1,D1746)),0), FactorTable!$A$2:$A$301,0), Skills!M18+1)</f>
        <v/>
      </c>
      <c r="F1746">
        <f>IF(Skills!N18=TRUE,(Skills!L18/10)*(E1746/1000),Skills!L18/10)+Skills!O18</f>
        <v/>
      </c>
      <c r="G1746">
        <f>Skills!G18*IF(Skills!H18&gt;0,Skills!I18/Skills!H18,1)</f>
        <v/>
      </c>
      <c r="H1746">
        <f>1-(1-Skills!J18/100)^Skills!K18</f>
        <v/>
      </c>
      <c r="I1746" t="inlineStr">
        <is>
          <t>1</t>
        </is>
      </c>
      <c r="J1746" t="inlineStr"/>
      <c r="K1746" t="inlineStr"/>
      <c r="L1746" t="inlineStr"/>
      <c r="M1746" t="inlineStr"/>
      <c r="N1746" t="inlineStr"/>
      <c r="O1746" t="n">
        <v>0</v>
      </c>
      <c r="P1746">
        <f>IF(B1773=0,0,O1746/B1773)</f>
        <v/>
      </c>
      <c r="Q1746" t="n">
        <v>0</v>
      </c>
      <c r="R1746" t="n">
        <v>0</v>
      </c>
      <c r="S1746">
        <f>IFERROR(O1746/N1746,0)</f>
        <v/>
      </c>
    </row>
    <row r="1747">
      <c r="A1747">
        <f>Skills!A19</f>
        <v/>
      </c>
      <c r="B1747">
        <f>Skills!B19</f>
        <v/>
      </c>
      <c r="C1747">
        <f>TRUE</f>
        <v/>
      </c>
      <c r="D1747">
        <f>IF(Skills!C19=1,60+Inputs!$B$25+Inputs!$B$29,IF(Skills!C19=2,90+Inputs!$B$26+Inputs!$B$29,IF(Skills!C19=3,120+Inputs!$B$27+Inputs!$B$29,MAX(0,(Inputs!$B$3-100)*3)+Inputs!$B$28+Inputs!$B$29)))</f>
        <v/>
      </c>
      <c r="E1747">
        <f>INDEX(FactorTable!$B$2:$Y$301, MATCH(ROUND(MIN(300,MAX(1,D1747)),0), FactorTable!$A$2:$A$301,0), Skills!M19+1)</f>
        <v/>
      </c>
      <c r="F1747">
        <f>IF(Skills!N19=TRUE,(Skills!L19/10)*(E1747/1000),Skills!L19/10)+Skills!O19</f>
        <v/>
      </c>
      <c r="G1747">
        <f>Skills!G19*IF(Skills!H19&gt;0,Skills!I19/Skills!H19,1)</f>
        <v/>
      </c>
      <c r="H1747">
        <f>1-(1-Skills!J19/100)^Skills!K19</f>
        <v/>
      </c>
      <c r="I1747" t="inlineStr">
        <is>
          <t>1</t>
        </is>
      </c>
      <c r="J1747" t="inlineStr"/>
      <c r="K1747" t="inlineStr"/>
      <c r="L1747" t="inlineStr"/>
      <c r="M1747" t="inlineStr"/>
      <c r="N1747" t="inlineStr"/>
      <c r="O1747" t="n">
        <v>0</v>
      </c>
      <c r="P1747">
        <f>IF(B1773=0,0,O1747/B1773)</f>
        <v/>
      </c>
      <c r="Q1747">
        <f>IFERROR(1/IF(Inputs!$B$39="pvp",15,MAX(0.1,Skills!D19-IF(Skills!E19=TRUE,4.5,0))),0)</f>
        <v/>
      </c>
      <c r="R1747">
        <f>IF(AND(Inputs!$B$39&lt;&gt;"pvp",Inputs!$B$44&gt;0),IF(Inputs!$B$44&lt;=0,0,(INT(Inputs!$B$44/IF(Inputs!$B$39="pvp",15,MAX(0.1,Skills!D19-IF(Skills!E19=TRUE,4.5,0))))+1)),0)</f>
        <v/>
      </c>
      <c r="S1747">
        <f>IFERROR(O1747/N1747,0)</f>
        <v/>
      </c>
    </row>
    <row r="1748">
      <c r="A1748">
        <f>Skills!A20</f>
        <v/>
      </c>
      <c r="B1748">
        <f>Skills!B20</f>
        <v/>
      </c>
      <c r="C1748">
        <f>Inputs!$B$3&gt;=15</f>
        <v/>
      </c>
      <c r="D1748">
        <f>IF(Skills!C20=1,60+Inputs!$B$25+Inputs!$B$29,IF(Skills!C20=2,90+Inputs!$B$26+Inputs!$B$29,IF(Skills!C20=3,120+Inputs!$B$27+Inputs!$B$29,MAX(0,(Inputs!$B$3-100)*3)+Inputs!$B$28+Inputs!$B$29)))</f>
        <v/>
      </c>
      <c r="E1748">
        <f>INDEX(FactorTable!$B$2:$Y$301, MATCH(ROUND(MIN(300,MAX(1,D1748)),0), FactorTable!$A$2:$A$301,0), Skills!M20+1)</f>
        <v/>
      </c>
      <c r="F1748">
        <f>IF(Skills!N20=TRUE,(Skills!L20/10)*(E1748/1000),Skills!L20/10)+Skills!O20</f>
        <v/>
      </c>
      <c r="G1748">
        <f>Skills!G20*IF(Skills!H20&gt;0,Skills!I20/Skills!H20,1)</f>
        <v/>
      </c>
      <c r="H1748">
        <f>1-(1-Skills!J20/100)^Skills!K20</f>
        <v/>
      </c>
      <c r="I1748" t="inlineStr">
        <is>
          <t>1</t>
        </is>
      </c>
      <c r="J1748" t="inlineStr"/>
      <c r="K1748" t="inlineStr"/>
      <c r="L1748" t="inlineStr"/>
      <c r="M1748" t="inlineStr"/>
      <c r="N1748" t="inlineStr"/>
      <c r="O1748" t="n">
        <v>0</v>
      </c>
      <c r="P1748">
        <f>IF(B1773=0,0,O1748/B1773)</f>
        <v/>
      </c>
      <c r="Q1748">
        <f>IFERROR(1/IF(Inputs!$B$39="pvp",15,MAX(0.1,Skills!D20-IF(Skills!E20=TRUE,4.5,0))),0)</f>
        <v/>
      </c>
      <c r="R1748">
        <f>IF(AND(Inputs!$B$39&lt;&gt;"pvp",Inputs!$B$44&gt;0),IF(Inputs!$B$44&lt;=0,0,(INT(Inputs!$B$44/IF(Inputs!$B$39="pvp",15,MAX(0.1,Skills!D20-IF(Skills!E20=TRUE,4.5,0))))+1)),0)</f>
        <v/>
      </c>
      <c r="S1748">
        <f>IFERROR(O1748/N1748,0)</f>
        <v/>
      </c>
    </row>
    <row r="1749">
      <c r="A1749">
        <f>Skills!A21</f>
        <v/>
      </c>
      <c r="B1749">
        <f>Skills!B21</f>
        <v/>
      </c>
      <c r="C1749">
        <f>Inputs!$B$3&gt;=15</f>
        <v/>
      </c>
      <c r="D1749">
        <f>IF(Skills!C21=1,60+Inputs!$B$25+Inputs!$B$29,IF(Skills!C21=2,90+Inputs!$B$26+Inputs!$B$29,IF(Skills!C21=3,120+Inputs!$B$27+Inputs!$B$29,MAX(0,(Inputs!$B$3-100)*3)+Inputs!$B$28+Inputs!$B$29)))</f>
        <v/>
      </c>
      <c r="E1749">
        <f>INDEX(FactorTable!$B$2:$Y$301, MATCH(ROUND(MIN(300,MAX(1,D1749)),0), FactorTable!$A$2:$A$301,0), Skills!M21+1)</f>
        <v/>
      </c>
      <c r="F1749">
        <f>IF(Skills!N21=TRUE,(Skills!L21/10)*(E1749/1000),Skills!L21/10)+Skills!O21</f>
        <v/>
      </c>
      <c r="G1749">
        <f>Skills!G21*IF(Skills!H21&gt;0,Skills!I21/Skills!H21,1)</f>
        <v/>
      </c>
      <c r="H1749">
        <f>1-(1-Skills!J21/100)^Skills!K21</f>
        <v/>
      </c>
      <c r="I1749" t="inlineStr">
        <is>
          <t>1</t>
        </is>
      </c>
      <c r="J1749" t="inlineStr"/>
      <c r="K1749" t="inlineStr"/>
      <c r="L1749" t="inlineStr"/>
      <c r="M1749" t="inlineStr"/>
      <c r="N1749" t="inlineStr"/>
      <c r="O1749" t="n">
        <v>0</v>
      </c>
      <c r="P1749">
        <f>IF(B1773=0,0,O1749/B1773)</f>
        <v/>
      </c>
      <c r="Q1749">
        <f>IFERROR(1/IF(Inputs!$B$39="pvp",15,MAX(0.1,Skills!D21-IF(Skills!E21=TRUE,4.5,0))),0)</f>
        <v/>
      </c>
      <c r="R1749">
        <f>IF(AND(Inputs!$B$39&lt;&gt;"pvp",Inputs!$B$44&gt;0),IF(Inputs!$B$44&lt;=0,0,(INT(Inputs!$B$44/IF(Inputs!$B$39="pvp",15,MAX(0.1,Skills!D21-IF(Skills!E21=TRUE,4.5,0))))+1)),0)</f>
        <v/>
      </c>
      <c r="S1749">
        <f>IFERROR(O1749/N1749,0)</f>
        <v/>
      </c>
    </row>
    <row r="1750">
      <c r="A1750">
        <f>Skills!A22</f>
        <v/>
      </c>
      <c r="B1750">
        <f>Skills!B22</f>
        <v/>
      </c>
      <c r="C1750">
        <f>Inputs!$B$3&gt;=33</f>
        <v/>
      </c>
      <c r="D1750">
        <f>IF(Skills!C22=1,60+Inputs!$B$25+Inputs!$B$29,IF(Skills!C22=2,90+Inputs!$B$26+Inputs!$B$29,IF(Skills!C22=3,120+Inputs!$B$27+Inputs!$B$29,MAX(0,(Inputs!$B$3-100)*3)+Inputs!$B$28+Inputs!$B$29)))</f>
        <v/>
      </c>
      <c r="E1750">
        <f>INDEX(FactorTable!$B$2:$Y$301, MATCH(ROUND(MIN(300,MAX(1,D1750)),0), FactorTable!$A$2:$A$301,0), Skills!M22+1)</f>
        <v/>
      </c>
      <c r="F1750">
        <f>IF(Skills!N22=TRUE,(Skills!L22/10)*(E1750/1000),Skills!L22/10)+Skills!O22</f>
        <v/>
      </c>
      <c r="G1750">
        <f>Skills!G22*IF(Skills!H22&gt;0,Skills!I22/Skills!H22,1)</f>
        <v/>
      </c>
      <c r="H1750">
        <f>1-(1-Skills!J22/100)^Skills!K22</f>
        <v/>
      </c>
      <c r="I1750" t="inlineStr">
        <is>
          <t>1</t>
        </is>
      </c>
      <c r="J1750" t="inlineStr"/>
      <c r="K1750" t="inlineStr"/>
      <c r="L1750" t="inlineStr"/>
      <c r="M1750" t="inlineStr"/>
      <c r="N1750" t="inlineStr"/>
      <c r="O1750" t="n">
        <v>0</v>
      </c>
      <c r="P1750">
        <f>IF(B1773=0,0,O1750/B1773)</f>
        <v/>
      </c>
      <c r="Q1750" t="n">
        <v>0</v>
      </c>
      <c r="R1750" t="n">
        <v>0</v>
      </c>
      <c r="S1750">
        <f>IFERROR(O1750/N1750,0)</f>
        <v/>
      </c>
    </row>
    <row r="1751">
      <c r="A1751">
        <f>Skills!A23</f>
        <v/>
      </c>
      <c r="B1751">
        <f>Skills!B23</f>
        <v/>
      </c>
      <c r="C1751">
        <f>Inputs!$B$3&gt;=40</f>
        <v/>
      </c>
      <c r="D1751">
        <f>IF(Skills!C23=1,60+Inputs!$B$25+Inputs!$B$29,IF(Skills!C23=2,90+Inputs!$B$26+Inputs!$B$29,IF(Skills!C23=3,120+Inputs!$B$27+Inputs!$B$29,MAX(0,(Inputs!$B$3-100)*3)+Inputs!$B$28+Inputs!$B$29)))</f>
        <v/>
      </c>
      <c r="E1751">
        <f>INDEX(FactorTable!$B$2:$Y$301, MATCH(ROUND(MIN(300,MAX(1,D1751)),0), FactorTable!$A$2:$A$301,0), Skills!M23+1)</f>
        <v/>
      </c>
      <c r="F1751">
        <f>IF(Skills!N23=TRUE,(Skills!L23/10)*(E1751/1000),Skills!L23/10)+Skills!O23</f>
        <v/>
      </c>
      <c r="G1751">
        <f>Skills!G23*IF(Skills!H23&gt;0,Skills!I23/Skills!H23,1)</f>
        <v/>
      </c>
      <c r="H1751">
        <f>1-(1-Skills!J23/100)^Skills!K23</f>
        <v/>
      </c>
      <c r="I1751" t="inlineStr">
        <is>
          <t>1</t>
        </is>
      </c>
      <c r="J1751" t="inlineStr"/>
      <c r="K1751" t="inlineStr"/>
      <c r="L1751" t="inlineStr"/>
      <c r="M1751" t="inlineStr"/>
      <c r="N1751" t="inlineStr"/>
      <c r="O1751" t="n">
        <v>0</v>
      </c>
      <c r="P1751">
        <f>IF(B1773=0,0,O1751/B1773)</f>
        <v/>
      </c>
      <c r="Q1751" t="n">
        <v>0</v>
      </c>
      <c r="R1751" t="n">
        <v>0</v>
      </c>
      <c r="S1751">
        <f>IFERROR(O1751/N1751,0)</f>
        <v/>
      </c>
    </row>
    <row r="1752">
      <c r="A1752">
        <f>Skills!A24</f>
        <v/>
      </c>
      <c r="B1752">
        <f>Skills!B24</f>
        <v/>
      </c>
      <c r="C1752">
        <f>Inputs!$B$3&gt;=43</f>
        <v/>
      </c>
      <c r="D1752">
        <f>IF(Skills!C24=1,60+Inputs!$B$25+Inputs!$B$29,IF(Skills!C24=2,90+Inputs!$B$26+Inputs!$B$29,IF(Skills!C24=3,120+Inputs!$B$27+Inputs!$B$29,MAX(0,(Inputs!$B$3-100)*3)+Inputs!$B$28+Inputs!$B$29)))</f>
        <v/>
      </c>
      <c r="E1752">
        <f>INDEX(FactorTable!$B$2:$Y$301, MATCH(ROUND(MIN(300,MAX(1,D1752)),0), FactorTable!$A$2:$A$301,0), Skills!M24+1)</f>
        <v/>
      </c>
      <c r="F1752">
        <f>IF(Skills!N24=TRUE,(Skills!L24/10)*(E1752/1000),Skills!L24/10)+Skills!O24</f>
        <v/>
      </c>
      <c r="G1752">
        <f>Skills!G24*IF(Skills!H24&gt;0,Skills!I24/Skills!H24,1)</f>
        <v/>
      </c>
      <c r="H1752">
        <f>1-(1-Skills!J24/100)^Skills!K24</f>
        <v/>
      </c>
      <c r="I1752" t="inlineStr">
        <is>
          <t>1</t>
        </is>
      </c>
      <c r="J1752" t="inlineStr"/>
      <c r="K1752" t="inlineStr"/>
      <c r="L1752" t="inlineStr"/>
      <c r="M1752" t="inlineStr"/>
      <c r="N1752" t="inlineStr"/>
      <c r="O1752" t="n">
        <v>0</v>
      </c>
      <c r="P1752">
        <f>IF(B1773=0,0,O1752/B1773)</f>
        <v/>
      </c>
      <c r="Q1752" t="n">
        <v>0</v>
      </c>
      <c r="R1752" t="n">
        <v>0</v>
      </c>
      <c r="S1752">
        <f>IFERROR(O1752/N1752,0)</f>
        <v/>
      </c>
    </row>
    <row r="1753">
      <c r="A1753">
        <f>Skills!A25</f>
        <v/>
      </c>
      <c r="B1753">
        <f>Skills!B25</f>
        <v/>
      </c>
      <c r="C1753">
        <f>Inputs!$B$3&gt;=50</f>
        <v/>
      </c>
      <c r="D1753">
        <f>IF(Skills!C25=1,60+Inputs!$B$25+Inputs!$B$29,IF(Skills!C25=2,90+Inputs!$B$26+Inputs!$B$29,IF(Skills!C25=3,120+Inputs!$B$27+Inputs!$B$29,MAX(0,(Inputs!$B$3-100)*3)+Inputs!$B$28+Inputs!$B$29)))</f>
        <v/>
      </c>
      <c r="E1753">
        <f>INDEX(FactorTable!$B$2:$Y$301, MATCH(ROUND(MIN(300,MAX(1,D1753)),0), FactorTable!$A$2:$A$301,0), Skills!M25+1)</f>
        <v/>
      </c>
      <c r="F1753">
        <f>IF(Skills!N25=TRUE,(Skills!L25/10)*(E1753/1000),Skills!L25/10)+Skills!O25</f>
        <v/>
      </c>
      <c r="G1753">
        <f>Skills!G25*IF(Skills!H25&gt;0,Skills!I25/Skills!H25,1)</f>
        <v/>
      </c>
      <c r="H1753">
        <f>1-(1-Skills!J25/100)^Skills!K25</f>
        <v/>
      </c>
      <c r="I1753" t="inlineStr">
        <is>
          <t>1</t>
        </is>
      </c>
      <c r="J1753" t="inlineStr"/>
      <c r="K1753" t="inlineStr"/>
      <c r="L1753" t="inlineStr"/>
      <c r="M1753" t="inlineStr"/>
      <c r="N1753" t="inlineStr"/>
      <c r="O1753" t="n">
        <v>0</v>
      </c>
      <c r="P1753">
        <f>IF(B1773=0,0,O1753/B1773)</f>
        <v/>
      </c>
      <c r="Q1753" t="n">
        <v>0</v>
      </c>
      <c r="R1753" t="n">
        <v>0</v>
      </c>
      <c r="S1753">
        <f>IFERROR(O1753/N1753,0)</f>
        <v/>
      </c>
    </row>
    <row r="1754">
      <c r="A1754">
        <f>Skills!A26</f>
        <v/>
      </c>
      <c r="B1754">
        <f>Skills!B26</f>
        <v/>
      </c>
      <c r="C1754">
        <f>Inputs!$B$3&gt;=50</f>
        <v/>
      </c>
      <c r="D1754">
        <f>IF(Skills!C26=1,60+Inputs!$B$25+Inputs!$B$29,IF(Skills!C26=2,90+Inputs!$B$26+Inputs!$B$29,IF(Skills!C26=3,120+Inputs!$B$27+Inputs!$B$29,MAX(0,(Inputs!$B$3-100)*3)+Inputs!$B$28+Inputs!$B$29)))</f>
        <v/>
      </c>
      <c r="E1754">
        <f>INDEX(FactorTable!$B$2:$Y$301, MATCH(ROUND(MIN(300,MAX(1,D1754)),0), FactorTable!$A$2:$A$301,0), Skills!M26+1)</f>
        <v/>
      </c>
      <c r="F1754">
        <f>IF(Skills!N26=TRUE,(Skills!L26/10)*(E1754/1000),Skills!L26/10)+Skills!O26</f>
        <v/>
      </c>
      <c r="G1754">
        <f>Skills!G26*IF(Skills!H26&gt;0,Skills!I26/Skills!H26,1)</f>
        <v/>
      </c>
      <c r="H1754">
        <f>1-(1-Skills!J26/100)^Skills!K26</f>
        <v/>
      </c>
      <c r="I1754" t="inlineStr">
        <is>
          <t>1</t>
        </is>
      </c>
      <c r="J1754" t="inlineStr"/>
      <c r="K1754" t="inlineStr"/>
      <c r="L1754" t="inlineStr"/>
      <c r="M1754" t="inlineStr"/>
      <c r="N1754" t="inlineStr"/>
      <c r="O1754" t="n">
        <v>0</v>
      </c>
      <c r="P1754">
        <f>IF(B1773=0,0,O1754/B1773)</f>
        <v/>
      </c>
      <c r="Q1754" t="n">
        <v>0</v>
      </c>
      <c r="R1754" t="n">
        <v>0</v>
      </c>
      <c r="S1754">
        <f>IFERROR(O1754/N1754,0)</f>
        <v/>
      </c>
    </row>
    <row r="1755">
      <c r="A1755">
        <f>Skills!A27</f>
        <v/>
      </c>
      <c r="B1755">
        <f>Skills!B27</f>
        <v/>
      </c>
      <c r="C1755">
        <f>Inputs!$B$3&gt;=38</f>
        <v/>
      </c>
      <c r="D1755">
        <f>IF(Skills!C27=1,60+Inputs!$B$25+Inputs!$B$29,IF(Skills!C27=2,90+Inputs!$B$26+Inputs!$B$29,IF(Skills!C27=3,120+Inputs!$B$27+Inputs!$B$29,MAX(0,(Inputs!$B$3-100)*3)+Inputs!$B$28+Inputs!$B$29)))</f>
        <v/>
      </c>
      <c r="E1755">
        <f>INDEX(FactorTable!$B$2:$Y$301, MATCH(ROUND(MIN(300,MAX(1,D1755)),0), FactorTable!$A$2:$A$301,0), Skills!M27+1)</f>
        <v/>
      </c>
      <c r="F1755">
        <f>IF(Skills!N27=TRUE,(Skills!L27/10)*(E1755/1000),Skills!L27/10)+Skills!O27</f>
        <v/>
      </c>
      <c r="G1755">
        <f>Skills!G27*IF(Skills!H27&gt;0,Skills!I27/Skills!H27,1)</f>
        <v/>
      </c>
      <c r="H1755">
        <f>1-(1-Skills!J27/100)^Skills!K27</f>
        <v/>
      </c>
      <c r="I1755" t="inlineStr">
        <is>
          <t>1</t>
        </is>
      </c>
      <c r="J1755" t="inlineStr"/>
      <c r="K1755" t="inlineStr"/>
      <c r="L1755" t="inlineStr"/>
      <c r="M1755" t="inlineStr"/>
      <c r="N1755" t="inlineStr"/>
      <c r="O1755" t="n">
        <v>0</v>
      </c>
      <c r="P1755">
        <f>IF(B1773=0,0,O1755/B1773)</f>
        <v/>
      </c>
      <c r="Q1755" t="n">
        <v>0</v>
      </c>
      <c r="R1755" t="n">
        <v>0</v>
      </c>
      <c r="S1755">
        <f>IFERROR(O1755/N1755,0)</f>
        <v/>
      </c>
    </row>
    <row r="1756">
      <c r="A1756">
        <f>Skills!A28</f>
        <v/>
      </c>
      <c r="B1756">
        <f>Skills!B28</f>
        <v/>
      </c>
      <c r="C1756">
        <f>Inputs!$B$3&gt;=120</f>
        <v/>
      </c>
      <c r="D1756">
        <f>IF(Skills!C28=1,60+Inputs!$B$25+Inputs!$B$29,IF(Skills!C28=2,90+Inputs!$B$26+Inputs!$B$29,IF(Skills!C28=3,120+Inputs!$B$27+Inputs!$B$29,MAX(0,(Inputs!$B$3-100)*3)+Inputs!$B$28+Inputs!$B$29)))</f>
        <v/>
      </c>
      <c r="E1756">
        <f>INDEX(FactorTable!$B$2:$Y$301, MATCH(ROUND(MIN(300,MAX(1,D1756)),0), FactorTable!$A$2:$A$301,0), Skills!M28+1)</f>
        <v/>
      </c>
      <c r="F1756">
        <f>IF(Skills!N28=TRUE,(Skills!L28/10)*(E1756/1000),Skills!L28/10)+Skills!O28</f>
        <v/>
      </c>
      <c r="G1756">
        <f>Skills!G28*IF(Skills!H28&gt;0,Skills!I28/Skills!H28,1)</f>
        <v/>
      </c>
      <c r="H1756">
        <f>1-(1-Skills!J28/100)^Skills!K28</f>
        <v/>
      </c>
      <c r="I1756" t="inlineStr">
        <is>
          <t>1</t>
        </is>
      </c>
      <c r="J1756" t="inlineStr"/>
      <c r="K1756" t="inlineStr"/>
      <c r="L1756" t="inlineStr"/>
      <c r="M1756" t="inlineStr"/>
      <c r="N1756" t="inlineStr"/>
      <c r="O1756" t="n">
        <v>0</v>
      </c>
      <c r="P1756">
        <f>IF(B1773=0,0,O1756/B1773)</f>
        <v/>
      </c>
      <c r="Q1756" t="n">
        <v>0</v>
      </c>
      <c r="R1756" t="n">
        <v>0</v>
      </c>
      <c r="S1756">
        <f>IFERROR(O1756/N1756,0)</f>
        <v/>
      </c>
    </row>
    <row r="1757">
      <c r="A1757">
        <f>Skills!A29</f>
        <v/>
      </c>
      <c r="B1757">
        <f>Skills!B29</f>
        <v/>
      </c>
      <c r="C1757">
        <f>Inputs!$B$3&gt;=120</f>
        <v/>
      </c>
      <c r="D1757">
        <f>IF(Skills!C29=1,60+Inputs!$B$25+Inputs!$B$29,IF(Skills!C29=2,90+Inputs!$B$26+Inputs!$B$29,IF(Skills!C29=3,120+Inputs!$B$27+Inputs!$B$29,MAX(0,(Inputs!$B$3-100)*3)+Inputs!$B$28+Inputs!$B$29)))</f>
        <v/>
      </c>
      <c r="E1757">
        <f>INDEX(FactorTable!$B$2:$Y$301, MATCH(ROUND(MIN(300,MAX(1,D1757)),0), FactorTable!$A$2:$A$301,0), Skills!M29+1)</f>
        <v/>
      </c>
      <c r="F1757">
        <f>IF(Skills!N29=TRUE,(Skills!L29/10)*(E1757/1000),Skills!L29/10)+Skills!O29</f>
        <v/>
      </c>
      <c r="G1757">
        <f>Skills!G29*IF(Skills!H29&gt;0,Skills!I29/Skills!H29,1)</f>
        <v/>
      </c>
      <c r="H1757">
        <f>1-(1-Skills!J29/100)^Skills!K29</f>
        <v/>
      </c>
      <c r="I1757" t="inlineStr">
        <is>
          <t>1</t>
        </is>
      </c>
      <c r="J1757" t="inlineStr"/>
      <c r="K1757" t="inlineStr"/>
      <c r="L1757" t="inlineStr"/>
      <c r="M1757" t="inlineStr"/>
      <c r="N1757" t="inlineStr"/>
      <c r="O1757" t="n">
        <v>0</v>
      </c>
      <c r="P1757">
        <f>IF(B1773=0,0,O1757/B1773)</f>
        <v/>
      </c>
      <c r="Q1757" t="n">
        <v>0</v>
      </c>
      <c r="R1757" t="n">
        <v>0</v>
      </c>
      <c r="S1757">
        <f>IFERROR(O1757/N1757,0)</f>
        <v/>
      </c>
    </row>
    <row r="1758">
      <c r="A1758">
        <f>Skills!A30</f>
        <v/>
      </c>
      <c r="B1758">
        <f>Skills!B30</f>
        <v/>
      </c>
      <c r="C1758">
        <f>Inputs!$B$3&gt;=125</f>
        <v/>
      </c>
      <c r="D1758">
        <f>IF(Skills!C30=1,60+Inputs!$B$25+Inputs!$B$29,IF(Skills!C30=2,90+Inputs!$B$26+Inputs!$B$29,IF(Skills!C30=3,120+Inputs!$B$27+Inputs!$B$29,MAX(0,(Inputs!$B$3-100)*3)+Inputs!$B$28+Inputs!$B$29)))</f>
        <v/>
      </c>
      <c r="E1758">
        <f>INDEX(FactorTable!$B$2:$Y$301, MATCH(ROUND(MIN(300,MAX(1,D1758)),0), FactorTable!$A$2:$A$301,0), Skills!M30+1)</f>
        <v/>
      </c>
      <c r="F1758">
        <f>IF(Skills!N30=TRUE,(Skills!L30/10)*(E1758/1000),Skills!L30/10)+Skills!O30</f>
        <v/>
      </c>
      <c r="G1758">
        <f>Skills!G30*IF(Skills!H30&gt;0,Skills!I30/Skills!H30,1)</f>
        <v/>
      </c>
      <c r="H1758">
        <f>1-(1-Skills!J30/100)^Skills!K30</f>
        <v/>
      </c>
      <c r="I1758" t="inlineStr">
        <is>
          <t>1</t>
        </is>
      </c>
      <c r="J1758" t="inlineStr"/>
      <c r="K1758" t="inlineStr"/>
      <c r="L1758" t="inlineStr"/>
      <c r="M1758" t="inlineStr"/>
      <c r="N1758" t="inlineStr"/>
      <c r="O1758" t="n">
        <v>0</v>
      </c>
      <c r="P1758">
        <f>IF(B1773=0,0,O1758/B1773)</f>
        <v/>
      </c>
      <c r="Q1758" t="n">
        <v>0</v>
      </c>
      <c r="R1758" t="n">
        <v>0</v>
      </c>
      <c r="S1758">
        <f>IFERROR(O1758/N1758,0)</f>
        <v/>
      </c>
    </row>
    <row r="1760">
      <c r="A1760" t="inlineStr">
        <is>
          <t>Average Buff Multiplier</t>
        </is>
      </c>
      <c r="B1760">
        <f>(1+(((C1749=TRUE)*F1749*IF(AND(Inputs!$B$39&lt;&gt;"pvp",Inputs!$B$44&gt;0),(((R1749-1)*(Skills!Y21*(1+Inputs!$B$34/100))+MIN((Skills!Y21*(1+Inputs!$B$34/100)),MAX(0,Inputs!$B$44-((R1749-1)*Skills!D21))))/Inputs!$B$44),IF(Inputs!$B$39="pvp",MIN((Skills!Y21*(1+Inputs!$B$34/100)),15)/15,(Skills!Y21*(1+Inputs!$B$34/100))/Skills!D21)))+((C1751=TRUE)*(F1751-Calc!F23))+((C1745=TRUE)*(F1745-Calc!F17)))/100)*(1+((C1738=TRUE)*F1738*IF(AND(Inputs!$B$39&lt;&gt;"pvp",Inputs!$B$44&gt;0),(((R1738-1)*(Skills!Y10*(1+Inputs!$B$34/100))+MIN((Skills!Y10*(1+Inputs!$B$34/100)),MAX(0,Inputs!$B$44-((R1738-1)*Skills!D10))))/Inputs!$B$44),IF(Inputs!$B$39="pvp",MIN((Skills!Y10*(1+Inputs!$B$34/100)),15)/15,(Skills!Y10*(1+Inputs!$B$34/100))/Skills!D10)))/100)*(1+((C1743=TRUE)*F1743*IF(AND(Inputs!$B$39&lt;&gt;"pvp",Inputs!$B$44&gt;0),(((R1743-1)*(Skills!Y15*(1+Inputs!$B$34/100))+MIN((Skills!Y15*(1+Inputs!$B$34/100)),MAX(0,Inputs!$B$44-((R1743-1)*Skills!D15))))/Inputs!$B$44),IF(Inputs!$B$39="pvp",MIN((Skills!Y15*(1+Inputs!$B$34/100)),15)/15,(Skills!Y15*(1+Inputs!$B$34/100))/Skills!D15)))/100)</f>
        <v/>
      </c>
    </row>
    <row r="1761">
      <c r="A1761" t="inlineStr">
        <is>
          <t>Global Crit Rate Bonus %</t>
        </is>
      </c>
      <c r="B1761">
        <f>((C1748=TRUE)*F1748*IF(AND(Inputs!$B$39&lt;&gt;"pvp",Inputs!$B$44&gt;0),(((R1748-1)*(Skills!Y20*(1+Inputs!$B$34/100))+MIN((Skills!Y20*(1+Inputs!$B$34/100)),MAX(0,Inputs!$B$44-((R1748-1)*Skills!D20))))/Inputs!$B$44),IF(Inputs!$B$39="pvp",MIN((Skills!Y20*(1+Inputs!$B$34/100)),15)/15,(Skills!Y20*(1+Inputs!$B$34/100))/Skills!D20)))</f>
        <v/>
      </c>
    </row>
    <row r="1762">
      <c r="A1762" t="inlineStr">
        <is>
          <t>Global Monster Damage-Taken Bonus %</t>
        </is>
      </c>
      <c r="B1762">
        <f>IF(Inputs!$B$3&gt;=82,15,0)</f>
        <v/>
      </c>
    </row>
    <row r="1763">
      <c r="A1763" t="inlineStr">
        <is>
          <t>Shadow Partner Average Multiplier</t>
        </is>
      </c>
      <c r="B1763">
        <f>1+((C1735=TRUE)*F1735*(1+3.3333333333333335*IF(C1746=TRUE,F1746,0)/100)*I1735*Skills!J7/100)/100</f>
        <v/>
      </c>
    </row>
    <row r="1764">
      <c r="A1764" t="inlineStr">
        <is>
          <t>Attack Speed Buff Bonus %</t>
        </is>
      </c>
      <c r="B1764">
        <f>((C1747=TRUE)*F1747*IF(AND(Inputs!$B$39&lt;&gt;"pvp",Inputs!$B$44&gt;0),(((R1747-1)*(Skills!Y19*(1+Inputs!$B$34/100))+MIN((Skills!Y19*(1+Inputs!$B$34/100)),MAX(0,Inputs!$B$44-((R1747-1)*Skills!D19))))/Inputs!$B$44),IF(Inputs!$B$39="pvp",MIN((Skills!Y19*(1+Inputs!$B$34/100)),15)/15,(Skills!Y19*(1+Inputs!$B$34/100))/Skills!D19)))+((C1731=TRUE)*F1731*3)</f>
        <v/>
      </c>
    </row>
    <row r="1765">
      <c r="A1765" t="inlineStr">
        <is>
          <t>Actions Per Second</t>
        </is>
      </c>
      <c r="B1765">
        <f>1+MIN(150,150*(1-(1-(Inputs!$B$11+((C1750=TRUE)*(F1750-Calc!F22)))/150)*(1-B1764/150)))/100</f>
        <v/>
      </c>
    </row>
    <row r="1766">
      <c r="A1766" t="inlineStr">
        <is>
          <t>Skill + Buff Cast Rate</t>
        </is>
      </c>
      <c r="B1766">
        <f>IF(AND(Inputs!$B$39&lt;&gt;"pvp",Inputs!$B$44&gt;0),SUMPRODUCT((Skills!E2:E30=TRUE)*(C1730:C1758=TRUE)*R1730:R1758*Skills!F2:F30)/Inputs!$B$44,SUMPRODUCT((Skills!E2:E30=TRUE)*(C1730:C1758=TRUE)*Q1730:Q1758*Skills!F2:F30))</f>
        <v/>
      </c>
    </row>
    <row r="1767">
      <c r="A1767" t="inlineStr">
        <is>
          <t>Cruel Stab Casts Per Second</t>
        </is>
      </c>
      <c r="B1767">
        <f>MAX(0,B1765-B1766)</f>
        <v/>
      </c>
    </row>
    <row r="1768">
      <c r="A1768" t="inlineStr">
        <is>
          <t>Global Critical Damage Bonus % (Smokescreen Mastery Lv.113)</t>
        </is>
      </c>
      <c r="B1768">
        <f>IF(Inputs!$B$3&gt;=113,30,0)*IF(AND(Inputs!$B$39&lt;&gt;"pvp",Inputs!$B$44&gt;0),(((R1743-1)*(Skills!Y15*(1+Inputs!$B$34/100))+MIN((Skills!Y15*(1+Inputs!$B$34/100)),MAX(0,Inputs!$B$44-((R1743-1)*Skills!D15))))/Inputs!$B$44),IF(Inputs!$B$39="pvp",MIN((Skills!Y15*(1+Inputs!$B$34/100)),15)/15,(Skills!Y15*(1+Inputs!$B$34/100))/Skills!D15))</f>
        <v/>
      </c>
    </row>
    <row r="1769">
      <c r="A1769" t="inlineStr">
        <is>
          <t>Meso Explosion average stack count</t>
        </is>
      </c>
      <c r="B1769">
        <f>MIN(10,0.5*B1765*Skills!D4)</f>
        <v/>
      </c>
    </row>
    <row r="1770">
      <c r="A1770" t="inlineStr">
        <is>
          <t>Blood Money average stack count</t>
        </is>
      </c>
      <c r="B1770">
        <f>MIN(5,0.25*B1765*Skills!D4)</f>
        <v/>
      </c>
    </row>
    <row r="1771">
      <c r="A1771" t="inlineStr">
        <is>
          <t>Assassinate Murderous Intent Multiplier</t>
        </is>
      </c>
      <c r="B1771">
        <f>1+IFERROR(MIN(1,Q1742*2/Q1739),0)</f>
        <v/>
      </c>
    </row>
    <row r="1772">
      <c r="A1772" t="inlineStr">
        <is>
          <t>Buff-Casting Startup Delay (s, fixed-duration only)</t>
        </is>
      </c>
      <c r="B1772">
        <f>IF(AND(Inputs!$B$39&lt;&gt;"pvp",Inputs!$B$44&gt;0),SUMPRODUCT((Skills!Y2:Y30&gt;0)*(Skills!E2:E30=TRUE)*(C1730:C1758=TRUE))/B1765,0)</f>
        <v/>
      </c>
    </row>
    <row r="1773">
      <c r="A1773" s="5" t="inlineStr">
        <is>
          <t>TOTAL DPS</t>
        </is>
      </c>
      <c r="B1773" s="5">
        <f>SUM(O1730:O1758)</f>
        <v/>
      </c>
    </row>
    <row r="1776">
      <c r="A1776" s="5" t="inlineStr">
        <is>
          <t>Stat: CDR = 5.0s</t>
        </is>
      </c>
    </row>
    <row r="1777">
      <c r="A1777" s="9" t="inlineStr">
        <is>
          <t>Key</t>
        </is>
      </c>
      <c r="B1777" s="9" t="inlineStr">
        <is>
          <t>Name</t>
        </is>
      </c>
      <c r="C1777" s="9" t="inlineStr">
        <is>
          <t>Unlocked</t>
        </is>
      </c>
      <c r="D1777" s="9" t="inlineStr">
        <is>
          <t>InputLevel</t>
        </is>
      </c>
      <c r="E1777" s="9" t="inlineStr">
        <is>
          <t>Factor</t>
        </is>
      </c>
      <c r="F1777" s="9" t="inlineStr">
        <is>
          <t>CoefficientPercent</t>
        </is>
      </c>
      <c r="G1777" s="9" t="inlineStr">
        <is>
          <t>EffectiveHits</t>
        </is>
      </c>
      <c r="H1777" s="9" t="inlineStr">
        <is>
          <t>ProcProbability</t>
        </is>
      </c>
      <c r="I1777" s="9" t="inlineStr">
        <is>
          <t>MapleHeroMultiplier</t>
        </is>
      </c>
      <c r="J1777" s="9" t="inlineStr">
        <is>
          <t>BaseDamage</t>
        </is>
      </c>
      <c r="K1777" s="9" t="inlineStr">
        <is>
          <t>BaseHitDamage</t>
        </is>
      </c>
      <c r="L1777" s="9" t="inlineStr">
        <is>
          <t>NonCritAvg</t>
        </is>
      </c>
      <c r="M1777" s="9" t="inlineStr">
        <is>
          <t>CritAvg</t>
        </is>
      </c>
      <c r="N1777" s="9" t="inlineStr">
        <is>
          <t>ExpectedDamage(perHit)</t>
        </is>
      </c>
      <c r="O1777" s="9" t="inlineStr">
        <is>
          <t>DPS</t>
        </is>
      </c>
      <c r="P1777" s="9" t="inlineStr">
        <is>
          <t>% of Total</t>
        </is>
      </c>
      <c r="Q1777" s="9" t="inlineStr">
        <is>
          <t>InvCooldown</t>
        </is>
      </c>
      <c r="R1777" s="9" t="inlineStr">
        <is>
          <t>CastsInFight</t>
        </is>
      </c>
      <c r="S1777" s="9" t="inlineStr">
        <is>
          <t>HitRate(perSec)</t>
        </is>
      </c>
      <c r="U1777" t="inlineStr">
        <is>
          <t>helpers</t>
        </is>
      </c>
    </row>
    <row r="1778">
      <c r="A1778">
        <f>Skills!A2</f>
        <v/>
      </c>
      <c r="B1778">
        <f>Skills!B2</f>
        <v/>
      </c>
      <c r="C1778">
        <f>Inputs!$B$3&gt;=100</f>
        <v/>
      </c>
      <c r="D1778" t="inlineStr"/>
      <c r="E1778" t="inlineStr"/>
      <c r="F1778">
        <f>U1780+Skills!O2</f>
        <v/>
      </c>
      <c r="G1778">
        <f>Skills!G2*IF(Skills!H2&gt;0,Skills!I2/Skills!H2,1)</f>
        <v/>
      </c>
      <c r="H1778">
        <f>1-(1-Skills!J2/100)^Skills!K2</f>
        <v/>
      </c>
      <c r="I1778" t="inlineStr">
        <is>
          <t>1</t>
        </is>
      </c>
      <c r="J1778">
        <f>((Inputs!$B$6*(1+Inputs!$B$7/100))+(((Inputs!$B$12*(1+Inputs!$B$13/100))-(Inputs!$B$12*(1+Inputs!$B$13/100)))+0.25*(Inputs!$B$14-Inputs!$B$14))*(1+Inputs!$B$7/100))*(F1778/100)</f>
        <v/>
      </c>
      <c r="K1778">
        <f>J1778*(1+((Inputs!$B$12*(1+Inputs!$B$13/100))*0.01+Inputs!$B$14*0.0025)/100)*(1+Inputs!$B$15/100)*(1+IF(Inputs!$B$39="pvp",0,(1-Summary!$B$55)*(Inputs!$B$20+0+Skills!P2+B1810)+Summary!$B$55*(Inputs!$B$21+Skills!Q2+B1810))/100)*(1+Inputs!$B$16/100)*(5000/(6000+Inputs!$B$43*(1-Inputs!$B$19/100)))*(1+(Inputs!$B$24+((C1806=TRUE)*(F1806-Calc!F30)))/100)*(1+(IF(Skills!A2="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1778)</f>
        <v/>
      </c>
      <c r="L1778">
        <f>K1778*(MIN(Inputs!$B$22+((C1800=TRUE)*(F1800-Calc!F24)),Inputs!$B$23+((C1805=TRUE)*(F1805-Calc!F29)))/100+(Inputs!$B$23+((C1805=TRUE)*(F1805-Calc!F29)))/100)/2</f>
        <v/>
      </c>
      <c r="M1778">
        <f>L1778*(1+(Inputs!$B$10+((C1802=TRUE)*(F1802-Calc!F26))+B1816)/100)</f>
        <v/>
      </c>
      <c r="N1778">
        <f>L1778*(1-MIN((Inputs!$B$9+((C1801=TRUE)*(F1801-Calc!F25))+B1809),100)/100)+M1778*(MIN((Inputs!$B$9+((C1801=TRUE)*(F1801-Calc!F25))+B1809),100)/100)</f>
        <v/>
      </c>
      <c r="O1778">
        <f>IF(C1778,Skills!G2*N1778*B1815*IF(Inputs!$B$39="pvp",1,(1-Summary!$B$55)*(1)+Summary!$B$55*(MIN((6+Inputs!$B$33),Inputs!$B$37))),0)</f>
        <v/>
      </c>
      <c r="P1778">
        <f>IF(B1821=0,0,O1778/B1821)</f>
        <v/>
      </c>
      <c r="Q1778" t="n">
        <v>0</v>
      </c>
      <c r="R1778" t="n">
        <v>0</v>
      </c>
      <c r="S1778">
        <f>IFERROR(O1778/N1778,0)</f>
        <v/>
      </c>
      <c r="U1778">
        <f>MAX(0,(Inputs!$B$3-100)*3)+Inputs!$B$28+Inputs!$B$29</f>
        <v/>
      </c>
    </row>
    <row r="1779">
      <c r="A1779">
        <f>Skills!A3</f>
        <v/>
      </c>
      <c r="B1779">
        <f>Skills!B3</f>
        <v/>
      </c>
      <c r="C1779">
        <f>Inputs!$B$3&gt;=35</f>
        <v/>
      </c>
      <c r="D1779">
        <f>IF(Skills!C3=1,60+Inputs!$B$25+Inputs!$B$29,IF(Skills!C3=2,90+Inputs!$B$26+Inputs!$B$29,IF(Skills!C3=3,120+Inputs!$B$27+Inputs!$B$29,MAX(0,(Inputs!$B$3-100)*3)+Inputs!$B$28+Inputs!$B$29)))</f>
        <v/>
      </c>
      <c r="E1779">
        <f>INDEX(FactorTable!$B$2:$Y$301, MATCH(ROUND(MIN(300,MAX(1,D1779)),0), FactorTable!$A$2:$A$301,0), Skills!M3+1)</f>
        <v/>
      </c>
      <c r="F1779">
        <f>IF(Skills!N3=TRUE,(Skills!L3/10)*(E1779/1000),Skills!L3/10)+Skills!O3</f>
        <v/>
      </c>
      <c r="G1779">
        <f>Skills!G3*IF(Skills!H3&gt;0,Skills!I3/Skills!H3,1)</f>
        <v/>
      </c>
      <c r="H1779">
        <f>1-(1-Skills!J3/100)^Skills!K3</f>
        <v/>
      </c>
      <c r="I1779" t="inlineStr">
        <is>
          <t>1</t>
        </is>
      </c>
      <c r="J1779" t="inlineStr"/>
      <c r="K1779" t="inlineStr"/>
      <c r="L1779" t="inlineStr"/>
      <c r="M1779" t="inlineStr"/>
      <c r="N1779" t="inlineStr"/>
      <c r="O1779" t="n">
        <v>0</v>
      </c>
      <c r="P1779">
        <f>IF(B1821=0,0,O1779/B1821)</f>
        <v/>
      </c>
      <c r="Q1779" t="n">
        <v>0</v>
      </c>
      <c r="R1779" t="n">
        <v>0</v>
      </c>
      <c r="S1779">
        <f>IFERROR(O1779/N1779,0)</f>
        <v/>
      </c>
      <c r="U1779">
        <f>INDEX(FactorTable!$B$2:$Y$301, MATCH(ROUND(MIN(300,MAX(1,U1778)),0), FactorTable!$A$2:$A$301,0), 22)</f>
        <v/>
      </c>
    </row>
    <row r="1780">
      <c r="A1780">
        <f>Skills!A4</f>
        <v/>
      </c>
      <c r="B1780">
        <f>Skills!B4</f>
        <v/>
      </c>
      <c r="C1780">
        <f>Inputs!$B$3&gt;=66</f>
        <v/>
      </c>
      <c r="D1780">
        <f>IF(Skills!C4=1,60+Inputs!$B$25+Inputs!$B$29,IF(Skills!C4=2,90+Inputs!$B$26+Inputs!$B$29,IF(Skills!C4=3,120+Inputs!$B$27+Inputs!$B$29,MAX(0,(Inputs!$B$3-100)*3)+Inputs!$B$28+Inputs!$B$29)))</f>
        <v/>
      </c>
      <c r="E1780">
        <f>INDEX(FactorTable!$B$2:$Y$301, MATCH(ROUND(MIN(300,MAX(1,D1780)),0), FactorTable!$A$2:$A$301,0), Skills!M4+1)</f>
        <v/>
      </c>
      <c r="F1780">
        <f>IF(Skills!N4=TRUE,(Skills!L4/10)*(E1780/1000),Skills!L4/10)+Skills!O4</f>
        <v/>
      </c>
      <c r="G1780">
        <f>Skills!G4*IF(Skills!H4&gt;0,Skills!I4/Skills!H4,1)</f>
        <v/>
      </c>
      <c r="H1780">
        <f>1-(1-Skills!J4/100)^Skills!K4</f>
        <v/>
      </c>
      <c r="I1780" t="inlineStr">
        <is>
          <t>1</t>
        </is>
      </c>
      <c r="J1780">
        <f>((Inputs!$B$6*(1+Inputs!$B$7/100))+(((Inputs!$B$12*(1+Inputs!$B$13/100))-(Inputs!$B$12*(1+Inputs!$B$13/100)))+0.25*(Inputs!$B$14-Inputs!$B$14))*(1+Inputs!$B$7/100))*(F1780/100)</f>
        <v/>
      </c>
      <c r="K1780">
        <f>J1780*(1+((Inputs!$B$12*(1+Inputs!$B$13/100))*0.01+Inputs!$B$14*0.0025)/100)*(1+Inputs!$B$15/100)*(1+IF(Inputs!$B$39="pvp",0,(1-Summary!$B$55)*(Inputs!$B$20+0+Skills!P4+B1810)+Summary!$B$55*(Inputs!$B$21+Skills!Q4+B1810))/100)*(1+Inputs!$B$16/100)*(5000/(6000+Inputs!$B$43*(1-Inputs!$B$19/100)))*(1+(Inputs!$B$24+((C1806=TRUE)*(F1806-Calc!F30)))/100)*(1+(IF(Skills!A4="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1780)</f>
        <v/>
      </c>
      <c r="L1780">
        <f>K1780*(MIN(Inputs!$B$22+((C1800=TRUE)*(F1800-Calc!F24)),Inputs!$B$23+((C1805=TRUE)*(F1805-Calc!F29)))/100+(Inputs!$B$23+((C1805=TRUE)*(F1805-Calc!F29)))/100)/2</f>
        <v/>
      </c>
      <c r="M1780">
        <f>L1780*(1+(Inputs!$B$10+((C1802=TRUE)*(F1802-Calc!F26))+B1816)/100)</f>
        <v/>
      </c>
      <c r="N1780">
        <f>L1780*(1-MIN((Inputs!$B$9+((C1801=TRUE)*(F1801-Calc!F25))+B1809),100)/100)+M1780*(MIN((Inputs!$B$9+((C1801=TRUE)*(F1801-Calc!F25))+B1809),100)/100)</f>
        <v/>
      </c>
      <c r="O1780">
        <f>IF(C1780,H1780*N1780*IF(AND(Inputs!$B$39&lt;&gt;"pvp",Inputs!$B$44&gt;0),((Skills!G4*((R1780-1)*IF(Skills!H4&gt;0,Skills!I4/Skills!H4,1)+IF(Skills!H4&gt;0,MIN(Skills!I4,MAX(0,MAX(0,Inputs!$B$44-B1820)-((R1780-1)*IF(Inputs!$B$39="pvp",15,MAX(0.1,Skills!D4-IF(Skills!E4=TRUE,5.0,0))))))/Skills!H4,1)))/Inputs!$B$44),G1780*Q1780)*IF(Inputs!$B$39="pvp",1,(1-Summary!$B$55)*(1)+Summary!$B$55*(MIN(MIN(10,0.5*B1813*Skills!D4),Inputs!$B$37))),0)</f>
        <v/>
      </c>
      <c r="P1780">
        <f>IF(B1821=0,0,O1780/B1821)</f>
        <v/>
      </c>
      <c r="Q1780">
        <f>IFERROR(1/IF(Inputs!$B$39="pvp",15,MAX(0.1,Skills!D4-IF(Skills!E4=TRUE,5.0,0))),0)</f>
        <v/>
      </c>
      <c r="R1780">
        <f>IF(AND(Inputs!$B$39&lt;&gt;"pvp",Inputs!$B$44&gt;0),IF(MAX(0,Inputs!$B$44-B1820)&lt;=0,0,(INT(MAX(0,Inputs!$B$44-B1820)/IF(Inputs!$B$39="pvp",15,MAX(0.1,Skills!D4-IF(Skills!E4=TRUE,5.0,0))))+1)),0)</f>
        <v/>
      </c>
      <c r="S1780">
        <f>IFERROR(O1780/N1780,0)</f>
        <v/>
      </c>
      <c r="U1780">
        <f>290*U1779/1000</f>
        <v/>
      </c>
    </row>
    <row r="1781">
      <c r="A1781">
        <f>Skills!A5</f>
        <v/>
      </c>
      <c r="B1781">
        <f>Skills!B5</f>
        <v/>
      </c>
      <c r="C1781">
        <f>Inputs!$B$3&gt;=63</f>
        <v/>
      </c>
      <c r="D1781">
        <f>IF(Skills!C5=1,60+Inputs!$B$25+Inputs!$B$29,IF(Skills!C5=2,90+Inputs!$B$26+Inputs!$B$29,IF(Skills!C5=3,120+Inputs!$B$27+Inputs!$B$29,MAX(0,(Inputs!$B$3-100)*3)+Inputs!$B$28+Inputs!$B$29)))</f>
        <v/>
      </c>
      <c r="E1781">
        <f>INDEX(FactorTable!$B$2:$Y$301, MATCH(ROUND(MIN(300,MAX(1,D1781)),0), FactorTable!$A$2:$A$301,0), Skills!M5+1)</f>
        <v/>
      </c>
      <c r="F1781">
        <f>IF(Skills!N5=TRUE,(Skills!L5/10)*(E1781/1000),Skills!L5/10)+Skills!O5</f>
        <v/>
      </c>
      <c r="G1781">
        <f>Skills!G5*IF(Skills!H5&gt;0,Skills!I5/Skills!H5,1)</f>
        <v/>
      </c>
      <c r="H1781">
        <f>1-(1-Skills!J5/100)^Skills!K5</f>
        <v/>
      </c>
      <c r="I1781" t="inlineStr">
        <is>
          <t>1</t>
        </is>
      </c>
      <c r="J1781">
        <f>((Inputs!$B$6*(1+Inputs!$B$7/100))+(((Inputs!$B$12*(1+Inputs!$B$13/100))-(Inputs!$B$12*(1+Inputs!$B$13/100)))+0.25*(Inputs!$B$14-Inputs!$B$14))*(1+Inputs!$B$7/100))*(F1781/100)</f>
        <v/>
      </c>
      <c r="K1781">
        <f>J1781*(1+((Inputs!$B$12*(1+Inputs!$B$13/100))*0.01+Inputs!$B$14*0.0025)/100)*(1+Inputs!$B$15/100)*(1+IF(Inputs!$B$39="pvp",0,(1-Summary!$B$55)*(Inputs!$B$20+0+Skills!P5+B1810)+Summary!$B$55*(Inputs!$B$21+Skills!Q5+B1810))/100)*(1+Inputs!$B$16/100)*(5000/(6000+Inputs!$B$43*(1-Inputs!$B$19/100)))*(1+(Inputs!$B$24+((C1806=TRUE)*(F1806-Calc!F30)))/100)*(1+2.6666666666666665*IF(C1794=TRUE,F1794,0)/100)*(1+(IF(Skills!A5="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1781)</f>
        <v/>
      </c>
      <c r="L1781">
        <f>K1781*(MIN(Inputs!$B$22+((C1800=TRUE)*(F1800-Calc!F24)),Inputs!$B$23+((C1805=TRUE)*(F1805-Calc!F29)))/100+(Inputs!$B$23+((C1805=TRUE)*(F1805-Calc!F29)))/100)/2</f>
        <v/>
      </c>
      <c r="M1781">
        <f>L1781*(1+(Inputs!$B$10+((C1802=TRUE)*(F1802-Calc!F26))+B1816)/100)</f>
        <v/>
      </c>
      <c r="N1781">
        <f>L1781*(1-MIN((Inputs!$B$9+((C1801=TRUE)*(F1801-Calc!F25))+B1809),100)/100)+M1781*(MIN((Inputs!$B$9+((C1801=TRUE)*(F1801-Calc!F25))+B1809),100)/100)</f>
        <v/>
      </c>
      <c r="O1781">
        <f>IF(C1781,H1781*N1781*IF(AND(Inputs!$B$39&lt;&gt;"pvp",Inputs!$B$44&gt;0),((Skills!G5*((R1781-1)*IF(Skills!H5&gt;0,Skills!I5/Skills!H5,1)+IF(Skills!H5&gt;0,MIN(Skills!I5,MAX(0,MAX(0,Inputs!$B$44-B1820)-((R1781-1)*IF(Inputs!$B$39="pvp",15,MAX(0.1,Skills!D5-IF(Skills!E5=TRUE,5.0,0))))))/Skills!H5,1)))/Inputs!$B$44),G1781*Q1781)*IF(Inputs!$B$39="pvp",1,(1-Summary!$B$55)*(1)+Summary!$B$55*(MIN(Skills!W5,Inputs!$B$37))),0)</f>
        <v/>
      </c>
      <c r="P1781">
        <f>IF(B1821=0,0,O1781/B1821)</f>
        <v/>
      </c>
      <c r="Q1781">
        <f>IFERROR(1/IF(Inputs!$B$39="pvp",15,MAX(0.1,Skills!D5-IF(Skills!E5=TRUE,5.0,0))),0)</f>
        <v/>
      </c>
      <c r="R1781">
        <f>IF(AND(Inputs!$B$39&lt;&gt;"pvp",Inputs!$B$44&gt;0),IF(MAX(0,Inputs!$B$44-B1820)&lt;=0,0,(INT(MAX(0,Inputs!$B$44-B1820)/IF(Inputs!$B$39="pvp",15,MAX(0.1,Skills!D5-IF(Skills!E5=TRUE,5.0,0))))+1)),0)</f>
        <v/>
      </c>
      <c r="S1781">
        <f>IFERROR(O1781/N1781,0)</f>
        <v/>
      </c>
    </row>
    <row r="1782">
      <c r="A1782">
        <f>Skills!A6</f>
        <v/>
      </c>
      <c r="B1782">
        <f>Skills!B6</f>
        <v/>
      </c>
      <c r="C1782">
        <f>Inputs!$B$3&gt;=69</f>
        <v/>
      </c>
      <c r="D1782">
        <f>IF(Skills!C6=1,60+Inputs!$B$25+Inputs!$B$29,IF(Skills!C6=2,90+Inputs!$B$26+Inputs!$B$29,IF(Skills!C6=3,120+Inputs!$B$27+Inputs!$B$29,MAX(0,(Inputs!$B$3-100)*3)+Inputs!$B$28+Inputs!$B$29)))</f>
        <v/>
      </c>
      <c r="E1782">
        <f>INDEX(FactorTable!$B$2:$Y$301, MATCH(ROUND(MIN(300,MAX(1,D1782)),0), FactorTable!$A$2:$A$301,0), Skills!M6+1)</f>
        <v/>
      </c>
      <c r="F1782">
        <f>IF(Skills!N6=TRUE,(Skills!L6/10)*(E1782/1000),Skills!L6/10)+Skills!O6</f>
        <v/>
      </c>
      <c r="G1782">
        <f>Skills!G6*IF(Skills!H6&gt;0,Skills!I6/Skills!H6,1)</f>
        <v/>
      </c>
      <c r="H1782">
        <f>1-(1-Skills!J6/100)^Skills!K6</f>
        <v/>
      </c>
      <c r="I1782" t="inlineStr">
        <is>
          <t>1</t>
        </is>
      </c>
      <c r="J1782">
        <f>((Inputs!$B$6*(1+Inputs!$B$7/100))+(((Inputs!$B$12*(1+Inputs!$B$13/100))-(Inputs!$B$12*(1+Inputs!$B$13/100)))+0.25*(Inputs!$B$14-Inputs!$B$14))*(1+Inputs!$B$7/100))*(F1782/100)</f>
        <v/>
      </c>
      <c r="K1782">
        <f>J1782*(1+((Inputs!$B$12*(1+Inputs!$B$13/100))*0.01+Inputs!$B$14*0.0025)/100)*(1+Inputs!$B$15/100)*(1+IF(Inputs!$B$39="pvp",0,(1-Summary!$B$55)*(Inputs!$B$20+0+Skills!P6+B1810)+Summary!$B$55*(Inputs!$B$21+Skills!Q6+B1810))/100)*(1+Inputs!$B$16/100)*(5000/(6000+Inputs!$B$43*(1-Inputs!$B$19/100)))*(1+(Inputs!$B$24+((C1806=TRUE)*(F1806-Calc!F30)))/100)*(1+1.0*IF(C1794=TRUE,F1794,0)/100)*(1+(IF(Skills!A6="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1782)</f>
        <v/>
      </c>
      <c r="L1782">
        <f>K1782*(MIN(Inputs!$B$22+((C1800=TRUE)*(F1800-Calc!F24)),Inputs!$B$23+((C1805=TRUE)*(F1805-Calc!F29)))/100+(Inputs!$B$23+((C1805=TRUE)*(F1805-Calc!F29)))/100)/2</f>
        <v/>
      </c>
      <c r="M1782">
        <f>L1782*(1+(Inputs!$B$10+((C1802=TRUE)*(F1802-Calc!F26))+B1816)/100)</f>
        <v/>
      </c>
      <c r="N1782">
        <f>L1782*(1-MIN((Inputs!$B$9+((C1801=TRUE)*(F1801-Calc!F25))+B1809),100)/100)+M1782*(MIN((Inputs!$B$9+((C1801=TRUE)*(F1801-Calc!F25))+B1809),100)/100)</f>
        <v/>
      </c>
      <c r="O1782">
        <f>IF(C1782,H1782*N1782*IF(AND(Inputs!$B$39&lt;&gt;"pvp",Inputs!$B$44&gt;0),((Skills!G6*((R1782-1)*IF(Skills!H6&gt;0,Skills!I6/Skills!H6,1)+IF(Skills!H6&gt;0,MIN(Skills!I6,MAX(0,MAX(0,Inputs!$B$44-B1820)-((R1782-1)*IF(Inputs!$B$39="pvp",15,MAX(0.1,Skills!D6-IF(Skills!E6=TRUE,5.0,0))))))/Skills!H6,1)))/Inputs!$B$44),G1782*Q1782)*IF(Inputs!$B$39="pvp",1,(1-Summary!$B$55)*(1)+Summary!$B$55*(MIN(Skills!W6,Inputs!$B$37))),0)</f>
        <v/>
      </c>
      <c r="P1782">
        <f>IF(B1821=0,0,O1782/B1821)</f>
        <v/>
      </c>
      <c r="Q1782">
        <f>IFERROR(1/IF(Inputs!$B$39="pvp",15,MAX(0.1,Skills!D6-IF(Skills!E6=TRUE,5.0,0))),0)</f>
        <v/>
      </c>
      <c r="R1782">
        <f>IF(AND(Inputs!$B$39&lt;&gt;"pvp",Inputs!$B$44&gt;0),IF(MAX(0,Inputs!$B$44-B1820)&lt;=0,0,(INT(MAX(0,Inputs!$B$44-B1820)/IF(Inputs!$B$39="pvp",15,MAX(0.1,Skills!D6-IF(Skills!E6=TRUE,5.0,0))))+1)),0)</f>
        <v/>
      </c>
      <c r="S1782">
        <f>IFERROR(O1782/N1782,0)</f>
        <v/>
      </c>
    </row>
    <row r="1783">
      <c r="A1783">
        <f>Skills!A7</f>
        <v/>
      </c>
      <c r="B1783">
        <f>Skills!B7</f>
        <v/>
      </c>
      <c r="C1783">
        <f>Inputs!$B$3&gt;=60</f>
        <v/>
      </c>
      <c r="D1783">
        <f>IF(Skills!C7=1,60+Inputs!$B$25+Inputs!$B$29,IF(Skills!C7=2,90+Inputs!$B$26+Inputs!$B$29,IF(Skills!C7=3,120+Inputs!$B$27+Inputs!$B$29,MAX(0,(Inputs!$B$3-100)*3)+Inputs!$B$28+Inputs!$B$29)))</f>
        <v/>
      </c>
      <c r="E1783">
        <f>INDEX(FactorTable!$B$2:$Y$301, MATCH(ROUND(MIN(300,MAX(1,D1783)),0), FactorTable!$A$2:$A$301,0), Skills!M7+1)</f>
        <v/>
      </c>
      <c r="F1783">
        <f>IF(Skills!N7=TRUE,(Skills!L7/10)*(E1783/1000),Skills!L7/10)+Skills!O7</f>
        <v/>
      </c>
      <c r="G1783">
        <f>Skills!G7*IF(Skills!H7&gt;0,Skills!I7/Skills!H7,1)</f>
        <v/>
      </c>
      <c r="H1783">
        <f>1-(1-Skills!J7/100)^Skills!K7</f>
        <v/>
      </c>
      <c r="I1783" t="inlineStr">
        <is>
          <t>1</t>
        </is>
      </c>
      <c r="J1783" t="inlineStr"/>
      <c r="K1783" t="inlineStr"/>
      <c r="L1783" t="inlineStr"/>
      <c r="M1783" t="inlineStr"/>
      <c r="N1783" t="inlineStr"/>
      <c r="O1783" t="n">
        <v>0</v>
      </c>
      <c r="P1783">
        <f>IF(B1821=0,0,O1783/B1821)</f>
        <v/>
      </c>
      <c r="Q1783" t="n">
        <v>0</v>
      </c>
      <c r="R1783" t="n">
        <v>0</v>
      </c>
      <c r="S1783">
        <f>IFERROR(O1783/N1783,0)</f>
        <v/>
      </c>
    </row>
    <row r="1784">
      <c r="A1784">
        <f>Skills!A8</f>
        <v/>
      </c>
      <c r="B1784">
        <f>Skills!B8</f>
        <v/>
      </c>
      <c r="C1784">
        <f>Inputs!$B$3&gt;=72</f>
        <v/>
      </c>
      <c r="D1784">
        <f>IF(Skills!C8=1,60+Inputs!$B$25+Inputs!$B$29,IF(Skills!C8=2,90+Inputs!$B$26+Inputs!$B$29,IF(Skills!C8=3,120+Inputs!$B$27+Inputs!$B$29,MAX(0,(Inputs!$B$3-100)*3)+Inputs!$B$28+Inputs!$B$29)))</f>
        <v/>
      </c>
      <c r="E1784">
        <f>INDEX(FactorTable!$B$2:$Y$301, MATCH(ROUND(MIN(300,MAX(1,D1784)),0), FactorTable!$A$2:$A$301,0), Skills!M8+1)</f>
        <v/>
      </c>
      <c r="F1784">
        <f>IF(Skills!N8=TRUE,(Skills!L8/10)*(E1784/1000),Skills!L8/10)+Skills!O8</f>
        <v/>
      </c>
      <c r="G1784">
        <f>Skills!G8*IF(Skills!H8&gt;0,Skills!I8/Skills!H8,1)</f>
        <v/>
      </c>
      <c r="H1784">
        <f>1-(1-Skills!J8/100)^Skills!K8</f>
        <v/>
      </c>
      <c r="I1784" t="inlineStr">
        <is>
          <t>1</t>
        </is>
      </c>
      <c r="J1784">
        <f>((Inputs!$B$6*(1+Inputs!$B$7/100))+(((Inputs!$B$12*(1+Inputs!$B$13/100))-(Inputs!$B$12*(1+Inputs!$B$13/100)))+0.25*(Inputs!$B$14-Inputs!$B$14))*(1+Inputs!$B$7/100))*(F1784/100)</f>
        <v/>
      </c>
      <c r="K1784">
        <f>J1784*(1+((Inputs!$B$12*(1+Inputs!$B$13/100))*0.01+Inputs!$B$14*0.0025)/100)*(1+Inputs!$B$15/100)*(1+IF(Inputs!$B$39="pvp",0,(1-Summary!$B$55)*(Inputs!$B$20+0+Skills!P8+B1810)+Summary!$B$55*(Inputs!$B$21+Skills!Q8+B1810))/100)*(1+Inputs!$B$16/100)*(5000/(6000+Inputs!$B$43*(1-Inputs!$B$19/100)))*(1+(Inputs!$B$24+((C1806=TRUE)*(F1806-Calc!F30)))/100)*(1+3.3333333333333335*IF(C1794=TRUE,F1794,0)/100)*(1+(IF(Skills!A8="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1784)</f>
        <v/>
      </c>
      <c r="L1784">
        <f>K1784*(MIN(Inputs!$B$22+((C1800=TRUE)*(F1800-Calc!F24)),Inputs!$B$23+((C1805=TRUE)*(F1805-Calc!F29)))/100+(Inputs!$B$23+((C1805=TRUE)*(F1805-Calc!F29)))/100)/2</f>
        <v/>
      </c>
      <c r="M1784">
        <f>L1784*(1+(Inputs!$B$10+((C1802=TRUE)*(F1802-Calc!F26))+B1816)/100)</f>
        <v/>
      </c>
      <c r="N1784">
        <f>L1784*(1-MIN((Inputs!$B$9+((C1801=TRUE)*(F1801-Calc!F25))+B1809),100)/100)+M1784*(MIN((Inputs!$B$9+((C1801=TRUE)*(F1801-Calc!F25))+B1809),100)/100)</f>
        <v/>
      </c>
      <c r="O1784">
        <f>IF(C1784,H1784*N1784*IF(AND(Inputs!$B$39&lt;&gt;"pvp",Inputs!$B$44&gt;0),((Skills!G8*((R1784-1)*IF(Skills!H8&gt;0,Skills!I8/Skills!H8,1)+IF(Skills!H8&gt;0,MIN(Skills!I8,MAX(0,MAX(0,Inputs!$B$44-B1820)-((R1784-1)*IF(Inputs!$B$39="pvp",15,MAX(0.1,Skills!D8-IF(Skills!E8=TRUE,5.0,0))))))/Skills!H8,1)))/Inputs!$B$44),G1784*Q1784)*IF(Inputs!$B$39="pvp",1,(1-Summary!$B$55)*(1)+Summary!$B$55*(MIN(Skills!W8,Inputs!$B$37))),0)</f>
        <v/>
      </c>
      <c r="P1784">
        <f>IF(B1821=0,0,O1784/B1821)</f>
        <v/>
      </c>
      <c r="Q1784">
        <f>IFERROR(1/IF(Inputs!$B$39="pvp",15,MAX(0.1,Skills!D8-IF(Skills!E8=TRUE,5.0,0))),0)</f>
        <v/>
      </c>
      <c r="R1784">
        <f>IF(AND(Inputs!$B$39&lt;&gt;"pvp",Inputs!$B$44&gt;0),IF(MAX(0,Inputs!$B$44-B1820)&lt;=0,0,(INT(MAX(0,Inputs!$B$44-B1820)/IF(Inputs!$B$39="pvp",15,MAX(0.1,Skills!D8-IF(Skills!E8=TRUE,5.0,0))))+1)),0)</f>
        <v/>
      </c>
      <c r="S1784">
        <f>IFERROR(O1784/N1784,0)</f>
        <v/>
      </c>
    </row>
    <row r="1785">
      <c r="A1785">
        <f>Skills!A9</f>
        <v/>
      </c>
      <c r="B1785">
        <f>Skills!B9</f>
        <v/>
      </c>
      <c r="C1785">
        <f>Inputs!$B$3&gt;=117</f>
        <v/>
      </c>
      <c r="D1785">
        <f>IF(Skills!C9=1,60+Inputs!$B$25+Inputs!$B$29,IF(Skills!C9=2,90+Inputs!$B$26+Inputs!$B$29,IF(Skills!C9=3,120+Inputs!$B$27+Inputs!$B$29,MAX(0,(Inputs!$B$3-100)*3)+Inputs!$B$28+Inputs!$B$29)))</f>
        <v/>
      </c>
      <c r="E1785">
        <f>INDEX(FactorTable!$B$2:$Y$301, MATCH(ROUND(MIN(300,MAX(1,D1785)),0), FactorTable!$A$2:$A$301,0), Skills!M9+1)</f>
        <v/>
      </c>
      <c r="F1785">
        <f>IF(Skills!N9=TRUE,(Skills!L9/10)*(E1785/1000),Skills!L9/10)+Skills!O9</f>
        <v/>
      </c>
      <c r="G1785">
        <f>Skills!G9*IF(Skills!H9&gt;0,Skills!I9/Skills!H9,1)</f>
        <v/>
      </c>
      <c r="H1785">
        <f>1-(1-Skills!J9/100)^Skills!K9</f>
        <v/>
      </c>
      <c r="I1785" t="inlineStr">
        <is>
          <t>1</t>
        </is>
      </c>
      <c r="J1785">
        <f>((Inputs!$B$6*(1+Inputs!$B$7/100))+(((Inputs!$B$12*(1+Inputs!$B$13/100))-(Inputs!$B$12*(1+Inputs!$B$13/100)))+0.25*(Inputs!$B$14-Inputs!$B$14))*(1+Inputs!$B$7/100))*(F1785/100)</f>
        <v/>
      </c>
      <c r="K1785">
        <f>J1785*(1+((Inputs!$B$12*(1+Inputs!$B$13/100))*0.01+Inputs!$B$14*0.0025)/100)*(1+Inputs!$B$15/100)*(1+IF(Inputs!$B$39="pvp",0,(1-Summary!$B$55)*(Inputs!$B$20+0+Skills!P9+B1810)+Summary!$B$55*(Inputs!$B$21+Skills!Q9+B1810))/100)*(1+Inputs!$B$16/100)*(5000/(6000+Inputs!$B$43*(1-Inputs!$B$19/100)))*(1+(Inputs!$B$24+((C1806=TRUE)*(F1806-Calc!F30)))/100)*(1+(IF(Skills!A9="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1785)</f>
        <v/>
      </c>
      <c r="L1785">
        <f>K1785*(MIN(Inputs!$B$22+((C1800=TRUE)*(F1800-Calc!F24)),Inputs!$B$23+((C1805=TRUE)*(F1805-Calc!F29)))/100+(Inputs!$B$23+((C1805=TRUE)*(F1805-Calc!F29)))/100)/2</f>
        <v/>
      </c>
      <c r="M1785">
        <f>L1785*(1+(Inputs!$B$10+((C1802=TRUE)*(F1802-Calc!F26))+B1816)/100)</f>
        <v/>
      </c>
      <c r="N1785">
        <f>L1785*(1-MIN((Inputs!$B$9+((C1801=TRUE)*(F1801-Calc!F25))+B1809),100)/100)+M1785*(MIN((Inputs!$B$9+((C1801=TRUE)*(F1801-Calc!F25))+B1809),100)/100)</f>
        <v/>
      </c>
      <c r="O1785">
        <f>IF(C1785,0.2*SUMPRODUCT((Skills!Z2:Z30=TRUE)*(C1778:C1806=TRUE)*S1778:S1806)*N1785,0)</f>
        <v/>
      </c>
      <c r="P1785">
        <f>IF(B1821=0,0,O1785/B1821)</f>
        <v/>
      </c>
      <c r="Q1785" t="n">
        <v>0</v>
      </c>
      <c r="R1785" t="n">
        <v>0</v>
      </c>
      <c r="S1785" t="n">
        <v>0</v>
      </c>
    </row>
    <row r="1786">
      <c r="A1786">
        <f>Skills!A10</f>
        <v/>
      </c>
      <c r="B1786">
        <f>Skills!B10</f>
        <v/>
      </c>
      <c r="C1786">
        <f>Inputs!$B$3&gt;=74</f>
        <v/>
      </c>
      <c r="D1786">
        <f>IF(Skills!C10=1,60+Inputs!$B$25+Inputs!$B$29,IF(Skills!C10=2,90+Inputs!$B$26+Inputs!$B$29,IF(Skills!C10=3,120+Inputs!$B$27+Inputs!$B$29,MAX(0,(Inputs!$B$3-100)*3)+Inputs!$B$28+Inputs!$B$29)))</f>
        <v/>
      </c>
      <c r="E1786">
        <f>INDEX(FactorTable!$B$2:$Y$301, MATCH(ROUND(MIN(300,MAX(1,D1786)),0), FactorTable!$A$2:$A$301,0), Skills!M10+1)</f>
        <v/>
      </c>
      <c r="F1786">
        <f>IF(Skills!N10=TRUE,(Skills!L10/10)*(E1786/1000),Skills!L10/10)+Skills!O10</f>
        <v/>
      </c>
      <c r="G1786">
        <f>Skills!G10*IF(Skills!H10&gt;0,Skills!I10/Skills!H10,1)</f>
        <v/>
      </c>
      <c r="H1786">
        <f>1-(1-Skills!J10/100)^Skills!K10</f>
        <v/>
      </c>
      <c r="I1786" t="inlineStr">
        <is>
          <t>1</t>
        </is>
      </c>
      <c r="J1786" t="inlineStr"/>
      <c r="K1786" t="inlineStr"/>
      <c r="L1786" t="inlineStr"/>
      <c r="M1786" t="inlineStr"/>
      <c r="N1786" t="inlineStr"/>
      <c r="O1786" t="n">
        <v>0</v>
      </c>
      <c r="P1786">
        <f>IF(B1821=0,0,O1786/B1821)</f>
        <v/>
      </c>
      <c r="Q1786">
        <f>IFERROR(1/IF(Inputs!$B$39="pvp",15,MAX(0.1,Skills!D10-IF(Skills!E10=TRUE,5.0,0))),0)</f>
        <v/>
      </c>
      <c r="R1786">
        <f>IF(AND(Inputs!$B$39&lt;&gt;"pvp",Inputs!$B$44&gt;0),IF(Inputs!$B$44&lt;=0,0,(INT(Inputs!$B$44/IF(Inputs!$B$39="pvp",15,MAX(0.1,Skills!D10-IF(Skills!E10=TRUE,5.0,0))))+1)),0)</f>
        <v/>
      </c>
      <c r="S1786">
        <f>IFERROR(O1786/N1786,0)</f>
        <v/>
      </c>
    </row>
    <row r="1787">
      <c r="A1787">
        <f>Skills!A11</f>
        <v/>
      </c>
      <c r="B1787">
        <f>Skills!B11</f>
        <v/>
      </c>
      <c r="C1787">
        <f>Inputs!$B$3&gt;=103</f>
        <v/>
      </c>
      <c r="D1787">
        <f>IF(Skills!C11=1,60+Inputs!$B$25+Inputs!$B$29,IF(Skills!C11=2,90+Inputs!$B$26+Inputs!$B$29,IF(Skills!C11=3,120+Inputs!$B$27+Inputs!$B$29,MAX(0,(Inputs!$B$3-100)*3)+Inputs!$B$28+Inputs!$B$29)))</f>
        <v/>
      </c>
      <c r="E1787">
        <f>INDEX(FactorTable!$B$2:$Y$301, MATCH(ROUND(MIN(300,MAX(1,D1787)),0), FactorTable!$A$2:$A$301,0), Skills!M11+1)</f>
        <v/>
      </c>
      <c r="F1787">
        <f>(Skills!L11/10)*(E1787/1000)+IF(Inputs!$B$3&gt;=134,50,0)+0.5*(30000/10)*(INDEX(FactorTable!$B$2:$Y$301, MATCH(ROUND(MIN(300,MAX(1,D1787)),0), FactorTable!$A$2:$A$301,0), 13)/1000)*B1819</f>
        <v/>
      </c>
      <c r="G1787">
        <f>Skills!G11*IF(Skills!H11&gt;0,Skills!I11/Skills!H11,1)</f>
        <v/>
      </c>
      <c r="H1787">
        <f>1-(1-Skills!J11/100)^Skills!K11</f>
        <v/>
      </c>
      <c r="I1787" t="inlineStr">
        <is>
          <t>1</t>
        </is>
      </c>
      <c r="J1787">
        <f>((Inputs!$B$6*(1+Inputs!$B$7/100))+(((Inputs!$B$12*(1+Inputs!$B$13/100))-(Inputs!$B$12*(1+Inputs!$B$13/100)))+0.25*(Inputs!$B$14-Inputs!$B$14))*(1+Inputs!$B$7/100))*(F1787/100)</f>
        <v/>
      </c>
      <c r="K1787">
        <f>J1787*(1+((Inputs!$B$12*(1+Inputs!$B$13/100))*0.01+Inputs!$B$14*0.0025)/100)*(1+Inputs!$B$15/100)*(1+IF(Inputs!$B$39="pvp",0,(1-Summary!$B$55)*(Inputs!$B$20+0+Skills!P11+B1810)+Summary!$B$55*(Inputs!$B$21+Skills!Q11+B1810))/100)*(1+Inputs!$B$16/100)*(5000/(6000+Inputs!$B$43*(1-Inputs!$B$19/100)))*(1+(Inputs!$B$24+((C1806=TRUE)*(F1806-Calc!F30)))/100)*(1+(IF(Skills!A11="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1787)</f>
        <v/>
      </c>
      <c r="L1787">
        <f>K1787*(MIN(Inputs!$B$22+((C1800=TRUE)*(F1800-Calc!F24)),Inputs!$B$23+((C1805=TRUE)*(F1805-Calc!F29)))/100+(Inputs!$B$23+((C1805=TRUE)*(F1805-Calc!F29)))/100)/2</f>
        <v/>
      </c>
      <c r="M1787">
        <f>L1787*(1+(Inputs!$B$10+((C1802=TRUE)*(F1802-Calc!F26))+B1816)/100)</f>
        <v/>
      </c>
      <c r="N1787">
        <f>L1787*(1-MIN((Inputs!$B$9+((C1801=TRUE)*(F1801-Calc!F25))+B1809),100)/100)+M1787*(MIN((Inputs!$B$9+((C1801=TRUE)*(F1801-Calc!F25))+B1809),100)/100)</f>
        <v/>
      </c>
      <c r="O1787">
        <f>IF(C1787,H1787*N1787*IF(AND(Inputs!$B$39&lt;&gt;"pvp",Inputs!$B$44&gt;0),((Skills!G11*((R1787-1)*IF(Skills!H11&gt;0,Skills!I11/Skills!H11,1)+IF(Skills!H11&gt;0,MIN(Skills!I11,MAX(0,MAX(0,Inputs!$B$44-B1820)-((R1787-1)*IF(Inputs!$B$39="pvp",15,MAX(0.1,Skills!D11-IF(Skills!E11=TRUE,5.0,0))))))/Skills!H11,1)))/Inputs!$B$44),G1787*Q1787)*IF(Inputs!$B$39="pvp",1,(1-Summary!$B$55)*(1)+Summary!$B$55*(MIN(Skills!W11,Inputs!$B$37))),0)</f>
        <v/>
      </c>
      <c r="P1787">
        <f>IF(B1821=0,0,O1787/B1821)</f>
        <v/>
      </c>
      <c r="Q1787">
        <f>IFERROR(1/IF(Inputs!$B$39="pvp",15,MAX(0.1,Skills!D11-IF(Skills!E11=TRUE,5.0,0))),0)</f>
        <v/>
      </c>
      <c r="R1787">
        <f>IF(AND(Inputs!$B$39&lt;&gt;"pvp",Inputs!$B$44&gt;0),IF(MAX(0,Inputs!$B$44-B1820)&lt;=0,0,(INT(MAX(0,Inputs!$B$44-B1820)/IF(Inputs!$B$39="pvp",15,MAX(0.1,Skills!D11-IF(Skills!E11=TRUE,5.0,0))))+1)),0)</f>
        <v/>
      </c>
      <c r="S1787">
        <f>IFERROR(O1787/N1787,0)</f>
        <v/>
      </c>
    </row>
    <row r="1788">
      <c r="A1788">
        <f>Skills!A12</f>
        <v/>
      </c>
      <c r="B1788">
        <f>Skills!B12</f>
        <v/>
      </c>
      <c r="C1788">
        <f>Inputs!$B$3&gt;=105</f>
        <v/>
      </c>
      <c r="D1788">
        <f>IF(Skills!C12=1,60+Inputs!$B$25+Inputs!$B$29,IF(Skills!C12=2,90+Inputs!$B$26+Inputs!$B$29,IF(Skills!C12=3,120+Inputs!$B$27+Inputs!$B$29,MAX(0,(Inputs!$B$3-100)*3)+Inputs!$B$28+Inputs!$B$29)))</f>
        <v/>
      </c>
      <c r="E1788">
        <f>INDEX(FactorTable!$B$2:$Y$301, MATCH(ROUND(MIN(300,MAX(1,D1788)),0), FactorTable!$A$2:$A$301,0), Skills!M12+1)</f>
        <v/>
      </c>
      <c r="F1788">
        <f>IF(Skills!N12=TRUE,(Skills!L12/10)*(E1788/1000),Skills!L12/10)+Skills!O12</f>
        <v/>
      </c>
      <c r="G1788">
        <f>Skills!G12*IF(Skills!H12&gt;0,Skills!I12/Skills!H12,1)</f>
        <v/>
      </c>
      <c r="H1788">
        <f>1-(1-Skills!J12/100)^Skills!K12</f>
        <v/>
      </c>
      <c r="I1788" t="inlineStr">
        <is>
          <t>1</t>
        </is>
      </c>
      <c r="J1788">
        <f>((Inputs!$B$6*(1+Inputs!$B$7/100))+(((Inputs!$B$12*(1+Inputs!$B$13/100))-(Inputs!$B$12*(1+Inputs!$B$13/100)))+0.25*(Inputs!$B$14-Inputs!$B$14))*(1+Inputs!$B$7/100))*(F1788/100)</f>
        <v/>
      </c>
      <c r="K1788">
        <f>J1788*(1+((Inputs!$B$12*(1+Inputs!$B$13/100))*0.01+Inputs!$B$14*0.0025)/100)*(1+Inputs!$B$15/100)*(1+IF(Inputs!$B$39="pvp",0,(1-Summary!$B$55)*(Inputs!$B$20+0+Skills!P12+B1810)+Summary!$B$55*(Inputs!$B$21+Skills!Q12+B1810))/100)*(1+Inputs!$B$16/100)*(5000/(6000+Inputs!$B$43*(1-Inputs!$B$19/100)))*(1+(Inputs!$B$24+((C1806=TRUE)*(F1806-Calc!F30)))/100)*(1+(IF(Skills!A12="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1788)</f>
        <v/>
      </c>
      <c r="L1788">
        <f>K1788*(MIN(Inputs!$B$22+((C1800=TRUE)*(F1800-Calc!F24)),Inputs!$B$23+((C1805=TRUE)*(F1805-Calc!F29)))/100+(Inputs!$B$23+((C1805=TRUE)*(F1805-Calc!F29)))/100)/2</f>
        <v/>
      </c>
      <c r="M1788">
        <f>L1788*(1+(Inputs!$B$10+((C1802=TRUE)*(F1802-Calc!F26))+B1816)/100)</f>
        <v/>
      </c>
      <c r="N1788">
        <f>L1788*(1-MIN((Inputs!$B$9+((C1801=TRUE)*(F1801-Calc!F25))+B1809),100)/100)+M1788*(MIN((Inputs!$B$9+((C1801=TRUE)*(F1801-Calc!F25))+B1809),100)/100)</f>
        <v/>
      </c>
      <c r="O1788">
        <f>IF(C1788,H1788*N1788*IF(AND(Inputs!$B$39&lt;&gt;"pvp",Inputs!$B$44&gt;0),((Skills!G12*((R1788-1)*IF(Skills!H12&gt;0,Skills!I12/Skills!H12,1)+IF(Skills!H12&gt;0,MIN(Skills!I12,MAX(0,MAX(0,Inputs!$B$44-B1820)-((R1788-1)*IF(Inputs!$B$39="pvp",15,MAX(0.1,Skills!D12-IF(Skills!E12=TRUE,5.0,0))))))/Skills!H12,1)))/Inputs!$B$44),G1788*Q1788)*IF(Inputs!$B$39="pvp",1,(1-Summary!$B$55)*(1)+Summary!$B$55*(MIN(Skills!W12,Inputs!$B$37))),0)</f>
        <v/>
      </c>
      <c r="P1788">
        <f>IF(B1821=0,0,O1788/B1821)</f>
        <v/>
      </c>
      <c r="Q1788">
        <f>IFERROR(1/IF(Inputs!$B$39="pvp",15,MAX(0.1,Skills!D12-IF(Skills!E12=TRUE,5.0,0))),0)</f>
        <v/>
      </c>
      <c r="R1788">
        <f>IF(AND(Inputs!$B$39&lt;&gt;"pvp",Inputs!$B$44&gt;0),IF(MAX(0,Inputs!$B$44-B1820)&lt;=0,0,(INT(MAX(0,Inputs!$B$44-B1820)/IF(Inputs!$B$39="pvp",15,MAX(0.1,Skills!D12-IF(Skills!E12=TRUE,5.0,0))))+1)),0)</f>
        <v/>
      </c>
      <c r="S1788">
        <f>IFERROR(O1788/N1788,0)</f>
        <v/>
      </c>
    </row>
    <row r="1789">
      <c r="A1789">
        <f>Skills!A13</f>
        <v/>
      </c>
      <c r="B1789">
        <f>Skills!B13</f>
        <v/>
      </c>
      <c r="C1789">
        <f>Inputs!$B$3&gt;=105</f>
        <v/>
      </c>
      <c r="D1789">
        <f>IF(Skills!C13=1,60+Inputs!$B$25+Inputs!$B$29,IF(Skills!C13=2,90+Inputs!$B$26+Inputs!$B$29,IF(Skills!C13=3,120+Inputs!$B$27+Inputs!$B$29,MAX(0,(Inputs!$B$3-100)*3)+Inputs!$B$28+Inputs!$B$29)))</f>
        <v/>
      </c>
      <c r="E1789">
        <f>INDEX(FactorTable!$B$2:$Y$301, MATCH(ROUND(MIN(300,MAX(1,D1789)),0), FactorTable!$A$2:$A$301,0), Skills!M13+1)</f>
        <v/>
      </c>
      <c r="F1789">
        <f>IF(Skills!N13=TRUE,(Skills!L13/10)*(E1789/1000),Skills!L13/10)+Skills!O13</f>
        <v/>
      </c>
      <c r="G1789">
        <f>Skills!G13*IF(Skills!H13&gt;0,Skills!I13/Skills!H13,1)</f>
        <v/>
      </c>
      <c r="H1789">
        <f>1-(1-Skills!J13/100)^Skills!K13</f>
        <v/>
      </c>
      <c r="I1789" t="inlineStr">
        <is>
          <t>1</t>
        </is>
      </c>
      <c r="J1789">
        <f>((Inputs!$B$6*(1+Inputs!$B$7/100))+(((Inputs!$B$12*(1+Inputs!$B$13/100))-(Inputs!$B$12*(1+Inputs!$B$13/100)))+0.25*(Inputs!$B$14-Inputs!$B$14))*(1+Inputs!$B$7/100))*(F1789/100)</f>
        <v/>
      </c>
      <c r="K1789">
        <f>J1789*(1+((Inputs!$B$12*(1+Inputs!$B$13/100))*0.01+Inputs!$B$14*0.0025)/100)*(1+Inputs!$B$15/100)*(1+IF(Inputs!$B$39="pvp",0,(1-Summary!$B$55)*(Inputs!$B$20+0+Skills!P13+B1810)+Summary!$B$55*(Inputs!$B$21+Skills!Q13+B1810))/100)*(1+Inputs!$B$16/100)*(5000/(6000+Inputs!$B$43*(1-Inputs!$B$19/100)))*(1+(Inputs!$B$24+((C1806=TRUE)*(F1806-Calc!F30)))/100)*(1+(IF(Skills!A13="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1789)</f>
        <v/>
      </c>
      <c r="L1789">
        <f>K1789*(MIN(Inputs!$B$22+((C1800=TRUE)*(F1800-Calc!F24)),Inputs!$B$23+((C1805=TRUE)*(F1805-Calc!F29)))/100+(Inputs!$B$23+((C1805=TRUE)*(F1805-Calc!F29)))/100)/2</f>
        <v/>
      </c>
      <c r="M1789">
        <f>L1789*(1+(Inputs!$B$10+((C1802=TRUE)*(F1802-Calc!F26))+B1816)/100)</f>
        <v/>
      </c>
      <c r="N1789">
        <f>L1789*(1-MIN((Inputs!$B$9+((C1801=TRUE)*(F1801-Calc!F25))+B1809),100)/100)+M1789*(MIN((Inputs!$B$9+((C1801=TRUE)*(F1801-Calc!F25))+B1809),100)/100)</f>
        <v/>
      </c>
      <c r="O1789">
        <f>IF(C1789,H1789*N1789*IF(AND(Inputs!$B$39&lt;&gt;"pvp",Inputs!$B$44&gt;0),((Skills!G13*((R1789-1)*IF(Skills!H13&gt;0,Skills!I13/Skills!H13,1)+IF(Skills!H13&gt;0,MIN(Skills!I13,MAX(0,MAX(0,Inputs!$B$44-B1820)-((R1789-1)*IF(Inputs!$B$39="pvp",15,MAX(0.1,Skills!D13-IF(Skills!E13=TRUE,5.0,0))))))/Skills!H13,1)))/Inputs!$B$44),G1789*Q1789)*IF(Inputs!$B$39="pvp",1,(1-Summary!$B$55)*(1)+Summary!$B$55*(MIN(Skills!W13,Inputs!$B$37))),0)</f>
        <v/>
      </c>
      <c r="P1789">
        <f>IF(B1821=0,0,O1789/B1821)</f>
        <v/>
      </c>
      <c r="Q1789">
        <f>IFERROR(1/IF(Inputs!$B$39="pvp",15,MAX(0.1,Skills!D13-IF(Skills!E13=TRUE,5.0,0))),0)</f>
        <v/>
      </c>
      <c r="R1789">
        <f>IF(AND(Inputs!$B$39&lt;&gt;"pvp",Inputs!$B$44&gt;0),IF(MAX(0,Inputs!$B$44-B1820)&lt;=0,0,(INT(MAX(0,Inputs!$B$44-B1820)/IF(Inputs!$B$39="pvp",15,MAX(0.1,Skills!D13-IF(Skills!E13=TRUE,5.0,0))))+1)),0)</f>
        <v/>
      </c>
      <c r="S1789">
        <f>IFERROR(O1789/N1789,0)</f>
        <v/>
      </c>
    </row>
    <row r="1790">
      <c r="A1790">
        <f>Skills!A14</f>
        <v/>
      </c>
      <c r="B1790">
        <f>Skills!B14</f>
        <v/>
      </c>
      <c r="C1790">
        <f>Inputs!$B$3&gt;=107</f>
        <v/>
      </c>
      <c r="D1790">
        <f>IF(Skills!C14=1,60+Inputs!$B$25+Inputs!$B$29,IF(Skills!C14=2,90+Inputs!$B$26+Inputs!$B$29,IF(Skills!C14=3,120+Inputs!$B$27+Inputs!$B$29,MAX(0,(Inputs!$B$3-100)*3)+Inputs!$B$28+Inputs!$B$29)))</f>
        <v/>
      </c>
      <c r="E1790">
        <f>INDEX(FactorTable!$B$2:$Y$301, MATCH(ROUND(MIN(300,MAX(1,D1790)),0), FactorTable!$A$2:$A$301,0), Skills!M14+1)</f>
        <v/>
      </c>
      <c r="F1790">
        <f>IF(Skills!N14=TRUE,(Skills!L14/10)*(E1790/1000),Skills!L14/10)+Skills!O14</f>
        <v/>
      </c>
      <c r="G1790">
        <f>Skills!G14*IF(Skills!H14&gt;0,Skills!I14/Skills!H14,1)</f>
        <v/>
      </c>
      <c r="H1790">
        <f>1-(1-Skills!J14/100)^Skills!K14</f>
        <v/>
      </c>
      <c r="I1790" t="inlineStr">
        <is>
          <t>1</t>
        </is>
      </c>
      <c r="J1790">
        <f>((Inputs!$B$6*(1+Inputs!$B$7/100))+(((Inputs!$B$12*(1+Inputs!$B$13/100))-(Inputs!$B$12*(1+Inputs!$B$13/100)))+0.25*(Inputs!$B$14-Inputs!$B$14))*(1+Inputs!$B$7/100))*(F1790/100)</f>
        <v/>
      </c>
      <c r="K1790">
        <f>J1790*(1+((Inputs!$B$12*(1+Inputs!$B$13/100))*0.01+Inputs!$B$14*0.0025)/100)*(1+Inputs!$B$15/100)*(1+IF(Inputs!$B$39="pvp",0,(1-Summary!$B$55)*(Inputs!$B$20+0+Skills!P14+B1810)+Summary!$B$55*(Inputs!$B$21+Skills!Q14+B1810))/100)*(1+Inputs!$B$16/100)*(5000/(6000+Inputs!$B$43*(1-Inputs!$B$19/100)))*(1+(Inputs!$B$24+((C1806=TRUE)*(F1806-Calc!F30)))/100)*(1+(IF(Skills!A14="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1790)</f>
        <v/>
      </c>
      <c r="L1790">
        <f>K1790*(MIN(Inputs!$B$22+((C1800=TRUE)*(F1800-Calc!F24)),Inputs!$B$23+((C1805=TRUE)*(F1805-Calc!F29)))/100+(Inputs!$B$23+((C1805=TRUE)*(F1805-Calc!F29)))/100)/2</f>
        <v/>
      </c>
      <c r="M1790">
        <f>L1790*(1+(Inputs!$B$10+((C1802=TRUE)*(F1802-Calc!F26))+B1816)/100)</f>
        <v/>
      </c>
      <c r="N1790">
        <f>L1790*(1-MIN((Inputs!$B$9+((C1801=TRUE)*(F1801-Calc!F25))+B1809),100)/100)+M1790*(MIN((Inputs!$B$9+((C1801=TRUE)*(F1801-Calc!F25))+B1809),100)/100)</f>
        <v/>
      </c>
      <c r="O1790">
        <f>IF(C1790,H1790*N1790*IF(AND(Inputs!$B$39&lt;&gt;"pvp",Inputs!$B$44&gt;0),((Skills!G14*((R1790-1)*IF(Skills!H14&gt;0,Skills!I14/Skills!H14,1)+IF(Skills!H14&gt;0,MIN(Skills!I14,MAX(0,MAX(0,Inputs!$B$44-B1820)-((R1790-1)*IF(Inputs!$B$39="pvp",15,MAX(0.1,Skills!D14-IF(Skills!E14=TRUE,5.0,0))))))/Skills!H14,1)))/Inputs!$B$44),G1790*Q1790)*IF(Inputs!$B$39="pvp",1,(1-Summary!$B$55)*(1)+Summary!$B$55*(MIN(MIN(5,0.25*B1813*Skills!D4)*Skills!V14,Inputs!$B$37))),0)</f>
        <v/>
      </c>
      <c r="P1790">
        <f>IF(B1821=0,0,O1790/B1821)</f>
        <v/>
      </c>
      <c r="Q1790">
        <f>IFERROR(1/IF(Inputs!$B$39="pvp",15,MAX(0.1,Skills!D14-IF(Skills!E14=TRUE,5.0,0))),0)</f>
        <v/>
      </c>
      <c r="R1790">
        <f>IF(AND(Inputs!$B$39&lt;&gt;"pvp",Inputs!$B$44&gt;0),IF(MAX(0,Inputs!$B$44-B1820)&lt;=0,0,(INT(MAX(0,Inputs!$B$44-B1820)/IF(Inputs!$B$39="pvp",15,MAX(0.1,Skills!D14-IF(Skills!E14=TRUE,5.0,0))))+1)),0)</f>
        <v/>
      </c>
      <c r="S1790">
        <f>IFERROR(O1790/N1790,0)</f>
        <v/>
      </c>
    </row>
    <row r="1791">
      <c r="A1791">
        <f>Skills!A15</f>
        <v/>
      </c>
      <c r="B1791">
        <f>Skills!B15</f>
        <v/>
      </c>
      <c r="C1791">
        <f>Inputs!$B$3&gt;=110</f>
        <v/>
      </c>
      <c r="D1791">
        <f>IF(Skills!C15=1,60+Inputs!$B$25+Inputs!$B$29,IF(Skills!C15=2,90+Inputs!$B$26+Inputs!$B$29,IF(Skills!C15=3,120+Inputs!$B$27+Inputs!$B$29,MAX(0,(Inputs!$B$3-100)*3)+Inputs!$B$28+Inputs!$B$29)))</f>
        <v/>
      </c>
      <c r="E1791">
        <f>INDEX(FactorTable!$B$2:$Y$301, MATCH(ROUND(MIN(300,MAX(1,D1791)),0), FactorTable!$A$2:$A$301,0), Skills!M15+1)</f>
        <v/>
      </c>
      <c r="F1791">
        <f>IF(Skills!N15=TRUE,(Skills!L15/10)*(E1791/1000),Skills!L15/10)+Skills!O15</f>
        <v/>
      </c>
      <c r="G1791">
        <f>Skills!G15*IF(Skills!H15&gt;0,Skills!I15/Skills!H15,1)</f>
        <v/>
      </c>
      <c r="H1791">
        <f>1-(1-Skills!J15/100)^Skills!K15</f>
        <v/>
      </c>
      <c r="I1791" t="inlineStr">
        <is>
          <t>1</t>
        </is>
      </c>
      <c r="J1791" t="inlineStr"/>
      <c r="K1791" t="inlineStr"/>
      <c r="L1791" t="inlineStr"/>
      <c r="M1791" t="inlineStr"/>
      <c r="N1791" t="inlineStr"/>
      <c r="O1791" t="n">
        <v>0</v>
      </c>
      <c r="P1791">
        <f>IF(B1821=0,0,O1791/B1821)</f>
        <v/>
      </c>
      <c r="Q1791">
        <f>IFERROR(1/IF(Inputs!$B$39="pvp",15,MAX(0.1,Skills!D15-IF(Skills!E15=TRUE,5.0,0))),0)</f>
        <v/>
      </c>
      <c r="R1791">
        <f>IF(AND(Inputs!$B$39&lt;&gt;"pvp",Inputs!$B$44&gt;0),IF(Inputs!$B$44&lt;=0,0,(INT(Inputs!$B$44/IF(Inputs!$B$39="pvp",15,MAX(0.1,Skills!D15-IF(Skills!E15=TRUE,5.0,0))))+1)),0)</f>
        <v/>
      </c>
      <c r="S1791">
        <f>IFERROR(O1791/N1791,0)</f>
        <v/>
      </c>
    </row>
    <row r="1792">
      <c r="A1792">
        <f>Skills!A16</f>
        <v/>
      </c>
      <c r="B1792">
        <f>Skills!B16</f>
        <v/>
      </c>
      <c r="C1792">
        <f>Inputs!$B$3&gt;=115</f>
        <v/>
      </c>
      <c r="D1792">
        <f>IF(Skills!C16=1,60+Inputs!$B$25+Inputs!$B$29,IF(Skills!C16=2,90+Inputs!$B$26+Inputs!$B$29,IF(Skills!C16=3,120+Inputs!$B$27+Inputs!$B$29,MAX(0,(Inputs!$B$3-100)*3)+Inputs!$B$28+Inputs!$B$29)))</f>
        <v/>
      </c>
      <c r="E1792">
        <f>INDEX(FactorTable!$B$2:$Y$301, MATCH(ROUND(MIN(300,MAX(1,D1792)),0), FactorTable!$A$2:$A$301,0), Skills!M16+1)</f>
        <v/>
      </c>
      <c r="F1792">
        <f>IF(Skills!N16=TRUE,(Skills!L16/10)*(E1792/1000),Skills!L16/10)+Skills!O16</f>
        <v/>
      </c>
      <c r="G1792">
        <f>Skills!G16*IF(Skills!H16&gt;0,Skills!I16/Skills!H16,1)</f>
        <v/>
      </c>
      <c r="H1792">
        <f>1-(1-Skills!J16/100)^Skills!K16</f>
        <v/>
      </c>
      <c r="I1792" t="inlineStr">
        <is>
          <t>1</t>
        </is>
      </c>
      <c r="J1792">
        <f>((Inputs!$B$6*(1+Inputs!$B$7/100))+(((Inputs!$B$12*(1+Inputs!$B$13/100))-(Inputs!$B$12*(1+Inputs!$B$13/100)))+0.25*(Inputs!$B$14-Inputs!$B$14))*(1+Inputs!$B$7/100))*(F1792/100)</f>
        <v/>
      </c>
      <c r="K1792">
        <f>J1792*(1+((Inputs!$B$12*(1+Inputs!$B$13/100))*0.01+Inputs!$B$14*0.0025)/100)*(1+Inputs!$B$15/100)*(1+IF(Inputs!$B$39="pvp",0,(1-Summary!$B$55)*(Inputs!$B$20+0+Skills!P16+B1810)+Summary!$B$55*(Inputs!$B$21+Skills!Q16+B1810))/100)*(1+Inputs!$B$16/100)*(5000/(6000+Inputs!$B$43*(1-Inputs!$B$19/100)))*(1+(Inputs!$B$24+((C1806=TRUE)*(F1806-Calc!F30)))/100)*(1+(IF(Skills!A16="CRUEL_STAB",Inputs!$B$17+((C1803=TRUE)*(F1803-Calc!F27)),Inputs!$B$18+((C1804=TRUE)*(F1804-Calc!F28))))/100)*(((1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B1811*I1792)</f>
        <v/>
      </c>
      <c r="L1792">
        <f>K1792*(MIN(Inputs!$B$22+((C1800=TRUE)*(F1800-Calc!F24)),Inputs!$B$23+((C1805=TRUE)*(F1805-Calc!F29)))/100+(Inputs!$B$23+((C1805=TRUE)*(F1805-Calc!F29)))/100)/2</f>
        <v/>
      </c>
      <c r="M1792">
        <f>L1792*(1+(Inputs!$B$10+((C1802=TRUE)*(F1802-Calc!F26))+B1816)/100)</f>
        <v/>
      </c>
      <c r="N1792">
        <f>L1792*(1-MIN((Inputs!$B$9+((C1801=TRUE)*(F1801-Calc!F25))+B1809),100)/100)+M1792*(MIN((Inputs!$B$9+((C1801=TRUE)*(F1801-Calc!F25))+B1809),100)/100)</f>
        <v/>
      </c>
      <c r="O1792">
        <f>IF(C1792,Inputs!$B$38*0.2*N1792,0)</f>
        <v/>
      </c>
      <c r="P1792">
        <f>IF(B1821=0,0,O1792/B1821)</f>
        <v/>
      </c>
      <c r="Q1792" t="n">
        <v>0</v>
      </c>
      <c r="R1792" t="n">
        <v>0</v>
      </c>
      <c r="S1792">
        <f>IFERROR(O1792/N1792,0)</f>
        <v/>
      </c>
    </row>
    <row r="1793">
      <c r="A1793">
        <f>Skills!A17</f>
        <v/>
      </c>
      <c r="B1793">
        <f>Skills!B17</f>
        <v/>
      </c>
      <c r="C1793">
        <f>Inputs!$B$3&gt;=115</f>
        <v/>
      </c>
      <c r="D1793">
        <f>IF(Skills!C17=1,60+Inputs!$B$25+Inputs!$B$29,IF(Skills!C17=2,90+Inputs!$B$26+Inputs!$B$29,IF(Skills!C17=3,120+Inputs!$B$27+Inputs!$B$29,MAX(0,(Inputs!$B$3-100)*3)+Inputs!$B$28+Inputs!$B$29)))</f>
        <v/>
      </c>
      <c r="E1793">
        <f>INDEX(FactorTable!$B$2:$Y$301, MATCH(ROUND(MIN(300,MAX(1,D1793)),0), FactorTable!$A$2:$A$301,0), Skills!M17+1)</f>
        <v/>
      </c>
      <c r="F1793">
        <f>IF(Skills!N17=TRUE,(Skills!L17/10)*(E1793/1000),Skills!L17/10)+Skills!O17</f>
        <v/>
      </c>
      <c r="G1793">
        <f>Skills!G17*IF(Skills!H17&gt;0,Skills!I17/Skills!H17,1)</f>
        <v/>
      </c>
      <c r="H1793">
        <f>1-(1-Skills!J17/100)^Skills!K17</f>
        <v/>
      </c>
      <c r="I1793" t="inlineStr">
        <is>
          <t>1</t>
        </is>
      </c>
      <c r="J1793" t="inlineStr"/>
      <c r="K1793" t="inlineStr"/>
      <c r="L1793" t="inlineStr"/>
      <c r="M1793" t="inlineStr"/>
      <c r="N1793" t="inlineStr"/>
      <c r="O1793" t="n">
        <v>0</v>
      </c>
      <c r="P1793">
        <f>IF(B1821=0,0,O1793/B1821)</f>
        <v/>
      </c>
      <c r="Q1793" t="n">
        <v>0</v>
      </c>
      <c r="R1793" t="n">
        <v>0</v>
      </c>
      <c r="S1793">
        <f>IFERROR(O1793/N1793,0)</f>
        <v/>
      </c>
    </row>
    <row r="1794">
      <c r="A1794">
        <f>Skills!A18</f>
        <v/>
      </c>
      <c r="B1794">
        <f>Skills!B18</f>
        <v/>
      </c>
      <c r="C1794">
        <f>Inputs!$B$3&gt;=100</f>
        <v/>
      </c>
      <c r="D1794">
        <f>IF(Skills!C18=1,60+Inputs!$B$25+Inputs!$B$29,IF(Skills!C18=2,90+Inputs!$B$26+Inputs!$B$29,IF(Skills!C18=3,120+Inputs!$B$27+Inputs!$B$29,MAX(0,(Inputs!$B$3-100)*3)+Inputs!$B$28+Inputs!$B$29)))</f>
        <v/>
      </c>
      <c r="E1794">
        <f>INDEX(FactorTable!$B$2:$Y$301, MATCH(ROUND(MIN(300,MAX(1,D1794)),0), FactorTable!$A$2:$A$301,0), Skills!M18+1)</f>
        <v/>
      </c>
      <c r="F1794">
        <f>IF(Skills!N18=TRUE,(Skills!L18/10)*(E1794/1000),Skills!L18/10)+Skills!O18</f>
        <v/>
      </c>
      <c r="G1794">
        <f>Skills!G18*IF(Skills!H18&gt;0,Skills!I18/Skills!H18,1)</f>
        <v/>
      </c>
      <c r="H1794">
        <f>1-(1-Skills!J18/100)^Skills!K18</f>
        <v/>
      </c>
      <c r="I1794" t="inlineStr">
        <is>
          <t>1</t>
        </is>
      </c>
      <c r="J1794" t="inlineStr"/>
      <c r="K1794" t="inlineStr"/>
      <c r="L1794" t="inlineStr"/>
      <c r="M1794" t="inlineStr"/>
      <c r="N1794" t="inlineStr"/>
      <c r="O1794" t="n">
        <v>0</v>
      </c>
      <c r="P1794">
        <f>IF(B1821=0,0,O1794/B1821)</f>
        <v/>
      </c>
      <c r="Q1794" t="n">
        <v>0</v>
      </c>
      <c r="R1794" t="n">
        <v>0</v>
      </c>
      <c r="S1794">
        <f>IFERROR(O1794/N1794,0)</f>
        <v/>
      </c>
    </row>
    <row r="1795">
      <c r="A1795">
        <f>Skills!A19</f>
        <v/>
      </c>
      <c r="B1795">
        <f>Skills!B19</f>
        <v/>
      </c>
      <c r="C1795">
        <f>TRUE</f>
        <v/>
      </c>
      <c r="D1795">
        <f>IF(Skills!C19=1,60+Inputs!$B$25+Inputs!$B$29,IF(Skills!C19=2,90+Inputs!$B$26+Inputs!$B$29,IF(Skills!C19=3,120+Inputs!$B$27+Inputs!$B$29,MAX(0,(Inputs!$B$3-100)*3)+Inputs!$B$28+Inputs!$B$29)))</f>
        <v/>
      </c>
      <c r="E1795">
        <f>INDEX(FactorTable!$B$2:$Y$301, MATCH(ROUND(MIN(300,MAX(1,D1795)),0), FactorTable!$A$2:$A$301,0), Skills!M19+1)</f>
        <v/>
      </c>
      <c r="F1795">
        <f>IF(Skills!N19=TRUE,(Skills!L19/10)*(E1795/1000),Skills!L19/10)+Skills!O19</f>
        <v/>
      </c>
      <c r="G1795">
        <f>Skills!G19*IF(Skills!H19&gt;0,Skills!I19/Skills!H19,1)</f>
        <v/>
      </c>
      <c r="H1795">
        <f>1-(1-Skills!J19/100)^Skills!K19</f>
        <v/>
      </c>
      <c r="I1795" t="inlineStr">
        <is>
          <t>1</t>
        </is>
      </c>
      <c r="J1795" t="inlineStr"/>
      <c r="K1795" t="inlineStr"/>
      <c r="L1795" t="inlineStr"/>
      <c r="M1795" t="inlineStr"/>
      <c r="N1795" t="inlineStr"/>
      <c r="O1795" t="n">
        <v>0</v>
      </c>
      <c r="P1795">
        <f>IF(B1821=0,0,O1795/B1821)</f>
        <v/>
      </c>
      <c r="Q1795">
        <f>IFERROR(1/IF(Inputs!$B$39="pvp",15,MAX(0.1,Skills!D19-IF(Skills!E19=TRUE,5.0,0))),0)</f>
        <v/>
      </c>
      <c r="R1795">
        <f>IF(AND(Inputs!$B$39&lt;&gt;"pvp",Inputs!$B$44&gt;0),IF(Inputs!$B$44&lt;=0,0,(INT(Inputs!$B$44/IF(Inputs!$B$39="pvp",15,MAX(0.1,Skills!D19-IF(Skills!E19=TRUE,5.0,0))))+1)),0)</f>
        <v/>
      </c>
      <c r="S1795">
        <f>IFERROR(O1795/N1795,0)</f>
        <v/>
      </c>
    </row>
    <row r="1796">
      <c r="A1796">
        <f>Skills!A20</f>
        <v/>
      </c>
      <c r="B1796">
        <f>Skills!B20</f>
        <v/>
      </c>
      <c r="C1796">
        <f>Inputs!$B$3&gt;=15</f>
        <v/>
      </c>
      <c r="D1796">
        <f>IF(Skills!C20=1,60+Inputs!$B$25+Inputs!$B$29,IF(Skills!C20=2,90+Inputs!$B$26+Inputs!$B$29,IF(Skills!C20=3,120+Inputs!$B$27+Inputs!$B$29,MAX(0,(Inputs!$B$3-100)*3)+Inputs!$B$28+Inputs!$B$29)))</f>
        <v/>
      </c>
      <c r="E1796">
        <f>INDEX(FactorTable!$B$2:$Y$301, MATCH(ROUND(MIN(300,MAX(1,D1796)),0), FactorTable!$A$2:$A$301,0), Skills!M20+1)</f>
        <v/>
      </c>
      <c r="F1796">
        <f>IF(Skills!N20=TRUE,(Skills!L20/10)*(E1796/1000),Skills!L20/10)+Skills!O20</f>
        <v/>
      </c>
      <c r="G1796">
        <f>Skills!G20*IF(Skills!H20&gt;0,Skills!I20/Skills!H20,1)</f>
        <v/>
      </c>
      <c r="H1796">
        <f>1-(1-Skills!J20/100)^Skills!K20</f>
        <v/>
      </c>
      <c r="I1796" t="inlineStr">
        <is>
          <t>1</t>
        </is>
      </c>
      <c r="J1796" t="inlineStr"/>
      <c r="K1796" t="inlineStr"/>
      <c r="L1796" t="inlineStr"/>
      <c r="M1796" t="inlineStr"/>
      <c r="N1796" t="inlineStr"/>
      <c r="O1796" t="n">
        <v>0</v>
      </c>
      <c r="P1796">
        <f>IF(B1821=0,0,O1796/B1821)</f>
        <v/>
      </c>
      <c r="Q1796">
        <f>IFERROR(1/IF(Inputs!$B$39="pvp",15,MAX(0.1,Skills!D20-IF(Skills!E20=TRUE,5.0,0))),0)</f>
        <v/>
      </c>
      <c r="R1796">
        <f>IF(AND(Inputs!$B$39&lt;&gt;"pvp",Inputs!$B$44&gt;0),IF(Inputs!$B$44&lt;=0,0,(INT(Inputs!$B$44/IF(Inputs!$B$39="pvp",15,MAX(0.1,Skills!D20-IF(Skills!E20=TRUE,5.0,0))))+1)),0)</f>
        <v/>
      </c>
      <c r="S1796">
        <f>IFERROR(O1796/N1796,0)</f>
        <v/>
      </c>
    </row>
    <row r="1797">
      <c r="A1797">
        <f>Skills!A21</f>
        <v/>
      </c>
      <c r="B1797">
        <f>Skills!B21</f>
        <v/>
      </c>
      <c r="C1797">
        <f>Inputs!$B$3&gt;=15</f>
        <v/>
      </c>
      <c r="D1797">
        <f>IF(Skills!C21=1,60+Inputs!$B$25+Inputs!$B$29,IF(Skills!C21=2,90+Inputs!$B$26+Inputs!$B$29,IF(Skills!C21=3,120+Inputs!$B$27+Inputs!$B$29,MAX(0,(Inputs!$B$3-100)*3)+Inputs!$B$28+Inputs!$B$29)))</f>
        <v/>
      </c>
      <c r="E1797">
        <f>INDEX(FactorTable!$B$2:$Y$301, MATCH(ROUND(MIN(300,MAX(1,D1797)),0), FactorTable!$A$2:$A$301,0), Skills!M21+1)</f>
        <v/>
      </c>
      <c r="F1797">
        <f>IF(Skills!N21=TRUE,(Skills!L21/10)*(E1797/1000),Skills!L21/10)+Skills!O21</f>
        <v/>
      </c>
      <c r="G1797">
        <f>Skills!G21*IF(Skills!H21&gt;0,Skills!I21/Skills!H21,1)</f>
        <v/>
      </c>
      <c r="H1797">
        <f>1-(1-Skills!J21/100)^Skills!K21</f>
        <v/>
      </c>
      <c r="I1797" t="inlineStr">
        <is>
          <t>1</t>
        </is>
      </c>
      <c r="J1797" t="inlineStr"/>
      <c r="K1797" t="inlineStr"/>
      <c r="L1797" t="inlineStr"/>
      <c r="M1797" t="inlineStr"/>
      <c r="N1797" t="inlineStr"/>
      <c r="O1797" t="n">
        <v>0</v>
      </c>
      <c r="P1797">
        <f>IF(B1821=0,0,O1797/B1821)</f>
        <v/>
      </c>
      <c r="Q1797">
        <f>IFERROR(1/IF(Inputs!$B$39="pvp",15,MAX(0.1,Skills!D21-IF(Skills!E21=TRUE,5.0,0))),0)</f>
        <v/>
      </c>
      <c r="R1797">
        <f>IF(AND(Inputs!$B$39&lt;&gt;"pvp",Inputs!$B$44&gt;0),IF(Inputs!$B$44&lt;=0,0,(INT(Inputs!$B$44/IF(Inputs!$B$39="pvp",15,MAX(0.1,Skills!D21-IF(Skills!E21=TRUE,5.0,0))))+1)),0)</f>
        <v/>
      </c>
      <c r="S1797">
        <f>IFERROR(O1797/N1797,0)</f>
        <v/>
      </c>
    </row>
    <row r="1798">
      <c r="A1798">
        <f>Skills!A22</f>
        <v/>
      </c>
      <c r="B1798">
        <f>Skills!B22</f>
        <v/>
      </c>
      <c r="C1798">
        <f>Inputs!$B$3&gt;=33</f>
        <v/>
      </c>
      <c r="D1798">
        <f>IF(Skills!C22=1,60+Inputs!$B$25+Inputs!$B$29,IF(Skills!C22=2,90+Inputs!$B$26+Inputs!$B$29,IF(Skills!C22=3,120+Inputs!$B$27+Inputs!$B$29,MAX(0,(Inputs!$B$3-100)*3)+Inputs!$B$28+Inputs!$B$29)))</f>
        <v/>
      </c>
      <c r="E1798">
        <f>INDEX(FactorTable!$B$2:$Y$301, MATCH(ROUND(MIN(300,MAX(1,D1798)),0), FactorTable!$A$2:$A$301,0), Skills!M22+1)</f>
        <v/>
      </c>
      <c r="F1798">
        <f>IF(Skills!N22=TRUE,(Skills!L22/10)*(E1798/1000),Skills!L22/10)+Skills!O22</f>
        <v/>
      </c>
      <c r="G1798">
        <f>Skills!G22*IF(Skills!H22&gt;0,Skills!I22/Skills!H22,1)</f>
        <v/>
      </c>
      <c r="H1798">
        <f>1-(1-Skills!J22/100)^Skills!K22</f>
        <v/>
      </c>
      <c r="I1798" t="inlineStr">
        <is>
          <t>1</t>
        </is>
      </c>
      <c r="J1798" t="inlineStr"/>
      <c r="K1798" t="inlineStr"/>
      <c r="L1798" t="inlineStr"/>
      <c r="M1798" t="inlineStr"/>
      <c r="N1798" t="inlineStr"/>
      <c r="O1798" t="n">
        <v>0</v>
      </c>
      <c r="P1798">
        <f>IF(B1821=0,0,O1798/B1821)</f>
        <v/>
      </c>
      <c r="Q1798" t="n">
        <v>0</v>
      </c>
      <c r="R1798" t="n">
        <v>0</v>
      </c>
      <c r="S1798">
        <f>IFERROR(O1798/N1798,0)</f>
        <v/>
      </c>
    </row>
    <row r="1799">
      <c r="A1799">
        <f>Skills!A23</f>
        <v/>
      </c>
      <c r="B1799">
        <f>Skills!B23</f>
        <v/>
      </c>
      <c r="C1799">
        <f>Inputs!$B$3&gt;=40</f>
        <v/>
      </c>
      <c r="D1799">
        <f>IF(Skills!C23=1,60+Inputs!$B$25+Inputs!$B$29,IF(Skills!C23=2,90+Inputs!$B$26+Inputs!$B$29,IF(Skills!C23=3,120+Inputs!$B$27+Inputs!$B$29,MAX(0,(Inputs!$B$3-100)*3)+Inputs!$B$28+Inputs!$B$29)))</f>
        <v/>
      </c>
      <c r="E1799">
        <f>INDEX(FactorTable!$B$2:$Y$301, MATCH(ROUND(MIN(300,MAX(1,D1799)),0), FactorTable!$A$2:$A$301,0), Skills!M23+1)</f>
        <v/>
      </c>
      <c r="F1799">
        <f>IF(Skills!N23=TRUE,(Skills!L23/10)*(E1799/1000),Skills!L23/10)+Skills!O23</f>
        <v/>
      </c>
      <c r="G1799">
        <f>Skills!G23*IF(Skills!H23&gt;0,Skills!I23/Skills!H23,1)</f>
        <v/>
      </c>
      <c r="H1799">
        <f>1-(1-Skills!J23/100)^Skills!K23</f>
        <v/>
      </c>
      <c r="I1799" t="inlineStr">
        <is>
          <t>1</t>
        </is>
      </c>
      <c r="J1799" t="inlineStr"/>
      <c r="K1799" t="inlineStr"/>
      <c r="L1799" t="inlineStr"/>
      <c r="M1799" t="inlineStr"/>
      <c r="N1799" t="inlineStr"/>
      <c r="O1799" t="n">
        <v>0</v>
      </c>
      <c r="P1799">
        <f>IF(B1821=0,0,O1799/B1821)</f>
        <v/>
      </c>
      <c r="Q1799" t="n">
        <v>0</v>
      </c>
      <c r="R1799" t="n">
        <v>0</v>
      </c>
      <c r="S1799">
        <f>IFERROR(O1799/N1799,0)</f>
        <v/>
      </c>
    </row>
    <row r="1800">
      <c r="A1800">
        <f>Skills!A24</f>
        <v/>
      </c>
      <c r="B1800">
        <f>Skills!B24</f>
        <v/>
      </c>
      <c r="C1800">
        <f>Inputs!$B$3&gt;=43</f>
        <v/>
      </c>
      <c r="D1800">
        <f>IF(Skills!C24=1,60+Inputs!$B$25+Inputs!$B$29,IF(Skills!C24=2,90+Inputs!$B$26+Inputs!$B$29,IF(Skills!C24=3,120+Inputs!$B$27+Inputs!$B$29,MAX(0,(Inputs!$B$3-100)*3)+Inputs!$B$28+Inputs!$B$29)))</f>
        <v/>
      </c>
      <c r="E1800">
        <f>INDEX(FactorTable!$B$2:$Y$301, MATCH(ROUND(MIN(300,MAX(1,D1800)),0), FactorTable!$A$2:$A$301,0), Skills!M24+1)</f>
        <v/>
      </c>
      <c r="F1800">
        <f>IF(Skills!N24=TRUE,(Skills!L24/10)*(E1800/1000),Skills!L24/10)+Skills!O24</f>
        <v/>
      </c>
      <c r="G1800">
        <f>Skills!G24*IF(Skills!H24&gt;0,Skills!I24/Skills!H24,1)</f>
        <v/>
      </c>
      <c r="H1800">
        <f>1-(1-Skills!J24/100)^Skills!K24</f>
        <v/>
      </c>
      <c r="I1800" t="inlineStr">
        <is>
          <t>1</t>
        </is>
      </c>
      <c r="J1800" t="inlineStr"/>
      <c r="K1800" t="inlineStr"/>
      <c r="L1800" t="inlineStr"/>
      <c r="M1800" t="inlineStr"/>
      <c r="N1800" t="inlineStr"/>
      <c r="O1800" t="n">
        <v>0</v>
      </c>
      <c r="P1800">
        <f>IF(B1821=0,0,O1800/B1821)</f>
        <v/>
      </c>
      <c r="Q1800" t="n">
        <v>0</v>
      </c>
      <c r="R1800" t="n">
        <v>0</v>
      </c>
      <c r="S1800">
        <f>IFERROR(O1800/N1800,0)</f>
        <v/>
      </c>
    </row>
    <row r="1801">
      <c r="A1801">
        <f>Skills!A25</f>
        <v/>
      </c>
      <c r="B1801">
        <f>Skills!B25</f>
        <v/>
      </c>
      <c r="C1801">
        <f>Inputs!$B$3&gt;=50</f>
        <v/>
      </c>
      <c r="D1801">
        <f>IF(Skills!C25=1,60+Inputs!$B$25+Inputs!$B$29,IF(Skills!C25=2,90+Inputs!$B$26+Inputs!$B$29,IF(Skills!C25=3,120+Inputs!$B$27+Inputs!$B$29,MAX(0,(Inputs!$B$3-100)*3)+Inputs!$B$28+Inputs!$B$29)))</f>
        <v/>
      </c>
      <c r="E1801">
        <f>INDEX(FactorTable!$B$2:$Y$301, MATCH(ROUND(MIN(300,MAX(1,D1801)),0), FactorTable!$A$2:$A$301,0), Skills!M25+1)</f>
        <v/>
      </c>
      <c r="F1801">
        <f>IF(Skills!N25=TRUE,(Skills!L25/10)*(E1801/1000),Skills!L25/10)+Skills!O25</f>
        <v/>
      </c>
      <c r="G1801">
        <f>Skills!G25*IF(Skills!H25&gt;0,Skills!I25/Skills!H25,1)</f>
        <v/>
      </c>
      <c r="H1801">
        <f>1-(1-Skills!J25/100)^Skills!K25</f>
        <v/>
      </c>
      <c r="I1801" t="inlineStr">
        <is>
          <t>1</t>
        </is>
      </c>
      <c r="J1801" t="inlineStr"/>
      <c r="K1801" t="inlineStr"/>
      <c r="L1801" t="inlineStr"/>
      <c r="M1801" t="inlineStr"/>
      <c r="N1801" t="inlineStr"/>
      <c r="O1801" t="n">
        <v>0</v>
      </c>
      <c r="P1801">
        <f>IF(B1821=0,0,O1801/B1821)</f>
        <v/>
      </c>
      <c r="Q1801" t="n">
        <v>0</v>
      </c>
      <c r="R1801" t="n">
        <v>0</v>
      </c>
      <c r="S1801">
        <f>IFERROR(O1801/N1801,0)</f>
        <v/>
      </c>
    </row>
    <row r="1802">
      <c r="A1802">
        <f>Skills!A26</f>
        <v/>
      </c>
      <c r="B1802">
        <f>Skills!B26</f>
        <v/>
      </c>
      <c r="C1802">
        <f>Inputs!$B$3&gt;=50</f>
        <v/>
      </c>
      <c r="D1802">
        <f>IF(Skills!C26=1,60+Inputs!$B$25+Inputs!$B$29,IF(Skills!C26=2,90+Inputs!$B$26+Inputs!$B$29,IF(Skills!C26=3,120+Inputs!$B$27+Inputs!$B$29,MAX(0,(Inputs!$B$3-100)*3)+Inputs!$B$28+Inputs!$B$29)))</f>
        <v/>
      </c>
      <c r="E1802">
        <f>INDEX(FactorTable!$B$2:$Y$301, MATCH(ROUND(MIN(300,MAX(1,D1802)),0), FactorTable!$A$2:$A$301,0), Skills!M26+1)</f>
        <v/>
      </c>
      <c r="F1802">
        <f>IF(Skills!N26=TRUE,(Skills!L26/10)*(E1802/1000),Skills!L26/10)+Skills!O26</f>
        <v/>
      </c>
      <c r="G1802">
        <f>Skills!G26*IF(Skills!H26&gt;0,Skills!I26/Skills!H26,1)</f>
        <v/>
      </c>
      <c r="H1802">
        <f>1-(1-Skills!J26/100)^Skills!K26</f>
        <v/>
      </c>
      <c r="I1802" t="inlineStr">
        <is>
          <t>1</t>
        </is>
      </c>
      <c r="J1802" t="inlineStr"/>
      <c r="K1802" t="inlineStr"/>
      <c r="L1802" t="inlineStr"/>
      <c r="M1802" t="inlineStr"/>
      <c r="N1802" t="inlineStr"/>
      <c r="O1802" t="n">
        <v>0</v>
      </c>
      <c r="P1802">
        <f>IF(B1821=0,0,O1802/B1821)</f>
        <v/>
      </c>
      <c r="Q1802" t="n">
        <v>0</v>
      </c>
      <c r="R1802" t="n">
        <v>0</v>
      </c>
      <c r="S1802">
        <f>IFERROR(O1802/N1802,0)</f>
        <v/>
      </c>
    </row>
    <row r="1803">
      <c r="A1803">
        <f>Skills!A27</f>
        <v/>
      </c>
      <c r="B1803">
        <f>Skills!B27</f>
        <v/>
      </c>
      <c r="C1803">
        <f>Inputs!$B$3&gt;=38</f>
        <v/>
      </c>
      <c r="D1803">
        <f>IF(Skills!C27=1,60+Inputs!$B$25+Inputs!$B$29,IF(Skills!C27=2,90+Inputs!$B$26+Inputs!$B$29,IF(Skills!C27=3,120+Inputs!$B$27+Inputs!$B$29,MAX(0,(Inputs!$B$3-100)*3)+Inputs!$B$28+Inputs!$B$29)))</f>
        <v/>
      </c>
      <c r="E1803">
        <f>INDEX(FactorTable!$B$2:$Y$301, MATCH(ROUND(MIN(300,MAX(1,D1803)),0), FactorTable!$A$2:$A$301,0), Skills!M27+1)</f>
        <v/>
      </c>
      <c r="F1803">
        <f>IF(Skills!N27=TRUE,(Skills!L27/10)*(E1803/1000),Skills!L27/10)+Skills!O27</f>
        <v/>
      </c>
      <c r="G1803">
        <f>Skills!G27*IF(Skills!H27&gt;0,Skills!I27/Skills!H27,1)</f>
        <v/>
      </c>
      <c r="H1803">
        <f>1-(1-Skills!J27/100)^Skills!K27</f>
        <v/>
      </c>
      <c r="I1803" t="inlineStr">
        <is>
          <t>1</t>
        </is>
      </c>
      <c r="J1803" t="inlineStr"/>
      <c r="K1803" t="inlineStr"/>
      <c r="L1803" t="inlineStr"/>
      <c r="M1803" t="inlineStr"/>
      <c r="N1803" t="inlineStr"/>
      <c r="O1803" t="n">
        <v>0</v>
      </c>
      <c r="P1803">
        <f>IF(B1821=0,0,O1803/B1821)</f>
        <v/>
      </c>
      <c r="Q1803" t="n">
        <v>0</v>
      </c>
      <c r="R1803" t="n">
        <v>0</v>
      </c>
      <c r="S1803">
        <f>IFERROR(O1803/N1803,0)</f>
        <v/>
      </c>
    </row>
    <row r="1804">
      <c r="A1804">
        <f>Skills!A28</f>
        <v/>
      </c>
      <c r="B1804">
        <f>Skills!B28</f>
        <v/>
      </c>
      <c r="C1804">
        <f>Inputs!$B$3&gt;=120</f>
        <v/>
      </c>
      <c r="D1804">
        <f>IF(Skills!C28=1,60+Inputs!$B$25+Inputs!$B$29,IF(Skills!C28=2,90+Inputs!$B$26+Inputs!$B$29,IF(Skills!C28=3,120+Inputs!$B$27+Inputs!$B$29,MAX(0,(Inputs!$B$3-100)*3)+Inputs!$B$28+Inputs!$B$29)))</f>
        <v/>
      </c>
      <c r="E1804">
        <f>INDEX(FactorTable!$B$2:$Y$301, MATCH(ROUND(MIN(300,MAX(1,D1804)),0), FactorTable!$A$2:$A$301,0), Skills!M28+1)</f>
        <v/>
      </c>
      <c r="F1804">
        <f>IF(Skills!N28=TRUE,(Skills!L28/10)*(E1804/1000),Skills!L28/10)+Skills!O28</f>
        <v/>
      </c>
      <c r="G1804">
        <f>Skills!G28*IF(Skills!H28&gt;0,Skills!I28/Skills!H28,1)</f>
        <v/>
      </c>
      <c r="H1804">
        <f>1-(1-Skills!J28/100)^Skills!K28</f>
        <v/>
      </c>
      <c r="I1804" t="inlineStr">
        <is>
          <t>1</t>
        </is>
      </c>
      <c r="J1804" t="inlineStr"/>
      <c r="K1804" t="inlineStr"/>
      <c r="L1804" t="inlineStr"/>
      <c r="M1804" t="inlineStr"/>
      <c r="N1804" t="inlineStr"/>
      <c r="O1804" t="n">
        <v>0</v>
      </c>
      <c r="P1804">
        <f>IF(B1821=0,0,O1804/B1821)</f>
        <v/>
      </c>
      <c r="Q1804" t="n">
        <v>0</v>
      </c>
      <c r="R1804" t="n">
        <v>0</v>
      </c>
      <c r="S1804">
        <f>IFERROR(O1804/N1804,0)</f>
        <v/>
      </c>
    </row>
    <row r="1805">
      <c r="A1805">
        <f>Skills!A29</f>
        <v/>
      </c>
      <c r="B1805">
        <f>Skills!B29</f>
        <v/>
      </c>
      <c r="C1805">
        <f>Inputs!$B$3&gt;=120</f>
        <v/>
      </c>
      <c r="D1805">
        <f>IF(Skills!C29=1,60+Inputs!$B$25+Inputs!$B$29,IF(Skills!C29=2,90+Inputs!$B$26+Inputs!$B$29,IF(Skills!C29=3,120+Inputs!$B$27+Inputs!$B$29,MAX(0,(Inputs!$B$3-100)*3)+Inputs!$B$28+Inputs!$B$29)))</f>
        <v/>
      </c>
      <c r="E1805">
        <f>INDEX(FactorTable!$B$2:$Y$301, MATCH(ROUND(MIN(300,MAX(1,D1805)),0), FactorTable!$A$2:$A$301,0), Skills!M29+1)</f>
        <v/>
      </c>
      <c r="F1805">
        <f>IF(Skills!N29=TRUE,(Skills!L29/10)*(E1805/1000),Skills!L29/10)+Skills!O29</f>
        <v/>
      </c>
      <c r="G1805">
        <f>Skills!G29*IF(Skills!H29&gt;0,Skills!I29/Skills!H29,1)</f>
        <v/>
      </c>
      <c r="H1805">
        <f>1-(1-Skills!J29/100)^Skills!K29</f>
        <v/>
      </c>
      <c r="I1805" t="inlineStr">
        <is>
          <t>1</t>
        </is>
      </c>
      <c r="J1805" t="inlineStr"/>
      <c r="K1805" t="inlineStr"/>
      <c r="L1805" t="inlineStr"/>
      <c r="M1805" t="inlineStr"/>
      <c r="N1805" t="inlineStr"/>
      <c r="O1805" t="n">
        <v>0</v>
      </c>
      <c r="P1805">
        <f>IF(B1821=0,0,O1805/B1821)</f>
        <v/>
      </c>
      <c r="Q1805" t="n">
        <v>0</v>
      </c>
      <c r="R1805" t="n">
        <v>0</v>
      </c>
      <c r="S1805">
        <f>IFERROR(O1805/N1805,0)</f>
        <v/>
      </c>
    </row>
    <row r="1806">
      <c r="A1806">
        <f>Skills!A30</f>
        <v/>
      </c>
      <c r="B1806">
        <f>Skills!B30</f>
        <v/>
      </c>
      <c r="C1806">
        <f>Inputs!$B$3&gt;=125</f>
        <v/>
      </c>
      <c r="D1806">
        <f>IF(Skills!C30=1,60+Inputs!$B$25+Inputs!$B$29,IF(Skills!C30=2,90+Inputs!$B$26+Inputs!$B$29,IF(Skills!C30=3,120+Inputs!$B$27+Inputs!$B$29,MAX(0,(Inputs!$B$3-100)*3)+Inputs!$B$28+Inputs!$B$29)))</f>
        <v/>
      </c>
      <c r="E1806">
        <f>INDEX(FactorTable!$B$2:$Y$301, MATCH(ROUND(MIN(300,MAX(1,D1806)),0), FactorTable!$A$2:$A$301,0), Skills!M30+1)</f>
        <v/>
      </c>
      <c r="F1806">
        <f>IF(Skills!N30=TRUE,(Skills!L30/10)*(E1806/1000),Skills!L30/10)+Skills!O30</f>
        <v/>
      </c>
      <c r="G1806">
        <f>Skills!G30*IF(Skills!H30&gt;0,Skills!I30/Skills!H30,1)</f>
        <v/>
      </c>
      <c r="H1806">
        <f>1-(1-Skills!J30/100)^Skills!K30</f>
        <v/>
      </c>
      <c r="I1806" t="inlineStr">
        <is>
          <t>1</t>
        </is>
      </c>
      <c r="J1806" t="inlineStr"/>
      <c r="K1806" t="inlineStr"/>
      <c r="L1806" t="inlineStr"/>
      <c r="M1806" t="inlineStr"/>
      <c r="N1806" t="inlineStr"/>
      <c r="O1806" t="n">
        <v>0</v>
      </c>
      <c r="P1806">
        <f>IF(B1821=0,0,O1806/B1821)</f>
        <v/>
      </c>
      <c r="Q1806" t="n">
        <v>0</v>
      </c>
      <c r="R1806" t="n">
        <v>0</v>
      </c>
      <c r="S1806">
        <f>IFERROR(O1806/N1806,0)</f>
        <v/>
      </c>
    </row>
    <row r="1808">
      <c r="A1808" t="inlineStr">
        <is>
          <t>Average Buff Multiplier</t>
        </is>
      </c>
      <c r="B1808">
        <f>(1+(((C1797=TRUE)*F1797*IF(AND(Inputs!$B$39&lt;&gt;"pvp",Inputs!$B$44&gt;0),(((R1797-1)*(Skills!Y21*(1+Inputs!$B$34/100))+MIN((Skills!Y21*(1+Inputs!$B$34/100)),MAX(0,Inputs!$B$44-((R1797-1)*Skills!D21))))/Inputs!$B$44),IF(Inputs!$B$39="pvp",MIN((Skills!Y21*(1+Inputs!$B$34/100)),15)/15,(Skills!Y21*(1+Inputs!$B$34/100))/Skills!D21)))+((C1799=TRUE)*(F1799-Calc!F23))+((C1793=TRUE)*(F1793-Calc!F17)))/100)*(1+((C1786=TRUE)*F1786*IF(AND(Inputs!$B$39&lt;&gt;"pvp",Inputs!$B$44&gt;0),(((R1786-1)*(Skills!Y10*(1+Inputs!$B$34/100))+MIN((Skills!Y10*(1+Inputs!$B$34/100)),MAX(0,Inputs!$B$44-((R1786-1)*Skills!D10))))/Inputs!$B$44),IF(Inputs!$B$39="pvp",MIN((Skills!Y10*(1+Inputs!$B$34/100)),15)/15,(Skills!Y10*(1+Inputs!$B$34/100))/Skills!D10)))/100)*(1+((C1791=TRUE)*F1791*IF(AND(Inputs!$B$39&lt;&gt;"pvp",Inputs!$B$44&gt;0),(((R1791-1)*(Skills!Y15*(1+Inputs!$B$34/100))+MIN((Skills!Y15*(1+Inputs!$B$34/100)),MAX(0,Inputs!$B$44-((R1791-1)*Skills!D15))))/Inputs!$B$44),IF(Inputs!$B$39="pvp",MIN((Skills!Y15*(1+Inputs!$B$34/100)),15)/15,(Skills!Y15*(1+Inputs!$B$34/100))/Skills!D15)))/100)</f>
        <v/>
      </c>
    </row>
    <row r="1809">
      <c r="A1809" t="inlineStr">
        <is>
          <t>Global Crit Rate Bonus %</t>
        </is>
      </c>
      <c r="B1809">
        <f>((C1796=TRUE)*F1796*IF(AND(Inputs!$B$39&lt;&gt;"pvp",Inputs!$B$44&gt;0),(((R1796-1)*(Skills!Y20*(1+Inputs!$B$34/100))+MIN((Skills!Y20*(1+Inputs!$B$34/100)),MAX(0,Inputs!$B$44-((R1796-1)*Skills!D20))))/Inputs!$B$44),IF(Inputs!$B$39="pvp",MIN((Skills!Y20*(1+Inputs!$B$34/100)),15)/15,(Skills!Y20*(1+Inputs!$B$34/100))/Skills!D20)))</f>
        <v/>
      </c>
    </row>
    <row r="1810">
      <c r="A1810" t="inlineStr">
        <is>
          <t>Global Monster Damage-Taken Bonus %</t>
        </is>
      </c>
      <c r="B1810">
        <f>IF(Inputs!$B$3&gt;=82,15,0)</f>
        <v/>
      </c>
    </row>
    <row r="1811">
      <c r="A1811" t="inlineStr">
        <is>
          <t>Shadow Partner Average Multiplier</t>
        </is>
      </c>
      <c r="B1811">
        <f>1+((C1783=TRUE)*F1783*(1+3.3333333333333335*IF(C1794=TRUE,F1794,0)/100)*I1783*Skills!J7/100)/100</f>
        <v/>
      </c>
    </row>
    <row r="1812">
      <c r="A1812" t="inlineStr">
        <is>
          <t>Attack Speed Buff Bonus %</t>
        </is>
      </c>
      <c r="B1812">
        <f>((C1795=TRUE)*F1795*IF(AND(Inputs!$B$39&lt;&gt;"pvp",Inputs!$B$44&gt;0),(((R1795-1)*(Skills!Y19*(1+Inputs!$B$34/100))+MIN((Skills!Y19*(1+Inputs!$B$34/100)),MAX(0,Inputs!$B$44-((R1795-1)*Skills!D19))))/Inputs!$B$44),IF(Inputs!$B$39="pvp",MIN((Skills!Y19*(1+Inputs!$B$34/100)),15)/15,(Skills!Y19*(1+Inputs!$B$34/100))/Skills!D19)))+((C1779=TRUE)*F1779*3)</f>
        <v/>
      </c>
    </row>
    <row r="1813">
      <c r="A1813" t="inlineStr">
        <is>
          <t>Actions Per Second</t>
        </is>
      </c>
      <c r="B1813">
        <f>1+MIN(150,150*(1-(1-(Inputs!$B$11+((C1798=TRUE)*(F1798-Calc!F22)))/150)*(1-B1812/150)))/100</f>
        <v/>
      </c>
    </row>
    <row r="1814">
      <c r="A1814" t="inlineStr">
        <is>
          <t>Skill + Buff Cast Rate</t>
        </is>
      </c>
      <c r="B1814">
        <f>IF(AND(Inputs!$B$39&lt;&gt;"pvp",Inputs!$B$44&gt;0),SUMPRODUCT((Skills!E2:E30=TRUE)*(C1778:C1806=TRUE)*R1778:R1806*Skills!F2:F30)/Inputs!$B$44,SUMPRODUCT((Skills!E2:E30=TRUE)*(C1778:C1806=TRUE)*Q1778:Q1806*Skills!F2:F30))</f>
        <v/>
      </c>
    </row>
    <row r="1815">
      <c r="A1815" t="inlineStr">
        <is>
          <t>Cruel Stab Casts Per Second</t>
        </is>
      </c>
      <c r="B1815">
        <f>MAX(0,B1813-B1814)</f>
        <v/>
      </c>
    </row>
    <row r="1816">
      <c r="A1816" t="inlineStr">
        <is>
          <t>Global Critical Damage Bonus % (Smokescreen Mastery Lv.113)</t>
        </is>
      </c>
      <c r="B1816">
        <f>IF(Inputs!$B$3&gt;=113,30,0)*IF(AND(Inputs!$B$39&lt;&gt;"pvp",Inputs!$B$44&gt;0),(((R1791-1)*(Skills!Y15*(1+Inputs!$B$34/100))+MIN((Skills!Y15*(1+Inputs!$B$34/100)),MAX(0,Inputs!$B$44-((R1791-1)*Skills!D15))))/Inputs!$B$44),IF(Inputs!$B$39="pvp",MIN((Skills!Y15*(1+Inputs!$B$34/100)),15)/15,(Skills!Y15*(1+Inputs!$B$34/100))/Skills!D15))</f>
        <v/>
      </c>
    </row>
    <row r="1817">
      <c r="A1817" t="inlineStr">
        <is>
          <t>Meso Explosion average stack count</t>
        </is>
      </c>
      <c r="B1817">
        <f>MIN(10,0.5*B1813*Skills!D4)</f>
        <v/>
      </c>
    </row>
    <row r="1818">
      <c r="A1818" t="inlineStr">
        <is>
          <t>Blood Money average stack count</t>
        </is>
      </c>
      <c r="B1818">
        <f>MIN(5,0.25*B1813*Skills!D4)</f>
        <v/>
      </c>
    </row>
    <row r="1819">
      <c r="A1819" t="inlineStr">
        <is>
          <t>Assassinate Murderous Intent Multiplier</t>
        </is>
      </c>
      <c r="B1819">
        <f>1+IFERROR(MIN(1,Q1790*2/Q1787),0)</f>
        <v/>
      </c>
    </row>
    <row r="1820">
      <c r="A1820" t="inlineStr">
        <is>
          <t>Buff-Casting Startup Delay (s, fixed-duration only)</t>
        </is>
      </c>
      <c r="B1820">
        <f>IF(AND(Inputs!$B$39&lt;&gt;"pvp",Inputs!$B$44&gt;0),SUMPRODUCT((Skills!Y2:Y30&gt;0)*(Skills!E2:E30=TRUE)*(C1778:C1806=TRUE))/B1813,0)</f>
        <v/>
      </c>
    </row>
    <row r="1821">
      <c r="A1821" s="5" t="inlineStr">
        <is>
          <t>TOTAL DPS</t>
        </is>
      </c>
      <c r="B1821" s="5">
        <f>SUM(O1778:O1806)</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09"/>
  <sheetViews>
    <sheetView workbookViewId="0">
      <pane ySplit="1" topLeftCell="A2" activePane="bottomLeft" state="frozen"/>
      <selection pane="bottomLeft" activeCell="A1" sqref="A1"/>
    </sheetView>
  </sheetViews>
  <sheetFormatPr baseColWidth="8" defaultRowHeight="15"/>
  <cols>
    <col width="10" customWidth="1" min="1" max="1"/>
    <col width="12" customWidth="1" min="2" max="2"/>
    <col width="6" customWidth="1" min="3" max="3"/>
    <col width="26" customWidth="1" min="4" max="4"/>
    <col width="9" customWidth="1" min="5" max="5"/>
    <col width="9" customWidth="1" min="6" max="6"/>
    <col width="8" customWidth="1" min="7" max="7"/>
    <col width="13" customWidth="1" min="8" max="8"/>
    <col width="2" customWidth="1" min="9" max="9"/>
    <col width="26" customWidth="1" min="10" max="10"/>
    <col width="13" customWidth="1" min="11" max="11"/>
    <col width="2" customWidth="1" min="12" max="12"/>
    <col width="12" customWidth="1" min="13" max="13"/>
    <col width="10" customWidth="1" min="14" max="14"/>
    <col width="9" customWidth="1" min="15" max="15"/>
    <col width="2" customWidth="1" min="16" max="16"/>
    <col width="14" customWidth="1" min="17" max="17"/>
  </cols>
  <sheetData>
    <row r="1">
      <c r="A1" s="9" t="inlineStr">
        <is>
          <t>Slot</t>
        </is>
      </c>
      <c r="B1" s="9" t="inlineStr">
        <is>
          <t>Rarity</t>
        </is>
      </c>
      <c r="C1" s="9" t="inlineStr">
        <is>
          <t>Line</t>
        </is>
      </c>
      <c r="D1" s="9" t="inlineStr">
        <is>
          <t>Stat</t>
        </is>
      </c>
      <c r="E1" s="9" t="inlineStr">
        <is>
          <t>Value</t>
        </is>
      </c>
      <c r="F1" s="9" t="inlineStr">
        <is>
          <t>Weight</t>
        </is>
      </c>
      <c r="G1" s="9" t="inlineStr">
        <is>
          <t>Prime</t>
        </is>
      </c>
      <c r="H1" s="9" t="inlineStr">
        <is>
          <t>DPSPerUnit</t>
        </is>
      </c>
      <c r="J1" s="11" t="inlineStr">
        <is>
          <t>Stat</t>
        </is>
      </c>
      <c r="K1" s="11" t="inlineStr">
        <is>
          <t>DPSPerUnit</t>
        </is>
      </c>
      <c r="M1" s="11" t="inlineStr">
        <is>
          <t>Rarity</t>
        </is>
      </c>
      <c r="N1" s="11" t="inlineStr">
        <is>
          <t>Rate</t>
        </is>
      </c>
      <c r="O1" s="11" t="inlineStr">
        <is>
          <t>MaxPity</t>
        </is>
      </c>
      <c r="Q1" s="11" t="inlineStr">
        <is>
          <t>SlotList</t>
        </is>
      </c>
    </row>
    <row r="2">
      <c r="A2" t="inlineStr">
        <is>
          <t>ALL</t>
        </is>
      </c>
      <c r="B2" t="inlineStr">
        <is>
          <t>normal</t>
        </is>
      </c>
      <c r="C2" t="n">
        <v>1</v>
      </c>
      <c r="D2" t="inlineStr">
        <is>
          <t>Critical Rate %</t>
        </is>
      </c>
      <c r="E2" t="n">
        <v>3</v>
      </c>
      <c r="F2" t="n">
        <v>2.5</v>
      </c>
      <c r="G2" t="b">
        <v>0</v>
      </c>
      <c r="H2">
        <f>IF(Inputs!$B$9&gt;=100,Sensitivity!H16,Sensitivity!H15)</f>
        <v/>
      </c>
      <c r="J2" t="inlineStr">
        <is>
          <t>(none)</t>
        </is>
      </c>
      <c r="K2" t="n">
        <v>0</v>
      </c>
      <c r="M2" t="inlineStr">
        <is>
          <t>normal</t>
        </is>
      </c>
      <c r="N2" t="n">
        <v>0.06</v>
      </c>
      <c r="O2" t="n">
        <v>30</v>
      </c>
      <c r="Q2" t="inlineStr">
        <is>
          <t>head</t>
        </is>
      </c>
    </row>
    <row r="3">
      <c r="A3" t="inlineStr">
        <is>
          <t>ALL</t>
        </is>
      </c>
      <c r="B3" t="inlineStr">
        <is>
          <t>normal</t>
        </is>
      </c>
      <c r="C3" t="n">
        <v>1</v>
      </c>
      <c r="D3" t="inlineStr">
        <is>
          <t>Attack Speed %</t>
        </is>
      </c>
      <c r="E3" t="n">
        <v>3</v>
      </c>
      <c r="F3" t="n">
        <v>2.5</v>
      </c>
      <c r="G3" t="b">
        <v>0</v>
      </c>
      <c r="H3">
        <f>Sensitivity!H17</f>
        <v/>
      </c>
      <c r="J3" t="inlineStr">
        <is>
          <t>All Skill Level</t>
        </is>
      </c>
      <c r="K3">
        <f>Sensitivity!H25</f>
        <v/>
      </c>
      <c r="M3" t="inlineStr">
        <is>
          <t>rare</t>
        </is>
      </c>
      <c r="N3" t="n">
        <v>0.03333</v>
      </c>
      <c r="O3" t="n">
        <v>60</v>
      </c>
      <c r="Q3" t="inlineStr">
        <is>
          <t>cape</t>
        </is>
      </c>
    </row>
    <row r="4">
      <c r="A4" t="inlineStr">
        <is>
          <t>ALL</t>
        </is>
      </c>
      <c r="B4" t="inlineStr">
        <is>
          <t>normal</t>
        </is>
      </c>
      <c r="C4" t="n">
        <v>1</v>
      </c>
      <c r="D4" t="inlineStr">
        <is>
          <t>Damage %</t>
        </is>
      </c>
      <c r="E4" t="n">
        <v>5</v>
      </c>
      <c r="F4" t="n">
        <v>4</v>
      </c>
      <c r="G4" t="b">
        <v>0</v>
      </c>
      <c r="H4">
        <f>Sensitivity!H8</f>
        <v/>
      </c>
      <c r="J4" t="inlineStr">
        <is>
          <t>Attack Speed %</t>
        </is>
      </c>
      <c r="K4">
        <f>Sensitivity!H17</f>
        <v/>
      </c>
      <c r="M4" t="inlineStr">
        <is>
          <t>epic</t>
        </is>
      </c>
      <c r="N4" t="n">
        <v>0.0167</v>
      </c>
      <c r="O4" t="n">
        <v>120</v>
      </c>
      <c r="Q4" t="inlineStr">
        <is>
          <t>chest</t>
        </is>
      </c>
    </row>
    <row r="5">
      <c r="A5" t="inlineStr">
        <is>
          <t>ALL</t>
        </is>
      </c>
      <c r="B5" t="inlineStr">
        <is>
          <t>normal</t>
        </is>
      </c>
      <c r="C5" t="n">
        <v>1</v>
      </c>
      <c r="D5" t="inlineStr">
        <is>
          <t>Min Damage Multiplier %</t>
        </is>
      </c>
      <c r="E5" t="n">
        <v>3</v>
      </c>
      <c r="F5" t="n">
        <v>4</v>
      </c>
      <c r="G5" t="b">
        <v>0</v>
      </c>
      <c r="H5">
        <f>Sensitivity!H13</f>
        <v/>
      </c>
      <c r="J5" t="inlineStr">
        <is>
          <t>Basic Attack Damage %</t>
        </is>
      </c>
      <c r="K5">
        <f>Sensitivity!H19</f>
        <v/>
      </c>
      <c r="M5" t="inlineStr">
        <is>
          <t>unique</t>
        </is>
      </c>
      <c r="N5" t="n">
        <v>0.006</v>
      </c>
      <c r="O5" t="n">
        <v>333</v>
      </c>
      <c r="Q5" t="inlineStr">
        <is>
          <t>shoulders</t>
        </is>
      </c>
    </row>
    <row r="6">
      <c r="A6" t="inlineStr">
        <is>
          <t>ALL</t>
        </is>
      </c>
      <c r="B6" t="inlineStr">
        <is>
          <t>normal</t>
        </is>
      </c>
      <c r="C6" t="n">
        <v>1</v>
      </c>
      <c r="D6" t="inlineStr">
        <is>
          <t>Max Damage Multiplier %</t>
        </is>
      </c>
      <c r="E6" t="n">
        <v>3</v>
      </c>
      <c r="F6" t="n">
        <v>4</v>
      </c>
      <c r="G6" t="b">
        <v>0</v>
      </c>
      <c r="H6">
        <f>Sensitivity!H14</f>
        <v/>
      </c>
      <c r="J6" t="inlineStr">
        <is>
          <t>Basic Attack Target Increase</t>
        </is>
      </c>
      <c r="K6">
        <f>Sensitivity!H29</f>
        <v/>
      </c>
      <c r="M6" t="inlineStr">
        <is>
          <t>legendary</t>
        </is>
      </c>
      <c r="N6" t="n">
        <v>0.0021</v>
      </c>
      <c r="O6" t="n">
        <v>714</v>
      </c>
      <c r="Q6" t="inlineStr">
        <is>
          <t>legs</t>
        </is>
      </c>
    </row>
    <row r="7">
      <c r="A7" t="inlineStr">
        <is>
          <t>ALL</t>
        </is>
      </c>
      <c r="B7" t="inlineStr">
        <is>
          <t>normal</t>
        </is>
      </c>
      <c r="C7" t="n">
        <v>1</v>
      </c>
      <c r="D7" t="inlineStr">
        <is>
          <t>Str %</t>
        </is>
      </c>
      <c r="E7" t="n">
        <v>3</v>
      </c>
      <c r="F7" t="n">
        <v>4.5</v>
      </c>
      <c r="G7" t="b">
        <v>0</v>
      </c>
      <c r="H7" t="inlineStr">
        <is>
          <t>0</t>
        </is>
      </c>
      <c r="J7" t="inlineStr">
        <is>
          <t>Buff Duration Increase %</t>
        </is>
      </c>
      <c r="K7">
        <f>Sensitivity!H30</f>
        <v/>
      </c>
      <c r="M7" t="inlineStr">
        <is>
          <t>mystic</t>
        </is>
      </c>
      <c r="N7" t="n">
        <v>0</v>
      </c>
      <c r="O7" t="n">
        <v>0</v>
      </c>
      <c r="Q7" t="inlineStr">
        <is>
          <t>belt</t>
        </is>
      </c>
    </row>
    <row r="8">
      <c r="A8" t="inlineStr">
        <is>
          <t>ALL</t>
        </is>
      </c>
      <c r="B8" t="inlineStr">
        <is>
          <t>normal</t>
        </is>
      </c>
      <c r="C8" t="n">
        <v>1</v>
      </c>
      <c r="D8" t="inlineStr">
        <is>
          <t>Dex %</t>
        </is>
      </c>
      <c r="E8" t="n">
        <v>3</v>
      </c>
      <c r="F8" t="n">
        <v>4.5</v>
      </c>
      <c r="G8" t="b">
        <v>0</v>
      </c>
      <c r="H8" t="inlineStr">
        <is>
          <t>0</t>
        </is>
      </c>
      <c r="J8" t="inlineStr">
        <is>
          <t>Companion Summoning Time Increase %</t>
        </is>
      </c>
      <c r="K8">
        <f>Sensitivity!H16</f>
        <v/>
      </c>
      <c r="Q8" t="inlineStr">
        <is>
          <t>gloves</t>
        </is>
      </c>
    </row>
    <row r="9">
      <c r="A9" t="inlineStr">
        <is>
          <t>ALL</t>
        </is>
      </c>
      <c r="B9" t="inlineStr">
        <is>
          <t>normal</t>
        </is>
      </c>
      <c r="C9" t="n">
        <v>1</v>
      </c>
      <c r="D9" t="inlineStr">
        <is>
          <t>Int %</t>
        </is>
      </c>
      <c r="E9" t="n">
        <v>3</v>
      </c>
      <c r="F9" t="n">
        <v>4.5</v>
      </c>
      <c r="G9" t="b">
        <v>0</v>
      </c>
      <c r="H9" t="inlineStr">
        <is>
          <t>0</t>
        </is>
      </c>
      <c r="J9" t="inlineStr">
        <is>
          <t>Critical Damage %</t>
        </is>
      </c>
      <c r="K9">
        <f>Sensitivity!H16</f>
        <v/>
      </c>
      <c r="Q9" t="inlineStr">
        <is>
          <t>boots</t>
        </is>
      </c>
    </row>
    <row r="10">
      <c r="A10" t="inlineStr">
        <is>
          <t>ALL</t>
        </is>
      </c>
      <c r="B10" t="inlineStr">
        <is>
          <t>normal</t>
        </is>
      </c>
      <c r="C10" t="n">
        <v>1</v>
      </c>
      <c r="D10" t="inlineStr">
        <is>
          <t>Luk %</t>
        </is>
      </c>
      <c r="E10" t="n">
        <v>3</v>
      </c>
      <c r="F10" t="n">
        <v>4.5</v>
      </c>
      <c r="G10" t="b">
        <v>0</v>
      </c>
      <c r="H10">
        <f>Sensitivity!H6</f>
        <v/>
      </c>
      <c r="J10" t="inlineStr">
        <is>
          <t>Critical Rate %</t>
        </is>
      </c>
      <c r="K10">
        <f>IF(Inputs!$B$9&gt;=100,Sensitivity!H16,Sensitivity!H15)</f>
        <v/>
      </c>
      <c r="Q10" t="inlineStr">
        <is>
          <t>ring</t>
        </is>
      </c>
    </row>
    <row r="11">
      <c r="A11" t="inlineStr">
        <is>
          <t>ALL</t>
        </is>
      </c>
      <c r="B11" t="inlineStr">
        <is>
          <t>normal</t>
        </is>
      </c>
      <c r="C11" t="n">
        <v>1</v>
      </c>
      <c r="D11" t="inlineStr">
        <is>
          <t>Defense %</t>
        </is>
      </c>
      <c r="E11" t="n">
        <v>3</v>
      </c>
      <c r="F11" t="n">
        <v>9</v>
      </c>
      <c r="G11" t="b">
        <v>0</v>
      </c>
      <c r="H11" t="inlineStr">
        <is>
          <t>0</t>
        </is>
      </c>
      <c r="J11" t="inlineStr">
        <is>
          <t>Damage %</t>
        </is>
      </c>
      <c r="K11">
        <f>Sensitivity!H8</f>
        <v/>
      </c>
      <c r="Q11" t="inlineStr">
        <is>
          <t>neck</t>
        </is>
      </c>
    </row>
    <row r="12">
      <c r="A12" t="inlineStr">
        <is>
          <t>ALL</t>
        </is>
      </c>
      <c r="B12" t="inlineStr">
        <is>
          <t>normal</t>
        </is>
      </c>
      <c r="C12" t="n">
        <v>1</v>
      </c>
      <c r="D12" t="inlineStr">
        <is>
          <t>Max HP %</t>
        </is>
      </c>
      <c r="E12" t="n">
        <v>6</v>
      </c>
      <c r="F12" t="n">
        <v>9</v>
      </c>
      <c r="G12" t="b">
        <v>0</v>
      </c>
      <c r="H12" t="inlineStr">
        <is>
          <t>0</t>
        </is>
      </c>
      <c r="J12" t="inlineStr">
        <is>
          <t>Defense %</t>
        </is>
      </c>
      <c r="K12" t="inlineStr">
        <is>
          <t>0</t>
        </is>
      </c>
      <c r="Q12" t="inlineStr">
        <is>
          <t>eye-accessory</t>
        </is>
      </c>
    </row>
    <row r="13">
      <c r="A13" t="inlineStr">
        <is>
          <t>ALL</t>
        </is>
      </c>
      <c r="B13" t="inlineStr">
        <is>
          <t>normal</t>
        </is>
      </c>
      <c r="C13" t="n">
        <v>1</v>
      </c>
      <c r="D13" t="inlineStr">
        <is>
          <t>Max MP %</t>
        </is>
      </c>
      <c r="E13" t="n">
        <v>3</v>
      </c>
      <c r="F13" t="n">
        <v>9</v>
      </c>
      <c r="G13" t="b">
        <v>0</v>
      </c>
      <c r="H13" t="inlineStr">
        <is>
          <t>0</t>
        </is>
      </c>
      <c r="J13" t="inlineStr">
        <is>
          <t>Defense Penetration</t>
        </is>
      </c>
      <c r="K13">
        <f>Sensitivity!H18</f>
        <v/>
      </c>
      <c r="Q13" t="inlineStr">
        <is>
          <t>ring2</t>
        </is>
      </c>
    </row>
    <row r="14">
      <c r="A14" t="inlineStr">
        <is>
          <t>ALL</t>
        </is>
      </c>
      <c r="B14" t="inlineStr">
        <is>
          <t>normal</t>
        </is>
      </c>
      <c r="C14" t="n">
        <v>1</v>
      </c>
      <c r="D14" t="inlineStr">
        <is>
          <t>Str</t>
        </is>
      </c>
      <c r="E14" t="n">
        <v>50</v>
      </c>
      <c r="F14" t="n">
        <v>9.5</v>
      </c>
      <c r="G14" t="b">
        <v>0</v>
      </c>
      <c r="H14" t="inlineStr">
        <is>
          <t>0</t>
        </is>
      </c>
      <c r="J14" t="inlineStr">
        <is>
          <t>Dex</t>
        </is>
      </c>
      <c r="K14" t="inlineStr">
        <is>
          <t>0</t>
        </is>
      </c>
      <c r="Q14" t="inlineStr">
        <is>
          <t>face</t>
        </is>
      </c>
    </row>
    <row r="15">
      <c r="A15" t="inlineStr">
        <is>
          <t>ALL</t>
        </is>
      </c>
      <c r="B15" t="inlineStr">
        <is>
          <t>normal</t>
        </is>
      </c>
      <c r="C15" t="n">
        <v>1</v>
      </c>
      <c r="D15" t="inlineStr">
        <is>
          <t>Dex</t>
        </is>
      </c>
      <c r="E15" t="n">
        <v>50</v>
      </c>
      <c r="F15" t="n">
        <v>9.5</v>
      </c>
      <c r="G15" t="b">
        <v>0</v>
      </c>
      <c r="H15" t="inlineStr">
        <is>
          <t>0</t>
        </is>
      </c>
      <c r="J15" t="inlineStr">
        <is>
          <t>Dex %</t>
        </is>
      </c>
      <c r="K15" t="inlineStr">
        <is>
          <t>0</t>
        </is>
      </c>
      <c r="Q15" t="inlineStr">
        <is>
          <t>earrings</t>
        </is>
      </c>
    </row>
    <row r="16">
      <c r="A16" t="inlineStr">
        <is>
          <t>ALL</t>
        </is>
      </c>
      <c r="B16" t="inlineStr">
        <is>
          <t>normal</t>
        </is>
      </c>
      <c r="C16" t="n">
        <v>1</v>
      </c>
      <c r="D16" t="inlineStr">
        <is>
          <t>Int</t>
        </is>
      </c>
      <c r="E16" t="n">
        <v>50</v>
      </c>
      <c r="F16" t="n">
        <v>9.5</v>
      </c>
      <c r="G16" t="b">
        <v>0</v>
      </c>
      <c r="H16" t="inlineStr">
        <is>
          <t>0</t>
        </is>
      </c>
      <c r="J16" t="inlineStr">
        <is>
          <t>Final Damage %</t>
        </is>
      </c>
      <c r="K16">
        <f>Sensitivity!H12</f>
        <v/>
      </c>
      <c r="Q16" t="inlineStr">
        <is>
          <t>pocket</t>
        </is>
      </c>
    </row>
    <row r="17">
      <c r="A17" t="inlineStr">
        <is>
          <t>ALL</t>
        </is>
      </c>
      <c r="B17" t="inlineStr">
        <is>
          <t>normal</t>
        </is>
      </c>
      <c r="C17" t="n">
        <v>1</v>
      </c>
      <c r="D17" t="inlineStr">
        <is>
          <t>Luk</t>
        </is>
      </c>
      <c r="E17" t="n">
        <v>50</v>
      </c>
      <c r="F17" t="n">
        <v>9.5</v>
      </c>
      <c r="G17" t="b">
        <v>0</v>
      </c>
      <c r="H17">
        <f>Sensitivity!H5</f>
        <v/>
      </c>
      <c r="J17" t="inlineStr">
        <is>
          <t>Int</t>
        </is>
      </c>
      <c r="K17" t="inlineStr">
        <is>
          <t>0</t>
        </is>
      </c>
    </row>
    <row r="18">
      <c r="A18" t="inlineStr">
        <is>
          <t>ALL</t>
        </is>
      </c>
      <c r="B18" t="inlineStr">
        <is>
          <t>normal</t>
        </is>
      </c>
      <c r="C18" t="n">
        <v>2</v>
      </c>
      <c r="D18" t="inlineStr">
        <is>
          <t>Critical Rate %</t>
        </is>
      </c>
      <c r="E18" t="n">
        <v>3</v>
      </c>
      <c r="F18" t="n">
        <v>2.5</v>
      </c>
      <c r="G18" t="b">
        <v>0</v>
      </c>
      <c r="H18">
        <f>IF(Inputs!$B$9&gt;=100,Sensitivity!H16,Sensitivity!H15)</f>
        <v/>
      </c>
      <c r="J18" t="inlineStr">
        <is>
          <t>Int %</t>
        </is>
      </c>
      <c r="K18" t="inlineStr">
        <is>
          <t>0</t>
        </is>
      </c>
    </row>
    <row r="19">
      <c r="A19" t="inlineStr">
        <is>
          <t>ALL</t>
        </is>
      </c>
      <c r="B19" t="inlineStr">
        <is>
          <t>normal</t>
        </is>
      </c>
      <c r="C19" t="n">
        <v>2</v>
      </c>
      <c r="D19" t="inlineStr">
        <is>
          <t>Attack Speed %</t>
        </is>
      </c>
      <c r="E19" t="n">
        <v>3</v>
      </c>
      <c r="F19" t="n">
        <v>2.5</v>
      </c>
      <c r="G19" t="b">
        <v>0</v>
      </c>
      <c r="H19">
        <f>Sensitivity!H17</f>
        <v/>
      </c>
      <c r="J19" t="inlineStr">
        <is>
          <t>Luk</t>
        </is>
      </c>
      <c r="K19">
        <f>Sensitivity!H5</f>
        <v/>
      </c>
    </row>
    <row r="20">
      <c r="A20" t="inlineStr">
        <is>
          <t>ALL</t>
        </is>
      </c>
      <c r="B20" t="inlineStr">
        <is>
          <t>normal</t>
        </is>
      </c>
      <c r="C20" t="n">
        <v>2</v>
      </c>
      <c r="D20" t="inlineStr">
        <is>
          <t>Damage %</t>
        </is>
      </c>
      <c r="E20" t="n">
        <v>5</v>
      </c>
      <c r="F20" t="n">
        <v>4</v>
      </c>
      <c r="G20" t="b">
        <v>0</v>
      </c>
      <c r="H20">
        <f>Sensitivity!H8</f>
        <v/>
      </c>
      <c r="J20" t="inlineStr">
        <is>
          <t>Luk %</t>
        </is>
      </c>
      <c r="K20">
        <f>Sensitivity!H6</f>
        <v/>
      </c>
    </row>
    <row r="21">
      <c r="A21" t="inlineStr">
        <is>
          <t>ALL</t>
        </is>
      </c>
      <c r="B21" t="inlineStr">
        <is>
          <t>normal</t>
        </is>
      </c>
      <c r="C21" t="n">
        <v>2</v>
      </c>
      <c r="D21" t="inlineStr">
        <is>
          <t>Min Damage Multiplier %</t>
        </is>
      </c>
      <c r="E21" t="n">
        <v>3</v>
      </c>
      <c r="F21" t="n">
        <v>4</v>
      </c>
      <c r="G21" t="b">
        <v>0</v>
      </c>
      <c r="H21">
        <f>Sensitivity!H13</f>
        <v/>
      </c>
      <c r="J21" t="inlineStr">
        <is>
          <t>Main Stat % per 4 Levels</t>
        </is>
      </c>
      <c r="K21">
        <f>Sensitivity!H6*INT(Inputs!$B$3/4)</f>
        <v/>
      </c>
    </row>
    <row r="22">
      <c r="A22" t="inlineStr">
        <is>
          <t>ALL</t>
        </is>
      </c>
      <c r="B22" t="inlineStr">
        <is>
          <t>normal</t>
        </is>
      </c>
      <c r="C22" t="n">
        <v>2</v>
      </c>
      <c r="D22" t="inlineStr">
        <is>
          <t>Max Damage Multiplier %</t>
        </is>
      </c>
      <c r="E22" t="n">
        <v>3</v>
      </c>
      <c r="F22" t="n">
        <v>4</v>
      </c>
      <c r="G22" t="b">
        <v>0</v>
      </c>
      <c r="H22">
        <f>Sensitivity!H14</f>
        <v/>
      </c>
      <c r="J22" t="inlineStr">
        <is>
          <t>Main Stat Per Level</t>
        </is>
      </c>
      <c r="K22">
        <f>Sensitivity!H5*Inputs!$B$3</f>
        <v/>
      </c>
    </row>
    <row r="23">
      <c r="A23" t="inlineStr">
        <is>
          <t>ALL</t>
        </is>
      </c>
      <c r="B23" t="inlineStr">
        <is>
          <t>normal</t>
        </is>
      </c>
      <c r="C23" t="n">
        <v>2</v>
      </c>
      <c r="D23" t="inlineStr">
        <is>
          <t>Str %</t>
        </is>
      </c>
      <c r="E23" t="n">
        <v>3</v>
      </c>
      <c r="F23" t="n">
        <v>4.5</v>
      </c>
      <c r="G23" t="b">
        <v>0</v>
      </c>
      <c r="H23" t="inlineStr">
        <is>
          <t>0</t>
        </is>
      </c>
      <c r="J23" t="inlineStr">
        <is>
          <t>Max Damage Multiplier %</t>
        </is>
      </c>
      <c r="K23">
        <f>Sensitivity!H14</f>
        <v/>
      </c>
    </row>
    <row r="24">
      <c r="A24" t="inlineStr">
        <is>
          <t>ALL</t>
        </is>
      </c>
      <c r="B24" t="inlineStr">
        <is>
          <t>normal</t>
        </is>
      </c>
      <c r="C24" t="n">
        <v>2</v>
      </c>
      <c r="D24" t="inlineStr">
        <is>
          <t>Dex %</t>
        </is>
      </c>
      <c r="E24" t="n">
        <v>3</v>
      </c>
      <c r="F24" t="n">
        <v>4.5</v>
      </c>
      <c r="G24" t="b">
        <v>0</v>
      </c>
      <c r="H24" t="inlineStr">
        <is>
          <t>0</t>
        </is>
      </c>
      <c r="J24" t="inlineStr">
        <is>
          <t>Max HP %</t>
        </is>
      </c>
      <c r="K24" t="inlineStr">
        <is>
          <t>0</t>
        </is>
      </c>
    </row>
    <row r="25">
      <c r="A25" t="inlineStr">
        <is>
          <t>ALL</t>
        </is>
      </c>
      <c r="B25" t="inlineStr">
        <is>
          <t>normal</t>
        </is>
      </c>
      <c r="C25" t="n">
        <v>2</v>
      </c>
      <c r="D25" t="inlineStr">
        <is>
          <t>Int %</t>
        </is>
      </c>
      <c r="E25" t="n">
        <v>3</v>
      </c>
      <c r="F25" t="n">
        <v>4.5</v>
      </c>
      <c r="G25" t="b">
        <v>0</v>
      </c>
      <c r="H25" t="inlineStr">
        <is>
          <t>0</t>
        </is>
      </c>
      <c r="J25" t="inlineStr">
        <is>
          <t>Max MP %</t>
        </is>
      </c>
      <c r="K25" t="inlineStr">
        <is>
          <t>0</t>
        </is>
      </c>
    </row>
    <row r="26">
      <c r="A26" t="inlineStr">
        <is>
          <t>ALL</t>
        </is>
      </c>
      <c r="B26" t="inlineStr">
        <is>
          <t>normal</t>
        </is>
      </c>
      <c r="C26" t="n">
        <v>2</v>
      </c>
      <c r="D26" t="inlineStr">
        <is>
          <t>Luk %</t>
        </is>
      </c>
      <c r="E26" t="n">
        <v>3</v>
      </c>
      <c r="F26" t="n">
        <v>4.5</v>
      </c>
      <c r="G26" t="b">
        <v>0</v>
      </c>
      <c r="H26">
        <f>Sensitivity!H6</f>
        <v/>
      </c>
      <c r="J26" t="inlineStr">
        <is>
          <t>Min Damage Multiplier %</t>
        </is>
      </c>
      <c r="K26">
        <f>Sensitivity!H13</f>
        <v/>
      </c>
    </row>
    <row r="27">
      <c r="A27" t="inlineStr">
        <is>
          <t>ALL</t>
        </is>
      </c>
      <c r="B27" t="inlineStr">
        <is>
          <t>normal</t>
        </is>
      </c>
      <c r="C27" t="n">
        <v>2</v>
      </c>
      <c r="D27" t="inlineStr">
        <is>
          <t>Defense %</t>
        </is>
      </c>
      <c r="E27" t="n">
        <v>3</v>
      </c>
      <c r="F27" t="n">
        <v>9</v>
      </c>
      <c r="G27" t="b">
        <v>0</v>
      </c>
      <c r="H27" t="inlineStr">
        <is>
          <t>0</t>
        </is>
      </c>
      <c r="J27" t="inlineStr">
        <is>
          <t>Skill Cooldown Decrease (seconds)</t>
        </is>
      </c>
      <c r="K27">
        <f>Sensitivity!H28</f>
        <v/>
      </c>
    </row>
    <row r="28">
      <c r="A28" t="inlineStr">
        <is>
          <t>ALL</t>
        </is>
      </c>
      <c r="B28" t="inlineStr">
        <is>
          <t>normal</t>
        </is>
      </c>
      <c r="C28" t="n">
        <v>2</v>
      </c>
      <c r="D28" t="inlineStr">
        <is>
          <t>Max HP %</t>
        </is>
      </c>
      <c r="E28" t="n">
        <v>6</v>
      </c>
      <c r="F28" t="n">
        <v>9</v>
      </c>
      <c r="G28" t="b">
        <v>0</v>
      </c>
      <c r="H28" t="inlineStr">
        <is>
          <t>0</t>
        </is>
      </c>
      <c r="J28" t="inlineStr">
        <is>
          <t>Skill Damage %</t>
        </is>
      </c>
      <c r="K28">
        <f>Sensitivity!H20</f>
        <v/>
      </c>
    </row>
    <row r="29">
      <c r="A29" t="inlineStr">
        <is>
          <t>ALL</t>
        </is>
      </c>
      <c r="B29" t="inlineStr">
        <is>
          <t>normal</t>
        </is>
      </c>
      <c r="C29" t="n">
        <v>2</v>
      </c>
      <c r="D29" t="inlineStr">
        <is>
          <t>Max MP %</t>
        </is>
      </c>
      <c r="E29" t="n">
        <v>3</v>
      </c>
      <c r="F29" t="n">
        <v>9</v>
      </c>
      <c r="G29" t="b">
        <v>0</v>
      </c>
      <c r="H29" t="inlineStr">
        <is>
          <t>0</t>
        </is>
      </c>
      <c r="J29" t="inlineStr">
        <is>
          <t>Str</t>
        </is>
      </c>
      <c r="K29" t="inlineStr">
        <is>
          <t>0</t>
        </is>
      </c>
    </row>
    <row r="30">
      <c r="A30" t="inlineStr">
        <is>
          <t>ALL</t>
        </is>
      </c>
      <c r="B30" t="inlineStr">
        <is>
          <t>normal</t>
        </is>
      </c>
      <c r="C30" t="n">
        <v>2</v>
      </c>
      <c r="D30" t="inlineStr">
        <is>
          <t>Str</t>
        </is>
      </c>
      <c r="E30" t="n">
        <v>50</v>
      </c>
      <c r="F30" t="n">
        <v>9.5</v>
      </c>
      <c r="G30" t="b">
        <v>0</v>
      </c>
      <c r="H30" t="inlineStr">
        <is>
          <t>0</t>
        </is>
      </c>
      <c r="J30" t="inlineStr">
        <is>
          <t>Str %</t>
        </is>
      </c>
      <c r="K30" t="inlineStr">
        <is>
          <t>0</t>
        </is>
      </c>
    </row>
    <row r="31">
      <c r="A31" t="inlineStr">
        <is>
          <t>ALL</t>
        </is>
      </c>
      <c r="B31" t="inlineStr">
        <is>
          <t>normal</t>
        </is>
      </c>
      <c r="C31" t="n">
        <v>2</v>
      </c>
      <c r="D31" t="inlineStr">
        <is>
          <t>Dex</t>
        </is>
      </c>
      <c r="E31" t="n">
        <v>50</v>
      </c>
      <c r="F31" t="n">
        <v>9.5</v>
      </c>
      <c r="G31" t="b">
        <v>0</v>
      </c>
      <c r="H31" t="inlineStr">
        <is>
          <t>0</t>
        </is>
      </c>
    </row>
    <row r="32">
      <c r="A32" t="inlineStr">
        <is>
          <t>ALL</t>
        </is>
      </c>
      <c r="B32" t="inlineStr">
        <is>
          <t>normal</t>
        </is>
      </c>
      <c r="C32" t="n">
        <v>2</v>
      </c>
      <c r="D32" t="inlineStr">
        <is>
          <t>Int</t>
        </is>
      </c>
      <c r="E32" t="n">
        <v>50</v>
      </c>
      <c r="F32" t="n">
        <v>9.5</v>
      </c>
      <c r="G32" t="b">
        <v>0</v>
      </c>
      <c r="H32" t="inlineStr">
        <is>
          <t>0</t>
        </is>
      </c>
    </row>
    <row r="33">
      <c r="A33" t="inlineStr">
        <is>
          <t>ALL</t>
        </is>
      </c>
      <c r="B33" t="inlineStr">
        <is>
          <t>normal</t>
        </is>
      </c>
      <c r="C33" t="n">
        <v>2</v>
      </c>
      <c r="D33" t="inlineStr">
        <is>
          <t>Luk</t>
        </is>
      </c>
      <c r="E33" t="n">
        <v>50</v>
      </c>
      <c r="F33" t="n">
        <v>9.5</v>
      </c>
      <c r="G33" t="b">
        <v>0</v>
      </c>
      <c r="H33">
        <f>Sensitivity!H5</f>
        <v/>
      </c>
    </row>
    <row r="34">
      <c r="A34" t="inlineStr">
        <is>
          <t>ALL</t>
        </is>
      </c>
      <c r="B34" t="inlineStr">
        <is>
          <t>normal</t>
        </is>
      </c>
      <c r="C34" t="n">
        <v>3</v>
      </c>
      <c r="D34" t="inlineStr">
        <is>
          <t>Critical Rate %</t>
        </is>
      </c>
      <c r="E34" t="n">
        <v>3</v>
      </c>
      <c r="F34" t="n">
        <v>2.5</v>
      </c>
      <c r="G34" t="b">
        <v>0</v>
      </c>
      <c r="H34">
        <f>IF(Inputs!$B$9&gt;=100,Sensitivity!H16,Sensitivity!H15)</f>
        <v/>
      </c>
    </row>
    <row r="35">
      <c r="A35" t="inlineStr">
        <is>
          <t>ALL</t>
        </is>
      </c>
      <c r="B35" t="inlineStr">
        <is>
          <t>normal</t>
        </is>
      </c>
      <c r="C35" t="n">
        <v>3</v>
      </c>
      <c r="D35" t="inlineStr">
        <is>
          <t>Attack Speed %</t>
        </is>
      </c>
      <c r="E35" t="n">
        <v>3</v>
      </c>
      <c r="F35" t="n">
        <v>2.5</v>
      </c>
      <c r="G35" t="b">
        <v>0</v>
      </c>
      <c r="H35">
        <f>Sensitivity!H17</f>
        <v/>
      </c>
    </row>
    <row r="36">
      <c r="A36" t="inlineStr">
        <is>
          <t>ALL</t>
        </is>
      </c>
      <c r="B36" t="inlineStr">
        <is>
          <t>normal</t>
        </is>
      </c>
      <c r="C36" t="n">
        <v>3</v>
      </c>
      <c r="D36" t="inlineStr">
        <is>
          <t>Damage %</t>
        </is>
      </c>
      <c r="E36" t="n">
        <v>5</v>
      </c>
      <c r="F36" t="n">
        <v>4</v>
      </c>
      <c r="G36" t="b">
        <v>0</v>
      </c>
      <c r="H36">
        <f>Sensitivity!H8</f>
        <v/>
      </c>
    </row>
    <row r="37">
      <c r="A37" t="inlineStr">
        <is>
          <t>ALL</t>
        </is>
      </c>
      <c r="B37" t="inlineStr">
        <is>
          <t>normal</t>
        </is>
      </c>
      <c r="C37" t="n">
        <v>3</v>
      </c>
      <c r="D37" t="inlineStr">
        <is>
          <t>Min Damage Multiplier %</t>
        </is>
      </c>
      <c r="E37" t="n">
        <v>3</v>
      </c>
      <c r="F37" t="n">
        <v>4</v>
      </c>
      <c r="G37" t="b">
        <v>0</v>
      </c>
      <c r="H37">
        <f>Sensitivity!H13</f>
        <v/>
      </c>
    </row>
    <row r="38">
      <c r="A38" t="inlineStr">
        <is>
          <t>ALL</t>
        </is>
      </c>
      <c r="B38" t="inlineStr">
        <is>
          <t>normal</t>
        </is>
      </c>
      <c r="C38" t="n">
        <v>3</v>
      </c>
      <c r="D38" t="inlineStr">
        <is>
          <t>Max Damage Multiplier %</t>
        </is>
      </c>
      <c r="E38" t="n">
        <v>3</v>
      </c>
      <c r="F38" t="n">
        <v>4</v>
      </c>
      <c r="G38" t="b">
        <v>0</v>
      </c>
      <c r="H38">
        <f>Sensitivity!H14</f>
        <v/>
      </c>
    </row>
    <row r="39">
      <c r="A39" t="inlineStr">
        <is>
          <t>ALL</t>
        </is>
      </c>
      <c r="B39" t="inlineStr">
        <is>
          <t>normal</t>
        </is>
      </c>
      <c r="C39" t="n">
        <v>3</v>
      </c>
      <c r="D39" t="inlineStr">
        <is>
          <t>Str %</t>
        </is>
      </c>
      <c r="E39" t="n">
        <v>3</v>
      </c>
      <c r="F39" t="n">
        <v>4.5</v>
      </c>
      <c r="G39" t="b">
        <v>0</v>
      </c>
      <c r="H39" t="inlineStr">
        <is>
          <t>0</t>
        </is>
      </c>
    </row>
    <row r="40">
      <c r="A40" t="inlineStr">
        <is>
          <t>ALL</t>
        </is>
      </c>
      <c r="B40" t="inlineStr">
        <is>
          <t>normal</t>
        </is>
      </c>
      <c r="C40" t="n">
        <v>3</v>
      </c>
      <c r="D40" t="inlineStr">
        <is>
          <t>Dex %</t>
        </is>
      </c>
      <c r="E40" t="n">
        <v>3</v>
      </c>
      <c r="F40" t="n">
        <v>4.5</v>
      </c>
      <c r="G40" t="b">
        <v>0</v>
      </c>
      <c r="H40" t="inlineStr">
        <is>
          <t>0</t>
        </is>
      </c>
    </row>
    <row r="41">
      <c r="A41" t="inlineStr">
        <is>
          <t>ALL</t>
        </is>
      </c>
      <c r="B41" t="inlineStr">
        <is>
          <t>normal</t>
        </is>
      </c>
      <c r="C41" t="n">
        <v>3</v>
      </c>
      <c r="D41" t="inlineStr">
        <is>
          <t>Int %</t>
        </is>
      </c>
      <c r="E41" t="n">
        <v>3</v>
      </c>
      <c r="F41" t="n">
        <v>4.5</v>
      </c>
      <c r="G41" t="b">
        <v>0</v>
      </c>
      <c r="H41" t="inlineStr">
        <is>
          <t>0</t>
        </is>
      </c>
    </row>
    <row r="42">
      <c r="A42" t="inlineStr">
        <is>
          <t>ALL</t>
        </is>
      </c>
      <c r="B42" t="inlineStr">
        <is>
          <t>normal</t>
        </is>
      </c>
      <c r="C42" t="n">
        <v>3</v>
      </c>
      <c r="D42" t="inlineStr">
        <is>
          <t>Luk %</t>
        </is>
      </c>
      <c r="E42" t="n">
        <v>3</v>
      </c>
      <c r="F42" t="n">
        <v>4.5</v>
      </c>
      <c r="G42" t="b">
        <v>0</v>
      </c>
      <c r="H42">
        <f>Sensitivity!H6</f>
        <v/>
      </c>
    </row>
    <row r="43">
      <c r="A43" t="inlineStr">
        <is>
          <t>ALL</t>
        </is>
      </c>
      <c r="B43" t="inlineStr">
        <is>
          <t>normal</t>
        </is>
      </c>
      <c r="C43" t="n">
        <v>3</v>
      </c>
      <c r="D43" t="inlineStr">
        <is>
          <t>Defense %</t>
        </is>
      </c>
      <c r="E43" t="n">
        <v>3</v>
      </c>
      <c r="F43" t="n">
        <v>9</v>
      </c>
      <c r="G43" t="b">
        <v>0</v>
      </c>
      <c r="H43" t="inlineStr">
        <is>
          <t>0</t>
        </is>
      </c>
    </row>
    <row r="44">
      <c r="A44" t="inlineStr">
        <is>
          <t>ALL</t>
        </is>
      </c>
      <c r="B44" t="inlineStr">
        <is>
          <t>normal</t>
        </is>
      </c>
      <c r="C44" t="n">
        <v>3</v>
      </c>
      <c r="D44" t="inlineStr">
        <is>
          <t>Max HP %</t>
        </is>
      </c>
      <c r="E44" t="n">
        <v>6</v>
      </c>
      <c r="F44" t="n">
        <v>9</v>
      </c>
      <c r="G44" t="b">
        <v>0</v>
      </c>
      <c r="H44" t="inlineStr">
        <is>
          <t>0</t>
        </is>
      </c>
    </row>
    <row r="45">
      <c r="A45" t="inlineStr">
        <is>
          <t>ALL</t>
        </is>
      </c>
      <c r="B45" t="inlineStr">
        <is>
          <t>normal</t>
        </is>
      </c>
      <c r="C45" t="n">
        <v>3</v>
      </c>
      <c r="D45" t="inlineStr">
        <is>
          <t>Max MP %</t>
        </is>
      </c>
      <c r="E45" t="n">
        <v>3</v>
      </c>
      <c r="F45" t="n">
        <v>9</v>
      </c>
      <c r="G45" t="b">
        <v>0</v>
      </c>
      <c r="H45" t="inlineStr">
        <is>
          <t>0</t>
        </is>
      </c>
    </row>
    <row r="46">
      <c r="A46" t="inlineStr">
        <is>
          <t>ALL</t>
        </is>
      </c>
      <c r="B46" t="inlineStr">
        <is>
          <t>normal</t>
        </is>
      </c>
      <c r="C46" t="n">
        <v>3</v>
      </c>
      <c r="D46" t="inlineStr">
        <is>
          <t>Str</t>
        </is>
      </c>
      <c r="E46" t="n">
        <v>50</v>
      </c>
      <c r="F46" t="n">
        <v>9.5</v>
      </c>
      <c r="G46" t="b">
        <v>0</v>
      </c>
      <c r="H46" t="inlineStr">
        <is>
          <t>0</t>
        </is>
      </c>
    </row>
    <row r="47">
      <c r="A47" t="inlineStr">
        <is>
          <t>ALL</t>
        </is>
      </c>
      <c r="B47" t="inlineStr">
        <is>
          <t>normal</t>
        </is>
      </c>
      <c r="C47" t="n">
        <v>3</v>
      </c>
      <c r="D47" t="inlineStr">
        <is>
          <t>Dex</t>
        </is>
      </c>
      <c r="E47" t="n">
        <v>50</v>
      </c>
      <c r="F47" t="n">
        <v>9.5</v>
      </c>
      <c r="G47" t="b">
        <v>0</v>
      </c>
      <c r="H47" t="inlineStr">
        <is>
          <t>0</t>
        </is>
      </c>
    </row>
    <row r="48">
      <c r="A48" t="inlineStr">
        <is>
          <t>ALL</t>
        </is>
      </c>
      <c r="B48" t="inlineStr">
        <is>
          <t>normal</t>
        </is>
      </c>
      <c r="C48" t="n">
        <v>3</v>
      </c>
      <c r="D48" t="inlineStr">
        <is>
          <t>Int</t>
        </is>
      </c>
      <c r="E48" t="n">
        <v>50</v>
      </c>
      <c r="F48" t="n">
        <v>9.5</v>
      </c>
      <c r="G48" t="b">
        <v>0</v>
      </c>
      <c r="H48" t="inlineStr">
        <is>
          <t>0</t>
        </is>
      </c>
    </row>
    <row r="49">
      <c r="A49" t="inlineStr">
        <is>
          <t>ALL</t>
        </is>
      </c>
      <c r="B49" t="inlineStr">
        <is>
          <t>normal</t>
        </is>
      </c>
      <c r="C49" t="n">
        <v>3</v>
      </c>
      <c r="D49" t="inlineStr">
        <is>
          <t>Luk</t>
        </is>
      </c>
      <c r="E49" t="n">
        <v>50</v>
      </c>
      <c r="F49" t="n">
        <v>9.5</v>
      </c>
      <c r="G49" t="b">
        <v>0</v>
      </c>
      <c r="H49">
        <f>Sensitivity!H5</f>
        <v/>
      </c>
    </row>
    <row r="50">
      <c r="A50" t="inlineStr">
        <is>
          <t>ALL</t>
        </is>
      </c>
      <c r="B50" t="inlineStr">
        <is>
          <t>rare</t>
        </is>
      </c>
      <c r="C50" t="n">
        <v>1</v>
      </c>
      <c r="D50" t="inlineStr">
        <is>
          <t>Critical Rate %</t>
        </is>
      </c>
      <c r="E50" t="n">
        <v>4.5</v>
      </c>
      <c r="F50" t="n">
        <v>2.5</v>
      </c>
      <c r="G50" t="b">
        <v>1</v>
      </c>
      <c r="H50">
        <f>IF(Inputs!$B$9&gt;=100,Sensitivity!H16,Sensitivity!H15)</f>
        <v/>
      </c>
    </row>
    <row r="51">
      <c r="A51" t="inlineStr">
        <is>
          <t>ALL</t>
        </is>
      </c>
      <c r="B51" t="inlineStr">
        <is>
          <t>rare</t>
        </is>
      </c>
      <c r="C51" t="n">
        <v>1</v>
      </c>
      <c r="D51" t="inlineStr">
        <is>
          <t>Attack Speed %</t>
        </is>
      </c>
      <c r="E51" t="n">
        <v>3.5</v>
      </c>
      <c r="F51" t="n">
        <v>2.5</v>
      </c>
      <c r="G51" t="b">
        <v>1</v>
      </c>
      <c r="H51">
        <f>Sensitivity!H17</f>
        <v/>
      </c>
    </row>
    <row r="52">
      <c r="A52" t="inlineStr">
        <is>
          <t>ALL</t>
        </is>
      </c>
      <c r="B52" t="inlineStr">
        <is>
          <t>rare</t>
        </is>
      </c>
      <c r="C52" t="n">
        <v>1</v>
      </c>
      <c r="D52" t="inlineStr">
        <is>
          <t>Damage %</t>
        </is>
      </c>
      <c r="E52" t="n">
        <v>8</v>
      </c>
      <c r="F52" t="n">
        <v>4</v>
      </c>
      <c r="G52" t="b">
        <v>1</v>
      </c>
      <c r="H52">
        <f>Sensitivity!H8</f>
        <v/>
      </c>
    </row>
    <row r="53">
      <c r="A53" t="inlineStr">
        <is>
          <t>ALL</t>
        </is>
      </c>
      <c r="B53" t="inlineStr">
        <is>
          <t>rare</t>
        </is>
      </c>
      <c r="C53" t="n">
        <v>1</v>
      </c>
      <c r="D53" t="inlineStr">
        <is>
          <t>Min Damage Multiplier %</t>
        </is>
      </c>
      <c r="E53" t="n">
        <v>6</v>
      </c>
      <c r="F53" t="n">
        <v>4</v>
      </c>
      <c r="G53" t="b">
        <v>1</v>
      </c>
      <c r="H53">
        <f>Sensitivity!H13</f>
        <v/>
      </c>
    </row>
    <row r="54">
      <c r="A54" t="inlineStr">
        <is>
          <t>ALL</t>
        </is>
      </c>
      <c r="B54" t="inlineStr">
        <is>
          <t>rare</t>
        </is>
      </c>
      <c r="C54" t="n">
        <v>1</v>
      </c>
      <c r="D54" t="inlineStr">
        <is>
          <t>Max Damage Multiplier %</t>
        </is>
      </c>
      <c r="E54" t="n">
        <v>6</v>
      </c>
      <c r="F54" t="n">
        <v>4</v>
      </c>
      <c r="G54" t="b">
        <v>1</v>
      </c>
      <c r="H54">
        <f>Sensitivity!H14</f>
        <v/>
      </c>
    </row>
    <row r="55">
      <c r="A55" t="inlineStr">
        <is>
          <t>ALL</t>
        </is>
      </c>
      <c r="B55" t="inlineStr">
        <is>
          <t>rare</t>
        </is>
      </c>
      <c r="C55" t="n">
        <v>1</v>
      </c>
      <c r="D55" t="inlineStr">
        <is>
          <t>Str %</t>
        </is>
      </c>
      <c r="E55" t="n">
        <v>4.5</v>
      </c>
      <c r="F55" t="n">
        <v>4.5</v>
      </c>
      <c r="G55" t="b">
        <v>1</v>
      </c>
      <c r="H55" t="inlineStr">
        <is>
          <t>0</t>
        </is>
      </c>
    </row>
    <row r="56">
      <c r="A56" t="inlineStr">
        <is>
          <t>ALL</t>
        </is>
      </c>
      <c r="B56" t="inlineStr">
        <is>
          <t>rare</t>
        </is>
      </c>
      <c r="C56" t="n">
        <v>1</v>
      </c>
      <c r="D56" t="inlineStr">
        <is>
          <t>Dex %</t>
        </is>
      </c>
      <c r="E56" t="n">
        <v>4.5</v>
      </c>
      <c r="F56" t="n">
        <v>4.5</v>
      </c>
      <c r="G56" t="b">
        <v>1</v>
      </c>
      <c r="H56" t="inlineStr">
        <is>
          <t>0</t>
        </is>
      </c>
    </row>
    <row r="57">
      <c r="A57" t="inlineStr">
        <is>
          <t>ALL</t>
        </is>
      </c>
      <c r="B57" t="inlineStr">
        <is>
          <t>rare</t>
        </is>
      </c>
      <c r="C57" t="n">
        <v>1</v>
      </c>
      <c r="D57" t="inlineStr">
        <is>
          <t>Int %</t>
        </is>
      </c>
      <c r="E57" t="n">
        <v>4.5</v>
      </c>
      <c r="F57" t="n">
        <v>4.5</v>
      </c>
      <c r="G57" t="b">
        <v>1</v>
      </c>
      <c r="H57" t="inlineStr">
        <is>
          <t>0</t>
        </is>
      </c>
    </row>
    <row r="58">
      <c r="A58" t="inlineStr">
        <is>
          <t>ALL</t>
        </is>
      </c>
      <c r="B58" t="inlineStr">
        <is>
          <t>rare</t>
        </is>
      </c>
      <c r="C58" t="n">
        <v>1</v>
      </c>
      <c r="D58" t="inlineStr">
        <is>
          <t>Luk %</t>
        </is>
      </c>
      <c r="E58" t="n">
        <v>4.5</v>
      </c>
      <c r="F58" t="n">
        <v>4.5</v>
      </c>
      <c r="G58" t="b">
        <v>1</v>
      </c>
      <c r="H58">
        <f>Sensitivity!H6</f>
        <v/>
      </c>
    </row>
    <row r="59">
      <c r="A59" t="inlineStr">
        <is>
          <t>ALL</t>
        </is>
      </c>
      <c r="B59" t="inlineStr">
        <is>
          <t>rare</t>
        </is>
      </c>
      <c r="C59" t="n">
        <v>1</v>
      </c>
      <c r="D59" t="inlineStr">
        <is>
          <t>Defense %</t>
        </is>
      </c>
      <c r="E59" t="n">
        <v>4.5</v>
      </c>
      <c r="F59" t="n">
        <v>9</v>
      </c>
      <c r="G59" t="b">
        <v>1</v>
      </c>
      <c r="H59" t="inlineStr">
        <is>
          <t>0</t>
        </is>
      </c>
    </row>
    <row r="60">
      <c r="A60" t="inlineStr">
        <is>
          <t>ALL</t>
        </is>
      </c>
      <c r="B60" t="inlineStr">
        <is>
          <t>rare</t>
        </is>
      </c>
      <c r="C60" t="n">
        <v>1</v>
      </c>
      <c r="D60" t="inlineStr">
        <is>
          <t>Max HP %</t>
        </is>
      </c>
      <c r="E60" t="n">
        <v>9</v>
      </c>
      <c r="F60" t="n">
        <v>9</v>
      </c>
      <c r="G60" t="b">
        <v>1</v>
      </c>
      <c r="H60" t="inlineStr">
        <is>
          <t>0</t>
        </is>
      </c>
    </row>
    <row r="61">
      <c r="A61" t="inlineStr">
        <is>
          <t>ALL</t>
        </is>
      </c>
      <c r="B61" t="inlineStr">
        <is>
          <t>rare</t>
        </is>
      </c>
      <c r="C61" t="n">
        <v>1</v>
      </c>
      <c r="D61" t="inlineStr">
        <is>
          <t>Max MP %</t>
        </is>
      </c>
      <c r="E61" t="n">
        <v>4.5</v>
      </c>
      <c r="F61" t="n">
        <v>9</v>
      </c>
      <c r="G61" t="b">
        <v>1</v>
      </c>
      <c r="H61" t="inlineStr">
        <is>
          <t>0</t>
        </is>
      </c>
    </row>
    <row r="62">
      <c r="A62" t="inlineStr">
        <is>
          <t>ALL</t>
        </is>
      </c>
      <c r="B62" t="inlineStr">
        <is>
          <t>rare</t>
        </is>
      </c>
      <c r="C62" t="n">
        <v>1</v>
      </c>
      <c r="D62" t="inlineStr">
        <is>
          <t>Str</t>
        </is>
      </c>
      <c r="E62" t="n">
        <v>100</v>
      </c>
      <c r="F62" t="n">
        <v>9.5</v>
      </c>
      <c r="G62" t="b">
        <v>1</v>
      </c>
      <c r="H62" t="inlineStr">
        <is>
          <t>0</t>
        </is>
      </c>
    </row>
    <row r="63">
      <c r="A63" t="inlineStr">
        <is>
          <t>ALL</t>
        </is>
      </c>
      <c r="B63" t="inlineStr">
        <is>
          <t>rare</t>
        </is>
      </c>
      <c r="C63" t="n">
        <v>1</v>
      </c>
      <c r="D63" t="inlineStr">
        <is>
          <t>Dex</t>
        </is>
      </c>
      <c r="E63" t="n">
        <v>100</v>
      </c>
      <c r="F63" t="n">
        <v>9.5</v>
      </c>
      <c r="G63" t="b">
        <v>1</v>
      </c>
      <c r="H63" t="inlineStr">
        <is>
          <t>0</t>
        </is>
      </c>
    </row>
    <row r="64">
      <c r="A64" t="inlineStr">
        <is>
          <t>ALL</t>
        </is>
      </c>
      <c r="B64" t="inlineStr">
        <is>
          <t>rare</t>
        </is>
      </c>
      <c r="C64" t="n">
        <v>1</v>
      </c>
      <c r="D64" t="inlineStr">
        <is>
          <t>Int</t>
        </is>
      </c>
      <c r="E64" t="n">
        <v>100</v>
      </c>
      <c r="F64" t="n">
        <v>9.5</v>
      </c>
      <c r="G64" t="b">
        <v>1</v>
      </c>
      <c r="H64" t="inlineStr">
        <is>
          <t>0</t>
        </is>
      </c>
    </row>
    <row r="65">
      <c r="A65" t="inlineStr">
        <is>
          <t>ALL</t>
        </is>
      </c>
      <c r="B65" t="inlineStr">
        <is>
          <t>rare</t>
        </is>
      </c>
      <c r="C65" t="n">
        <v>1</v>
      </c>
      <c r="D65" t="inlineStr">
        <is>
          <t>Luk</t>
        </is>
      </c>
      <c r="E65" t="n">
        <v>100</v>
      </c>
      <c r="F65" t="n">
        <v>9.5</v>
      </c>
      <c r="G65" t="b">
        <v>1</v>
      </c>
      <c r="H65">
        <f>Sensitivity!H5</f>
        <v/>
      </c>
    </row>
    <row r="66">
      <c r="A66" t="inlineStr">
        <is>
          <t>ALL</t>
        </is>
      </c>
      <c r="B66" t="inlineStr">
        <is>
          <t>rare</t>
        </is>
      </c>
      <c r="C66" t="n">
        <v>2</v>
      </c>
      <c r="D66" t="inlineStr">
        <is>
          <t>Critical Rate %</t>
        </is>
      </c>
      <c r="E66" t="n">
        <v>3</v>
      </c>
      <c r="F66" t="n">
        <v>1.9</v>
      </c>
      <c r="G66" t="b">
        <v>0</v>
      </c>
      <c r="H66">
        <f>IF(Inputs!$B$9&gt;=100,Sensitivity!H16,Sensitivity!H15)</f>
        <v/>
      </c>
    </row>
    <row r="67">
      <c r="A67" t="inlineStr">
        <is>
          <t>ALL</t>
        </is>
      </c>
      <c r="B67" t="inlineStr">
        <is>
          <t>rare</t>
        </is>
      </c>
      <c r="C67" t="n">
        <v>2</v>
      </c>
      <c r="D67" t="inlineStr">
        <is>
          <t>Critical Rate %</t>
        </is>
      </c>
      <c r="E67" t="n">
        <v>4.5</v>
      </c>
      <c r="F67" t="n">
        <v>0.6</v>
      </c>
      <c r="G67" t="b">
        <v>1</v>
      </c>
      <c r="H67">
        <f>IF(Inputs!$B$9&gt;=100,Sensitivity!H16,Sensitivity!H15)</f>
        <v/>
      </c>
    </row>
    <row r="68">
      <c r="A68" t="inlineStr">
        <is>
          <t>ALL</t>
        </is>
      </c>
      <c r="B68" t="inlineStr">
        <is>
          <t>rare</t>
        </is>
      </c>
      <c r="C68" t="n">
        <v>2</v>
      </c>
      <c r="D68" t="inlineStr">
        <is>
          <t>Attack Speed %</t>
        </is>
      </c>
      <c r="E68" t="n">
        <v>3</v>
      </c>
      <c r="F68" t="n">
        <v>1.9</v>
      </c>
      <c r="G68" t="b">
        <v>0</v>
      </c>
      <c r="H68">
        <f>Sensitivity!H17</f>
        <v/>
      </c>
    </row>
    <row r="69">
      <c r="A69" t="inlineStr">
        <is>
          <t>ALL</t>
        </is>
      </c>
      <c r="B69" t="inlineStr">
        <is>
          <t>rare</t>
        </is>
      </c>
      <c r="C69" t="n">
        <v>2</v>
      </c>
      <c r="D69" t="inlineStr">
        <is>
          <t>Attack Speed %</t>
        </is>
      </c>
      <c r="E69" t="n">
        <v>3.5</v>
      </c>
      <c r="F69" t="n">
        <v>0.6</v>
      </c>
      <c r="G69" t="b">
        <v>1</v>
      </c>
      <c r="H69">
        <f>Sensitivity!H17</f>
        <v/>
      </c>
    </row>
    <row r="70">
      <c r="A70" t="inlineStr">
        <is>
          <t>ALL</t>
        </is>
      </c>
      <c r="B70" t="inlineStr">
        <is>
          <t>rare</t>
        </is>
      </c>
      <c r="C70" t="n">
        <v>2</v>
      </c>
      <c r="D70" t="inlineStr">
        <is>
          <t>Damage %</t>
        </is>
      </c>
      <c r="E70" t="n">
        <v>5</v>
      </c>
      <c r="F70" t="n">
        <v>3.04</v>
      </c>
      <c r="G70" t="b">
        <v>0</v>
      </c>
      <c r="H70">
        <f>Sensitivity!H8</f>
        <v/>
      </c>
    </row>
    <row r="71">
      <c r="A71" t="inlineStr">
        <is>
          <t>ALL</t>
        </is>
      </c>
      <c r="B71" t="inlineStr">
        <is>
          <t>rare</t>
        </is>
      </c>
      <c r="C71" t="n">
        <v>2</v>
      </c>
      <c r="D71" t="inlineStr">
        <is>
          <t>Damage %</t>
        </is>
      </c>
      <c r="E71" t="n">
        <v>8</v>
      </c>
      <c r="F71" t="n">
        <v>0.96</v>
      </c>
      <c r="G71" t="b">
        <v>1</v>
      </c>
      <c r="H71">
        <f>Sensitivity!H8</f>
        <v/>
      </c>
    </row>
    <row r="72">
      <c r="A72" t="inlineStr">
        <is>
          <t>ALL</t>
        </is>
      </c>
      <c r="B72" t="inlineStr">
        <is>
          <t>rare</t>
        </is>
      </c>
      <c r="C72" t="n">
        <v>2</v>
      </c>
      <c r="D72" t="inlineStr">
        <is>
          <t>Min Damage Multiplier %</t>
        </is>
      </c>
      <c r="E72" t="n">
        <v>3</v>
      </c>
      <c r="F72" t="n">
        <v>3.04</v>
      </c>
      <c r="G72" t="b">
        <v>0</v>
      </c>
      <c r="H72">
        <f>Sensitivity!H13</f>
        <v/>
      </c>
    </row>
    <row r="73">
      <c r="A73" t="inlineStr">
        <is>
          <t>ALL</t>
        </is>
      </c>
      <c r="B73" t="inlineStr">
        <is>
          <t>rare</t>
        </is>
      </c>
      <c r="C73" t="n">
        <v>2</v>
      </c>
      <c r="D73" t="inlineStr">
        <is>
          <t>Min Damage Multiplier %</t>
        </is>
      </c>
      <c r="E73" t="n">
        <v>6</v>
      </c>
      <c r="F73" t="n">
        <v>0.96</v>
      </c>
      <c r="G73" t="b">
        <v>1</v>
      </c>
      <c r="H73">
        <f>Sensitivity!H13</f>
        <v/>
      </c>
    </row>
    <row r="74">
      <c r="A74" t="inlineStr">
        <is>
          <t>ALL</t>
        </is>
      </c>
      <c r="B74" t="inlineStr">
        <is>
          <t>rare</t>
        </is>
      </c>
      <c r="C74" t="n">
        <v>2</v>
      </c>
      <c r="D74" t="inlineStr">
        <is>
          <t>Max Damage Multiplier %</t>
        </is>
      </c>
      <c r="E74" t="n">
        <v>3</v>
      </c>
      <c r="F74" t="n">
        <v>3.04</v>
      </c>
      <c r="G74" t="b">
        <v>0</v>
      </c>
      <c r="H74">
        <f>Sensitivity!H14</f>
        <v/>
      </c>
    </row>
    <row r="75">
      <c r="A75" t="inlineStr">
        <is>
          <t>ALL</t>
        </is>
      </c>
      <c r="B75" t="inlineStr">
        <is>
          <t>rare</t>
        </is>
      </c>
      <c r="C75" t="n">
        <v>2</v>
      </c>
      <c r="D75" t="inlineStr">
        <is>
          <t>Max Damage Multiplier %</t>
        </is>
      </c>
      <c r="E75" t="n">
        <v>6</v>
      </c>
      <c r="F75" t="n">
        <v>0.96</v>
      </c>
      <c r="G75" t="b">
        <v>1</v>
      </c>
      <c r="H75">
        <f>Sensitivity!H14</f>
        <v/>
      </c>
    </row>
    <row r="76">
      <c r="A76" t="inlineStr">
        <is>
          <t>ALL</t>
        </is>
      </c>
      <c r="B76" t="inlineStr">
        <is>
          <t>rare</t>
        </is>
      </c>
      <c r="C76" t="n">
        <v>2</v>
      </c>
      <c r="D76" t="inlineStr">
        <is>
          <t>Str %</t>
        </is>
      </c>
      <c r="E76" t="n">
        <v>3</v>
      </c>
      <c r="F76" t="n">
        <v>3.42</v>
      </c>
      <c r="G76" t="b">
        <v>0</v>
      </c>
      <c r="H76" t="inlineStr">
        <is>
          <t>0</t>
        </is>
      </c>
    </row>
    <row r="77">
      <c r="A77" t="inlineStr">
        <is>
          <t>ALL</t>
        </is>
      </c>
      <c r="B77" t="inlineStr">
        <is>
          <t>rare</t>
        </is>
      </c>
      <c r="C77" t="n">
        <v>2</v>
      </c>
      <c r="D77" t="inlineStr">
        <is>
          <t>Str %</t>
        </is>
      </c>
      <c r="E77" t="n">
        <v>4.5</v>
      </c>
      <c r="F77" t="n">
        <v>1.08</v>
      </c>
      <c r="G77" t="b">
        <v>1</v>
      </c>
      <c r="H77" t="inlineStr">
        <is>
          <t>0</t>
        </is>
      </c>
    </row>
    <row r="78">
      <c r="A78" t="inlineStr">
        <is>
          <t>ALL</t>
        </is>
      </c>
      <c r="B78" t="inlineStr">
        <is>
          <t>rare</t>
        </is>
      </c>
      <c r="C78" t="n">
        <v>2</v>
      </c>
      <c r="D78" t="inlineStr">
        <is>
          <t>Dex %</t>
        </is>
      </c>
      <c r="E78" t="n">
        <v>3</v>
      </c>
      <c r="F78" t="n">
        <v>3.42</v>
      </c>
      <c r="G78" t="b">
        <v>0</v>
      </c>
      <c r="H78" t="inlineStr">
        <is>
          <t>0</t>
        </is>
      </c>
    </row>
    <row r="79">
      <c r="A79" t="inlineStr">
        <is>
          <t>ALL</t>
        </is>
      </c>
      <c r="B79" t="inlineStr">
        <is>
          <t>rare</t>
        </is>
      </c>
      <c r="C79" t="n">
        <v>2</v>
      </c>
      <c r="D79" t="inlineStr">
        <is>
          <t>Dex %</t>
        </is>
      </c>
      <c r="E79" t="n">
        <v>4.5</v>
      </c>
      <c r="F79" t="n">
        <v>1.08</v>
      </c>
      <c r="G79" t="b">
        <v>1</v>
      </c>
      <c r="H79" t="inlineStr">
        <is>
          <t>0</t>
        </is>
      </c>
    </row>
    <row r="80">
      <c r="A80" t="inlineStr">
        <is>
          <t>ALL</t>
        </is>
      </c>
      <c r="B80" t="inlineStr">
        <is>
          <t>rare</t>
        </is>
      </c>
      <c r="C80" t="n">
        <v>2</v>
      </c>
      <c r="D80" t="inlineStr">
        <is>
          <t>Int %</t>
        </is>
      </c>
      <c r="E80" t="n">
        <v>3</v>
      </c>
      <c r="F80" t="n">
        <v>3.42</v>
      </c>
      <c r="G80" t="b">
        <v>0</v>
      </c>
      <c r="H80" t="inlineStr">
        <is>
          <t>0</t>
        </is>
      </c>
    </row>
    <row r="81">
      <c r="A81" t="inlineStr">
        <is>
          <t>ALL</t>
        </is>
      </c>
      <c r="B81" t="inlineStr">
        <is>
          <t>rare</t>
        </is>
      </c>
      <c r="C81" t="n">
        <v>2</v>
      </c>
      <c r="D81" t="inlineStr">
        <is>
          <t>Int %</t>
        </is>
      </c>
      <c r="E81" t="n">
        <v>4.5</v>
      </c>
      <c r="F81" t="n">
        <v>1.08</v>
      </c>
      <c r="G81" t="b">
        <v>1</v>
      </c>
      <c r="H81" t="inlineStr">
        <is>
          <t>0</t>
        </is>
      </c>
    </row>
    <row r="82">
      <c r="A82" t="inlineStr">
        <is>
          <t>ALL</t>
        </is>
      </c>
      <c r="B82" t="inlineStr">
        <is>
          <t>rare</t>
        </is>
      </c>
      <c r="C82" t="n">
        <v>2</v>
      </c>
      <c r="D82" t="inlineStr">
        <is>
          <t>Luk %</t>
        </is>
      </c>
      <c r="E82" t="n">
        <v>3</v>
      </c>
      <c r="F82" t="n">
        <v>3.42</v>
      </c>
      <c r="G82" t="b">
        <v>0</v>
      </c>
      <c r="H82">
        <f>Sensitivity!H6</f>
        <v/>
      </c>
    </row>
    <row r="83">
      <c r="A83" t="inlineStr">
        <is>
          <t>ALL</t>
        </is>
      </c>
      <c r="B83" t="inlineStr">
        <is>
          <t>rare</t>
        </is>
      </c>
      <c r="C83" t="n">
        <v>2</v>
      </c>
      <c r="D83" t="inlineStr">
        <is>
          <t>Luk %</t>
        </is>
      </c>
      <c r="E83" t="n">
        <v>4.5</v>
      </c>
      <c r="F83" t="n">
        <v>1.08</v>
      </c>
      <c r="G83" t="b">
        <v>1</v>
      </c>
      <c r="H83">
        <f>Sensitivity!H6</f>
        <v/>
      </c>
    </row>
    <row r="84">
      <c r="A84" t="inlineStr">
        <is>
          <t>ALL</t>
        </is>
      </c>
      <c r="B84" t="inlineStr">
        <is>
          <t>rare</t>
        </is>
      </c>
      <c r="C84" t="n">
        <v>2</v>
      </c>
      <c r="D84" t="inlineStr">
        <is>
          <t>Defense %</t>
        </is>
      </c>
      <c r="E84" t="n">
        <v>3</v>
      </c>
      <c r="F84" t="n">
        <v>6.84</v>
      </c>
      <c r="G84" t="b">
        <v>0</v>
      </c>
      <c r="H84" t="inlineStr">
        <is>
          <t>0</t>
        </is>
      </c>
    </row>
    <row r="85">
      <c r="A85" t="inlineStr">
        <is>
          <t>ALL</t>
        </is>
      </c>
      <c r="B85" t="inlineStr">
        <is>
          <t>rare</t>
        </is>
      </c>
      <c r="C85" t="n">
        <v>2</v>
      </c>
      <c r="D85" t="inlineStr">
        <is>
          <t>Defense %</t>
        </is>
      </c>
      <c r="E85" t="n">
        <v>4.5</v>
      </c>
      <c r="F85" t="n">
        <v>2.16</v>
      </c>
      <c r="G85" t="b">
        <v>1</v>
      </c>
      <c r="H85" t="inlineStr">
        <is>
          <t>0</t>
        </is>
      </c>
    </row>
    <row r="86">
      <c r="A86" t="inlineStr">
        <is>
          <t>ALL</t>
        </is>
      </c>
      <c r="B86" t="inlineStr">
        <is>
          <t>rare</t>
        </is>
      </c>
      <c r="C86" t="n">
        <v>2</v>
      </c>
      <c r="D86" t="inlineStr">
        <is>
          <t>Max HP %</t>
        </is>
      </c>
      <c r="E86" t="n">
        <v>6</v>
      </c>
      <c r="F86" t="n">
        <v>6.84</v>
      </c>
      <c r="G86" t="b">
        <v>0</v>
      </c>
      <c r="H86" t="inlineStr">
        <is>
          <t>0</t>
        </is>
      </c>
    </row>
    <row r="87">
      <c r="A87" t="inlineStr">
        <is>
          <t>ALL</t>
        </is>
      </c>
      <c r="B87" t="inlineStr">
        <is>
          <t>rare</t>
        </is>
      </c>
      <c r="C87" t="n">
        <v>2</v>
      </c>
      <c r="D87" t="inlineStr">
        <is>
          <t>Max HP %</t>
        </is>
      </c>
      <c r="E87" t="n">
        <v>9</v>
      </c>
      <c r="F87" t="n">
        <v>2.16</v>
      </c>
      <c r="G87" t="b">
        <v>1</v>
      </c>
      <c r="H87" t="inlineStr">
        <is>
          <t>0</t>
        </is>
      </c>
    </row>
    <row r="88">
      <c r="A88" t="inlineStr">
        <is>
          <t>ALL</t>
        </is>
      </c>
      <c r="B88" t="inlineStr">
        <is>
          <t>rare</t>
        </is>
      </c>
      <c r="C88" t="n">
        <v>2</v>
      </c>
      <c r="D88" t="inlineStr">
        <is>
          <t>Max MP %</t>
        </is>
      </c>
      <c r="E88" t="n">
        <v>3</v>
      </c>
      <c r="F88" t="n">
        <v>6.84</v>
      </c>
      <c r="G88" t="b">
        <v>0</v>
      </c>
      <c r="H88" t="inlineStr">
        <is>
          <t>0</t>
        </is>
      </c>
    </row>
    <row r="89">
      <c r="A89" t="inlineStr">
        <is>
          <t>ALL</t>
        </is>
      </c>
      <c r="B89" t="inlineStr">
        <is>
          <t>rare</t>
        </is>
      </c>
      <c r="C89" t="n">
        <v>2</v>
      </c>
      <c r="D89" t="inlineStr">
        <is>
          <t>Max MP %</t>
        </is>
      </c>
      <c r="E89" t="n">
        <v>4.5</v>
      </c>
      <c r="F89" t="n">
        <v>2.16</v>
      </c>
      <c r="G89" t="b">
        <v>1</v>
      </c>
      <c r="H89" t="inlineStr">
        <is>
          <t>0</t>
        </is>
      </c>
    </row>
    <row r="90">
      <c r="A90" t="inlineStr">
        <is>
          <t>ALL</t>
        </is>
      </c>
      <c r="B90" t="inlineStr">
        <is>
          <t>rare</t>
        </is>
      </c>
      <c r="C90" t="n">
        <v>2</v>
      </c>
      <c r="D90" t="inlineStr">
        <is>
          <t>Str</t>
        </is>
      </c>
      <c r="E90" t="n">
        <v>50</v>
      </c>
      <c r="F90" t="n">
        <v>7.22</v>
      </c>
      <c r="G90" t="b">
        <v>0</v>
      </c>
      <c r="H90" t="inlineStr">
        <is>
          <t>0</t>
        </is>
      </c>
    </row>
    <row r="91">
      <c r="A91" t="inlineStr">
        <is>
          <t>ALL</t>
        </is>
      </c>
      <c r="B91" t="inlineStr">
        <is>
          <t>rare</t>
        </is>
      </c>
      <c r="C91" t="n">
        <v>2</v>
      </c>
      <c r="D91" t="inlineStr">
        <is>
          <t>Str</t>
        </is>
      </c>
      <c r="E91" t="n">
        <v>100</v>
      </c>
      <c r="F91" t="n">
        <v>2.28</v>
      </c>
      <c r="G91" t="b">
        <v>1</v>
      </c>
      <c r="H91" t="inlineStr">
        <is>
          <t>0</t>
        </is>
      </c>
    </row>
    <row r="92">
      <c r="A92" t="inlineStr">
        <is>
          <t>ALL</t>
        </is>
      </c>
      <c r="B92" t="inlineStr">
        <is>
          <t>rare</t>
        </is>
      </c>
      <c r="C92" t="n">
        <v>2</v>
      </c>
      <c r="D92" t="inlineStr">
        <is>
          <t>Dex</t>
        </is>
      </c>
      <c r="E92" t="n">
        <v>50</v>
      </c>
      <c r="F92" t="n">
        <v>7.22</v>
      </c>
      <c r="G92" t="b">
        <v>0</v>
      </c>
      <c r="H92" t="inlineStr">
        <is>
          <t>0</t>
        </is>
      </c>
    </row>
    <row r="93">
      <c r="A93" t="inlineStr">
        <is>
          <t>ALL</t>
        </is>
      </c>
      <c r="B93" t="inlineStr">
        <is>
          <t>rare</t>
        </is>
      </c>
      <c r="C93" t="n">
        <v>2</v>
      </c>
      <c r="D93" t="inlineStr">
        <is>
          <t>Dex</t>
        </is>
      </c>
      <c r="E93" t="n">
        <v>100</v>
      </c>
      <c r="F93" t="n">
        <v>2.28</v>
      </c>
      <c r="G93" t="b">
        <v>1</v>
      </c>
      <c r="H93" t="inlineStr">
        <is>
          <t>0</t>
        </is>
      </c>
    </row>
    <row r="94">
      <c r="A94" t="inlineStr">
        <is>
          <t>ALL</t>
        </is>
      </c>
      <c r="B94" t="inlineStr">
        <is>
          <t>rare</t>
        </is>
      </c>
      <c r="C94" t="n">
        <v>2</v>
      </c>
      <c r="D94" t="inlineStr">
        <is>
          <t>Int</t>
        </is>
      </c>
      <c r="E94" t="n">
        <v>50</v>
      </c>
      <c r="F94" t="n">
        <v>7.22</v>
      </c>
      <c r="G94" t="b">
        <v>0</v>
      </c>
      <c r="H94" t="inlineStr">
        <is>
          <t>0</t>
        </is>
      </c>
    </row>
    <row r="95">
      <c r="A95" t="inlineStr">
        <is>
          <t>ALL</t>
        </is>
      </c>
      <c r="B95" t="inlineStr">
        <is>
          <t>rare</t>
        </is>
      </c>
      <c r="C95" t="n">
        <v>2</v>
      </c>
      <c r="D95" t="inlineStr">
        <is>
          <t>Int</t>
        </is>
      </c>
      <c r="E95" t="n">
        <v>100</v>
      </c>
      <c r="F95" t="n">
        <v>2.28</v>
      </c>
      <c r="G95" t="b">
        <v>1</v>
      </c>
      <c r="H95" t="inlineStr">
        <is>
          <t>0</t>
        </is>
      </c>
    </row>
    <row r="96">
      <c r="A96" t="inlineStr">
        <is>
          <t>ALL</t>
        </is>
      </c>
      <c r="B96" t="inlineStr">
        <is>
          <t>rare</t>
        </is>
      </c>
      <c r="C96" t="n">
        <v>2</v>
      </c>
      <c r="D96" t="inlineStr">
        <is>
          <t>Luk</t>
        </is>
      </c>
      <c r="E96" t="n">
        <v>50</v>
      </c>
      <c r="F96" t="n">
        <v>7.22</v>
      </c>
      <c r="G96" t="b">
        <v>0</v>
      </c>
      <c r="H96">
        <f>Sensitivity!H5</f>
        <v/>
      </c>
    </row>
    <row r="97">
      <c r="A97" t="inlineStr">
        <is>
          <t>ALL</t>
        </is>
      </c>
      <c r="B97" t="inlineStr">
        <is>
          <t>rare</t>
        </is>
      </c>
      <c r="C97" t="n">
        <v>2</v>
      </c>
      <c r="D97" t="inlineStr">
        <is>
          <t>Luk</t>
        </is>
      </c>
      <c r="E97" t="n">
        <v>100</v>
      </c>
      <c r="F97" t="n">
        <v>2.28</v>
      </c>
      <c r="G97" t="b">
        <v>1</v>
      </c>
      <c r="H97">
        <f>Sensitivity!H5</f>
        <v/>
      </c>
    </row>
    <row r="98">
      <c r="A98" t="inlineStr">
        <is>
          <t>ALL</t>
        </is>
      </c>
      <c r="B98" t="inlineStr">
        <is>
          <t>rare</t>
        </is>
      </c>
      <c r="C98" t="n">
        <v>3</v>
      </c>
      <c r="D98" t="inlineStr">
        <is>
          <t>Critical Rate %</t>
        </is>
      </c>
      <c r="E98" t="n">
        <v>3</v>
      </c>
      <c r="F98" t="n">
        <v>2.3</v>
      </c>
      <c r="G98" t="b">
        <v>0</v>
      </c>
      <c r="H98">
        <f>IF(Inputs!$B$9&gt;=100,Sensitivity!H16,Sensitivity!H15)</f>
        <v/>
      </c>
    </row>
    <row r="99">
      <c r="A99" t="inlineStr">
        <is>
          <t>ALL</t>
        </is>
      </c>
      <c r="B99" t="inlineStr">
        <is>
          <t>rare</t>
        </is>
      </c>
      <c r="C99" t="n">
        <v>3</v>
      </c>
      <c r="D99" t="inlineStr">
        <is>
          <t>Critical Rate %</t>
        </is>
      </c>
      <c r="E99" t="n">
        <v>4.5</v>
      </c>
      <c r="F99" t="n">
        <v>0.2</v>
      </c>
      <c r="G99" t="b">
        <v>1</v>
      </c>
      <c r="H99">
        <f>IF(Inputs!$B$9&gt;=100,Sensitivity!H16,Sensitivity!H15)</f>
        <v/>
      </c>
    </row>
    <row r="100">
      <c r="A100" t="inlineStr">
        <is>
          <t>ALL</t>
        </is>
      </c>
      <c r="B100" t="inlineStr">
        <is>
          <t>rare</t>
        </is>
      </c>
      <c r="C100" t="n">
        <v>3</v>
      </c>
      <c r="D100" t="inlineStr">
        <is>
          <t>Attack Speed %</t>
        </is>
      </c>
      <c r="E100" t="n">
        <v>3</v>
      </c>
      <c r="F100" t="n">
        <v>2.3</v>
      </c>
      <c r="G100" t="b">
        <v>0</v>
      </c>
      <c r="H100">
        <f>Sensitivity!H17</f>
        <v/>
      </c>
    </row>
    <row r="101">
      <c r="A101" t="inlineStr">
        <is>
          <t>ALL</t>
        </is>
      </c>
      <c r="B101" t="inlineStr">
        <is>
          <t>rare</t>
        </is>
      </c>
      <c r="C101" t="n">
        <v>3</v>
      </c>
      <c r="D101" t="inlineStr">
        <is>
          <t>Attack Speed %</t>
        </is>
      </c>
      <c r="E101" t="n">
        <v>3.5</v>
      </c>
      <c r="F101" t="n">
        <v>0.2</v>
      </c>
      <c r="G101" t="b">
        <v>1</v>
      </c>
      <c r="H101">
        <f>Sensitivity!H17</f>
        <v/>
      </c>
    </row>
    <row r="102">
      <c r="A102" t="inlineStr">
        <is>
          <t>ALL</t>
        </is>
      </c>
      <c r="B102" t="inlineStr">
        <is>
          <t>rare</t>
        </is>
      </c>
      <c r="C102" t="n">
        <v>3</v>
      </c>
      <c r="D102" t="inlineStr">
        <is>
          <t>Damage %</t>
        </is>
      </c>
      <c r="E102" t="n">
        <v>5</v>
      </c>
      <c r="F102" t="n">
        <v>3.68</v>
      </c>
      <c r="G102" t="b">
        <v>0</v>
      </c>
      <c r="H102">
        <f>Sensitivity!H8</f>
        <v/>
      </c>
    </row>
    <row r="103">
      <c r="A103" t="inlineStr">
        <is>
          <t>ALL</t>
        </is>
      </c>
      <c r="B103" t="inlineStr">
        <is>
          <t>rare</t>
        </is>
      </c>
      <c r="C103" t="n">
        <v>3</v>
      </c>
      <c r="D103" t="inlineStr">
        <is>
          <t>Damage %</t>
        </is>
      </c>
      <c r="E103" t="n">
        <v>8</v>
      </c>
      <c r="F103" t="n">
        <v>0.32</v>
      </c>
      <c r="G103" t="b">
        <v>1</v>
      </c>
      <c r="H103">
        <f>Sensitivity!H8</f>
        <v/>
      </c>
    </row>
    <row r="104">
      <c r="A104" t="inlineStr">
        <is>
          <t>ALL</t>
        </is>
      </c>
      <c r="B104" t="inlineStr">
        <is>
          <t>rare</t>
        </is>
      </c>
      <c r="C104" t="n">
        <v>3</v>
      </c>
      <c r="D104" t="inlineStr">
        <is>
          <t>Min Damage Multiplier %</t>
        </is>
      </c>
      <c r="E104" t="n">
        <v>3</v>
      </c>
      <c r="F104" t="n">
        <v>3.68</v>
      </c>
      <c r="G104" t="b">
        <v>0</v>
      </c>
      <c r="H104">
        <f>Sensitivity!H13</f>
        <v/>
      </c>
    </row>
    <row r="105">
      <c r="A105" t="inlineStr">
        <is>
          <t>ALL</t>
        </is>
      </c>
      <c r="B105" t="inlineStr">
        <is>
          <t>rare</t>
        </is>
      </c>
      <c r="C105" t="n">
        <v>3</v>
      </c>
      <c r="D105" t="inlineStr">
        <is>
          <t>Min Damage Multiplier %</t>
        </is>
      </c>
      <c r="E105" t="n">
        <v>6</v>
      </c>
      <c r="F105" t="n">
        <v>0.32</v>
      </c>
      <c r="G105" t="b">
        <v>1</v>
      </c>
      <c r="H105">
        <f>Sensitivity!H13</f>
        <v/>
      </c>
    </row>
    <row r="106">
      <c r="A106" t="inlineStr">
        <is>
          <t>ALL</t>
        </is>
      </c>
      <c r="B106" t="inlineStr">
        <is>
          <t>rare</t>
        </is>
      </c>
      <c r="C106" t="n">
        <v>3</v>
      </c>
      <c r="D106" t="inlineStr">
        <is>
          <t>Max Damage Multiplier %</t>
        </is>
      </c>
      <c r="E106" t="n">
        <v>3</v>
      </c>
      <c r="F106" t="n">
        <v>3.68</v>
      </c>
      <c r="G106" t="b">
        <v>0</v>
      </c>
      <c r="H106">
        <f>Sensitivity!H14</f>
        <v/>
      </c>
    </row>
    <row r="107">
      <c r="A107" t="inlineStr">
        <is>
          <t>ALL</t>
        </is>
      </c>
      <c r="B107" t="inlineStr">
        <is>
          <t>rare</t>
        </is>
      </c>
      <c r="C107" t="n">
        <v>3</v>
      </c>
      <c r="D107" t="inlineStr">
        <is>
          <t>Max Damage Multiplier %</t>
        </is>
      </c>
      <c r="E107" t="n">
        <v>6</v>
      </c>
      <c r="F107" t="n">
        <v>0.32</v>
      </c>
      <c r="G107" t="b">
        <v>1</v>
      </c>
      <c r="H107">
        <f>Sensitivity!H14</f>
        <v/>
      </c>
    </row>
    <row r="108">
      <c r="A108" t="inlineStr">
        <is>
          <t>ALL</t>
        </is>
      </c>
      <c r="B108" t="inlineStr">
        <is>
          <t>rare</t>
        </is>
      </c>
      <c r="C108" t="n">
        <v>3</v>
      </c>
      <c r="D108" t="inlineStr">
        <is>
          <t>Str %</t>
        </is>
      </c>
      <c r="E108" t="n">
        <v>3</v>
      </c>
      <c r="F108" t="n">
        <v>4.14</v>
      </c>
      <c r="G108" t="b">
        <v>0</v>
      </c>
      <c r="H108" t="inlineStr">
        <is>
          <t>0</t>
        </is>
      </c>
    </row>
    <row r="109">
      <c r="A109" t="inlineStr">
        <is>
          <t>ALL</t>
        </is>
      </c>
      <c r="B109" t="inlineStr">
        <is>
          <t>rare</t>
        </is>
      </c>
      <c r="C109" t="n">
        <v>3</v>
      </c>
      <c r="D109" t="inlineStr">
        <is>
          <t>Str %</t>
        </is>
      </c>
      <c r="E109" t="n">
        <v>4.5</v>
      </c>
      <c r="F109" t="n">
        <v>0.36</v>
      </c>
      <c r="G109" t="b">
        <v>1</v>
      </c>
      <c r="H109" t="inlineStr">
        <is>
          <t>0</t>
        </is>
      </c>
    </row>
    <row r="110">
      <c r="A110" t="inlineStr">
        <is>
          <t>ALL</t>
        </is>
      </c>
      <c r="B110" t="inlineStr">
        <is>
          <t>rare</t>
        </is>
      </c>
      <c r="C110" t="n">
        <v>3</v>
      </c>
      <c r="D110" t="inlineStr">
        <is>
          <t>Dex %</t>
        </is>
      </c>
      <c r="E110" t="n">
        <v>3</v>
      </c>
      <c r="F110" t="n">
        <v>4.14</v>
      </c>
      <c r="G110" t="b">
        <v>0</v>
      </c>
      <c r="H110" t="inlineStr">
        <is>
          <t>0</t>
        </is>
      </c>
    </row>
    <row r="111">
      <c r="A111" t="inlineStr">
        <is>
          <t>ALL</t>
        </is>
      </c>
      <c r="B111" t="inlineStr">
        <is>
          <t>rare</t>
        </is>
      </c>
      <c r="C111" t="n">
        <v>3</v>
      </c>
      <c r="D111" t="inlineStr">
        <is>
          <t>Dex %</t>
        </is>
      </c>
      <c r="E111" t="n">
        <v>4.5</v>
      </c>
      <c r="F111" t="n">
        <v>0.36</v>
      </c>
      <c r="G111" t="b">
        <v>1</v>
      </c>
      <c r="H111" t="inlineStr">
        <is>
          <t>0</t>
        </is>
      </c>
    </row>
    <row r="112">
      <c r="A112" t="inlineStr">
        <is>
          <t>ALL</t>
        </is>
      </c>
      <c r="B112" t="inlineStr">
        <is>
          <t>rare</t>
        </is>
      </c>
      <c r="C112" t="n">
        <v>3</v>
      </c>
      <c r="D112" t="inlineStr">
        <is>
          <t>Int %</t>
        </is>
      </c>
      <c r="E112" t="n">
        <v>3</v>
      </c>
      <c r="F112" t="n">
        <v>4.14</v>
      </c>
      <c r="G112" t="b">
        <v>0</v>
      </c>
      <c r="H112" t="inlineStr">
        <is>
          <t>0</t>
        </is>
      </c>
    </row>
    <row r="113">
      <c r="A113" t="inlineStr">
        <is>
          <t>ALL</t>
        </is>
      </c>
      <c r="B113" t="inlineStr">
        <is>
          <t>rare</t>
        </is>
      </c>
      <c r="C113" t="n">
        <v>3</v>
      </c>
      <c r="D113" t="inlineStr">
        <is>
          <t>Int %</t>
        </is>
      </c>
      <c r="E113" t="n">
        <v>4.5</v>
      </c>
      <c r="F113" t="n">
        <v>0.36</v>
      </c>
      <c r="G113" t="b">
        <v>1</v>
      </c>
      <c r="H113" t="inlineStr">
        <is>
          <t>0</t>
        </is>
      </c>
    </row>
    <row r="114">
      <c r="A114" t="inlineStr">
        <is>
          <t>ALL</t>
        </is>
      </c>
      <c r="B114" t="inlineStr">
        <is>
          <t>rare</t>
        </is>
      </c>
      <c r="C114" t="n">
        <v>3</v>
      </c>
      <c r="D114" t="inlineStr">
        <is>
          <t>Luk %</t>
        </is>
      </c>
      <c r="E114" t="n">
        <v>3</v>
      </c>
      <c r="F114" t="n">
        <v>4.14</v>
      </c>
      <c r="G114" t="b">
        <v>0</v>
      </c>
      <c r="H114">
        <f>Sensitivity!H6</f>
        <v/>
      </c>
    </row>
    <row r="115">
      <c r="A115" t="inlineStr">
        <is>
          <t>ALL</t>
        </is>
      </c>
      <c r="B115" t="inlineStr">
        <is>
          <t>rare</t>
        </is>
      </c>
      <c r="C115" t="n">
        <v>3</v>
      </c>
      <c r="D115" t="inlineStr">
        <is>
          <t>Luk %</t>
        </is>
      </c>
      <c r="E115" t="n">
        <v>4.5</v>
      </c>
      <c r="F115" t="n">
        <v>0.36</v>
      </c>
      <c r="G115" t="b">
        <v>1</v>
      </c>
      <c r="H115">
        <f>Sensitivity!H6</f>
        <v/>
      </c>
    </row>
    <row r="116">
      <c r="A116" t="inlineStr">
        <is>
          <t>ALL</t>
        </is>
      </c>
      <c r="B116" t="inlineStr">
        <is>
          <t>rare</t>
        </is>
      </c>
      <c r="C116" t="n">
        <v>3</v>
      </c>
      <c r="D116" t="inlineStr">
        <is>
          <t>Defense %</t>
        </is>
      </c>
      <c r="E116" t="n">
        <v>3</v>
      </c>
      <c r="F116" t="n">
        <v>8.279999999999999</v>
      </c>
      <c r="G116" t="b">
        <v>0</v>
      </c>
      <c r="H116" t="inlineStr">
        <is>
          <t>0</t>
        </is>
      </c>
    </row>
    <row r="117">
      <c r="A117" t="inlineStr">
        <is>
          <t>ALL</t>
        </is>
      </c>
      <c r="B117" t="inlineStr">
        <is>
          <t>rare</t>
        </is>
      </c>
      <c r="C117" t="n">
        <v>3</v>
      </c>
      <c r="D117" t="inlineStr">
        <is>
          <t>Defense %</t>
        </is>
      </c>
      <c r="E117" t="n">
        <v>4.5</v>
      </c>
      <c r="F117" t="n">
        <v>0.72</v>
      </c>
      <c r="G117" t="b">
        <v>1</v>
      </c>
      <c r="H117" t="inlineStr">
        <is>
          <t>0</t>
        </is>
      </c>
    </row>
    <row r="118">
      <c r="A118" t="inlineStr">
        <is>
          <t>ALL</t>
        </is>
      </c>
      <c r="B118" t="inlineStr">
        <is>
          <t>rare</t>
        </is>
      </c>
      <c r="C118" t="n">
        <v>3</v>
      </c>
      <c r="D118" t="inlineStr">
        <is>
          <t>Max HP %</t>
        </is>
      </c>
      <c r="E118" t="n">
        <v>6</v>
      </c>
      <c r="F118" t="n">
        <v>8.279999999999999</v>
      </c>
      <c r="G118" t="b">
        <v>0</v>
      </c>
      <c r="H118" t="inlineStr">
        <is>
          <t>0</t>
        </is>
      </c>
    </row>
    <row r="119">
      <c r="A119" t="inlineStr">
        <is>
          <t>ALL</t>
        </is>
      </c>
      <c r="B119" t="inlineStr">
        <is>
          <t>rare</t>
        </is>
      </c>
      <c r="C119" t="n">
        <v>3</v>
      </c>
      <c r="D119" t="inlineStr">
        <is>
          <t>Max HP %</t>
        </is>
      </c>
      <c r="E119" t="n">
        <v>9</v>
      </c>
      <c r="F119" t="n">
        <v>0.72</v>
      </c>
      <c r="G119" t="b">
        <v>1</v>
      </c>
      <c r="H119" t="inlineStr">
        <is>
          <t>0</t>
        </is>
      </c>
    </row>
    <row r="120">
      <c r="A120" t="inlineStr">
        <is>
          <t>ALL</t>
        </is>
      </c>
      <c r="B120" t="inlineStr">
        <is>
          <t>rare</t>
        </is>
      </c>
      <c r="C120" t="n">
        <v>3</v>
      </c>
      <c r="D120" t="inlineStr">
        <is>
          <t>Max MP %</t>
        </is>
      </c>
      <c r="E120" t="n">
        <v>3</v>
      </c>
      <c r="F120" t="n">
        <v>8.279999999999999</v>
      </c>
      <c r="G120" t="b">
        <v>0</v>
      </c>
      <c r="H120" t="inlineStr">
        <is>
          <t>0</t>
        </is>
      </c>
    </row>
    <row r="121">
      <c r="A121" t="inlineStr">
        <is>
          <t>ALL</t>
        </is>
      </c>
      <c r="B121" t="inlineStr">
        <is>
          <t>rare</t>
        </is>
      </c>
      <c r="C121" t="n">
        <v>3</v>
      </c>
      <c r="D121" t="inlineStr">
        <is>
          <t>Max MP %</t>
        </is>
      </c>
      <c r="E121" t="n">
        <v>4.5</v>
      </c>
      <c r="F121" t="n">
        <v>0.72</v>
      </c>
      <c r="G121" t="b">
        <v>1</v>
      </c>
      <c r="H121" t="inlineStr">
        <is>
          <t>0</t>
        </is>
      </c>
    </row>
    <row r="122">
      <c r="A122" t="inlineStr">
        <is>
          <t>ALL</t>
        </is>
      </c>
      <c r="B122" t="inlineStr">
        <is>
          <t>rare</t>
        </is>
      </c>
      <c r="C122" t="n">
        <v>3</v>
      </c>
      <c r="D122" t="inlineStr">
        <is>
          <t>Str</t>
        </is>
      </c>
      <c r="E122" t="n">
        <v>50</v>
      </c>
      <c r="F122" t="n">
        <v>8.74</v>
      </c>
      <c r="G122" t="b">
        <v>0</v>
      </c>
      <c r="H122" t="inlineStr">
        <is>
          <t>0</t>
        </is>
      </c>
    </row>
    <row r="123">
      <c r="A123" t="inlineStr">
        <is>
          <t>ALL</t>
        </is>
      </c>
      <c r="B123" t="inlineStr">
        <is>
          <t>rare</t>
        </is>
      </c>
      <c r="C123" t="n">
        <v>3</v>
      </c>
      <c r="D123" t="inlineStr">
        <is>
          <t>Str</t>
        </is>
      </c>
      <c r="E123" t="n">
        <v>100</v>
      </c>
      <c r="F123" t="n">
        <v>0.76</v>
      </c>
      <c r="G123" t="b">
        <v>1</v>
      </c>
      <c r="H123" t="inlineStr">
        <is>
          <t>0</t>
        </is>
      </c>
    </row>
    <row r="124">
      <c r="A124" t="inlineStr">
        <is>
          <t>ALL</t>
        </is>
      </c>
      <c r="B124" t="inlineStr">
        <is>
          <t>rare</t>
        </is>
      </c>
      <c r="C124" t="n">
        <v>3</v>
      </c>
      <c r="D124" t="inlineStr">
        <is>
          <t>Dex</t>
        </is>
      </c>
      <c r="E124" t="n">
        <v>50</v>
      </c>
      <c r="F124" t="n">
        <v>8.74</v>
      </c>
      <c r="G124" t="b">
        <v>0</v>
      </c>
      <c r="H124" t="inlineStr">
        <is>
          <t>0</t>
        </is>
      </c>
    </row>
    <row r="125">
      <c r="A125" t="inlineStr">
        <is>
          <t>ALL</t>
        </is>
      </c>
      <c r="B125" t="inlineStr">
        <is>
          <t>rare</t>
        </is>
      </c>
      <c r="C125" t="n">
        <v>3</v>
      </c>
      <c r="D125" t="inlineStr">
        <is>
          <t>Dex</t>
        </is>
      </c>
      <c r="E125" t="n">
        <v>100</v>
      </c>
      <c r="F125" t="n">
        <v>0.76</v>
      </c>
      <c r="G125" t="b">
        <v>1</v>
      </c>
      <c r="H125" t="inlineStr">
        <is>
          <t>0</t>
        </is>
      </c>
    </row>
    <row r="126">
      <c r="A126" t="inlineStr">
        <is>
          <t>ALL</t>
        </is>
      </c>
      <c r="B126" t="inlineStr">
        <is>
          <t>rare</t>
        </is>
      </c>
      <c r="C126" t="n">
        <v>3</v>
      </c>
      <c r="D126" t="inlineStr">
        <is>
          <t>Int</t>
        </is>
      </c>
      <c r="E126" t="n">
        <v>50</v>
      </c>
      <c r="F126" t="n">
        <v>8.74</v>
      </c>
      <c r="G126" t="b">
        <v>0</v>
      </c>
      <c r="H126" t="inlineStr">
        <is>
          <t>0</t>
        </is>
      </c>
    </row>
    <row r="127">
      <c r="A127" t="inlineStr">
        <is>
          <t>ALL</t>
        </is>
      </c>
      <c r="B127" t="inlineStr">
        <is>
          <t>rare</t>
        </is>
      </c>
      <c r="C127" t="n">
        <v>3</v>
      </c>
      <c r="D127" t="inlineStr">
        <is>
          <t>Int</t>
        </is>
      </c>
      <c r="E127" t="n">
        <v>100</v>
      </c>
      <c r="F127" t="n">
        <v>0.76</v>
      </c>
      <c r="G127" t="b">
        <v>1</v>
      </c>
      <c r="H127" t="inlineStr">
        <is>
          <t>0</t>
        </is>
      </c>
    </row>
    <row r="128">
      <c r="A128" t="inlineStr">
        <is>
          <t>ALL</t>
        </is>
      </c>
      <c r="B128" t="inlineStr">
        <is>
          <t>rare</t>
        </is>
      </c>
      <c r="C128" t="n">
        <v>3</v>
      </c>
      <c r="D128" t="inlineStr">
        <is>
          <t>Luk</t>
        </is>
      </c>
      <c r="E128" t="n">
        <v>50</v>
      </c>
      <c r="F128" t="n">
        <v>8.74</v>
      </c>
      <c r="G128" t="b">
        <v>0</v>
      </c>
      <c r="H128">
        <f>Sensitivity!H5</f>
        <v/>
      </c>
    </row>
    <row r="129">
      <c r="A129" t="inlineStr">
        <is>
          <t>ALL</t>
        </is>
      </c>
      <c r="B129" t="inlineStr">
        <is>
          <t>rare</t>
        </is>
      </c>
      <c r="C129" t="n">
        <v>3</v>
      </c>
      <c r="D129" t="inlineStr">
        <is>
          <t>Luk</t>
        </is>
      </c>
      <c r="E129" t="n">
        <v>100</v>
      </c>
      <c r="F129" t="n">
        <v>0.76</v>
      </c>
      <c r="G129" t="b">
        <v>1</v>
      </c>
      <c r="H129">
        <f>Sensitivity!H5</f>
        <v/>
      </c>
    </row>
    <row r="130">
      <c r="A130" t="inlineStr">
        <is>
          <t>ALL</t>
        </is>
      </c>
      <c r="B130" t="inlineStr">
        <is>
          <t>epic</t>
        </is>
      </c>
      <c r="C130" t="n">
        <v>1</v>
      </c>
      <c r="D130" t="inlineStr">
        <is>
          <t>Critical Rate %</t>
        </is>
      </c>
      <c r="E130" t="n">
        <v>6</v>
      </c>
      <c r="F130" t="n">
        <v>2.5</v>
      </c>
      <c r="G130" t="b">
        <v>1</v>
      </c>
      <c r="H130">
        <f>IF(Inputs!$B$9&gt;=100,Sensitivity!H16,Sensitivity!H15)</f>
        <v/>
      </c>
    </row>
    <row r="131">
      <c r="A131" t="inlineStr">
        <is>
          <t>ALL</t>
        </is>
      </c>
      <c r="B131" t="inlineStr">
        <is>
          <t>epic</t>
        </is>
      </c>
      <c r="C131" t="n">
        <v>1</v>
      </c>
      <c r="D131" t="inlineStr">
        <is>
          <t>Attack Speed %</t>
        </is>
      </c>
      <c r="E131" t="n">
        <v>4</v>
      </c>
      <c r="F131" t="n">
        <v>2.5</v>
      </c>
      <c r="G131" t="b">
        <v>1</v>
      </c>
      <c r="H131">
        <f>Sensitivity!H17</f>
        <v/>
      </c>
    </row>
    <row r="132">
      <c r="A132" t="inlineStr">
        <is>
          <t>ALL</t>
        </is>
      </c>
      <c r="B132" t="inlineStr">
        <is>
          <t>epic</t>
        </is>
      </c>
      <c r="C132" t="n">
        <v>1</v>
      </c>
      <c r="D132" t="inlineStr">
        <is>
          <t>Damage %</t>
        </is>
      </c>
      <c r="E132" t="n">
        <v>12</v>
      </c>
      <c r="F132" t="n">
        <v>4</v>
      </c>
      <c r="G132" t="b">
        <v>1</v>
      </c>
      <c r="H132">
        <f>Sensitivity!H8</f>
        <v/>
      </c>
    </row>
    <row r="133">
      <c r="A133" t="inlineStr">
        <is>
          <t>ALL</t>
        </is>
      </c>
      <c r="B133" t="inlineStr">
        <is>
          <t>epic</t>
        </is>
      </c>
      <c r="C133" t="n">
        <v>1</v>
      </c>
      <c r="D133" t="inlineStr">
        <is>
          <t>Min Damage Multiplier %</t>
        </is>
      </c>
      <c r="E133" t="n">
        <v>8</v>
      </c>
      <c r="F133" t="n">
        <v>4</v>
      </c>
      <c r="G133" t="b">
        <v>1</v>
      </c>
      <c r="H133">
        <f>Sensitivity!H13</f>
        <v/>
      </c>
    </row>
    <row r="134">
      <c r="A134" t="inlineStr">
        <is>
          <t>ALL</t>
        </is>
      </c>
      <c r="B134" t="inlineStr">
        <is>
          <t>epic</t>
        </is>
      </c>
      <c r="C134" t="n">
        <v>1</v>
      </c>
      <c r="D134" t="inlineStr">
        <is>
          <t>Max Damage Multiplier %</t>
        </is>
      </c>
      <c r="E134" t="n">
        <v>8</v>
      </c>
      <c r="F134" t="n">
        <v>4</v>
      </c>
      <c r="G134" t="b">
        <v>1</v>
      </c>
      <c r="H134">
        <f>Sensitivity!H14</f>
        <v/>
      </c>
    </row>
    <row r="135">
      <c r="A135" t="inlineStr">
        <is>
          <t>ALL</t>
        </is>
      </c>
      <c r="B135" t="inlineStr">
        <is>
          <t>epic</t>
        </is>
      </c>
      <c r="C135" t="n">
        <v>1</v>
      </c>
      <c r="D135" t="inlineStr">
        <is>
          <t>Str %</t>
        </is>
      </c>
      <c r="E135" t="n">
        <v>6</v>
      </c>
      <c r="F135" t="n">
        <v>4.5</v>
      </c>
      <c r="G135" t="b">
        <v>1</v>
      </c>
      <c r="H135" t="inlineStr">
        <is>
          <t>0</t>
        </is>
      </c>
    </row>
    <row r="136">
      <c r="A136" t="inlineStr">
        <is>
          <t>ALL</t>
        </is>
      </c>
      <c r="B136" t="inlineStr">
        <is>
          <t>epic</t>
        </is>
      </c>
      <c r="C136" t="n">
        <v>1</v>
      </c>
      <c r="D136" t="inlineStr">
        <is>
          <t>Dex %</t>
        </is>
      </c>
      <c r="E136" t="n">
        <v>6</v>
      </c>
      <c r="F136" t="n">
        <v>4.5</v>
      </c>
      <c r="G136" t="b">
        <v>1</v>
      </c>
      <c r="H136" t="inlineStr">
        <is>
          <t>0</t>
        </is>
      </c>
    </row>
    <row r="137">
      <c r="A137" t="inlineStr">
        <is>
          <t>ALL</t>
        </is>
      </c>
      <c r="B137" t="inlineStr">
        <is>
          <t>epic</t>
        </is>
      </c>
      <c r="C137" t="n">
        <v>1</v>
      </c>
      <c r="D137" t="inlineStr">
        <is>
          <t>Int %</t>
        </is>
      </c>
      <c r="E137" t="n">
        <v>6</v>
      </c>
      <c r="F137" t="n">
        <v>4.5</v>
      </c>
      <c r="G137" t="b">
        <v>1</v>
      </c>
      <c r="H137" t="inlineStr">
        <is>
          <t>0</t>
        </is>
      </c>
    </row>
    <row r="138">
      <c r="A138" t="inlineStr">
        <is>
          <t>ALL</t>
        </is>
      </c>
      <c r="B138" t="inlineStr">
        <is>
          <t>epic</t>
        </is>
      </c>
      <c r="C138" t="n">
        <v>1</v>
      </c>
      <c r="D138" t="inlineStr">
        <is>
          <t>Luk %</t>
        </is>
      </c>
      <c r="E138" t="n">
        <v>6</v>
      </c>
      <c r="F138" t="n">
        <v>4.5</v>
      </c>
      <c r="G138" t="b">
        <v>1</v>
      </c>
      <c r="H138">
        <f>Sensitivity!H6</f>
        <v/>
      </c>
    </row>
    <row r="139">
      <c r="A139" t="inlineStr">
        <is>
          <t>ALL</t>
        </is>
      </c>
      <c r="B139" t="inlineStr">
        <is>
          <t>epic</t>
        </is>
      </c>
      <c r="C139" t="n">
        <v>1</v>
      </c>
      <c r="D139" t="inlineStr">
        <is>
          <t>Defense %</t>
        </is>
      </c>
      <c r="E139" t="n">
        <v>6</v>
      </c>
      <c r="F139" t="n">
        <v>9</v>
      </c>
      <c r="G139" t="b">
        <v>1</v>
      </c>
      <c r="H139" t="inlineStr">
        <is>
          <t>0</t>
        </is>
      </c>
    </row>
    <row r="140">
      <c r="A140" t="inlineStr">
        <is>
          <t>ALL</t>
        </is>
      </c>
      <c r="B140" t="inlineStr">
        <is>
          <t>epic</t>
        </is>
      </c>
      <c r="C140" t="n">
        <v>1</v>
      </c>
      <c r="D140" t="inlineStr">
        <is>
          <t>Max HP %</t>
        </is>
      </c>
      <c r="E140" t="n">
        <v>12</v>
      </c>
      <c r="F140" t="n">
        <v>9</v>
      </c>
      <c r="G140" t="b">
        <v>1</v>
      </c>
      <c r="H140" t="inlineStr">
        <is>
          <t>0</t>
        </is>
      </c>
    </row>
    <row r="141">
      <c r="A141" t="inlineStr">
        <is>
          <t>ALL</t>
        </is>
      </c>
      <c r="B141" t="inlineStr">
        <is>
          <t>epic</t>
        </is>
      </c>
      <c r="C141" t="n">
        <v>1</v>
      </c>
      <c r="D141" t="inlineStr">
        <is>
          <t>Max MP %</t>
        </is>
      </c>
      <c r="E141" t="n">
        <v>6</v>
      </c>
      <c r="F141" t="n">
        <v>9</v>
      </c>
      <c r="G141" t="b">
        <v>1</v>
      </c>
      <c r="H141" t="inlineStr">
        <is>
          <t>0</t>
        </is>
      </c>
    </row>
    <row r="142">
      <c r="A142" t="inlineStr">
        <is>
          <t>ALL</t>
        </is>
      </c>
      <c r="B142" t="inlineStr">
        <is>
          <t>epic</t>
        </is>
      </c>
      <c r="C142" t="n">
        <v>1</v>
      </c>
      <c r="D142" t="inlineStr">
        <is>
          <t>Str</t>
        </is>
      </c>
      <c r="E142" t="n">
        <v>200</v>
      </c>
      <c r="F142" t="n">
        <v>9.25</v>
      </c>
      <c r="G142" t="b">
        <v>1</v>
      </c>
      <c r="H142" t="inlineStr">
        <is>
          <t>0</t>
        </is>
      </c>
    </row>
    <row r="143">
      <c r="A143" t="inlineStr">
        <is>
          <t>ALL</t>
        </is>
      </c>
      <c r="B143" t="inlineStr">
        <is>
          <t>epic</t>
        </is>
      </c>
      <c r="C143" t="n">
        <v>1</v>
      </c>
      <c r="D143" t="inlineStr">
        <is>
          <t>Dex</t>
        </is>
      </c>
      <c r="E143" t="n">
        <v>200</v>
      </c>
      <c r="F143" t="n">
        <v>9.25</v>
      </c>
      <c r="G143" t="b">
        <v>1</v>
      </c>
      <c r="H143" t="inlineStr">
        <is>
          <t>0</t>
        </is>
      </c>
    </row>
    <row r="144">
      <c r="A144" t="inlineStr">
        <is>
          <t>ALL</t>
        </is>
      </c>
      <c r="B144" t="inlineStr">
        <is>
          <t>epic</t>
        </is>
      </c>
      <c r="C144" t="n">
        <v>1</v>
      </c>
      <c r="D144" t="inlineStr">
        <is>
          <t>Int</t>
        </is>
      </c>
      <c r="E144" t="n">
        <v>200</v>
      </c>
      <c r="F144" t="n">
        <v>9.25</v>
      </c>
      <c r="G144" t="b">
        <v>1</v>
      </c>
      <c r="H144" t="inlineStr">
        <is>
          <t>0</t>
        </is>
      </c>
    </row>
    <row r="145">
      <c r="A145" t="inlineStr">
        <is>
          <t>ALL</t>
        </is>
      </c>
      <c r="B145" t="inlineStr">
        <is>
          <t>epic</t>
        </is>
      </c>
      <c r="C145" t="n">
        <v>1</v>
      </c>
      <c r="D145" t="inlineStr">
        <is>
          <t>Luk</t>
        </is>
      </c>
      <c r="E145" t="n">
        <v>200</v>
      </c>
      <c r="F145" t="n">
        <v>9.25</v>
      </c>
      <c r="G145" t="b">
        <v>1</v>
      </c>
      <c r="H145">
        <f>Sensitivity!H5</f>
        <v/>
      </c>
    </row>
    <row r="146">
      <c r="A146" t="inlineStr">
        <is>
          <t>ALL</t>
        </is>
      </c>
      <c r="B146" t="inlineStr">
        <is>
          <t>epic</t>
        </is>
      </c>
      <c r="C146" t="n">
        <v>2</v>
      </c>
      <c r="D146" t="inlineStr">
        <is>
          <t>Critical Rate %</t>
        </is>
      </c>
      <c r="E146" t="n">
        <v>4.5</v>
      </c>
      <c r="F146" t="n">
        <v>1.9</v>
      </c>
      <c r="G146" t="b">
        <v>0</v>
      </c>
      <c r="H146">
        <f>IF(Inputs!$B$9&gt;=100,Sensitivity!H16,Sensitivity!H15)</f>
        <v/>
      </c>
    </row>
    <row r="147">
      <c r="A147" t="inlineStr">
        <is>
          <t>ALL</t>
        </is>
      </c>
      <c r="B147" t="inlineStr">
        <is>
          <t>epic</t>
        </is>
      </c>
      <c r="C147" t="n">
        <v>2</v>
      </c>
      <c r="D147" t="inlineStr">
        <is>
          <t>Critical Rate %</t>
        </is>
      </c>
      <c r="E147" t="n">
        <v>6</v>
      </c>
      <c r="F147" t="n">
        <v>0.6</v>
      </c>
      <c r="G147" t="b">
        <v>1</v>
      </c>
      <c r="H147">
        <f>IF(Inputs!$B$9&gt;=100,Sensitivity!H16,Sensitivity!H15)</f>
        <v/>
      </c>
    </row>
    <row r="148">
      <c r="A148" t="inlineStr">
        <is>
          <t>ALL</t>
        </is>
      </c>
      <c r="B148" t="inlineStr">
        <is>
          <t>epic</t>
        </is>
      </c>
      <c r="C148" t="n">
        <v>2</v>
      </c>
      <c r="D148" t="inlineStr">
        <is>
          <t>Attack Speed %</t>
        </is>
      </c>
      <c r="E148" t="n">
        <v>3.5</v>
      </c>
      <c r="F148" t="n">
        <v>1.9</v>
      </c>
      <c r="G148" t="b">
        <v>0</v>
      </c>
      <c r="H148">
        <f>Sensitivity!H17</f>
        <v/>
      </c>
    </row>
    <row r="149">
      <c r="A149" t="inlineStr">
        <is>
          <t>ALL</t>
        </is>
      </c>
      <c r="B149" t="inlineStr">
        <is>
          <t>epic</t>
        </is>
      </c>
      <c r="C149" t="n">
        <v>2</v>
      </c>
      <c r="D149" t="inlineStr">
        <is>
          <t>Attack Speed %</t>
        </is>
      </c>
      <c r="E149" t="n">
        <v>4</v>
      </c>
      <c r="F149" t="n">
        <v>0.6</v>
      </c>
      <c r="G149" t="b">
        <v>1</v>
      </c>
      <c r="H149">
        <f>Sensitivity!H17</f>
        <v/>
      </c>
    </row>
    <row r="150">
      <c r="A150" t="inlineStr">
        <is>
          <t>ALL</t>
        </is>
      </c>
      <c r="B150" t="inlineStr">
        <is>
          <t>epic</t>
        </is>
      </c>
      <c r="C150" t="n">
        <v>2</v>
      </c>
      <c r="D150" t="inlineStr">
        <is>
          <t>Damage %</t>
        </is>
      </c>
      <c r="E150" t="n">
        <v>8</v>
      </c>
      <c r="F150" t="n">
        <v>3.04</v>
      </c>
      <c r="G150" t="b">
        <v>0</v>
      </c>
      <c r="H150">
        <f>Sensitivity!H8</f>
        <v/>
      </c>
    </row>
    <row r="151">
      <c r="A151" t="inlineStr">
        <is>
          <t>ALL</t>
        </is>
      </c>
      <c r="B151" t="inlineStr">
        <is>
          <t>epic</t>
        </is>
      </c>
      <c r="C151" t="n">
        <v>2</v>
      </c>
      <c r="D151" t="inlineStr">
        <is>
          <t>Damage %</t>
        </is>
      </c>
      <c r="E151" t="n">
        <v>12</v>
      </c>
      <c r="F151" t="n">
        <v>0.96</v>
      </c>
      <c r="G151" t="b">
        <v>1</v>
      </c>
      <c r="H151">
        <f>Sensitivity!H8</f>
        <v/>
      </c>
    </row>
    <row r="152">
      <c r="A152" t="inlineStr">
        <is>
          <t>ALL</t>
        </is>
      </c>
      <c r="B152" t="inlineStr">
        <is>
          <t>epic</t>
        </is>
      </c>
      <c r="C152" t="n">
        <v>2</v>
      </c>
      <c r="D152" t="inlineStr">
        <is>
          <t>Min Damage Multiplier %</t>
        </is>
      </c>
      <c r="E152" t="n">
        <v>6</v>
      </c>
      <c r="F152" t="n">
        <v>3.04</v>
      </c>
      <c r="G152" t="b">
        <v>0</v>
      </c>
      <c r="H152">
        <f>Sensitivity!H13</f>
        <v/>
      </c>
    </row>
    <row r="153">
      <c r="A153" t="inlineStr">
        <is>
          <t>ALL</t>
        </is>
      </c>
      <c r="B153" t="inlineStr">
        <is>
          <t>epic</t>
        </is>
      </c>
      <c r="C153" t="n">
        <v>2</v>
      </c>
      <c r="D153" t="inlineStr">
        <is>
          <t>Min Damage Multiplier %</t>
        </is>
      </c>
      <c r="E153" t="n">
        <v>8</v>
      </c>
      <c r="F153" t="n">
        <v>0.96</v>
      </c>
      <c r="G153" t="b">
        <v>1</v>
      </c>
      <c r="H153">
        <f>Sensitivity!H13</f>
        <v/>
      </c>
    </row>
    <row r="154">
      <c r="A154" t="inlineStr">
        <is>
          <t>ALL</t>
        </is>
      </c>
      <c r="B154" t="inlineStr">
        <is>
          <t>epic</t>
        </is>
      </c>
      <c r="C154" t="n">
        <v>2</v>
      </c>
      <c r="D154" t="inlineStr">
        <is>
          <t>Max Damage Multiplier %</t>
        </is>
      </c>
      <c r="E154" t="n">
        <v>6</v>
      </c>
      <c r="F154" t="n">
        <v>3.04</v>
      </c>
      <c r="G154" t="b">
        <v>0</v>
      </c>
      <c r="H154">
        <f>Sensitivity!H14</f>
        <v/>
      </c>
    </row>
    <row r="155">
      <c r="A155" t="inlineStr">
        <is>
          <t>ALL</t>
        </is>
      </c>
      <c r="B155" t="inlineStr">
        <is>
          <t>epic</t>
        </is>
      </c>
      <c r="C155" t="n">
        <v>2</v>
      </c>
      <c r="D155" t="inlineStr">
        <is>
          <t>Max Damage Multiplier %</t>
        </is>
      </c>
      <c r="E155" t="n">
        <v>8</v>
      </c>
      <c r="F155" t="n">
        <v>0.96</v>
      </c>
      <c r="G155" t="b">
        <v>1</v>
      </c>
      <c r="H155">
        <f>Sensitivity!H14</f>
        <v/>
      </c>
    </row>
    <row r="156">
      <c r="A156" t="inlineStr">
        <is>
          <t>ALL</t>
        </is>
      </c>
      <c r="B156" t="inlineStr">
        <is>
          <t>epic</t>
        </is>
      </c>
      <c r="C156" t="n">
        <v>2</v>
      </c>
      <c r="D156" t="inlineStr">
        <is>
          <t>Str %</t>
        </is>
      </c>
      <c r="E156" t="n">
        <v>4.5</v>
      </c>
      <c r="F156" t="n">
        <v>3.42</v>
      </c>
      <c r="G156" t="b">
        <v>0</v>
      </c>
      <c r="H156" t="inlineStr">
        <is>
          <t>0</t>
        </is>
      </c>
    </row>
    <row r="157">
      <c r="A157" t="inlineStr">
        <is>
          <t>ALL</t>
        </is>
      </c>
      <c r="B157" t="inlineStr">
        <is>
          <t>epic</t>
        </is>
      </c>
      <c r="C157" t="n">
        <v>2</v>
      </c>
      <c r="D157" t="inlineStr">
        <is>
          <t>Str %</t>
        </is>
      </c>
      <c r="E157" t="n">
        <v>6</v>
      </c>
      <c r="F157" t="n">
        <v>1.08</v>
      </c>
      <c r="G157" t="b">
        <v>1</v>
      </c>
      <c r="H157" t="inlineStr">
        <is>
          <t>0</t>
        </is>
      </c>
    </row>
    <row r="158">
      <c r="A158" t="inlineStr">
        <is>
          <t>ALL</t>
        </is>
      </c>
      <c r="B158" t="inlineStr">
        <is>
          <t>epic</t>
        </is>
      </c>
      <c r="C158" t="n">
        <v>2</v>
      </c>
      <c r="D158" t="inlineStr">
        <is>
          <t>Dex %</t>
        </is>
      </c>
      <c r="E158" t="n">
        <v>4.5</v>
      </c>
      <c r="F158" t="n">
        <v>3.42</v>
      </c>
      <c r="G158" t="b">
        <v>0</v>
      </c>
      <c r="H158" t="inlineStr">
        <is>
          <t>0</t>
        </is>
      </c>
    </row>
    <row r="159">
      <c r="A159" t="inlineStr">
        <is>
          <t>ALL</t>
        </is>
      </c>
      <c r="B159" t="inlineStr">
        <is>
          <t>epic</t>
        </is>
      </c>
      <c r="C159" t="n">
        <v>2</v>
      </c>
      <c r="D159" t="inlineStr">
        <is>
          <t>Dex %</t>
        </is>
      </c>
      <c r="E159" t="n">
        <v>6</v>
      </c>
      <c r="F159" t="n">
        <v>1.08</v>
      </c>
      <c r="G159" t="b">
        <v>1</v>
      </c>
      <c r="H159" t="inlineStr">
        <is>
          <t>0</t>
        </is>
      </c>
    </row>
    <row r="160">
      <c r="A160" t="inlineStr">
        <is>
          <t>ALL</t>
        </is>
      </c>
      <c r="B160" t="inlineStr">
        <is>
          <t>epic</t>
        </is>
      </c>
      <c r="C160" t="n">
        <v>2</v>
      </c>
      <c r="D160" t="inlineStr">
        <is>
          <t>Int %</t>
        </is>
      </c>
      <c r="E160" t="n">
        <v>4.5</v>
      </c>
      <c r="F160" t="n">
        <v>3.42</v>
      </c>
      <c r="G160" t="b">
        <v>0</v>
      </c>
      <c r="H160" t="inlineStr">
        <is>
          <t>0</t>
        </is>
      </c>
    </row>
    <row r="161">
      <c r="A161" t="inlineStr">
        <is>
          <t>ALL</t>
        </is>
      </c>
      <c r="B161" t="inlineStr">
        <is>
          <t>epic</t>
        </is>
      </c>
      <c r="C161" t="n">
        <v>2</v>
      </c>
      <c r="D161" t="inlineStr">
        <is>
          <t>Int %</t>
        </is>
      </c>
      <c r="E161" t="n">
        <v>6</v>
      </c>
      <c r="F161" t="n">
        <v>1.08</v>
      </c>
      <c r="G161" t="b">
        <v>1</v>
      </c>
      <c r="H161" t="inlineStr">
        <is>
          <t>0</t>
        </is>
      </c>
    </row>
    <row r="162">
      <c r="A162" t="inlineStr">
        <is>
          <t>ALL</t>
        </is>
      </c>
      <c r="B162" t="inlineStr">
        <is>
          <t>epic</t>
        </is>
      </c>
      <c r="C162" t="n">
        <v>2</v>
      </c>
      <c r="D162" t="inlineStr">
        <is>
          <t>Luk %</t>
        </is>
      </c>
      <c r="E162" t="n">
        <v>4.5</v>
      </c>
      <c r="F162" t="n">
        <v>3.42</v>
      </c>
      <c r="G162" t="b">
        <v>0</v>
      </c>
      <c r="H162">
        <f>Sensitivity!H6</f>
        <v/>
      </c>
    </row>
    <row r="163">
      <c r="A163" t="inlineStr">
        <is>
          <t>ALL</t>
        </is>
      </c>
      <c r="B163" t="inlineStr">
        <is>
          <t>epic</t>
        </is>
      </c>
      <c r="C163" t="n">
        <v>2</v>
      </c>
      <c r="D163" t="inlineStr">
        <is>
          <t>Luk %</t>
        </is>
      </c>
      <c r="E163" t="n">
        <v>6</v>
      </c>
      <c r="F163" t="n">
        <v>1.08</v>
      </c>
      <c r="G163" t="b">
        <v>1</v>
      </c>
      <c r="H163">
        <f>Sensitivity!H6</f>
        <v/>
      </c>
    </row>
    <row r="164">
      <c r="A164" t="inlineStr">
        <is>
          <t>ALL</t>
        </is>
      </c>
      <c r="B164" t="inlineStr">
        <is>
          <t>epic</t>
        </is>
      </c>
      <c r="C164" t="n">
        <v>2</v>
      </c>
      <c r="D164" t="inlineStr">
        <is>
          <t>Defense %</t>
        </is>
      </c>
      <c r="E164" t="n">
        <v>4.5</v>
      </c>
      <c r="F164" t="n">
        <v>6.84</v>
      </c>
      <c r="G164" t="b">
        <v>0</v>
      </c>
      <c r="H164" t="inlineStr">
        <is>
          <t>0</t>
        </is>
      </c>
    </row>
    <row r="165">
      <c r="A165" t="inlineStr">
        <is>
          <t>ALL</t>
        </is>
      </c>
      <c r="B165" t="inlineStr">
        <is>
          <t>epic</t>
        </is>
      </c>
      <c r="C165" t="n">
        <v>2</v>
      </c>
      <c r="D165" t="inlineStr">
        <is>
          <t>Defense %</t>
        </is>
      </c>
      <c r="E165" t="n">
        <v>6</v>
      </c>
      <c r="F165" t="n">
        <v>2.16</v>
      </c>
      <c r="G165" t="b">
        <v>1</v>
      </c>
      <c r="H165" t="inlineStr">
        <is>
          <t>0</t>
        </is>
      </c>
    </row>
    <row r="166">
      <c r="A166" t="inlineStr">
        <is>
          <t>ALL</t>
        </is>
      </c>
      <c r="B166" t="inlineStr">
        <is>
          <t>epic</t>
        </is>
      </c>
      <c r="C166" t="n">
        <v>2</v>
      </c>
      <c r="D166" t="inlineStr">
        <is>
          <t>Max HP %</t>
        </is>
      </c>
      <c r="E166" t="n">
        <v>9</v>
      </c>
      <c r="F166" t="n">
        <v>6.84</v>
      </c>
      <c r="G166" t="b">
        <v>0</v>
      </c>
      <c r="H166" t="inlineStr">
        <is>
          <t>0</t>
        </is>
      </c>
    </row>
    <row r="167">
      <c r="A167" t="inlineStr">
        <is>
          <t>ALL</t>
        </is>
      </c>
      <c r="B167" t="inlineStr">
        <is>
          <t>epic</t>
        </is>
      </c>
      <c r="C167" t="n">
        <v>2</v>
      </c>
      <c r="D167" t="inlineStr">
        <is>
          <t>Max HP %</t>
        </is>
      </c>
      <c r="E167" t="n">
        <v>12</v>
      </c>
      <c r="F167" t="n">
        <v>2.16</v>
      </c>
      <c r="G167" t="b">
        <v>1</v>
      </c>
      <c r="H167" t="inlineStr">
        <is>
          <t>0</t>
        </is>
      </c>
    </row>
    <row r="168">
      <c r="A168" t="inlineStr">
        <is>
          <t>ALL</t>
        </is>
      </c>
      <c r="B168" t="inlineStr">
        <is>
          <t>epic</t>
        </is>
      </c>
      <c r="C168" t="n">
        <v>2</v>
      </c>
      <c r="D168" t="inlineStr">
        <is>
          <t>Max MP %</t>
        </is>
      </c>
      <c r="E168" t="n">
        <v>4.5</v>
      </c>
      <c r="F168" t="n">
        <v>6.84</v>
      </c>
      <c r="G168" t="b">
        <v>0</v>
      </c>
      <c r="H168" t="inlineStr">
        <is>
          <t>0</t>
        </is>
      </c>
    </row>
    <row r="169">
      <c r="A169" t="inlineStr">
        <is>
          <t>ALL</t>
        </is>
      </c>
      <c r="B169" t="inlineStr">
        <is>
          <t>epic</t>
        </is>
      </c>
      <c r="C169" t="n">
        <v>2</v>
      </c>
      <c r="D169" t="inlineStr">
        <is>
          <t>Max MP %</t>
        </is>
      </c>
      <c r="E169" t="n">
        <v>6</v>
      </c>
      <c r="F169" t="n">
        <v>2.16</v>
      </c>
      <c r="G169" t="b">
        <v>1</v>
      </c>
      <c r="H169" t="inlineStr">
        <is>
          <t>0</t>
        </is>
      </c>
    </row>
    <row r="170">
      <c r="A170" t="inlineStr">
        <is>
          <t>ALL</t>
        </is>
      </c>
      <c r="B170" t="inlineStr">
        <is>
          <t>epic</t>
        </is>
      </c>
      <c r="C170" t="n">
        <v>2</v>
      </c>
      <c r="D170" t="inlineStr">
        <is>
          <t>Str</t>
        </is>
      </c>
      <c r="E170" t="n">
        <v>100</v>
      </c>
      <c r="F170" t="n">
        <v>7.22</v>
      </c>
      <c r="G170" t="b">
        <v>0</v>
      </c>
      <c r="H170" t="inlineStr">
        <is>
          <t>0</t>
        </is>
      </c>
    </row>
    <row r="171">
      <c r="A171" t="inlineStr">
        <is>
          <t>ALL</t>
        </is>
      </c>
      <c r="B171" t="inlineStr">
        <is>
          <t>epic</t>
        </is>
      </c>
      <c r="C171" t="n">
        <v>2</v>
      </c>
      <c r="D171" t="inlineStr">
        <is>
          <t>Str</t>
        </is>
      </c>
      <c r="E171" t="n">
        <v>200</v>
      </c>
      <c r="F171" t="n">
        <v>2.22</v>
      </c>
      <c r="G171" t="b">
        <v>1</v>
      </c>
      <c r="H171" t="inlineStr">
        <is>
          <t>0</t>
        </is>
      </c>
    </row>
    <row r="172">
      <c r="A172" t="inlineStr">
        <is>
          <t>ALL</t>
        </is>
      </c>
      <c r="B172" t="inlineStr">
        <is>
          <t>epic</t>
        </is>
      </c>
      <c r="C172" t="n">
        <v>2</v>
      </c>
      <c r="D172" t="inlineStr">
        <is>
          <t>Dex</t>
        </is>
      </c>
      <c r="E172" t="n">
        <v>100</v>
      </c>
      <c r="F172" t="n">
        <v>7.22</v>
      </c>
      <c r="G172" t="b">
        <v>0</v>
      </c>
      <c r="H172" t="inlineStr">
        <is>
          <t>0</t>
        </is>
      </c>
    </row>
    <row r="173">
      <c r="A173" t="inlineStr">
        <is>
          <t>ALL</t>
        </is>
      </c>
      <c r="B173" t="inlineStr">
        <is>
          <t>epic</t>
        </is>
      </c>
      <c r="C173" t="n">
        <v>2</v>
      </c>
      <c r="D173" t="inlineStr">
        <is>
          <t>Dex</t>
        </is>
      </c>
      <c r="E173" t="n">
        <v>200</v>
      </c>
      <c r="F173" t="n">
        <v>2.22</v>
      </c>
      <c r="G173" t="b">
        <v>1</v>
      </c>
      <c r="H173" t="inlineStr">
        <is>
          <t>0</t>
        </is>
      </c>
    </row>
    <row r="174">
      <c r="A174" t="inlineStr">
        <is>
          <t>ALL</t>
        </is>
      </c>
      <c r="B174" t="inlineStr">
        <is>
          <t>epic</t>
        </is>
      </c>
      <c r="C174" t="n">
        <v>2</v>
      </c>
      <c r="D174" t="inlineStr">
        <is>
          <t>Int</t>
        </is>
      </c>
      <c r="E174" t="n">
        <v>100</v>
      </c>
      <c r="F174" t="n">
        <v>7.22</v>
      </c>
      <c r="G174" t="b">
        <v>0</v>
      </c>
      <c r="H174" t="inlineStr">
        <is>
          <t>0</t>
        </is>
      </c>
    </row>
    <row r="175">
      <c r="A175" t="inlineStr">
        <is>
          <t>ALL</t>
        </is>
      </c>
      <c r="B175" t="inlineStr">
        <is>
          <t>epic</t>
        </is>
      </c>
      <c r="C175" t="n">
        <v>2</v>
      </c>
      <c r="D175" t="inlineStr">
        <is>
          <t>Int</t>
        </is>
      </c>
      <c r="E175" t="n">
        <v>200</v>
      </c>
      <c r="F175" t="n">
        <v>2.22</v>
      </c>
      <c r="G175" t="b">
        <v>1</v>
      </c>
      <c r="H175" t="inlineStr">
        <is>
          <t>0</t>
        </is>
      </c>
    </row>
    <row r="176">
      <c r="A176" t="inlineStr">
        <is>
          <t>ALL</t>
        </is>
      </c>
      <c r="B176" t="inlineStr">
        <is>
          <t>epic</t>
        </is>
      </c>
      <c r="C176" t="n">
        <v>2</v>
      </c>
      <c r="D176" t="inlineStr">
        <is>
          <t>Luk</t>
        </is>
      </c>
      <c r="E176" t="n">
        <v>100</v>
      </c>
      <c r="F176" t="n">
        <v>7.22</v>
      </c>
      <c r="G176" t="b">
        <v>0</v>
      </c>
      <c r="H176">
        <f>Sensitivity!H5</f>
        <v/>
      </c>
    </row>
    <row r="177">
      <c r="A177" t="inlineStr">
        <is>
          <t>ALL</t>
        </is>
      </c>
      <c r="B177" t="inlineStr">
        <is>
          <t>epic</t>
        </is>
      </c>
      <c r="C177" t="n">
        <v>2</v>
      </c>
      <c r="D177" t="inlineStr">
        <is>
          <t>Luk</t>
        </is>
      </c>
      <c r="E177" t="n">
        <v>200</v>
      </c>
      <c r="F177" t="n">
        <v>2.22</v>
      </c>
      <c r="G177" t="b">
        <v>1</v>
      </c>
      <c r="H177">
        <f>Sensitivity!H5</f>
        <v/>
      </c>
    </row>
    <row r="178">
      <c r="A178" t="inlineStr">
        <is>
          <t>ALL</t>
        </is>
      </c>
      <c r="B178" t="inlineStr">
        <is>
          <t>epic</t>
        </is>
      </c>
      <c r="C178" t="n">
        <v>3</v>
      </c>
      <c r="D178" t="inlineStr">
        <is>
          <t>Critical Rate %</t>
        </is>
      </c>
      <c r="E178" t="n">
        <v>4.5</v>
      </c>
      <c r="F178" t="n">
        <v>2.3</v>
      </c>
      <c r="G178" t="b">
        <v>0</v>
      </c>
      <c r="H178">
        <f>IF(Inputs!$B$9&gt;=100,Sensitivity!H16,Sensitivity!H15)</f>
        <v/>
      </c>
    </row>
    <row r="179">
      <c r="A179" t="inlineStr">
        <is>
          <t>ALL</t>
        </is>
      </c>
      <c r="B179" t="inlineStr">
        <is>
          <t>epic</t>
        </is>
      </c>
      <c r="C179" t="n">
        <v>3</v>
      </c>
      <c r="D179" t="inlineStr">
        <is>
          <t>Critical Rate %</t>
        </is>
      </c>
      <c r="E179" t="n">
        <v>6</v>
      </c>
      <c r="F179" t="n">
        <v>0.2</v>
      </c>
      <c r="G179" t="b">
        <v>1</v>
      </c>
      <c r="H179">
        <f>IF(Inputs!$B$9&gt;=100,Sensitivity!H16,Sensitivity!H15)</f>
        <v/>
      </c>
    </row>
    <row r="180">
      <c r="A180" t="inlineStr">
        <is>
          <t>ALL</t>
        </is>
      </c>
      <c r="B180" t="inlineStr">
        <is>
          <t>epic</t>
        </is>
      </c>
      <c r="C180" t="n">
        <v>3</v>
      </c>
      <c r="D180" t="inlineStr">
        <is>
          <t>Attack Speed %</t>
        </is>
      </c>
      <c r="E180" t="n">
        <v>3.5</v>
      </c>
      <c r="F180" t="n">
        <v>2.3</v>
      </c>
      <c r="G180" t="b">
        <v>0</v>
      </c>
      <c r="H180">
        <f>Sensitivity!H17</f>
        <v/>
      </c>
    </row>
    <row r="181">
      <c r="A181" t="inlineStr">
        <is>
          <t>ALL</t>
        </is>
      </c>
      <c r="B181" t="inlineStr">
        <is>
          <t>epic</t>
        </is>
      </c>
      <c r="C181" t="n">
        <v>3</v>
      </c>
      <c r="D181" t="inlineStr">
        <is>
          <t>Attack Speed %</t>
        </is>
      </c>
      <c r="E181" t="n">
        <v>4</v>
      </c>
      <c r="F181" t="n">
        <v>0.2</v>
      </c>
      <c r="G181" t="b">
        <v>1</v>
      </c>
      <c r="H181">
        <f>Sensitivity!H17</f>
        <v/>
      </c>
    </row>
    <row r="182">
      <c r="A182" t="inlineStr">
        <is>
          <t>ALL</t>
        </is>
      </c>
      <c r="B182" t="inlineStr">
        <is>
          <t>epic</t>
        </is>
      </c>
      <c r="C182" t="n">
        <v>3</v>
      </c>
      <c r="D182" t="inlineStr">
        <is>
          <t>Damage %</t>
        </is>
      </c>
      <c r="E182" t="n">
        <v>8</v>
      </c>
      <c r="F182" t="n">
        <v>3.68</v>
      </c>
      <c r="G182" t="b">
        <v>0</v>
      </c>
      <c r="H182">
        <f>Sensitivity!H8</f>
        <v/>
      </c>
    </row>
    <row r="183">
      <c r="A183" t="inlineStr">
        <is>
          <t>ALL</t>
        </is>
      </c>
      <c r="B183" t="inlineStr">
        <is>
          <t>epic</t>
        </is>
      </c>
      <c r="C183" t="n">
        <v>3</v>
      </c>
      <c r="D183" t="inlineStr">
        <is>
          <t>Damage %</t>
        </is>
      </c>
      <c r="E183" t="n">
        <v>12</v>
      </c>
      <c r="F183" t="n">
        <v>0.32</v>
      </c>
      <c r="G183" t="b">
        <v>1</v>
      </c>
      <c r="H183">
        <f>Sensitivity!H8</f>
        <v/>
      </c>
    </row>
    <row r="184">
      <c r="A184" t="inlineStr">
        <is>
          <t>ALL</t>
        </is>
      </c>
      <c r="B184" t="inlineStr">
        <is>
          <t>epic</t>
        </is>
      </c>
      <c r="C184" t="n">
        <v>3</v>
      </c>
      <c r="D184" t="inlineStr">
        <is>
          <t>Min Damage Multiplier %</t>
        </is>
      </c>
      <c r="E184" t="n">
        <v>6</v>
      </c>
      <c r="F184" t="n">
        <v>3.68</v>
      </c>
      <c r="G184" t="b">
        <v>0</v>
      </c>
      <c r="H184">
        <f>Sensitivity!H13</f>
        <v/>
      </c>
    </row>
    <row r="185">
      <c r="A185" t="inlineStr">
        <is>
          <t>ALL</t>
        </is>
      </c>
      <c r="B185" t="inlineStr">
        <is>
          <t>epic</t>
        </is>
      </c>
      <c r="C185" t="n">
        <v>3</v>
      </c>
      <c r="D185" t="inlineStr">
        <is>
          <t>Min Damage Multiplier %</t>
        </is>
      </c>
      <c r="E185" t="n">
        <v>8</v>
      </c>
      <c r="F185" t="n">
        <v>0.32</v>
      </c>
      <c r="G185" t="b">
        <v>1</v>
      </c>
      <c r="H185">
        <f>Sensitivity!H13</f>
        <v/>
      </c>
    </row>
    <row r="186">
      <c r="A186" t="inlineStr">
        <is>
          <t>ALL</t>
        </is>
      </c>
      <c r="B186" t="inlineStr">
        <is>
          <t>epic</t>
        </is>
      </c>
      <c r="C186" t="n">
        <v>3</v>
      </c>
      <c r="D186" t="inlineStr">
        <is>
          <t>Max Damage Multiplier %</t>
        </is>
      </c>
      <c r="E186" t="n">
        <v>6</v>
      </c>
      <c r="F186" t="n">
        <v>3.68</v>
      </c>
      <c r="G186" t="b">
        <v>0</v>
      </c>
      <c r="H186">
        <f>Sensitivity!H14</f>
        <v/>
      </c>
    </row>
    <row r="187">
      <c r="A187" t="inlineStr">
        <is>
          <t>ALL</t>
        </is>
      </c>
      <c r="B187" t="inlineStr">
        <is>
          <t>epic</t>
        </is>
      </c>
      <c r="C187" t="n">
        <v>3</v>
      </c>
      <c r="D187" t="inlineStr">
        <is>
          <t>Max Damage Multiplier %</t>
        </is>
      </c>
      <c r="E187" t="n">
        <v>8</v>
      </c>
      <c r="F187" t="n">
        <v>0.32</v>
      </c>
      <c r="G187" t="b">
        <v>1</v>
      </c>
      <c r="H187">
        <f>Sensitivity!H14</f>
        <v/>
      </c>
    </row>
    <row r="188">
      <c r="A188" t="inlineStr">
        <is>
          <t>ALL</t>
        </is>
      </c>
      <c r="B188" t="inlineStr">
        <is>
          <t>epic</t>
        </is>
      </c>
      <c r="C188" t="n">
        <v>3</v>
      </c>
      <c r="D188" t="inlineStr">
        <is>
          <t>Str %</t>
        </is>
      </c>
      <c r="E188" t="n">
        <v>4.5</v>
      </c>
      <c r="F188" t="n">
        <v>4.14</v>
      </c>
      <c r="G188" t="b">
        <v>0</v>
      </c>
      <c r="H188" t="inlineStr">
        <is>
          <t>0</t>
        </is>
      </c>
    </row>
    <row r="189">
      <c r="A189" t="inlineStr">
        <is>
          <t>ALL</t>
        </is>
      </c>
      <c r="B189" t="inlineStr">
        <is>
          <t>epic</t>
        </is>
      </c>
      <c r="C189" t="n">
        <v>3</v>
      </c>
      <c r="D189" t="inlineStr">
        <is>
          <t>Str %</t>
        </is>
      </c>
      <c r="E189" t="n">
        <v>6</v>
      </c>
      <c r="F189" t="n">
        <v>0.36</v>
      </c>
      <c r="G189" t="b">
        <v>1</v>
      </c>
      <c r="H189" t="inlineStr">
        <is>
          <t>0</t>
        </is>
      </c>
    </row>
    <row r="190">
      <c r="A190" t="inlineStr">
        <is>
          <t>ALL</t>
        </is>
      </c>
      <c r="B190" t="inlineStr">
        <is>
          <t>epic</t>
        </is>
      </c>
      <c r="C190" t="n">
        <v>3</v>
      </c>
      <c r="D190" t="inlineStr">
        <is>
          <t>Dex %</t>
        </is>
      </c>
      <c r="E190" t="n">
        <v>4.5</v>
      </c>
      <c r="F190" t="n">
        <v>4.14</v>
      </c>
      <c r="G190" t="b">
        <v>0</v>
      </c>
      <c r="H190" t="inlineStr">
        <is>
          <t>0</t>
        </is>
      </c>
    </row>
    <row r="191">
      <c r="A191" t="inlineStr">
        <is>
          <t>ALL</t>
        </is>
      </c>
      <c r="B191" t="inlineStr">
        <is>
          <t>epic</t>
        </is>
      </c>
      <c r="C191" t="n">
        <v>3</v>
      </c>
      <c r="D191" t="inlineStr">
        <is>
          <t>Dex %</t>
        </is>
      </c>
      <c r="E191" t="n">
        <v>6</v>
      </c>
      <c r="F191" t="n">
        <v>0.36</v>
      </c>
      <c r="G191" t="b">
        <v>1</v>
      </c>
      <c r="H191" t="inlineStr">
        <is>
          <t>0</t>
        </is>
      </c>
    </row>
    <row r="192">
      <c r="A192" t="inlineStr">
        <is>
          <t>ALL</t>
        </is>
      </c>
      <c r="B192" t="inlineStr">
        <is>
          <t>epic</t>
        </is>
      </c>
      <c r="C192" t="n">
        <v>3</v>
      </c>
      <c r="D192" t="inlineStr">
        <is>
          <t>Int %</t>
        </is>
      </c>
      <c r="E192" t="n">
        <v>4.5</v>
      </c>
      <c r="F192" t="n">
        <v>4.14</v>
      </c>
      <c r="G192" t="b">
        <v>0</v>
      </c>
      <c r="H192" t="inlineStr">
        <is>
          <t>0</t>
        </is>
      </c>
    </row>
    <row r="193">
      <c r="A193" t="inlineStr">
        <is>
          <t>ALL</t>
        </is>
      </c>
      <c r="B193" t="inlineStr">
        <is>
          <t>epic</t>
        </is>
      </c>
      <c r="C193" t="n">
        <v>3</v>
      </c>
      <c r="D193" t="inlineStr">
        <is>
          <t>Int %</t>
        </is>
      </c>
      <c r="E193" t="n">
        <v>6</v>
      </c>
      <c r="F193" t="n">
        <v>0.36</v>
      </c>
      <c r="G193" t="b">
        <v>1</v>
      </c>
      <c r="H193" t="inlineStr">
        <is>
          <t>0</t>
        </is>
      </c>
    </row>
    <row r="194">
      <c r="A194" t="inlineStr">
        <is>
          <t>ALL</t>
        </is>
      </c>
      <c r="B194" t="inlineStr">
        <is>
          <t>epic</t>
        </is>
      </c>
      <c r="C194" t="n">
        <v>3</v>
      </c>
      <c r="D194" t="inlineStr">
        <is>
          <t>Luk %</t>
        </is>
      </c>
      <c r="E194" t="n">
        <v>4.5</v>
      </c>
      <c r="F194" t="n">
        <v>4.14</v>
      </c>
      <c r="G194" t="b">
        <v>0</v>
      </c>
      <c r="H194">
        <f>Sensitivity!H6</f>
        <v/>
      </c>
    </row>
    <row r="195">
      <c r="A195" t="inlineStr">
        <is>
          <t>ALL</t>
        </is>
      </c>
      <c r="B195" t="inlineStr">
        <is>
          <t>epic</t>
        </is>
      </c>
      <c r="C195" t="n">
        <v>3</v>
      </c>
      <c r="D195" t="inlineStr">
        <is>
          <t>Luk %</t>
        </is>
      </c>
      <c r="E195" t="n">
        <v>6</v>
      </c>
      <c r="F195" t="n">
        <v>0.36</v>
      </c>
      <c r="G195" t="b">
        <v>1</v>
      </c>
      <c r="H195">
        <f>Sensitivity!H6</f>
        <v/>
      </c>
    </row>
    <row r="196">
      <c r="A196" t="inlineStr">
        <is>
          <t>ALL</t>
        </is>
      </c>
      <c r="B196" t="inlineStr">
        <is>
          <t>epic</t>
        </is>
      </c>
      <c r="C196" t="n">
        <v>3</v>
      </c>
      <c r="D196" t="inlineStr">
        <is>
          <t>Defense %</t>
        </is>
      </c>
      <c r="E196" t="n">
        <v>4.5</v>
      </c>
      <c r="F196" t="n">
        <v>8.279999999999999</v>
      </c>
      <c r="G196" t="b">
        <v>0</v>
      </c>
      <c r="H196" t="inlineStr">
        <is>
          <t>0</t>
        </is>
      </c>
    </row>
    <row r="197">
      <c r="A197" t="inlineStr">
        <is>
          <t>ALL</t>
        </is>
      </c>
      <c r="B197" t="inlineStr">
        <is>
          <t>epic</t>
        </is>
      </c>
      <c r="C197" t="n">
        <v>3</v>
      </c>
      <c r="D197" t="inlineStr">
        <is>
          <t>Defense %</t>
        </is>
      </c>
      <c r="E197" t="n">
        <v>6</v>
      </c>
      <c r="F197" t="n">
        <v>0.72</v>
      </c>
      <c r="G197" t="b">
        <v>1</v>
      </c>
      <c r="H197" t="inlineStr">
        <is>
          <t>0</t>
        </is>
      </c>
    </row>
    <row r="198">
      <c r="A198" t="inlineStr">
        <is>
          <t>ALL</t>
        </is>
      </c>
      <c r="B198" t="inlineStr">
        <is>
          <t>epic</t>
        </is>
      </c>
      <c r="C198" t="n">
        <v>3</v>
      </c>
      <c r="D198" t="inlineStr">
        <is>
          <t>Max HP %</t>
        </is>
      </c>
      <c r="E198" t="n">
        <v>9</v>
      </c>
      <c r="F198" t="n">
        <v>8.279999999999999</v>
      </c>
      <c r="G198" t="b">
        <v>0</v>
      </c>
      <c r="H198" t="inlineStr">
        <is>
          <t>0</t>
        </is>
      </c>
    </row>
    <row r="199">
      <c r="A199" t="inlineStr">
        <is>
          <t>ALL</t>
        </is>
      </c>
      <c r="B199" t="inlineStr">
        <is>
          <t>epic</t>
        </is>
      </c>
      <c r="C199" t="n">
        <v>3</v>
      </c>
      <c r="D199" t="inlineStr">
        <is>
          <t>Max HP %</t>
        </is>
      </c>
      <c r="E199" t="n">
        <v>12</v>
      </c>
      <c r="F199" t="n">
        <v>0.72</v>
      </c>
      <c r="G199" t="b">
        <v>1</v>
      </c>
      <c r="H199" t="inlineStr">
        <is>
          <t>0</t>
        </is>
      </c>
    </row>
    <row r="200">
      <c r="A200" t="inlineStr">
        <is>
          <t>ALL</t>
        </is>
      </c>
      <c r="B200" t="inlineStr">
        <is>
          <t>epic</t>
        </is>
      </c>
      <c r="C200" t="n">
        <v>3</v>
      </c>
      <c r="D200" t="inlineStr">
        <is>
          <t>Max MP %</t>
        </is>
      </c>
      <c r="E200" t="n">
        <v>4.5</v>
      </c>
      <c r="F200" t="n">
        <v>8.279999999999999</v>
      </c>
      <c r="G200" t="b">
        <v>0</v>
      </c>
      <c r="H200" t="inlineStr">
        <is>
          <t>0</t>
        </is>
      </c>
    </row>
    <row r="201">
      <c r="A201" t="inlineStr">
        <is>
          <t>ALL</t>
        </is>
      </c>
      <c r="B201" t="inlineStr">
        <is>
          <t>epic</t>
        </is>
      </c>
      <c r="C201" t="n">
        <v>3</v>
      </c>
      <c r="D201" t="inlineStr">
        <is>
          <t>Max MP %</t>
        </is>
      </c>
      <c r="E201" t="n">
        <v>6</v>
      </c>
      <c r="F201" t="n">
        <v>0.72</v>
      </c>
      <c r="G201" t="b">
        <v>1</v>
      </c>
      <c r="H201" t="inlineStr">
        <is>
          <t>0</t>
        </is>
      </c>
    </row>
    <row r="202">
      <c r="A202" t="inlineStr">
        <is>
          <t>ALL</t>
        </is>
      </c>
      <c r="B202" t="inlineStr">
        <is>
          <t>epic</t>
        </is>
      </c>
      <c r="C202" t="n">
        <v>3</v>
      </c>
      <c r="D202" t="inlineStr">
        <is>
          <t>Str</t>
        </is>
      </c>
      <c r="E202" t="n">
        <v>100</v>
      </c>
      <c r="F202" t="n">
        <v>8.74</v>
      </c>
      <c r="G202" t="b">
        <v>0</v>
      </c>
      <c r="H202" t="inlineStr">
        <is>
          <t>0</t>
        </is>
      </c>
    </row>
    <row r="203">
      <c r="A203" t="inlineStr">
        <is>
          <t>ALL</t>
        </is>
      </c>
      <c r="B203" t="inlineStr">
        <is>
          <t>epic</t>
        </is>
      </c>
      <c r="C203" t="n">
        <v>3</v>
      </c>
      <c r="D203" t="inlineStr">
        <is>
          <t>Str</t>
        </is>
      </c>
      <c r="E203" t="n">
        <v>200</v>
      </c>
      <c r="F203" t="n">
        <v>0.74</v>
      </c>
      <c r="G203" t="b">
        <v>1</v>
      </c>
      <c r="H203" t="inlineStr">
        <is>
          <t>0</t>
        </is>
      </c>
    </row>
    <row r="204">
      <c r="A204" t="inlineStr">
        <is>
          <t>ALL</t>
        </is>
      </c>
      <c r="B204" t="inlineStr">
        <is>
          <t>epic</t>
        </is>
      </c>
      <c r="C204" t="n">
        <v>3</v>
      </c>
      <c r="D204" t="inlineStr">
        <is>
          <t>Dex</t>
        </is>
      </c>
      <c r="E204" t="n">
        <v>100</v>
      </c>
      <c r="F204" t="n">
        <v>8.74</v>
      </c>
      <c r="G204" t="b">
        <v>0</v>
      </c>
      <c r="H204" t="inlineStr">
        <is>
          <t>0</t>
        </is>
      </c>
    </row>
    <row r="205">
      <c r="A205" t="inlineStr">
        <is>
          <t>ALL</t>
        </is>
      </c>
      <c r="B205" t="inlineStr">
        <is>
          <t>epic</t>
        </is>
      </c>
      <c r="C205" t="n">
        <v>3</v>
      </c>
      <c r="D205" t="inlineStr">
        <is>
          <t>Dex</t>
        </is>
      </c>
      <c r="E205" t="n">
        <v>200</v>
      </c>
      <c r="F205" t="n">
        <v>0.74</v>
      </c>
      <c r="G205" t="b">
        <v>1</v>
      </c>
      <c r="H205" t="inlineStr">
        <is>
          <t>0</t>
        </is>
      </c>
    </row>
    <row r="206">
      <c r="A206" t="inlineStr">
        <is>
          <t>ALL</t>
        </is>
      </c>
      <c r="B206" t="inlineStr">
        <is>
          <t>epic</t>
        </is>
      </c>
      <c r="C206" t="n">
        <v>3</v>
      </c>
      <c r="D206" t="inlineStr">
        <is>
          <t>Int</t>
        </is>
      </c>
      <c r="E206" t="n">
        <v>100</v>
      </c>
      <c r="F206" t="n">
        <v>8.74</v>
      </c>
      <c r="G206" t="b">
        <v>0</v>
      </c>
      <c r="H206" t="inlineStr">
        <is>
          <t>0</t>
        </is>
      </c>
    </row>
    <row r="207">
      <c r="A207" t="inlineStr">
        <is>
          <t>ALL</t>
        </is>
      </c>
      <c r="B207" t="inlineStr">
        <is>
          <t>epic</t>
        </is>
      </c>
      <c r="C207" t="n">
        <v>3</v>
      </c>
      <c r="D207" t="inlineStr">
        <is>
          <t>Int</t>
        </is>
      </c>
      <c r="E207" t="n">
        <v>200</v>
      </c>
      <c r="F207" t="n">
        <v>0.74</v>
      </c>
      <c r="G207" t="b">
        <v>1</v>
      </c>
      <c r="H207" t="inlineStr">
        <is>
          <t>0</t>
        </is>
      </c>
    </row>
    <row r="208">
      <c r="A208" t="inlineStr">
        <is>
          <t>ALL</t>
        </is>
      </c>
      <c r="B208" t="inlineStr">
        <is>
          <t>epic</t>
        </is>
      </c>
      <c r="C208" t="n">
        <v>3</v>
      </c>
      <c r="D208" t="inlineStr">
        <is>
          <t>Luk</t>
        </is>
      </c>
      <c r="E208" t="n">
        <v>100</v>
      </c>
      <c r="F208" t="n">
        <v>8.74</v>
      </c>
      <c r="G208" t="b">
        <v>0</v>
      </c>
      <c r="H208">
        <f>Sensitivity!H5</f>
        <v/>
      </c>
    </row>
    <row r="209">
      <c r="A209" t="inlineStr">
        <is>
          <t>ALL</t>
        </is>
      </c>
      <c r="B209" t="inlineStr">
        <is>
          <t>epic</t>
        </is>
      </c>
      <c r="C209" t="n">
        <v>3</v>
      </c>
      <c r="D209" t="inlineStr">
        <is>
          <t>Luk</t>
        </is>
      </c>
      <c r="E209" t="n">
        <v>200</v>
      </c>
      <c r="F209" t="n">
        <v>0.74</v>
      </c>
      <c r="G209" t="b">
        <v>1</v>
      </c>
      <c r="H209">
        <f>Sensitivity!H5</f>
        <v/>
      </c>
    </row>
    <row r="210">
      <c r="A210" t="inlineStr">
        <is>
          <t>ALL</t>
        </is>
      </c>
      <c r="B210" t="inlineStr">
        <is>
          <t>unique</t>
        </is>
      </c>
      <c r="C210" t="n">
        <v>1</v>
      </c>
      <c r="D210" t="inlineStr">
        <is>
          <t>Critical Rate %</t>
        </is>
      </c>
      <c r="E210" t="n">
        <v>9</v>
      </c>
      <c r="F210" t="n">
        <v>2.5</v>
      </c>
      <c r="G210" t="b">
        <v>1</v>
      </c>
      <c r="H210">
        <f>IF(Inputs!$B$9&gt;=100,Sensitivity!H16,Sensitivity!H15)</f>
        <v/>
      </c>
    </row>
    <row r="211">
      <c r="A211" t="inlineStr">
        <is>
          <t>ALL</t>
        </is>
      </c>
      <c r="B211" t="inlineStr">
        <is>
          <t>unique</t>
        </is>
      </c>
      <c r="C211" t="n">
        <v>1</v>
      </c>
      <c r="D211" t="inlineStr">
        <is>
          <t>Attack Speed %</t>
        </is>
      </c>
      <c r="E211" t="n">
        <v>5</v>
      </c>
      <c r="F211" t="n">
        <v>2.5</v>
      </c>
      <c r="G211" t="b">
        <v>1</v>
      </c>
      <c r="H211">
        <f>Sensitivity!H17</f>
        <v/>
      </c>
    </row>
    <row r="212">
      <c r="A212" t="inlineStr">
        <is>
          <t>ALL</t>
        </is>
      </c>
      <c r="B212" t="inlineStr">
        <is>
          <t>unique</t>
        </is>
      </c>
      <c r="C212" t="n">
        <v>1</v>
      </c>
      <c r="D212" t="inlineStr">
        <is>
          <t>Damage %</t>
        </is>
      </c>
      <c r="E212" t="n">
        <v>18</v>
      </c>
      <c r="F212" t="n">
        <v>4</v>
      </c>
      <c r="G212" t="b">
        <v>1</v>
      </c>
      <c r="H212">
        <f>Sensitivity!H8</f>
        <v/>
      </c>
    </row>
    <row r="213">
      <c r="A213" t="inlineStr">
        <is>
          <t>ALL</t>
        </is>
      </c>
      <c r="B213" t="inlineStr">
        <is>
          <t>unique</t>
        </is>
      </c>
      <c r="C213" t="n">
        <v>1</v>
      </c>
      <c r="D213" t="inlineStr">
        <is>
          <t>Min Damage Multiplier %</t>
        </is>
      </c>
      <c r="E213" t="n">
        <v>10</v>
      </c>
      <c r="F213" t="n">
        <v>4</v>
      </c>
      <c r="G213" t="b">
        <v>1</v>
      </c>
      <c r="H213">
        <f>Sensitivity!H13</f>
        <v/>
      </c>
    </row>
    <row r="214">
      <c r="A214" t="inlineStr">
        <is>
          <t>ALL</t>
        </is>
      </c>
      <c r="B214" t="inlineStr">
        <is>
          <t>unique</t>
        </is>
      </c>
      <c r="C214" t="n">
        <v>1</v>
      </c>
      <c r="D214" t="inlineStr">
        <is>
          <t>Max Damage Multiplier %</t>
        </is>
      </c>
      <c r="E214" t="n">
        <v>10</v>
      </c>
      <c r="F214" t="n">
        <v>4</v>
      </c>
      <c r="G214" t="b">
        <v>1</v>
      </c>
      <c r="H214">
        <f>Sensitivity!H14</f>
        <v/>
      </c>
    </row>
    <row r="215">
      <c r="A215" t="inlineStr">
        <is>
          <t>ALL</t>
        </is>
      </c>
      <c r="B215" t="inlineStr">
        <is>
          <t>unique</t>
        </is>
      </c>
      <c r="C215" t="n">
        <v>1</v>
      </c>
      <c r="D215" t="inlineStr">
        <is>
          <t>Str %</t>
        </is>
      </c>
      <c r="E215" t="n">
        <v>9</v>
      </c>
      <c r="F215" t="n">
        <v>4.5</v>
      </c>
      <c r="G215" t="b">
        <v>1</v>
      </c>
      <c r="H215" t="inlineStr">
        <is>
          <t>0</t>
        </is>
      </c>
    </row>
    <row r="216">
      <c r="A216" t="inlineStr">
        <is>
          <t>ALL</t>
        </is>
      </c>
      <c r="B216" t="inlineStr">
        <is>
          <t>unique</t>
        </is>
      </c>
      <c r="C216" t="n">
        <v>1</v>
      </c>
      <c r="D216" t="inlineStr">
        <is>
          <t>Dex %</t>
        </is>
      </c>
      <c r="E216" t="n">
        <v>9</v>
      </c>
      <c r="F216" t="n">
        <v>4.5</v>
      </c>
      <c r="G216" t="b">
        <v>1</v>
      </c>
      <c r="H216" t="inlineStr">
        <is>
          <t>0</t>
        </is>
      </c>
    </row>
    <row r="217">
      <c r="A217" t="inlineStr">
        <is>
          <t>ALL</t>
        </is>
      </c>
      <c r="B217" t="inlineStr">
        <is>
          <t>unique</t>
        </is>
      </c>
      <c r="C217" t="n">
        <v>1</v>
      </c>
      <c r="D217" t="inlineStr">
        <is>
          <t>Int %</t>
        </is>
      </c>
      <c r="E217" t="n">
        <v>9</v>
      </c>
      <c r="F217" t="n">
        <v>4.5</v>
      </c>
      <c r="G217" t="b">
        <v>1</v>
      </c>
      <c r="H217" t="inlineStr">
        <is>
          <t>0</t>
        </is>
      </c>
    </row>
    <row r="218">
      <c r="A218" t="inlineStr">
        <is>
          <t>ALL</t>
        </is>
      </c>
      <c r="B218" t="inlineStr">
        <is>
          <t>unique</t>
        </is>
      </c>
      <c r="C218" t="n">
        <v>1</v>
      </c>
      <c r="D218" t="inlineStr">
        <is>
          <t>Luk %</t>
        </is>
      </c>
      <c r="E218" t="n">
        <v>9</v>
      </c>
      <c r="F218" t="n">
        <v>4.5</v>
      </c>
      <c r="G218" t="b">
        <v>1</v>
      </c>
      <c r="H218">
        <f>Sensitivity!H6</f>
        <v/>
      </c>
    </row>
    <row r="219">
      <c r="A219" t="inlineStr">
        <is>
          <t>ALL</t>
        </is>
      </c>
      <c r="B219" t="inlineStr">
        <is>
          <t>unique</t>
        </is>
      </c>
      <c r="C219" t="n">
        <v>1</v>
      </c>
      <c r="D219" t="inlineStr">
        <is>
          <t>Defense %</t>
        </is>
      </c>
      <c r="E219" t="n">
        <v>9</v>
      </c>
      <c r="F219" t="n">
        <v>9</v>
      </c>
      <c r="G219" t="b">
        <v>1</v>
      </c>
      <c r="H219" t="inlineStr">
        <is>
          <t>0</t>
        </is>
      </c>
    </row>
    <row r="220">
      <c r="A220" t="inlineStr">
        <is>
          <t>ALL</t>
        </is>
      </c>
      <c r="B220" t="inlineStr">
        <is>
          <t>unique</t>
        </is>
      </c>
      <c r="C220" t="n">
        <v>1</v>
      </c>
      <c r="D220" t="inlineStr">
        <is>
          <t>Max HP %</t>
        </is>
      </c>
      <c r="E220" t="n">
        <v>15</v>
      </c>
      <c r="F220" t="n">
        <v>9</v>
      </c>
      <c r="G220" t="b">
        <v>1</v>
      </c>
      <c r="H220" t="inlineStr">
        <is>
          <t>0</t>
        </is>
      </c>
    </row>
    <row r="221">
      <c r="A221" t="inlineStr">
        <is>
          <t>ALL</t>
        </is>
      </c>
      <c r="B221" t="inlineStr">
        <is>
          <t>unique</t>
        </is>
      </c>
      <c r="C221" t="n">
        <v>1</v>
      </c>
      <c r="D221" t="inlineStr">
        <is>
          <t>Max MP %</t>
        </is>
      </c>
      <c r="E221" t="n">
        <v>9</v>
      </c>
      <c r="F221" t="n">
        <v>9</v>
      </c>
      <c r="G221" t="b">
        <v>1</v>
      </c>
      <c r="H221" t="inlineStr">
        <is>
          <t>0</t>
        </is>
      </c>
    </row>
    <row r="222">
      <c r="A222" t="inlineStr">
        <is>
          <t>ALL</t>
        </is>
      </c>
      <c r="B222" t="inlineStr">
        <is>
          <t>unique</t>
        </is>
      </c>
      <c r="C222" t="n">
        <v>1</v>
      </c>
      <c r="D222" t="inlineStr">
        <is>
          <t>Str</t>
        </is>
      </c>
      <c r="E222" t="n">
        <v>400</v>
      </c>
      <c r="F222" t="n">
        <v>9.25</v>
      </c>
      <c r="G222" t="b">
        <v>1</v>
      </c>
      <c r="H222" t="inlineStr">
        <is>
          <t>0</t>
        </is>
      </c>
    </row>
    <row r="223">
      <c r="A223" t="inlineStr">
        <is>
          <t>ALL</t>
        </is>
      </c>
      <c r="B223" t="inlineStr">
        <is>
          <t>unique</t>
        </is>
      </c>
      <c r="C223" t="n">
        <v>1</v>
      </c>
      <c r="D223" t="inlineStr">
        <is>
          <t>Dex</t>
        </is>
      </c>
      <c r="E223" t="n">
        <v>400</v>
      </c>
      <c r="F223" t="n">
        <v>9.25</v>
      </c>
      <c r="G223" t="b">
        <v>1</v>
      </c>
      <c r="H223" t="inlineStr">
        <is>
          <t>0</t>
        </is>
      </c>
    </row>
    <row r="224">
      <c r="A224" t="inlineStr">
        <is>
          <t>ALL</t>
        </is>
      </c>
      <c r="B224" t="inlineStr">
        <is>
          <t>unique</t>
        </is>
      </c>
      <c r="C224" t="n">
        <v>1</v>
      </c>
      <c r="D224" t="inlineStr">
        <is>
          <t>Int</t>
        </is>
      </c>
      <c r="E224" t="n">
        <v>400</v>
      </c>
      <c r="F224" t="n">
        <v>9.25</v>
      </c>
      <c r="G224" t="b">
        <v>1</v>
      </c>
      <c r="H224" t="inlineStr">
        <is>
          <t>0</t>
        </is>
      </c>
    </row>
    <row r="225">
      <c r="A225" t="inlineStr">
        <is>
          <t>ALL</t>
        </is>
      </c>
      <c r="B225" t="inlineStr">
        <is>
          <t>unique</t>
        </is>
      </c>
      <c r="C225" t="n">
        <v>1</v>
      </c>
      <c r="D225" t="inlineStr">
        <is>
          <t>Luk</t>
        </is>
      </c>
      <c r="E225" t="n">
        <v>400</v>
      </c>
      <c r="F225" t="n">
        <v>9.25</v>
      </c>
      <c r="G225" t="b">
        <v>1</v>
      </c>
      <c r="H225">
        <f>Sensitivity!H5</f>
        <v/>
      </c>
    </row>
    <row r="226">
      <c r="A226" t="inlineStr">
        <is>
          <t>ALL</t>
        </is>
      </c>
      <c r="B226" t="inlineStr">
        <is>
          <t>unique</t>
        </is>
      </c>
      <c r="C226" t="n">
        <v>2</v>
      </c>
      <c r="D226" t="inlineStr">
        <is>
          <t>Critical Rate %</t>
        </is>
      </c>
      <c r="E226" t="n">
        <v>6</v>
      </c>
      <c r="F226" t="n">
        <v>1.9</v>
      </c>
      <c r="G226" t="b">
        <v>0</v>
      </c>
      <c r="H226">
        <f>IF(Inputs!$B$9&gt;=100,Sensitivity!H16,Sensitivity!H15)</f>
        <v/>
      </c>
    </row>
    <row r="227">
      <c r="A227" t="inlineStr">
        <is>
          <t>ALL</t>
        </is>
      </c>
      <c r="B227" t="inlineStr">
        <is>
          <t>unique</t>
        </is>
      </c>
      <c r="C227" t="n">
        <v>2</v>
      </c>
      <c r="D227" t="inlineStr">
        <is>
          <t>Critical Rate %</t>
        </is>
      </c>
      <c r="E227" t="n">
        <v>9</v>
      </c>
      <c r="F227" t="n">
        <v>0.6</v>
      </c>
      <c r="G227" t="b">
        <v>1</v>
      </c>
      <c r="H227">
        <f>IF(Inputs!$B$9&gt;=100,Sensitivity!H16,Sensitivity!H15)</f>
        <v/>
      </c>
    </row>
    <row r="228">
      <c r="A228" t="inlineStr">
        <is>
          <t>ALL</t>
        </is>
      </c>
      <c r="B228" t="inlineStr">
        <is>
          <t>unique</t>
        </is>
      </c>
      <c r="C228" t="n">
        <v>2</v>
      </c>
      <c r="D228" t="inlineStr">
        <is>
          <t>Attack Speed %</t>
        </is>
      </c>
      <c r="E228" t="n">
        <v>4</v>
      </c>
      <c r="F228" t="n">
        <v>1.9</v>
      </c>
      <c r="G228" t="b">
        <v>0</v>
      </c>
      <c r="H228">
        <f>Sensitivity!H17</f>
        <v/>
      </c>
    </row>
    <row r="229">
      <c r="A229" t="inlineStr">
        <is>
          <t>ALL</t>
        </is>
      </c>
      <c r="B229" t="inlineStr">
        <is>
          <t>unique</t>
        </is>
      </c>
      <c r="C229" t="n">
        <v>2</v>
      </c>
      <c r="D229" t="inlineStr">
        <is>
          <t>Attack Speed %</t>
        </is>
      </c>
      <c r="E229" t="n">
        <v>5</v>
      </c>
      <c r="F229" t="n">
        <v>0.6</v>
      </c>
      <c r="G229" t="b">
        <v>1</v>
      </c>
      <c r="H229">
        <f>Sensitivity!H17</f>
        <v/>
      </c>
    </row>
    <row r="230">
      <c r="A230" t="inlineStr">
        <is>
          <t>ALL</t>
        </is>
      </c>
      <c r="B230" t="inlineStr">
        <is>
          <t>unique</t>
        </is>
      </c>
      <c r="C230" t="n">
        <v>2</v>
      </c>
      <c r="D230" t="inlineStr">
        <is>
          <t>Damage %</t>
        </is>
      </c>
      <c r="E230" t="n">
        <v>12</v>
      </c>
      <c r="F230" t="n">
        <v>3.04</v>
      </c>
      <c r="G230" t="b">
        <v>0</v>
      </c>
      <c r="H230">
        <f>Sensitivity!H8</f>
        <v/>
      </c>
    </row>
    <row r="231">
      <c r="A231" t="inlineStr">
        <is>
          <t>ALL</t>
        </is>
      </c>
      <c r="B231" t="inlineStr">
        <is>
          <t>unique</t>
        </is>
      </c>
      <c r="C231" t="n">
        <v>2</v>
      </c>
      <c r="D231" t="inlineStr">
        <is>
          <t>Damage %</t>
        </is>
      </c>
      <c r="E231" t="n">
        <v>18</v>
      </c>
      <c r="F231" t="n">
        <v>0.96</v>
      </c>
      <c r="G231" t="b">
        <v>1</v>
      </c>
      <c r="H231">
        <f>Sensitivity!H8</f>
        <v/>
      </c>
    </row>
    <row r="232">
      <c r="A232" t="inlineStr">
        <is>
          <t>ALL</t>
        </is>
      </c>
      <c r="B232" t="inlineStr">
        <is>
          <t>unique</t>
        </is>
      </c>
      <c r="C232" t="n">
        <v>2</v>
      </c>
      <c r="D232" t="inlineStr">
        <is>
          <t>Min Damage Multiplier %</t>
        </is>
      </c>
      <c r="E232" t="n">
        <v>8</v>
      </c>
      <c r="F232" t="n">
        <v>3.04</v>
      </c>
      <c r="G232" t="b">
        <v>0</v>
      </c>
      <c r="H232">
        <f>Sensitivity!H13</f>
        <v/>
      </c>
    </row>
    <row r="233">
      <c r="A233" t="inlineStr">
        <is>
          <t>ALL</t>
        </is>
      </c>
      <c r="B233" t="inlineStr">
        <is>
          <t>unique</t>
        </is>
      </c>
      <c r="C233" t="n">
        <v>2</v>
      </c>
      <c r="D233" t="inlineStr">
        <is>
          <t>Min Damage Multiplier %</t>
        </is>
      </c>
      <c r="E233" t="n">
        <v>10</v>
      </c>
      <c r="F233" t="n">
        <v>0.96</v>
      </c>
      <c r="G233" t="b">
        <v>1</v>
      </c>
      <c r="H233">
        <f>Sensitivity!H13</f>
        <v/>
      </c>
    </row>
    <row r="234">
      <c r="A234" t="inlineStr">
        <is>
          <t>ALL</t>
        </is>
      </c>
      <c r="B234" t="inlineStr">
        <is>
          <t>unique</t>
        </is>
      </c>
      <c r="C234" t="n">
        <v>2</v>
      </c>
      <c r="D234" t="inlineStr">
        <is>
          <t>Max Damage Multiplier %</t>
        </is>
      </c>
      <c r="E234" t="n">
        <v>8</v>
      </c>
      <c r="F234" t="n">
        <v>3.04</v>
      </c>
      <c r="G234" t="b">
        <v>0</v>
      </c>
      <c r="H234">
        <f>Sensitivity!H14</f>
        <v/>
      </c>
    </row>
    <row r="235">
      <c r="A235" t="inlineStr">
        <is>
          <t>ALL</t>
        </is>
      </c>
      <c r="B235" t="inlineStr">
        <is>
          <t>unique</t>
        </is>
      </c>
      <c r="C235" t="n">
        <v>2</v>
      </c>
      <c r="D235" t="inlineStr">
        <is>
          <t>Max Damage Multiplier %</t>
        </is>
      </c>
      <c r="E235" t="n">
        <v>10</v>
      </c>
      <c r="F235" t="n">
        <v>0.96</v>
      </c>
      <c r="G235" t="b">
        <v>1</v>
      </c>
      <c r="H235">
        <f>Sensitivity!H14</f>
        <v/>
      </c>
    </row>
    <row r="236">
      <c r="A236" t="inlineStr">
        <is>
          <t>ALL</t>
        </is>
      </c>
      <c r="B236" t="inlineStr">
        <is>
          <t>unique</t>
        </is>
      </c>
      <c r="C236" t="n">
        <v>2</v>
      </c>
      <c r="D236" t="inlineStr">
        <is>
          <t>Str %</t>
        </is>
      </c>
      <c r="E236" t="n">
        <v>6</v>
      </c>
      <c r="F236" t="n">
        <v>3.42</v>
      </c>
      <c r="G236" t="b">
        <v>0</v>
      </c>
      <c r="H236" t="inlineStr">
        <is>
          <t>0</t>
        </is>
      </c>
    </row>
    <row r="237">
      <c r="A237" t="inlineStr">
        <is>
          <t>ALL</t>
        </is>
      </c>
      <c r="B237" t="inlineStr">
        <is>
          <t>unique</t>
        </is>
      </c>
      <c r="C237" t="n">
        <v>2</v>
      </c>
      <c r="D237" t="inlineStr">
        <is>
          <t>Str %</t>
        </is>
      </c>
      <c r="E237" t="n">
        <v>9</v>
      </c>
      <c r="F237" t="n">
        <v>1.08</v>
      </c>
      <c r="G237" t="b">
        <v>1</v>
      </c>
      <c r="H237" t="inlineStr">
        <is>
          <t>0</t>
        </is>
      </c>
    </row>
    <row r="238">
      <c r="A238" t="inlineStr">
        <is>
          <t>ALL</t>
        </is>
      </c>
      <c r="B238" t="inlineStr">
        <is>
          <t>unique</t>
        </is>
      </c>
      <c r="C238" t="n">
        <v>2</v>
      </c>
      <c r="D238" t="inlineStr">
        <is>
          <t>Dex %</t>
        </is>
      </c>
      <c r="E238" t="n">
        <v>6</v>
      </c>
      <c r="F238" t="n">
        <v>3.42</v>
      </c>
      <c r="G238" t="b">
        <v>0</v>
      </c>
      <c r="H238" t="inlineStr">
        <is>
          <t>0</t>
        </is>
      </c>
    </row>
    <row r="239">
      <c r="A239" t="inlineStr">
        <is>
          <t>ALL</t>
        </is>
      </c>
      <c r="B239" t="inlineStr">
        <is>
          <t>unique</t>
        </is>
      </c>
      <c r="C239" t="n">
        <v>2</v>
      </c>
      <c r="D239" t="inlineStr">
        <is>
          <t>Dex %</t>
        </is>
      </c>
      <c r="E239" t="n">
        <v>9</v>
      </c>
      <c r="F239" t="n">
        <v>1.08</v>
      </c>
      <c r="G239" t="b">
        <v>1</v>
      </c>
      <c r="H239" t="inlineStr">
        <is>
          <t>0</t>
        </is>
      </c>
    </row>
    <row r="240">
      <c r="A240" t="inlineStr">
        <is>
          <t>ALL</t>
        </is>
      </c>
      <c r="B240" t="inlineStr">
        <is>
          <t>unique</t>
        </is>
      </c>
      <c r="C240" t="n">
        <v>2</v>
      </c>
      <c r="D240" t="inlineStr">
        <is>
          <t>Int %</t>
        </is>
      </c>
      <c r="E240" t="n">
        <v>6</v>
      </c>
      <c r="F240" t="n">
        <v>3.42</v>
      </c>
      <c r="G240" t="b">
        <v>0</v>
      </c>
      <c r="H240" t="inlineStr">
        <is>
          <t>0</t>
        </is>
      </c>
    </row>
    <row r="241">
      <c r="A241" t="inlineStr">
        <is>
          <t>ALL</t>
        </is>
      </c>
      <c r="B241" t="inlineStr">
        <is>
          <t>unique</t>
        </is>
      </c>
      <c r="C241" t="n">
        <v>2</v>
      </c>
      <c r="D241" t="inlineStr">
        <is>
          <t>Int %</t>
        </is>
      </c>
      <c r="E241" t="n">
        <v>9</v>
      </c>
      <c r="F241" t="n">
        <v>1.08</v>
      </c>
      <c r="G241" t="b">
        <v>1</v>
      </c>
      <c r="H241" t="inlineStr">
        <is>
          <t>0</t>
        </is>
      </c>
    </row>
    <row r="242">
      <c r="A242" t="inlineStr">
        <is>
          <t>ALL</t>
        </is>
      </c>
      <c r="B242" t="inlineStr">
        <is>
          <t>unique</t>
        </is>
      </c>
      <c r="C242" t="n">
        <v>2</v>
      </c>
      <c r="D242" t="inlineStr">
        <is>
          <t>Luk %</t>
        </is>
      </c>
      <c r="E242" t="n">
        <v>6</v>
      </c>
      <c r="F242" t="n">
        <v>3.42</v>
      </c>
      <c r="G242" t="b">
        <v>0</v>
      </c>
      <c r="H242">
        <f>Sensitivity!H6</f>
        <v/>
      </c>
    </row>
    <row r="243">
      <c r="A243" t="inlineStr">
        <is>
          <t>ALL</t>
        </is>
      </c>
      <c r="B243" t="inlineStr">
        <is>
          <t>unique</t>
        </is>
      </c>
      <c r="C243" t="n">
        <v>2</v>
      </c>
      <c r="D243" t="inlineStr">
        <is>
          <t>Luk %</t>
        </is>
      </c>
      <c r="E243" t="n">
        <v>9</v>
      </c>
      <c r="F243" t="n">
        <v>1.08</v>
      </c>
      <c r="G243" t="b">
        <v>1</v>
      </c>
      <c r="H243">
        <f>Sensitivity!H6</f>
        <v/>
      </c>
    </row>
    <row r="244">
      <c r="A244" t="inlineStr">
        <is>
          <t>ALL</t>
        </is>
      </c>
      <c r="B244" t="inlineStr">
        <is>
          <t>unique</t>
        </is>
      </c>
      <c r="C244" t="n">
        <v>2</v>
      </c>
      <c r="D244" t="inlineStr">
        <is>
          <t>Defense %</t>
        </is>
      </c>
      <c r="E244" t="n">
        <v>6</v>
      </c>
      <c r="F244" t="n">
        <v>6.84</v>
      </c>
      <c r="G244" t="b">
        <v>0</v>
      </c>
      <c r="H244" t="inlineStr">
        <is>
          <t>0</t>
        </is>
      </c>
    </row>
    <row r="245">
      <c r="A245" t="inlineStr">
        <is>
          <t>ALL</t>
        </is>
      </c>
      <c r="B245" t="inlineStr">
        <is>
          <t>unique</t>
        </is>
      </c>
      <c r="C245" t="n">
        <v>2</v>
      </c>
      <c r="D245" t="inlineStr">
        <is>
          <t>Defense %</t>
        </is>
      </c>
      <c r="E245" t="n">
        <v>9</v>
      </c>
      <c r="F245" t="n">
        <v>2.16</v>
      </c>
      <c r="G245" t="b">
        <v>1</v>
      </c>
      <c r="H245" t="inlineStr">
        <is>
          <t>0</t>
        </is>
      </c>
    </row>
    <row r="246">
      <c r="A246" t="inlineStr">
        <is>
          <t>ALL</t>
        </is>
      </c>
      <c r="B246" t="inlineStr">
        <is>
          <t>unique</t>
        </is>
      </c>
      <c r="C246" t="n">
        <v>2</v>
      </c>
      <c r="D246" t="inlineStr">
        <is>
          <t>Max HP %</t>
        </is>
      </c>
      <c r="E246" t="n">
        <v>12</v>
      </c>
      <c r="F246" t="n">
        <v>6.84</v>
      </c>
      <c r="G246" t="b">
        <v>0</v>
      </c>
      <c r="H246" t="inlineStr">
        <is>
          <t>0</t>
        </is>
      </c>
    </row>
    <row r="247">
      <c r="A247" t="inlineStr">
        <is>
          <t>ALL</t>
        </is>
      </c>
      <c r="B247" t="inlineStr">
        <is>
          <t>unique</t>
        </is>
      </c>
      <c r="C247" t="n">
        <v>2</v>
      </c>
      <c r="D247" t="inlineStr">
        <is>
          <t>Max HP %</t>
        </is>
      </c>
      <c r="E247" t="n">
        <v>15</v>
      </c>
      <c r="F247" t="n">
        <v>2.16</v>
      </c>
      <c r="G247" t="b">
        <v>1</v>
      </c>
      <c r="H247" t="inlineStr">
        <is>
          <t>0</t>
        </is>
      </c>
    </row>
    <row r="248">
      <c r="A248" t="inlineStr">
        <is>
          <t>ALL</t>
        </is>
      </c>
      <c r="B248" t="inlineStr">
        <is>
          <t>unique</t>
        </is>
      </c>
      <c r="C248" t="n">
        <v>2</v>
      </c>
      <c r="D248" t="inlineStr">
        <is>
          <t>Max MP %</t>
        </is>
      </c>
      <c r="E248" t="n">
        <v>6</v>
      </c>
      <c r="F248" t="n">
        <v>6.84</v>
      </c>
      <c r="G248" t="b">
        <v>0</v>
      </c>
      <c r="H248" t="inlineStr">
        <is>
          <t>0</t>
        </is>
      </c>
    </row>
    <row r="249">
      <c r="A249" t="inlineStr">
        <is>
          <t>ALL</t>
        </is>
      </c>
      <c r="B249" t="inlineStr">
        <is>
          <t>unique</t>
        </is>
      </c>
      <c r="C249" t="n">
        <v>2</v>
      </c>
      <c r="D249" t="inlineStr">
        <is>
          <t>Max MP %</t>
        </is>
      </c>
      <c r="E249" t="n">
        <v>9</v>
      </c>
      <c r="F249" t="n">
        <v>2.16</v>
      </c>
      <c r="G249" t="b">
        <v>1</v>
      </c>
      <c r="H249" t="inlineStr">
        <is>
          <t>0</t>
        </is>
      </c>
    </row>
    <row r="250">
      <c r="A250" t="inlineStr">
        <is>
          <t>ALL</t>
        </is>
      </c>
      <c r="B250" t="inlineStr">
        <is>
          <t>unique</t>
        </is>
      </c>
      <c r="C250" t="n">
        <v>2</v>
      </c>
      <c r="D250" t="inlineStr">
        <is>
          <t>Str</t>
        </is>
      </c>
      <c r="E250" t="n">
        <v>200</v>
      </c>
      <c r="F250" t="n">
        <v>7.03</v>
      </c>
      <c r="G250" t="b">
        <v>0</v>
      </c>
      <c r="H250" t="inlineStr">
        <is>
          <t>0</t>
        </is>
      </c>
    </row>
    <row r="251">
      <c r="A251" t="inlineStr">
        <is>
          <t>ALL</t>
        </is>
      </c>
      <c r="B251" t="inlineStr">
        <is>
          <t>unique</t>
        </is>
      </c>
      <c r="C251" t="n">
        <v>2</v>
      </c>
      <c r="D251" t="inlineStr">
        <is>
          <t>Str</t>
        </is>
      </c>
      <c r="E251" t="n">
        <v>400</v>
      </c>
      <c r="F251" t="n">
        <v>2.22</v>
      </c>
      <c r="G251" t="b">
        <v>1</v>
      </c>
      <c r="H251" t="inlineStr">
        <is>
          <t>0</t>
        </is>
      </c>
    </row>
    <row r="252">
      <c r="A252" t="inlineStr">
        <is>
          <t>ALL</t>
        </is>
      </c>
      <c r="B252" t="inlineStr">
        <is>
          <t>unique</t>
        </is>
      </c>
      <c r="C252" t="n">
        <v>2</v>
      </c>
      <c r="D252" t="inlineStr">
        <is>
          <t>Dex</t>
        </is>
      </c>
      <c r="E252" t="n">
        <v>200</v>
      </c>
      <c r="F252" t="n">
        <v>7.03</v>
      </c>
      <c r="G252" t="b">
        <v>0</v>
      </c>
      <c r="H252" t="inlineStr">
        <is>
          <t>0</t>
        </is>
      </c>
    </row>
    <row r="253">
      <c r="A253" t="inlineStr">
        <is>
          <t>ALL</t>
        </is>
      </c>
      <c r="B253" t="inlineStr">
        <is>
          <t>unique</t>
        </is>
      </c>
      <c r="C253" t="n">
        <v>2</v>
      </c>
      <c r="D253" t="inlineStr">
        <is>
          <t>Dex</t>
        </is>
      </c>
      <c r="E253" t="n">
        <v>400</v>
      </c>
      <c r="F253" t="n">
        <v>2.22</v>
      </c>
      <c r="G253" t="b">
        <v>1</v>
      </c>
      <c r="H253" t="inlineStr">
        <is>
          <t>0</t>
        </is>
      </c>
    </row>
    <row r="254">
      <c r="A254" t="inlineStr">
        <is>
          <t>ALL</t>
        </is>
      </c>
      <c r="B254" t="inlineStr">
        <is>
          <t>unique</t>
        </is>
      </c>
      <c r="C254" t="n">
        <v>2</v>
      </c>
      <c r="D254" t="inlineStr">
        <is>
          <t>Int</t>
        </is>
      </c>
      <c r="E254" t="n">
        <v>200</v>
      </c>
      <c r="F254" t="n">
        <v>7.03</v>
      </c>
      <c r="G254" t="b">
        <v>0</v>
      </c>
      <c r="H254" t="inlineStr">
        <is>
          <t>0</t>
        </is>
      </c>
    </row>
    <row r="255">
      <c r="A255" t="inlineStr">
        <is>
          <t>ALL</t>
        </is>
      </c>
      <c r="B255" t="inlineStr">
        <is>
          <t>unique</t>
        </is>
      </c>
      <c r="C255" t="n">
        <v>2</v>
      </c>
      <c r="D255" t="inlineStr">
        <is>
          <t>Int</t>
        </is>
      </c>
      <c r="E255" t="n">
        <v>400</v>
      </c>
      <c r="F255" t="n">
        <v>2.22</v>
      </c>
      <c r="G255" t="b">
        <v>1</v>
      </c>
      <c r="H255" t="inlineStr">
        <is>
          <t>0</t>
        </is>
      </c>
    </row>
    <row r="256">
      <c r="A256" t="inlineStr">
        <is>
          <t>ALL</t>
        </is>
      </c>
      <c r="B256" t="inlineStr">
        <is>
          <t>unique</t>
        </is>
      </c>
      <c r="C256" t="n">
        <v>2</v>
      </c>
      <c r="D256" t="inlineStr">
        <is>
          <t>Luk</t>
        </is>
      </c>
      <c r="E256" t="n">
        <v>200</v>
      </c>
      <c r="F256" t="n">
        <v>7.03</v>
      </c>
      <c r="G256" t="b">
        <v>0</v>
      </c>
      <c r="H256">
        <f>Sensitivity!H5</f>
        <v/>
      </c>
    </row>
    <row r="257">
      <c r="A257" t="inlineStr">
        <is>
          <t>ALL</t>
        </is>
      </c>
      <c r="B257" t="inlineStr">
        <is>
          <t>unique</t>
        </is>
      </c>
      <c r="C257" t="n">
        <v>2</v>
      </c>
      <c r="D257" t="inlineStr">
        <is>
          <t>Luk</t>
        </is>
      </c>
      <c r="E257" t="n">
        <v>400</v>
      </c>
      <c r="F257" t="n">
        <v>2.22</v>
      </c>
      <c r="G257" t="b">
        <v>1</v>
      </c>
      <c r="H257">
        <f>Sensitivity!H5</f>
        <v/>
      </c>
    </row>
    <row r="258">
      <c r="A258" t="inlineStr">
        <is>
          <t>ALL</t>
        </is>
      </c>
      <c r="B258" t="inlineStr">
        <is>
          <t>unique</t>
        </is>
      </c>
      <c r="C258" t="n">
        <v>3</v>
      </c>
      <c r="D258" t="inlineStr">
        <is>
          <t>Critical Rate %</t>
        </is>
      </c>
      <c r="E258" t="n">
        <v>6</v>
      </c>
      <c r="F258" t="n">
        <v>2.3</v>
      </c>
      <c r="G258" t="b">
        <v>0</v>
      </c>
      <c r="H258">
        <f>IF(Inputs!$B$9&gt;=100,Sensitivity!H16,Sensitivity!H15)</f>
        <v/>
      </c>
    </row>
    <row r="259">
      <c r="A259" t="inlineStr">
        <is>
          <t>ALL</t>
        </is>
      </c>
      <c r="B259" t="inlineStr">
        <is>
          <t>unique</t>
        </is>
      </c>
      <c r="C259" t="n">
        <v>3</v>
      </c>
      <c r="D259" t="inlineStr">
        <is>
          <t>Critical Rate %</t>
        </is>
      </c>
      <c r="E259" t="n">
        <v>9</v>
      </c>
      <c r="F259" t="n">
        <v>0.2</v>
      </c>
      <c r="G259" t="b">
        <v>1</v>
      </c>
      <c r="H259">
        <f>IF(Inputs!$B$9&gt;=100,Sensitivity!H16,Sensitivity!H15)</f>
        <v/>
      </c>
    </row>
    <row r="260">
      <c r="A260" t="inlineStr">
        <is>
          <t>ALL</t>
        </is>
      </c>
      <c r="B260" t="inlineStr">
        <is>
          <t>unique</t>
        </is>
      </c>
      <c r="C260" t="n">
        <v>3</v>
      </c>
      <c r="D260" t="inlineStr">
        <is>
          <t>Attack Speed %</t>
        </is>
      </c>
      <c r="E260" t="n">
        <v>4</v>
      </c>
      <c r="F260" t="n">
        <v>2.3</v>
      </c>
      <c r="G260" t="b">
        <v>0</v>
      </c>
      <c r="H260">
        <f>Sensitivity!H17</f>
        <v/>
      </c>
    </row>
    <row r="261">
      <c r="A261" t="inlineStr">
        <is>
          <t>ALL</t>
        </is>
      </c>
      <c r="B261" t="inlineStr">
        <is>
          <t>unique</t>
        </is>
      </c>
      <c r="C261" t="n">
        <v>3</v>
      </c>
      <c r="D261" t="inlineStr">
        <is>
          <t>Attack Speed %</t>
        </is>
      </c>
      <c r="E261" t="n">
        <v>5</v>
      </c>
      <c r="F261" t="n">
        <v>0.2</v>
      </c>
      <c r="G261" t="b">
        <v>1</v>
      </c>
      <c r="H261">
        <f>Sensitivity!H17</f>
        <v/>
      </c>
    </row>
    <row r="262">
      <c r="A262" t="inlineStr">
        <is>
          <t>ALL</t>
        </is>
      </c>
      <c r="B262" t="inlineStr">
        <is>
          <t>unique</t>
        </is>
      </c>
      <c r="C262" t="n">
        <v>3</v>
      </c>
      <c r="D262" t="inlineStr">
        <is>
          <t>Damage %</t>
        </is>
      </c>
      <c r="E262" t="n">
        <v>12</v>
      </c>
      <c r="F262" t="n">
        <v>3.68</v>
      </c>
      <c r="G262" t="b">
        <v>0</v>
      </c>
      <c r="H262">
        <f>Sensitivity!H8</f>
        <v/>
      </c>
    </row>
    <row r="263">
      <c r="A263" t="inlineStr">
        <is>
          <t>ALL</t>
        </is>
      </c>
      <c r="B263" t="inlineStr">
        <is>
          <t>unique</t>
        </is>
      </c>
      <c r="C263" t="n">
        <v>3</v>
      </c>
      <c r="D263" t="inlineStr">
        <is>
          <t>Damage %</t>
        </is>
      </c>
      <c r="E263" t="n">
        <v>18</v>
      </c>
      <c r="F263" t="n">
        <v>0.32</v>
      </c>
      <c r="G263" t="b">
        <v>1</v>
      </c>
      <c r="H263">
        <f>Sensitivity!H8</f>
        <v/>
      </c>
    </row>
    <row r="264">
      <c r="A264" t="inlineStr">
        <is>
          <t>ALL</t>
        </is>
      </c>
      <c r="B264" t="inlineStr">
        <is>
          <t>unique</t>
        </is>
      </c>
      <c r="C264" t="n">
        <v>3</v>
      </c>
      <c r="D264" t="inlineStr">
        <is>
          <t>Min Damage Multiplier %</t>
        </is>
      </c>
      <c r="E264" t="n">
        <v>8</v>
      </c>
      <c r="F264" t="n">
        <v>3.68</v>
      </c>
      <c r="G264" t="b">
        <v>0</v>
      </c>
      <c r="H264">
        <f>Sensitivity!H13</f>
        <v/>
      </c>
    </row>
    <row r="265">
      <c r="A265" t="inlineStr">
        <is>
          <t>ALL</t>
        </is>
      </c>
      <c r="B265" t="inlineStr">
        <is>
          <t>unique</t>
        </is>
      </c>
      <c r="C265" t="n">
        <v>3</v>
      </c>
      <c r="D265" t="inlineStr">
        <is>
          <t>Min Damage Multiplier %</t>
        </is>
      </c>
      <c r="E265" t="n">
        <v>10</v>
      </c>
      <c r="F265" t="n">
        <v>0.32</v>
      </c>
      <c r="G265" t="b">
        <v>1</v>
      </c>
      <c r="H265">
        <f>Sensitivity!H13</f>
        <v/>
      </c>
    </row>
    <row r="266">
      <c r="A266" t="inlineStr">
        <is>
          <t>ALL</t>
        </is>
      </c>
      <c r="B266" t="inlineStr">
        <is>
          <t>unique</t>
        </is>
      </c>
      <c r="C266" t="n">
        <v>3</v>
      </c>
      <c r="D266" t="inlineStr">
        <is>
          <t>Max Damage Multiplier %</t>
        </is>
      </c>
      <c r="E266" t="n">
        <v>8</v>
      </c>
      <c r="F266" t="n">
        <v>3.68</v>
      </c>
      <c r="G266" t="b">
        <v>0</v>
      </c>
      <c r="H266">
        <f>Sensitivity!H14</f>
        <v/>
      </c>
    </row>
    <row r="267">
      <c r="A267" t="inlineStr">
        <is>
          <t>ALL</t>
        </is>
      </c>
      <c r="B267" t="inlineStr">
        <is>
          <t>unique</t>
        </is>
      </c>
      <c r="C267" t="n">
        <v>3</v>
      </c>
      <c r="D267" t="inlineStr">
        <is>
          <t>Max Damage Multiplier %</t>
        </is>
      </c>
      <c r="E267" t="n">
        <v>10</v>
      </c>
      <c r="F267" t="n">
        <v>0.32</v>
      </c>
      <c r="G267" t="b">
        <v>1</v>
      </c>
      <c r="H267">
        <f>Sensitivity!H14</f>
        <v/>
      </c>
    </row>
    <row r="268">
      <c r="A268" t="inlineStr">
        <is>
          <t>ALL</t>
        </is>
      </c>
      <c r="B268" t="inlineStr">
        <is>
          <t>unique</t>
        </is>
      </c>
      <c r="C268" t="n">
        <v>3</v>
      </c>
      <c r="D268" t="inlineStr">
        <is>
          <t>Str %</t>
        </is>
      </c>
      <c r="E268" t="n">
        <v>6</v>
      </c>
      <c r="F268" t="n">
        <v>4.14</v>
      </c>
      <c r="G268" t="b">
        <v>0</v>
      </c>
      <c r="H268" t="inlineStr">
        <is>
          <t>0</t>
        </is>
      </c>
    </row>
    <row r="269">
      <c r="A269" t="inlineStr">
        <is>
          <t>ALL</t>
        </is>
      </c>
      <c r="B269" t="inlineStr">
        <is>
          <t>unique</t>
        </is>
      </c>
      <c r="C269" t="n">
        <v>3</v>
      </c>
      <c r="D269" t="inlineStr">
        <is>
          <t>Str %</t>
        </is>
      </c>
      <c r="E269" t="n">
        <v>9</v>
      </c>
      <c r="F269" t="n">
        <v>0.36</v>
      </c>
      <c r="G269" t="b">
        <v>1</v>
      </c>
      <c r="H269" t="inlineStr">
        <is>
          <t>0</t>
        </is>
      </c>
    </row>
    <row r="270">
      <c r="A270" t="inlineStr">
        <is>
          <t>ALL</t>
        </is>
      </c>
      <c r="B270" t="inlineStr">
        <is>
          <t>unique</t>
        </is>
      </c>
      <c r="C270" t="n">
        <v>3</v>
      </c>
      <c r="D270" t="inlineStr">
        <is>
          <t>Dex %</t>
        </is>
      </c>
      <c r="E270" t="n">
        <v>6</v>
      </c>
      <c r="F270" t="n">
        <v>4.14</v>
      </c>
      <c r="G270" t="b">
        <v>0</v>
      </c>
      <c r="H270" t="inlineStr">
        <is>
          <t>0</t>
        </is>
      </c>
    </row>
    <row r="271">
      <c r="A271" t="inlineStr">
        <is>
          <t>ALL</t>
        </is>
      </c>
      <c r="B271" t="inlineStr">
        <is>
          <t>unique</t>
        </is>
      </c>
      <c r="C271" t="n">
        <v>3</v>
      </c>
      <c r="D271" t="inlineStr">
        <is>
          <t>Dex %</t>
        </is>
      </c>
      <c r="E271" t="n">
        <v>9</v>
      </c>
      <c r="F271" t="n">
        <v>0.36</v>
      </c>
      <c r="G271" t="b">
        <v>1</v>
      </c>
      <c r="H271" t="inlineStr">
        <is>
          <t>0</t>
        </is>
      </c>
    </row>
    <row r="272">
      <c r="A272" t="inlineStr">
        <is>
          <t>ALL</t>
        </is>
      </c>
      <c r="B272" t="inlineStr">
        <is>
          <t>unique</t>
        </is>
      </c>
      <c r="C272" t="n">
        <v>3</v>
      </c>
      <c r="D272" t="inlineStr">
        <is>
          <t>Int %</t>
        </is>
      </c>
      <c r="E272" t="n">
        <v>6</v>
      </c>
      <c r="F272" t="n">
        <v>4.14</v>
      </c>
      <c r="G272" t="b">
        <v>0</v>
      </c>
      <c r="H272" t="inlineStr">
        <is>
          <t>0</t>
        </is>
      </c>
    </row>
    <row r="273">
      <c r="A273" t="inlineStr">
        <is>
          <t>ALL</t>
        </is>
      </c>
      <c r="B273" t="inlineStr">
        <is>
          <t>unique</t>
        </is>
      </c>
      <c r="C273" t="n">
        <v>3</v>
      </c>
      <c r="D273" t="inlineStr">
        <is>
          <t>Int %</t>
        </is>
      </c>
      <c r="E273" t="n">
        <v>9</v>
      </c>
      <c r="F273" t="n">
        <v>0.36</v>
      </c>
      <c r="G273" t="b">
        <v>1</v>
      </c>
      <c r="H273" t="inlineStr">
        <is>
          <t>0</t>
        </is>
      </c>
    </row>
    <row r="274">
      <c r="A274" t="inlineStr">
        <is>
          <t>ALL</t>
        </is>
      </c>
      <c r="B274" t="inlineStr">
        <is>
          <t>unique</t>
        </is>
      </c>
      <c r="C274" t="n">
        <v>3</v>
      </c>
      <c r="D274" t="inlineStr">
        <is>
          <t>Luk %</t>
        </is>
      </c>
      <c r="E274" t="n">
        <v>6</v>
      </c>
      <c r="F274" t="n">
        <v>4.14</v>
      </c>
      <c r="G274" t="b">
        <v>0</v>
      </c>
      <c r="H274">
        <f>Sensitivity!H6</f>
        <v/>
      </c>
    </row>
    <row r="275">
      <c r="A275" t="inlineStr">
        <is>
          <t>ALL</t>
        </is>
      </c>
      <c r="B275" t="inlineStr">
        <is>
          <t>unique</t>
        </is>
      </c>
      <c r="C275" t="n">
        <v>3</v>
      </c>
      <c r="D275" t="inlineStr">
        <is>
          <t>Luk %</t>
        </is>
      </c>
      <c r="E275" t="n">
        <v>9</v>
      </c>
      <c r="F275" t="n">
        <v>0.36</v>
      </c>
      <c r="G275" t="b">
        <v>1</v>
      </c>
      <c r="H275">
        <f>Sensitivity!H6</f>
        <v/>
      </c>
    </row>
    <row r="276">
      <c r="A276" t="inlineStr">
        <is>
          <t>ALL</t>
        </is>
      </c>
      <c r="B276" t="inlineStr">
        <is>
          <t>unique</t>
        </is>
      </c>
      <c r="C276" t="n">
        <v>3</v>
      </c>
      <c r="D276" t="inlineStr">
        <is>
          <t>Defense %</t>
        </is>
      </c>
      <c r="E276" t="n">
        <v>6</v>
      </c>
      <c r="F276" t="n">
        <v>8.279999999999999</v>
      </c>
      <c r="G276" t="b">
        <v>0</v>
      </c>
      <c r="H276" t="inlineStr">
        <is>
          <t>0</t>
        </is>
      </c>
    </row>
    <row r="277">
      <c r="A277" t="inlineStr">
        <is>
          <t>ALL</t>
        </is>
      </c>
      <c r="B277" t="inlineStr">
        <is>
          <t>unique</t>
        </is>
      </c>
      <c r="C277" t="n">
        <v>3</v>
      </c>
      <c r="D277" t="inlineStr">
        <is>
          <t>Defense %</t>
        </is>
      </c>
      <c r="E277" t="n">
        <v>9</v>
      </c>
      <c r="F277" t="n">
        <v>0.72</v>
      </c>
      <c r="G277" t="b">
        <v>1</v>
      </c>
      <c r="H277" t="inlineStr">
        <is>
          <t>0</t>
        </is>
      </c>
    </row>
    <row r="278">
      <c r="A278" t="inlineStr">
        <is>
          <t>ALL</t>
        </is>
      </c>
      <c r="B278" t="inlineStr">
        <is>
          <t>unique</t>
        </is>
      </c>
      <c r="C278" t="n">
        <v>3</v>
      </c>
      <c r="D278" t="inlineStr">
        <is>
          <t>Max HP %</t>
        </is>
      </c>
      <c r="E278" t="n">
        <v>12</v>
      </c>
      <c r="F278" t="n">
        <v>8.279999999999999</v>
      </c>
      <c r="G278" t="b">
        <v>0</v>
      </c>
      <c r="H278" t="inlineStr">
        <is>
          <t>0</t>
        </is>
      </c>
    </row>
    <row r="279">
      <c r="A279" t="inlineStr">
        <is>
          <t>ALL</t>
        </is>
      </c>
      <c r="B279" t="inlineStr">
        <is>
          <t>unique</t>
        </is>
      </c>
      <c r="C279" t="n">
        <v>3</v>
      </c>
      <c r="D279" t="inlineStr">
        <is>
          <t>Max HP %</t>
        </is>
      </c>
      <c r="E279" t="n">
        <v>15</v>
      </c>
      <c r="F279" t="n">
        <v>0.72</v>
      </c>
      <c r="G279" t="b">
        <v>1</v>
      </c>
      <c r="H279" t="inlineStr">
        <is>
          <t>0</t>
        </is>
      </c>
    </row>
    <row r="280">
      <c r="A280" t="inlineStr">
        <is>
          <t>ALL</t>
        </is>
      </c>
      <c r="B280" t="inlineStr">
        <is>
          <t>unique</t>
        </is>
      </c>
      <c r="C280" t="n">
        <v>3</v>
      </c>
      <c r="D280" t="inlineStr">
        <is>
          <t>Max MP %</t>
        </is>
      </c>
      <c r="E280" t="n">
        <v>6</v>
      </c>
      <c r="F280" t="n">
        <v>8.279999999999999</v>
      </c>
      <c r="G280" t="b">
        <v>0</v>
      </c>
      <c r="H280" t="inlineStr">
        <is>
          <t>0</t>
        </is>
      </c>
    </row>
    <row r="281">
      <c r="A281" t="inlineStr">
        <is>
          <t>ALL</t>
        </is>
      </c>
      <c r="B281" t="inlineStr">
        <is>
          <t>unique</t>
        </is>
      </c>
      <c r="C281" t="n">
        <v>3</v>
      </c>
      <c r="D281" t="inlineStr">
        <is>
          <t>Max MP %</t>
        </is>
      </c>
      <c r="E281" t="n">
        <v>9</v>
      </c>
      <c r="F281" t="n">
        <v>0.72</v>
      </c>
      <c r="G281" t="b">
        <v>1</v>
      </c>
      <c r="H281" t="inlineStr">
        <is>
          <t>0</t>
        </is>
      </c>
    </row>
    <row r="282">
      <c r="A282" t="inlineStr">
        <is>
          <t>ALL</t>
        </is>
      </c>
      <c r="B282" t="inlineStr">
        <is>
          <t>unique</t>
        </is>
      </c>
      <c r="C282" t="n">
        <v>3</v>
      </c>
      <c r="D282" t="inlineStr">
        <is>
          <t>Str</t>
        </is>
      </c>
      <c r="E282" t="n">
        <v>200</v>
      </c>
      <c r="F282" t="n">
        <v>8.51</v>
      </c>
      <c r="G282" t="b">
        <v>0</v>
      </c>
      <c r="H282" t="inlineStr">
        <is>
          <t>0</t>
        </is>
      </c>
    </row>
    <row r="283">
      <c r="A283" t="inlineStr">
        <is>
          <t>ALL</t>
        </is>
      </c>
      <c r="B283" t="inlineStr">
        <is>
          <t>unique</t>
        </is>
      </c>
      <c r="C283" t="n">
        <v>3</v>
      </c>
      <c r="D283" t="inlineStr">
        <is>
          <t>Str</t>
        </is>
      </c>
      <c r="E283" t="n">
        <v>400</v>
      </c>
      <c r="F283" t="n">
        <v>0.74</v>
      </c>
      <c r="G283" t="b">
        <v>1</v>
      </c>
      <c r="H283" t="inlineStr">
        <is>
          <t>0</t>
        </is>
      </c>
    </row>
    <row r="284">
      <c r="A284" t="inlineStr">
        <is>
          <t>ALL</t>
        </is>
      </c>
      <c r="B284" t="inlineStr">
        <is>
          <t>unique</t>
        </is>
      </c>
      <c r="C284" t="n">
        <v>3</v>
      </c>
      <c r="D284" t="inlineStr">
        <is>
          <t>Dex</t>
        </is>
      </c>
      <c r="E284" t="n">
        <v>200</v>
      </c>
      <c r="F284" t="n">
        <v>8.51</v>
      </c>
      <c r="G284" t="b">
        <v>0</v>
      </c>
      <c r="H284" t="inlineStr">
        <is>
          <t>0</t>
        </is>
      </c>
    </row>
    <row r="285">
      <c r="A285" t="inlineStr">
        <is>
          <t>ALL</t>
        </is>
      </c>
      <c r="B285" t="inlineStr">
        <is>
          <t>unique</t>
        </is>
      </c>
      <c r="C285" t="n">
        <v>3</v>
      </c>
      <c r="D285" t="inlineStr">
        <is>
          <t>Dex</t>
        </is>
      </c>
      <c r="E285" t="n">
        <v>400</v>
      </c>
      <c r="F285" t="n">
        <v>0.74</v>
      </c>
      <c r="G285" t="b">
        <v>1</v>
      </c>
      <c r="H285" t="inlineStr">
        <is>
          <t>0</t>
        </is>
      </c>
    </row>
    <row r="286">
      <c r="A286" t="inlineStr">
        <is>
          <t>ALL</t>
        </is>
      </c>
      <c r="B286" t="inlineStr">
        <is>
          <t>unique</t>
        </is>
      </c>
      <c r="C286" t="n">
        <v>3</v>
      </c>
      <c r="D286" t="inlineStr">
        <is>
          <t>Int</t>
        </is>
      </c>
      <c r="E286" t="n">
        <v>200</v>
      </c>
      <c r="F286" t="n">
        <v>8.51</v>
      </c>
      <c r="G286" t="b">
        <v>0</v>
      </c>
      <c r="H286" t="inlineStr">
        <is>
          <t>0</t>
        </is>
      </c>
    </row>
    <row r="287">
      <c r="A287" t="inlineStr">
        <is>
          <t>ALL</t>
        </is>
      </c>
      <c r="B287" t="inlineStr">
        <is>
          <t>unique</t>
        </is>
      </c>
      <c r="C287" t="n">
        <v>3</v>
      </c>
      <c r="D287" t="inlineStr">
        <is>
          <t>Int</t>
        </is>
      </c>
      <c r="E287" t="n">
        <v>400</v>
      </c>
      <c r="F287" t="n">
        <v>0.74</v>
      </c>
      <c r="G287" t="b">
        <v>1</v>
      </c>
      <c r="H287" t="inlineStr">
        <is>
          <t>0</t>
        </is>
      </c>
    </row>
    <row r="288">
      <c r="A288" t="inlineStr">
        <is>
          <t>ALL</t>
        </is>
      </c>
      <c r="B288" t="inlineStr">
        <is>
          <t>unique</t>
        </is>
      </c>
      <c r="C288" t="n">
        <v>3</v>
      </c>
      <c r="D288" t="inlineStr">
        <is>
          <t>Luk</t>
        </is>
      </c>
      <c r="E288" t="n">
        <v>200</v>
      </c>
      <c r="F288" t="n">
        <v>8.51</v>
      </c>
      <c r="G288" t="b">
        <v>0</v>
      </c>
      <c r="H288">
        <f>Sensitivity!H5</f>
        <v/>
      </c>
    </row>
    <row r="289">
      <c r="A289" t="inlineStr">
        <is>
          <t>ALL</t>
        </is>
      </c>
      <c r="B289" t="inlineStr">
        <is>
          <t>unique</t>
        </is>
      </c>
      <c r="C289" t="n">
        <v>3</v>
      </c>
      <c r="D289" t="inlineStr">
        <is>
          <t>Luk</t>
        </is>
      </c>
      <c r="E289" t="n">
        <v>400</v>
      </c>
      <c r="F289" t="n">
        <v>0.74</v>
      </c>
      <c r="G289" t="b">
        <v>1</v>
      </c>
      <c r="H289">
        <f>Sensitivity!H5</f>
        <v/>
      </c>
    </row>
    <row r="290">
      <c r="A290" t="inlineStr">
        <is>
          <t>ALL</t>
        </is>
      </c>
      <c r="B290" t="inlineStr">
        <is>
          <t>legendary</t>
        </is>
      </c>
      <c r="C290" t="n">
        <v>1</v>
      </c>
      <c r="D290" t="inlineStr">
        <is>
          <t>Critical Rate %</t>
        </is>
      </c>
      <c r="E290" t="n">
        <v>12</v>
      </c>
      <c r="F290" t="n">
        <v>2.5</v>
      </c>
      <c r="G290" t="b">
        <v>0</v>
      </c>
      <c r="H290">
        <f>IF(Inputs!$B$9&gt;=100,Sensitivity!H16,Sensitivity!H15)</f>
        <v/>
      </c>
    </row>
    <row r="291">
      <c r="A291" t="inlineStr">
        <is>
          <t>ALL</t>
        </is>
      </c>
      <c r="B291" t="inlineStr">
        <is>
          <t>legendary</t>
        </is>
      </c>
      <c r="C291" t="n">
        <v>1</v>
      </c>
      <c r="D291" t="inlineStr">
        <is>
          <t>Attack Speed %</t>
        </is>
      </c>
      <c r="E291" t="n">
        <v>7</v>
      </c>
      <c r="F291" t="n">
        <v>2.5</v>
      </c>
      <c r="G291" t="b">
        <v>0</v>
      </c>
      <c r="H291">
        <f>Sensitivity!H17</f>
        <v/>
      </c>
    </row>
    <row r="292">
      <c r="A292" t="inlineStr">
        <is>
          <t>ALL</t>
        </is>
      </c>
      <c r="B292" t="inlineStr">
        <is>
          <t>legendary</t>
        </is>
      </c>
      <c r="C292" t="n">
        <v>1</v>
      </c>
      <c r="D292" t="inlineStr">
        <is>
          <t>Damage %</t>
        </is>
      </c>
      <c r="E292" t="n">
        <v>25</v>
      </c>
      <c r="F292" t="n">
        <v>4</v>
      </c>
      <c r="G292" t="b">
        <v>0</v>
      </c>
      <c r="H292">
        <f>Sensitivity!H8</f>
        <v/>
      </c>
    </row>
    <row r="293">
      <c r="A293" t="inlineStr">
        <is>
          <t>ALL</t>
        </is>
      </c>
      <c r="B293" t="inlineStr">
        <is>
          <t>legendary</t>
        </is>
      </c>
      <c r="C293" t="n">
        <v>1</v>
      </c>
      <c r="D293" t="inlineStr">
        <is>
          <t>Min Damage Multiplier %</t>
        </is>
      </c>
      <c r="E293" t="n">
        <v>15</v>
      </c>
      <c r="F293" t="n">
        <v>4</v>
      </c>
      <c r="G293" t="b">
        <v>0</v>
      </c>
      <c r="H293">
        <f>Sensitivity!H13</f>
        <v/>
      </c>
    </row>
    <row r="294">
      <c r="A294" t="inlineStr">
        <is>
          <t>ALL</t>
        </is>
      </c>
      <c r="B294" t="inlineStr">
        <is>
          <t>legendary</t>
        </is>
      </c>
      <c r="C294" t="n">
        <v>1</v>
      </c>
      <c r="D294" t="inlineStr">
        <is>
          <t>Max Damage Multiplier %</t>
        </is>
      </c>
      <c r="E294" t="n">
        <v>15</v>
      </c>
      <c r="F294" t="n">
        <v>4</v>
      </c>
      <c r="G294" t="b">
        <v>0</v>
      </c>
      <c r="H294">
        <f>Sensitivity!H14</f>
        <v/>
      </c>
    </row>
    <row r="295">
      <c r="A295" t="inlineStr">
        <is>
          <t>ALL</t>
        </is>
      </c>
      <c r="B295" t="inlineStr">
        <is>
          <t>legendary</t>
        </is>
      </c>
      <c r="C295" t="n">
        <v>1</v>
      </c>
      <c r="D295" t="inlineStr">
        <is>
          <t>Str %</t>
        </is>
      </c>
      <c r="E295" t="n">
        <v>12</v>
      </c>
      <c r="F295" t="n">
        <v>4.5</v>
      </c>
      <c r="G295" t="b">
        <v>0</v>
      </c>
      <c r="H295" t="inlineStr">
        <is>
          <t>0</t>
        </is>
      </c>
    </row>
    <row r="296">
      <c r="A296" t="inlineStr">
        <is>
          <t>ALL</t>
        </is>
      </c>
      <c r="B296" t="inlineStr">
        <is>
          <t>legendary</t>
        </is>
      </c>
      <c r="C296" t="n">
        <v>1</v>
      </c>
      <c r="D296" t="inlineStr">
        <is>
          <t>Dex %</t>
        </is>
      </c>
      <c r="E296" t="n">
        <v>12</v>
      </c>
      <c r="F296" t="n">
        <v>4.5</v>
      </c>
      <c r="G296" t="b">
        <v>0</v>
      </c>
      <c r="H296" t="inlineStr">
        <is>
          <t>0</t>
        </is>
      </c>
    </row>
    <row r="297">
      <c r="A297" t="inlineStr">
        <is>
          <t>ALL</t>
        </is>
      </c>
      <c r="B297" t="inlineStr">
        <is>
          <t>legendary</t>
        </is>
      </c>
      <c r="C297" t="n">
        <v>1</v>
      </c>
      <c r="D297" t="inlineStr">
        <is>
          <t>Int %</t>
        </is>
      </c>
      <c r="E297" t="n">
        <v>12</v>
      </c>
      <c r="F297" t="n">
        <v>4.5</v>
      </c>
      <c r="G297" t="b">
        <v>0</v>
      </c>
      <c r="H297" t="inlineStr">
        <is>
          <t>0</t>
        </is>
      </c>
    </row>
    <row r="298">
      <c r="A298" t="inlineStr">
        <is>
          <t>ALL</t>
        </is>
      </c>
      <c r="B298" t="inlineStr">
        <is>
          <t>legendary</t>
        </is>
      </c>
      <c r="C298" t="n">
        <v>1</v>
      </c>
      <c r="D298" t="inlineStr">
        <is>
          <t>Luk %</t>
        </is>
      </c>
      <c r="E298" t="n">
        <v>12</v>
      </c>
      <c r="F298" t="n">
        <v>4.5</v>
      </c>
      <c r="G298" t="b">
        <v>0</v>
      </c>
      <c r="H298">
        <f>Sensitivity!H6</f>
        <v/>
      </c>
    </row>
    <row r="299">
      <c r="A299" t="inlineStr">
        <is>
          <t>ALL</t>
        </is>
      </c>
      <c r="B299" t="inlineStr">
        <is>
          <t>legendary</t>
        </is>
      </c>
      <c r="C299" t="n">
        <v>1</v>
      </c>
      <c r="D299" t="inlineStr">
        <is>
          <t>Defense %</t>
        </is>
      </c>
      <c r="E299" t="n">
        <v>12</v>
      </c>
      <c r="F299" t="n">
        <v>9</v>
      </c>
      <c r="G299" t="b">
        <v>0</v>
      </c>
      <c r="H299" t="inlineStr">
        <is>
          <t>0</t>
        </is>
      </c>
    </row>
    <row r="300">
      <c r="A300" t="inlineStr">
        <is>
          <t>ALL</t>
        </is>
      </c>
      <c r="B300" t="inlineStr">
        <is>
          <t>legendary</t>
        </is>
      </c>
      <c r="C300" t="n">
        <v>1</v>
      </c>
      <c r="D300" t="inlineStr">
        <is>
          <t>Max HP %</t>
        </is>
      </c>
      <c r="E300" t="n">
        <v>20</v>
      </c>
      <c r="F300" t="n">
        <v>9</v>
      </c>
      <c r="G300" t="b">
        <v>0</v>
      </c>
      <c r="H300" t="inlineStr">
        <is>
          <t>0</t>
        </is>
      </c>
    </row>
    <row r="301">
      <c r="A301" t="inlineStr">
        <is>
          <t>ALL</t>
        </is>
      </c>
      <c r="B301" t="inlineStr">
        <is>
          <t>legendary</t>
        </is>
      </c>
      <c r="C301" t="n">
        <v>1</v>
      </c>
      <c r="D301" t="inlineStr">
        <is>
          <t>Max MP %</t>
        </is>
      </c>
      <c r="E301" t="n">
        <v>12</v>
      </c>
      <c r="F301" t="n">
        <v>9</v>
      </c>
      <c r="G301" t="b">
        <v>0</v>
      </c>
      <c r="H301" t="inlineStr">
        <is>
          <t>0</t>
        </is>
      </c>
    </row>
    <row r="302">
      <c r="A302" t="inlineStr">
        <is>
          <t>ALL</t>
        </is>
      </c>
      <c r="B302" t="inlineStr">
        <is>
          <t>legendary</t>
        </is>
      </c>
      <c r="C302" t="n">
        <v>1</v>
      </c>
      <c r="D302" t="inlineStr">
        <is>
          <t>Str</t>
        </is>
      </c>
      <c r="E302" t="n">
        <v>600</v>
      </c>
      <c r="F302" t="n">
        <v>9.25</v>
      </c>
      <c r="G302" t="b">
        <v>0</v>
      </c>
      <c r="H302" t="inlineStr">
        <is>
          <t>0</t>
        </is>
      </c>
    </row>
    <row r="303">
      <c r="A303" t="inlineStr">
        <is>
          <t>ALL</t>
        </is>
      </c>
      <c r="B303" t="inlineStr">
        <is>
          <t>legendary</t>
        </is>
      </c>
      <c r="C303" t="n">
        <v>1</v>
      </c>
      <c r="D303" t="inlineStr">
        <is>
          <t>Dex</t>
        </is>
      </c>
      <c r="E303" t="n">
        <v>600</v>
      </c>
      <c r="F303" t="n">
        <v>9.25</v>
      </c>
      <c r="G303" t="b">
        <v>0</v>
      </c>
      <c r="H303" t="inlineStr">
        <is>
          <t>0</t>
        </is>
      </c>
    </row>
    <row r="304">
      <c r="A304" t="inlineStr">
        <is>
          <t>ALL</t>
        </is>
      </c>
      <c r="B304" t="inlineStr">
        <is>
          <t>legendary</t>
        </is>
      </c>
      <c r="C304" t="n">
        <v>1</v>
      </c>
      <c r="D304" t="inlineStr">
        <is>
          <t>Int</t>
        </is>
      </c>
      <c r="E304" t="n">
        <v>600</v>
      </c>
      <c r="F304" t="n">
        <v>9.25</v>
      </c>
      <c r="G304" t="b">
        <v>0</v>
      </c>
      <c r="H304" t="inlineStr">
        <is>
          <t>0</t>
        </is>
      </c>
    </row>
    <row r="305">
      <c r="A305" t="inlineStr">
        <is>
          <t>ALL</t>
        </is>
      </c>
      <c r="B305" t="inlineStr">
        <is>
          <t>legendary</t>
        </is>
      </c>
      <c r="C305" t="n">
        <v>1</v>
      </c>
      <c r="D305" t="inlineStr">
        <is>
          <t>Luk</t>
        </is>
      </c>
      <c r="E305" t="n">
        <v>600</v>
      </c>
      <c r="F305" t="n">
        <v>9.25</v>
      </c>
      <c r="G305" t="b">
        <v>0</v>
      </c>
      <c r="H305">
        <f>Sensitivity!H5</f>
        <v/>
      </c>
    </row>
    <row r="306">
      <c r="A306" t="inlineStr">
        <is>
          <t>ALL</t>
        </is>
      </c>
      <c r="B306" t="inlineStr">
        <is>
          <t>legendary</t>
        </is>
      </c>
      <c r="C306" t="n">
        <v>2</v>
      </c>
      <c r="D306" t="inlineStr">
        <is>
          <t>Critical Rate %</t>
        </is>
      </c>
      <c r="E306" t="n">
        <v>9</v>
      </c>
      <c r="F306" t="n">
        <v>1.9</v>
      </c>
      <c r="G306" t="b">
        <v>0</v>
      </c>
      <c r="H306">
        <f>IF(Inputs!$B$9&gt;=100,Sensitivity!H16,Sensitivity!H15)</f>
        <v/>
      </c>
    </row>
    <row r="307">
      <c r="A307" t="inlineStr">
        <is>
          <t>ALL</t>
        </is>
      </c>
      <c r="B307" t="inlineStr">
        <is>
          <t>legendary</t>
        </is>
      </c>
      <c r="C307" t="n">
        <v>2</v>
      </c>
      <c r="D307" t="inlineStr">
        <is>
          <t>Critical Rate %</t>
        </is>
      </c>
      <c r="E307" t="n">
        <v>12</v>
      </c>
      <c r="F307" t="n">
        <v>0.6</v>
      </c>
      <c r="G307" t="b">
        <v>1</v>
      </c>
      <c r="H307">
        <f>IF(Inputs!$B$9&gt;=100,Sensitivity!H16,Sensitivity!H15)</f>
        <v/>
      </c>
    </row>
    <row r="308">
      <c r="A308" t="inlineStr">
        <is>
          <t>ALL</t>
        </is>
      </c>
      <c r="B308" t="inlineStr">
        <is>
          <t>legendary</t>
        </is>
      </c>
      <c r="C308" t="n">
        <v>2</v>
      </c>
      <c r="D308" t="inlineStr">
        <is>
          <t>Attack Speed %</t>
        </is>
      </c>
      <c r="E308" t="n">
        <v>5</v>
      </c>
      <c r="F308" t="n">
        <v>1.9</v>
      </c>
      <c r="G308" t="b">
        <v>0</v>
      </c>
      <c r="H308">
        <f>Sensitivity!H17</f>
        <v/>
      </c>
    </row>
    <row r="309">
      <c r="A309" t="inlineStr">
        <is>
          <t>ALL</t>
        </is>
      </c>
      <c r="B309" t="inlineStr">
        <is>
          <t>legendary</t>
        </is>
      </c>
      <c r="C309" t="n">
        <v>2</v>
      </c>
      <c r="D309" t="inlineStr">
        <is>
          <t>Attack Speed %</t>
        </is>
      </c>
      <c r="E309" t="n">
        <v>7</v>
      </c>
      <c r="F309" t="n">
        <v>0.6</v>
      </c>
      <c r="G309" t="b">
        <v>1</v>
      </c>
      <c r="H309">
        <f>Sensitivity!H17</f>
        <v/>
      </c>
    </row>
    <row r="310">
      <c r="A310" t="inlineStr">
        <is>
          <t>ALL</t>
        </is>
      </c>
      <c r="B310" t="inlineStr">
        <is>
          <t>legendary</t>
        </is>
      </c>
      <c r="C310" t="n">
        <v>2</v>
      </c>
      <c r="D310" t="inlineStr">
        <is>
          <t>Damage %</t>
        </is>
      </c>
      <c r="E310" t="n">
        <v>18</v>
      </c>
      <c r="F310" t="n">
        <v>3.04</v>
      </c>
      <c r="G310" t="b">
        <v>0</v>
      </c>
      <c r="H310">
        <f>Sensitivity!H8</f>
        <v/>
      </c>
    </row>
    <row r="311">
      <c r="A311" t="inlineStr">
        <is>
          <t>ALL</t>
        </is>
      </c>
      <c r="B311" t="inlineStr">
        <is>
          <t>legendary</t>
        </is>
      </c>
      <c r="C311" t="n">
        <v>2</v>
      </c>
      <c r="D311" t="inlineStr">
        <is>
          <t>Damage %</t>
        </is>
      </c>
      <c r="E311" t="n">
        <v>25</v>
      </c>
      <c r="F311" t="n">
        <v>0.96</v>
      </c>
      <c r="G311" t="b">
        <v>1</v>
      </c>
      <c r="H311">
        <f>Sensitivity!H8</f>
        <v/>
      </c>
    </row>
    <row r="312">
      <c r="A312" t="inlineStr">
        <is>
          <t>ALL</t>
        </is>
      </c>
      <c r="B312" t="inlineStr">
        <is>
          <t>legendary</t>
        </is>
      </c>
      <c r="C312" t="n">
        <v>2</v>
      </c>
      <c r="D312" t="inlineStr">
        <is>
          <t>Min Damage Multiplier %</t>
        </is>
      </c>
      <c r="E312" t="n">
        <v>10</v>
      </c>
      <c r="F312" t="n">
        <v>3.04</v>
      </c>
      <c r="G312" t="b">
        <v>0</v>
      </c>
      <c r="H312">
        <f>Sensitivity!H13</f>
        <v/>
      </c>
    </row>
    <row r="313">
      <c r="A313" t="inlineStr">
        <is>
          <t>ALL</t>
        </is>
      </c>
      <c r="B313" t="inlineStr">
        <is>
          <t>legendary</t>
        </is>
      </c>
      <c r="C313" t="n">
        <v>2</v>
      </c>
      <c r="D313" t="inlineStr">
        <is>
          <t>Min Damage Multiplier %</t>
        </is>
      </c>
      <c r="E313" t="n">
        <v>15</v>
      </c>
      <c r="F313" t="n">
        <v>0.96</v>
      </c>
      <c r="G313" t="b">
        <v>1</v>
      </c>
      <c r="H313">
        <f>Sensitivity!H13</f>
        <v/>
      </c>
    </row>
    <row r="314">
      <c r="A314" t="inlineStr">
        <is>
          <t>ALL</t>
        </is>
      </c>
      <c r="B314" t="inlineStr">
        <is>
          <t>legendary</t>
        </is>
      </c>
      <c r="C314" t="n">
        <v>2</v>
      </c>
      <c r="D314" t="inlineStr">
        <is>
          <t>Max Damage Multiplier %</t>
        </is>
      </c>
      <c r="E314" t="n">
        <v>10</v>
      </c>
      <c r="F314" t="n">
        <v>3.04</v>
      </c>
      <c r="G314" t="b">
        <v>0</v>
      </c>
      <c r="H314">
        <f>Sensitivity!H14</f>
        <v/>
      </c>
    </row>
    <row r="315">
      <c r="A315" t="inlineStr">
        <is>
          <t>ALL</t>
        </is>
      </c>
      <c r="B315" t="inlineStr">
        <is>
          <t>legendary</t>
        </is>
      </c>
      <c r="C315" t="n">
        <v>2</v>
      </c>
      <c r="D315" t="inlineStr">
        <is>
          <t>Max Damage Multiplier %</t>
        </is>
      </c>
      <c r="E315" t="n">
        <v>15</v>
      </c>
      <c r="F315" t="n">
        <v>0.96</v>
      </c>
      <c r="G315" t="b">
        <v>1</v>
      </c>
      <c r="H315">
        <f>Sensitivity!H14</f>
        <v/>
      </c>
    </row>
    <row r="316">
      <c r="A316" t="inlineStr">
        <is>
          <t>ALL</t>
        </is>
      </c>
      <c r="B316" t="inlineStr">
        <is>
          <t>legendary</t>
        </is>
      </c>
      <c r="C316" t="n">
        <v>2</v>
      </c>
      <c r="D316" t="inlineStr">
        <is>
          <t>Str %</t>
        </is>
      </c>
      <c r="E316" t="n">
        <v>9</v>
      </c>
      <c r="F316" t="n">
        <v>3.42</v>
      </c>
      <c r="G316" t="b">
        <v>0</v>
      </c>
      <c r="H316" t="inlineStr">
        <is>
          <t>0</t>
        </is>
      </c>
    </row>
    <row r="317">
      <c r="A317" t="inlineStr">
        <is>
          <t>ALL</t>
        </is>
      </c>
      <c r="B317" t="inlineStr">
        <is>
          <t>legendary</t>
        </is>
      </c>
      <c r="C317" t="n">
        <v>2</v>
      </c>
      <c r="D317" t="inlineStr">
        <is>
          <t>Str %</t>
        </is>
      </c>
      <c r="E317" t="n">
        <v>12</v>
      </c>
      <c r="F317" t="n">
        <v>1.08</v>
      </c>
      <c r="G317" t="b">
        <v>1</v>
      </c>
      <c r="H317" t="inlineStr">
        <is>
          <t>0</t>
        </is>
      </c>
    </row>
    <row r="318">
      <c r="A318" t="inlineStr">
        <is>
          <t>ALL</t>
        </is>
      </c>
      <c r="B318" t="inlineStr">
        <is>
          <t>legendary</t>
        </is>
      </c>
      <c r="C318" t="n">
        <v>2</v>
      </c>
      <c r="D318" t="inlineStr">
        <is>
          <t>Dex %</t>
        </is>
      </c>
      <c r="E318" t="n">
        <v>9</v>
      </c>
      <c r="F318" t="n">
        <v>3.42</v>
      </c>
      <c r="G318" t="b">
        <v>0</v>
      </c>
      <c r="H318" t="inlineStr">
        <is>
          <t>0</t>
        </is>
      </c>
    </row>
    <row r="319">
      <c r="A319" t="inlineStr">
        <is>
          <t>ALL</t>
        </is>
      </c>
      <c r="B319" t="inlineStr">
        <is>
          <t>legendary</t>
        </is>
      </c>
      <c r="C319" t="n">
        <v>2</v>
      </c>
      <c r="D319" t="inlineStr">
        <is>
          <t>Dex %</t>
        </is>
      </c>
      <c r="E319" t="n">
        <v>12</v>
      </c>
      <c r="F319" t="n">
        <v>1.08</v>
      </c>
      <c r="G319" t="b">
        <v>1</v>
      </c>
      <c r="H319" t="inlineStr">
        <is>
          <t>0</t>
        </is>
      </c>
    </row>
    <row r="320">
      <c r="A320" t="inlineStr">
        <is>
          <t>ALL</t>
        </is>
      </c>
      <c r="B320" t="inlineStr">
        <is>
          <t>legendary</t>
        </is>
      </c>
      <c r="C320" t="n">
        <v>2</v>
      </c>
      <c r="D320" t="inlineStr">
        <is>
          <t>Int %</t>
        </is>
      </c>
      <c r="E320" t="n">
        <v>9</v>
      </c>
      <c r="F320" t="n">
        <v>3.42</v>
      </c>
      <c r="G320" t="b">
        <v>0</v>
      </c>
      <c r="H320" t="inlineStr">
        <is>
          <t>0</t>
        </is>
      </c>
    </row>
    <row r="321">
      <c r="A321" t="inlineStr">
        <is>
          <t>ALL</t>
        </is>
      </c>
      <c r="B321" t="inlineStr">
        <is>
          <t>legendary</t>
        </is>
      </c>
      <c r="C321" t="n">
        <v>2</v>
      </c>
      <c r="D321" t="inlineStr">
        <is>
          <t>Int %</t>
        </is>
      </c>
      <c r="E321" t="n">
        <v>12</v>
      </c>
      <c r="F321" t="n">
        <v>1.08</v>
      </c>
      <c r="G321" t="b">
        <v>1</v>
      </c>
      <c r="H321" t="inlineStr">
        <is>
          <t>0</t>
        </is>
      </c>
    </row>
    <row r="322">
      <c r="A322" t="inlineStr">
        <is>
          <t>ALL</t>
        </is>
      </c>
      <c r="B322" t="inlineStr">
        <is>
          <t>legendary</t>
        </is>
      </c>
      <c r="C322" t="n">
        <v>2</v>
      </c>
      <c r="D322" t="inlineStr">
        <is>
          <t>Luk %</t>
        </is>
      </c>
      <c r="E322" t="n">
        <v>9</v>
      </c>
      <c r="F322" t="n">
        <v>3.42</v>
      </c>
      <c r="G322" t="b">
        <v>0</v>
      </c>
      <c r="H322">
        <f>Sensitivity!H6</f>
        <v/>
      </c>
    </row>
    <row r="323">
      <c r="A323" t="inlineStr">
        <is>
          <t>ALL</t>
        </is>
      </c>
      <c r="B323" t="inlineStr">
        <is>
          <t>legendary</t>
        </is>
      </c>
      <c r="C323" t="n">
        <v>2</v>
      </c>
      <c r="D323" t="inlineStr">
        <is>
          <t>Luk %</t>
        </is>
      </c>
      <c r="E323" t="n">
        <v>12</v>
      </c>
      <c r="F323" t="n">
        <v>1.08</v>
      </c>
      <c r="G323" t="b">
        <v>1</v>
      </c>
      <c r="H323">
        <f>Sensitivity!H6</f>
        <v/>
      </c>
    </row>
    <row r="324">
      <c r="A324" t="inlineStr">
        <is>
          <t>ALL</t>
        </is>
      </c>
      <c r="B324" t="inlineStr">
        <is>
          <t>legendary</t>
        </is>
      </c>
      <c r="C324" t="n">
        <v>2</v>
      </c>
      <c r="D324" t="inlineStr">
        <is>
          <t>Defense %</t>
        </is>
      </c>
      <c r="E324" t="n">
        <v>9</v>
      </c>
      <c r="F324" t="n">
        <v>6.84</v>
      </c>
      <c r="G324" t="b">
        <v>0</v>
      </c>
      <c r="H324" t="inlineStr">
        <is>
          <t>0</t>
        </is>
      </c>
    </row>
    <row r="325">
      <c r="A325" t="inlineStr">
        <is>
          <t>ALL</t>
        </is>
      </c>
      <c r="B325" t="inlineStr">
        <is>
          <t>legendary</t>
        </is>
      </c>
      <c r="C325" t="n">
        <v>2</v>
      </c>
      <c r="D325" t="inlineStr">
        <is>
          <t>Defense %</t>
        </is>
      </c>
      <c r="E325" t="n">
        <v>12</v>
      </c>
      <c r="F325" t="n">
        <v>2.16</v>
      </c>
      <c r="G325" t="b">
        <v>1</v>
      </c>
      <c r="H325" t="inlineStr">
        <is>
          <t>0</t>
        </is>
      </c>
    </row>
    <row r="326">
      <c r="A326" t="inlineStr">
        <is>
          <t>ALL</t>
        </is>
      </c>
      <c r="B326" t="inlineStr">
        <is>
          <t>legendary</t>
        </is>
      </c>
      <c r="C326" t="n">
        <v>2</v>
      </c>
      <c r="D326" t="inlineStr">
        <is>
          <t>Max HP %</t>
        </is>
      </c>
      <c r="E326" t="n">
        <v>15</v>
      </c>
      <c r="F326" t="n">
        <v>6.84</v>
      </c>
      <c r="G326" t="b">
        <v>0</v>
      </c>
      <c r="H326" t="inlineStr">
        <is>
          <t>0</t>
        </is>
      </c>
    </row>
    <row r="327">
      <c r="A327" t="inlineStr">
        <is>
          <t>ALL</t>
        </is>
      </c>
      <c r="B327" t="inlineStr">
        <is>
          <t>legendary</t>
        </is>
      </c>
      <c r="C327" t="n">
        <v>2</v>
      </c>
      <c r="D327" t="inlineStr">
        <is>
          <t>Max HP %</t>
        </is>
      </c>
      <c r="E327" t="n">
        <v>20</v>
      </c>
      <c r="F327" t="n">
        <v>2.16</v>
      </c>
      <c r="G327" t="b">
        <v>1</v>
      </c>
      <c r="H327" t="inlineStr">
        <is>
          <t>0</t>
        </is>
      </c>
    </row>
    <row r="328">
      <c r="A328" t="inlineStr">
        <is>
          <t>ALL</t>
        </is>
      </c>
      <c r="B328" t="inlineStr">
        <is>
          <t>legendary</t>
        </is>
      </c>
      <c r="C328" t="n">
        <v>2</v>
      </c>
      <c r="D328" t="inlineStr">
        <is>
          <t>Max MP %</t>
        </is>
      </c>
      <c r="E328" t="n">
        <v>9</v>
      </c>
      <c r="F328" t="n">
        <v>6.84</v>
      </c>
      <c r="G328" t="b">
        <v>0</v>
      </c>
      <c r="H328" t="inlineStr">
        <is>
          <t>0</t>
        </is>
      </c>
    </row>
    <row r="329">
      <c r="A329" t="inlineStr">
        <is>
          <t>ALL</t>
        </is>
      </c>
      <c r="B329" t="inlineStr">
        <is>
          <t>legendary</t>
        </is>
      </c>
      <c r="C329" t="n">
        <v>2</v>
      </c>
      <c r="D329" t="inlineStr">
        <is>
          <t>Max MP %</t>
        </is>
      </c>
      <c r="E329" t="n">
        <v>12</v>
      </c>
      <c r="F329" t="n">
        <v>2.16</v>
      </c>
      <c r="G329" t="b">
        <v>1</v>
      </c>
      <c r="H329" t="inlineStr">
        <is>
          <t>0</t>
        </is>
      </c>
    </row>
    <row r="330">
      <c r="A330" t="inlineStr">
        <is>
          <t>ALL</t>
        </is>
      </c>
      <c r="B330" t="inlineStr">
        <is>
          <t>legendary</t>
        </is>
      </c>
      <c r="C330" t="n">
        <v>2</v>
      </c>
      <c r="D330" t="inlineStr">
        <is>
          <t>Str</t>
        </is>
      </c>
      <c r="E330" t="n">
        <v>400</v>
      </c>
      <c r="F330" t="n">
        <v>7.03</v>
      </c>
      <c r="G330" t="b">
        <v>0</v>
      </c>
      <c r="H330" t="inlineStr">
        <is>
          <t>0</t>
        </is>
      </c>
    </row>
    <row r="331">
      <c r="A331" t="inlineStr">
        <is>
          <t>ALL</t>
        </is>
      </c>
      <c r="B331" t="inlineStr">
        <is>
          <t>legendary</t>
        </is>
      </c>
      <c r="C331" t="n">
        <v>2</v>
      </c>
      <c r="D331" t="inlineStr">
        <is>
          <t>Str</t>
        </is>
      </c>
      <c r="E331" t="n">
        <v>600</v>
      </c>
      <c r="F331" t="n">
        <v>2.22</v>
      </c>
      <c r="G331" t="b">
        <v>1</v>
      </c>
      <c r="H331" t="inlineStr">
        <is>
          <t>0</t>
        </is>
      </c>
    </row>
    <row r="332">
      <c r="A332" t="inlineStr">
        <is>
          <t>ALL</t>
        </is>
      </c>
      <c r="B332" t="inlineStr">
        <is>
          <t>legendary</t>
        </is>
      </c>
      <c r="C332" t="n">
        <v>2</v>
      </c>
      <c r="D332" t="inlineStr">
        <is>
          <t>Dex</t>
        </is>
      </c>
      <c r="E332" t="n">
        <v>400</v>
      </c>
      <c r="F332" t="n">
        <v>7.03</v>
      </c>
      <c r="G332" t="b">
        <v>0</v>
      </c>
      <c r="H332" t="inlineStr">
        <is>
          <t>0</t>
        </is>
      </c>
    </row>
    <row r="333">
      <c r="A333" t="inlineStr">
        <is>
          <t>ALL</t>
        </is>
      </c>
      <c r="B333" t="inlineStr">
        <is>
          <t>legendary</t>
        </is>
      </c>
      <c r="C333" t="n">
        <v>2</v>
      </c>
      <c r="D333" t="inlineStr">
        <is>
          <t>Dex</t>
        </is>
      </c>
      <c r="E333" t="n">
        <v>600</v>
      </c>
      <c r="F333" t="n">
        <v>2.22</v>
      </c>
      <c r="G333" t="b">
        <v>1</v>
      </c>
      <c r="H333" t="inlineStr">
        <is>
          <t>0</t>
        </is>
      </c>
    </row>
    <row r="334">
      <c r="A334" t="inlineStr">
        <is>
          <t>ALL</t>
        </is>
      </c>
      <c r="B334" t="inlineStr">
        <is>
          <t>legendary</t>
        </is>
      </c>
      <c r="C334" t="n">
        <v>2</v>
      </c>
      <c r="D334" t="inlineStr">
        <is>
          <t>Int</t>
        </is>
      </c>
      <c r="E334" t="n">
        <v>400</v>
      </c>
      <c r="F334" t="n">
        <v>7.03</v>
      </c>
      <c r="G334" t="b">
        <v>0</v>
      </c>
      <c r="H334" t="inlineStr">
        <is>
          <t>0</t>
        </is>
      </c>
    </row>
    <row r="335">
      <c r="A335" t="inlineStr">
        <is>
          <t>ALL</t>
        </is>
      </c>
      <c r="B335" t="inlineStr">
        <is>
          <t>legendary</t>
        </is>
      </c>
      <c r="C335" t="n">
        <v>2</v>
      </c>
      <c r="D335" t="inlineStr">
        <is>
          <t>Int</t>
        </is>
      </c>
      <c r="E335" t="n">
        <v>600</v>
      </c>
      <c r="F335" t="n">
        <v>2.22</v>
      </c>
      <c r="G335" t="b">
        <v>1</v>
      </c>
      <c r="H335" t="inlineStr">
        <is>
          <t>0</t>
        </is>
      </c>
    </row>
    <row r="336">
      <c r="A336" t="inlineStr">
        <is>
          <t>ALL</t>
        </is>
      </c>
      <c r="B336" t="inlineStr">
        <is>
          <t>legendary</t>
        </is>
      </c>
      <c r="C336" t="n">
        <v>2</v>
      </c>
      <c r="D336" t="inlineStr">
        <is>
          <t>Luk</t>
        </is>
      </c>
      <c r="E336" t="n">
        <v>400</v>
      </c>
      <c r="F336" t="n">
        <v>7.03</v>
      </c>
      <c r="G336" t="b">
        <v>0</v>
      </c>
      <c r="H336">
        <f>Sensitivity!H5</f>
        <v/>
      </c>
    </row>
    <row r="337">
      <c r="A337" t="inlineStr">
        <is>
          <t>ALL</t>
        </is>
      </c>
      <c r="B337" t="inlineStr">
        <is>
          <t>legendary</t>
        </is>
      </c>
      <c r="C337" t="n">
        <v>2</v>
      </c>
      <c r="D337" t="inlineStr">
        <is>
          <t>Luk</t>
        </is>
      </c>
      <c r="E337" t="n">
        <v>600</v>
      </c>
      <c r="F337" t="n">
        <v>2.22</v>
      </c>
      <c r="G337" t="b">
        <v>1</v>
      </c>
      <c r="H337">
        <f>Sensitivity!H5</f>
        <v/>
      </c>
    </row>
    <row r="338">
      <c r="A338" t="inlineStr">
        <is>
          <t>ALL</t>
        </is>
      </c>
      <c r="B338" t="inlineStr">
        <is>
          <t>legendary</t>
        </is>
      </c>
      <c r="C338" t="n">
        <v>3</v>
      </c>
      <c r="D338" t="inlineStr">
        <is>
          <t>Critical Rate %</t>
        </is>
      </c>
      <c r="E338" t="n">
        <v>9</v>
      </c>
      <c r="F338" t="n">
        <v>2.3</v>
      </c>
      <c r="G338" t="b">
        <v>0</v>
      </c>
      <c r="H338">
        <f>IF(Inputs!$B$9&gt;=100,Sensitivity!H16,Sensitivity!H15)</f>
        <v/>
      </c>
    </row>
    <row r="339">
      <c r="A339" t="inlineStr">
        <is>
          <t>ALL</t>
        </is>
      </c>
      <c r="B339" t="inlineStr">
        <is>
          <t>legendary</t>
        </is>
      </c>
      <c r="C339" t="n">
        <v>3</v>
      </c>
      <c r="D339" t="inlineStr">
        <is>
          <t>Critical Rate %</t>
        </is>
      </c>
      <c r="E339" t="n">
        <v>12</v>
      </c>
      <c r="F339" t="n">
        <v>0.2</v>
      </c>
      <c r="G339" t="b">
        <v>1</v>
      </c>
      <c r="H339">
        <f>IF(Inputs!$B$9&gt;=100,Sensitivity!H16,Sensitivity!H15)</f>
        <v/>
      </c>
    </row>
    <row r="340">
      <c r="A340" t="inlineStr">
        <is>
          <t>ALL</t>
        </is>
      </c>
      <c r="B340" t="inlineStr">
        <is>
          <t>legendary</t>
        </is>
      </c>
      <c r="C340" t="n">
        <v>3</v>
      </c>
      <c r="D340" t="inlineStr">
        <is>
          <t>Attack Speed %</t>
        </is>
      </c>
      <c r="E340" t="n">
        <v>5</v>
      </c>
      <c r="F340" t="n">
        <v>2.3</v>
      </c>
      <c r="G340" t="b">
        <v>0</v>
      </c>
      <c r="H340">
        <f>Sensitivity!H17</f>
        <v/>
      </c>
    </row>
    <row r="341">
      <c r="A341" t="inlineStr">
        <is>
          <t>ALL</t>
        </is>
      </c>
      <c r="B341" t="inlineStr">
        <is>
          <t>legendary</t>
        </is>
      </c>
      <c r="C341" t="n">
        <v>3</v>
      </c>
      <c r="D341" t="inlineStr">
        <is>
          <t>Attack Speed %</t>
        </is>
      </c>
      <c r="E341" t="n">
        <v>7</v>
      </c>
      <c r="F341" t="n">
        <v>0.2</v>
      </c>
      <c r="G341" t="b">
        <v>1</v>
      </c>
      <c r="H341">
        <f>Sensitivity!H17</f>
        <v/>
      </c>
    </row>
    <row r="342">
      <c r="A342" t="inlineStr">
        <is>
          <t>ALL</t>
        </is>
      </c>
      <c r="B342" t="inlineStr">
        <is>
          <t>legendary</t>
        </is>
      </c>
      <c r="C342" t="n">
        <v>3</v>
      </c>
      <c r="D342" t="inlineStr">
        <is>
          <t>Damage %</t>
        </is>
      </c>
      <c r="E342" t="n">
        <v>18</v>
      </c>
      <c r="F342" t="n">
        <v>3.68</v>
      </c>
      <c r="G342" t="b">
        <v>0</v>
      </c>
      <c r="H342">
        <f>Sensitivity!H8</f>
        <v/>
      </c>
    </row>
    <row r="343">
      <c r="A343" t="inlineStr">
        <is>
          <t>ALL</t>
        </is>
      </c>
      <c r="B343" t="inlineStr">
        <is>
          <t>legendary</t>
        </is>
      </c>
      <c r="C343" t="n">
        <v>3</v>
      </c>
      <c r="D343" t="inlineStr">
        <is>
          <t>Damage %</t>
        </is>
      </c>
      <c r="E343" t="n">
        <v>25</v>
      </c>
      <c r="F343" t="n">
        <v>0.32</v>
      </c>
      <c r="G343" t="b">
        <v>1</v>
      </c>
      <c r="H343">
        <f>Sensitivity!H8</f>
        <v/>
      </c>
    </row>
    <row r="344">
      <c r="A344" t="inlineStr">
        <is>
          <t>ALL</t>
        </is>
      </c>
      <c r="B344" t="inlineStr">
        <is>
          <t>legendary</t>
        </is>
      </c>
      <c r="C344" t="n">
        <v>3</v>
      </c>
      <c r="D344" t="inlineStr">
        <is>
          <t>Min Damage Multiplier %</t>
        </is>
      </c>
      <c r="E344" t="n">
        <v>10</v>
      </c>
      <c r="F344" t="n">
        <v>3.68</v>
      </c>
      <c r="G344" t="b">
        <v>0</v>
      </c>
      <c r="H344">
        <f>Sensitivity!H13</f>
        <v/>
      </c>
    </row>
    <row r="345">
      <c r="A345" t="inlineStr">
        <is>
          <t>ALL</t>
        </is>
      </c>
      <c r="B345" t="inlineStr">
        <is>
          <t>legendary</t>
        </is>
      </c>
      <c r="C345" t="n">
        <v>3</v>
      </c>
      <c r="D345" t="inlineStr">
        <is>
          <t>Min Damage Multiplier %</t>
        </is>
      </c>
      <c r="E345" t="n">
        <v>15</v>
      </c>
      <c r="F345" t="n">
        <v>0.32</v>
      </c>
      <c r="G345" t="b">
        <v>1</v>
      </c>
      <c r="H345">
        <f>Sensitivity!H13</f>
        <v/>
      </c>
    </row>
    <row r="346">
      <c r="A346" t="inlineStr">
        <is>
          <t>ALL</t>
        </is>
      </c>
      <c r="B346" t="inlineStr">
        <is>
          <t>legendary</t>
        </is>
      </c>
      <c r="C346" t="n">
        <v>3</v>
      </c>
      <c r="D346" t="inlineStr">
        <is>
          <t>Max Damage Multiplier %</t>
        </is>
      </c>
      <c r="E346" t="n">
        <v>10</v>
      </c>
      <c r="F346" t="n">
        <v>3.68</v>
      </c>
      <c r="G346" t="b">
        <v>0</v>
      </c>
      <c r="H346">
        <f>Sensitivity!H14</f>
        <v/>
      </c>
    </row>
    <row r="347">
      <c r="A347" t="inlineStr">
        <is>
          <t>ALL</t>
        </is>
      </c>
      <c r="B347" t="inlineStr">
        <is>
          <t>legendary</t>
        </is>
      </c>
      <c r="C347" t="n">
        <v>3</v>
      </c>
      <c r="D347" t="inlineStr">
        <is>
          <t>Max Damage Multiplier %</t>
        </is>
      </c>
      <c r="E347" t="n">
        <v>15</v>
      </c>
      <c r="F347" t="n">
        <v>0.32</v>
      </c>
      <c r="G347" t="b">
        <v>1</v>
      </c>
      <c r="H347">
        <f>Sensitivity!H14</f>
        <v/>
      </c>
    </row>
    <row r="348">
      <c r="A348" t="inlineStr">
        <is>
          <t>ALL</t>
        </is>
      </c>
      <c r="B348" t="inlineStr">
        <is>
          <t>legendary</t>
        </is>
      </c>
      <c r="C348" t="n">
        <v>3</v>
      </c>
      <c r="D348" t="inlineStr">
        <is>
          <t>Str %</t>
        </is>
      </c>
      <c r="E348" t="n">
        <v>9</v>
      </c>
      <c r="F348" t="n">
        <v>4.14</v>
      </c>
      <c r="G348" t="b">
        <v>0</v>
      </c>
      <c r="H348" t="inlineStr">
        <is>
          <t>0</t>
        </is>
      </c>
    </row>
    <row r="349">
      <c r="A349" t="inlineStr">
        <is>
          <t>ALL</t>
        </is>
      </c>
      <c r="B349" t="inlineStr">
        <is>
          <t>legendary</t>
        </is>
      </c>
      <c r="C349" t="n">
        <v>3</v>
      </c>
      <c r="D349" t="inlineStr">
        <is>
          <t>Str %</t>
        </is>
      </c>
      <c r="E349" t="n">
        <v>12</v>
      </c>
      <c r="F349" t="n">
        <v>0.36</v>
      </c>
      <c r="G349" t="b">
        <v>1</v>
      </c>
      <c r="H349" t="inlineStr">
        <is>
          <t>0</t>
        </is>
      </c>
    </row>
    <row r="350">
      <c r="A350" t="inlineStr">
        <is>
          <t>ALL</t>
        </is>
      </c>
      <c r="B350" t="inlineStr">
        <is>
          <t>legendary</t>
        </is>
      </c>
      <c r="C350" t="n">
        <v>3</v>
      </c>
      <c r="D350" t="inlineStr">
        <is>
          <t>Dex %</t>
        </is>
      </c>
      <c r="E350" t="n">
        <v>9</v>
      </c>
      <c r="F350" t="n">
        <v>4.14</v>
      </c>
      <c r="G350" t="b">
        <v>0</v>
      </c>
      <c r="H350" t="inlineStr">
        <is>
          <t>0</t>
        </is>
      </c>
    </row>
    <row r="351">
      <c r="A351" t="inlineStr">
        <is>
          <t>ALL</t>
        </is>
      </c>
      <c r="B351" t="inlineStr">
        <is>
          <t>legendary</t>
        </is>
      </c>
      <c r="C351" t="n">
        <v>3</v>
      </c>
      <c r="D351" t="inlineStr">
        <is>
          <t>Dex %</t>
        </is>
      </c>
      <c r="E351" t="n">
        <v>12</v>
      </c>
      <c r="F351" t="n">
        <v>0.36</v>
      </c>
      <c r="G351" t="b">
        <v>1</v>
      </c>
      <c r="H351" t="inlineStr">
        <is>
          <t>0</t>
        </is>
      </c>
    </row>
    <row r="352">
      <c r="A352" t="inlineStr">
        <is>
          <t>ALL</t>
        </is>
      </c>
      <c r="B352" t="inlineStr">
        <is>
          <t>legendary</t>
        </is>
      </c>
      <c r="C352" t="n">
        <v>3</v>
      </c>
      <c r="D352" t="inlineStr">
        <is>
          <t>Int %</t>
        </is>
      </c>
      <c r="E352" t="n">
        <v>9</v>
      </c>
      <c r="F352" t="n">
        <v>4.14</v>
      </c>
      <c r="G352" t="b">
        <v>0</v>
      </c>
      <c r="H352" t="inlineStr">
        <is>
          <t>0</t>
        </is>
      </c>
    </row>
    <row r="353">
      <c r="A353" t="inlineStr">
        <is>
          <t>ALL</t>
        </is>
      </c>
      <c r="B353" t="inlineStr">
        <is>
          <t>legendary</t>
        </is>
      </c>
      <c r="C353" t="n">
        <v>3</v>
      </c>
      <c r="D353" t="inlineStr">
        <is>
          <t>Int %</t>
        </is>
      </c>
      <c r="E353" t="n">
        <v>12</v>
      </c>
      <c r="F353" t="n">
        <v>0.36</v>
      </c>
      <c r="G353" t="b">
        <v>1</v>
      </c>
      <c r="H353" t="inlineStr">
        <is>
          <t>0</t>
        </is>
      </c>
    </row>
    <row r="354">
      <c r="A354" t="inlineStr">
        <is>
          <t>ALL</t>
        </is>
      </c>
      <c r="B354" t="inlineStr">
        <is>
          <t>legendary</t>
        </is>
      </c>
      <c r="C354" t="n">
        <v>3</v>
      </c>
      <c r="D354" t="inlineStr">
        <is>
          <t>Luk %</t>
        </is>
      </c>
      <c r="E354" t="n">
        <v>9</v>
      </c>
      <c r="F354" t="n">
        <v>4.14</v>
      </c>
      <c r="G354" t="b">
        <v>0</v>
      </c>
      <c r="H354">
        <f>Sensitivity!H6</f>
        <v/>
      </c>
    </row>
    <row r="355">
      <c r="A355" t="inlineStr">
        <is>
          <t>ALL</t>
        </is>
      </c>
      <c r="B355" t="inlineStr">
        <is>
          <t>legendary</t>
        </is>
      </c>
      <c r="C355" t="n">
        <v>3</v>
      </c>
      <c r="D355" t="inlineStr">
        <is>
          <t>Luk %</t>
        </is>
      </c>
      <c r="E355" t="n">
        <v>12</v>
      </c>
      <c r="F355" t="n">
        <v>0.36</v>
      </c>
      <c r="G355" t="b">
        <v>1</v>
      </c>
      <c r="H355">
        <f>Sensitivity!H6</f>
        <v/>
      </c>
    </row>
    <row r="356">
      <c r="A356" t="inlineStr">
        <is>
          <t>ALL</t>
        </is>
      </c>
      <c r="B356" t="inlineStr">
        <is>
          <t>legendary</t>
        </is>
      </c>
      <c r="C356" t="n">
        <v>3</v>
      </c>
      <c r="D356" t="inlineStr">
        <is>
          <t>Defense %</t>
        </is>
      </c>
      <c r="E356" t="n">
        <v>9</v>
      </c>
      <c r="F356" t="n">
        <v>8.279999999999999</v>
      </c>
      <c r="G356" t="b">
        <v>0</v>
      </c>
      <c r="H356" t="inlineStr">
        <is>
          <t>0</t>
        </is>
      </c>
    </row>
    <row r="357">
      <c r="A357" t="inlineStr">
        <is>
          <t>ALL</t>
        </is>
      </c>
      <c r="B357" t="inlineStr">
        <is>
          <t>legendary</t>
        </is>
      </c>
      <c r="C357" t="n">
        <v>3</v>
      </c>
      <c r="D357" t="inlineStr">
        <is>
          <t>Defense %</t>
        </is>
      </c>
      <c r="E357" t="n">
        <v>12</v>
      </c>
      <c r="F357" t="n">
        <v>0.72</v>
      </c>
      <c r="G357" t="b">
        <v>1</v>
      </c>
      <c r="H357" t="inlineStr">
        <is>
          <t>0</t>
        </is>
      </c>
    </row>
    <row r="358">
      <c r="A358" t="inlineStr">
        <is>
          <t>ALL</t>
        </is>
      </c>
      <c r="B358" t="inlineStr">
        <is>
          <t>legendary</t>
        </is>
      </c>
      <c r="C358" t="n">
        <v>3</v>
      </c>
      <c r="D358" t="inlineStr">
        <is>
          <t>Max HP %</t>
        </is>
      </c>
      <c r="E358" t="n">
        <v>15</v>
      </c>
      <c r="F358" t="n">
        <v>8.279999999999999</v>
      </c>
      <c r="G358" t="b">
        <v>0</v>
      </c>
      <c r="H358" t="inlineStr">
        <is>
          <t>0</t>
        </is>
      </c>
    </row>
    <row r="359">
      <c r="A359" t="inlineStr">
        <is>
          <t>ALL</t>
        </is>
      </c>
      <c r="B359" t="inlineStr">
        <is>
          <t>legendary</t>
        </is>
      </c>
      <c r="C359" t="n">
        <v>3</v>
      </c>
      <c r="D359" t="inlineStr">
        <is>
          <t>Max HP %</t>
        </is>
      </c>
      <c r="E359" t="n">
        <v>20</v>
      </c>
      <c r="F359" t="n">
        <v>0.72</v>
      </c>
      <c r="G359" t="b">
        <v>1</v>
      </c>
      <c r="H359" t="inlineStr">
        <is>
          <t>0</t>
        </is>
      </c>
    </row>
    <row r="360">
      <c r="A360" t="inlineStr">
        <is>
          <t>ALL</t>
        </is>
      </c>
      <c r="B360" t="inlineStr">
        <is>
          <t>legendary</t>
        </is>
      </c>
      <c r="C360" t="n">
        <v>3</v>
      </c>
      <c r="D360" t="inlineStr">
        <is>
          <t>Max MP %</t>
        </is>
      </c>
      <c r="E360" t="n">
        <v>9</v>
      </c>
      <c r="F360" t="n">
        <v>8.279999999999999</v>
      </c>
      <c r="G360" t="b">
        <v>0</v>
      </c>
      <c r="H360" t="inlineStr">
        <is>
          <t>0</t>
        </is>
      </c>
    </row>
    <row r="361">
      <c r="A361" t="inlineStr">
        <is>
          <t>ALL</t>
        </is>
      </c>
      <c r="B361" t="inlineStr">
        <is>
          <t>legendary</t>
        </is>
      </c>
      <c r="C361" t="n">
        <v>3</v>
      </c>
      <c r="D361" t="inlineStr">
        <is>
          <t>Max MP %</t>
        </is>
      </c>
      <c r="E361" t="n">
        <v>12</v>
      </c>
      <c r="F361" t="n">
        <v>0.72</v>
      </c>
      <c r="G361" t="b">
        <v>1</v>
      </c>
      <c r="H361" t="inlineStr">
        <is>
          <t>0</t>
        </is>
      </c>
    </row>
    <row r="362">
      <c r="A362" t="inlineStr">
        <is>
          <t>ALL</t>
        </is>
      </c>
      <c r="B362" t="inlineStr">
        <is>
          <t>legendary</t>
        </is>
      </c>
      <c r="C362" t="n">
        <v>3</v>
      </c>
      <c r="D362" t="inlineStr">
        <is>
          <t>Str</t>
        </is>
      </c>
      <c r="E362" t="n">
        <v>400</v>
      </c>
      <c r="F362" t="n">
        <v>8.51</v>
      </c>
      <c r="G362" t="b">
        <v>0</v>
      </c>
      <c r="H362" t="inlineStr">
        <is>
          <t>0</t>
        </is>
      </c>
    </row>
    <row r="363">
      <c r="A363" t="inlineStr">
        <is>
          <t>ALL</t>
        </is>
      </c>
      <c r="B363" t="inlineStr">
        <is>
          <t>legendary</t>
        </is>
      </c>
      <c r="C363" t="n">
        <v>3</v>
      </c>
      <c r="D363" t="inlineStr">
        <is>
          <t>Str</t>
        </is>
      </c>
      <c r="E363" t="n">
        <v>600</v>
      </c>
      <c r="F363" t="n">
        <v>0.74</v>
      </c>
      <c r="G363" t="b">
        <v>1</v>
      </c>
      <c r="H363" t="inlineStr">
        <is>
          <t>0</t>
        </is>
      </c>
    </row>
    <row r="364">
      <c r="A364" t="inlineStr">
        <is>
          <t>ALL</t>
        </is>
      </c>
      <c r="B364" t="inlineStr">
        <is>
          <t>legendary</t>
        </is>
      </c>
      <c r="C364" t="n">
        <v>3</v>
      </c>
      <c r="D364" t="inlineStr">
        <is>
          <t>Dex</t>
        </is>
      </c>
      <c r="E364" t="n">
        <v>400</v>
      </c>
      <c r="F364" t="n">
        <v>8.51</v>
      </c>
      <c r="G364" t="b">
        <v>0</v>
      </c>
      <c r="H364" t="inlineStr">
        <is>
          <t>0</t>
        </is>
      </c>
    </row>
    <row r="365">
      <c r="A365" t="inlineStr">
        <is>
          <t>ALL</t>
        </is>
      </c>
      <c r="B365" t="inlineStr">
        <is>
          <t>legendary</t>
        </is>
      </c>
      <c r="C365" t="n">
        <v>3</v>
      </c>
      <c r="D365" t="inlineStr">
        <is>
          <t>Dex</t>
        </is>
      </c>
      <c r="E365" t="n">
        <v>600</v>
      </c>
      <c r="F365" t="n">
        <v>0.74</v>
      </c>
      <c r="G365" t="b">
        <v>1</v>
      </c>
      <c r="H365" t="inlineStr">
        <is>
          <t>0</t>
        </is>
      </c>
    </row>
    <row r="366">
      <c r="A366" t="inlineStr">
        <is>
          <t>ALL</t>
        </is>
      </c>
      <c r="B366" t="inlineStr">
        <is>
          <t>legendary</t>
        </is>
      </c>
      <c r="C366" t="n">
        <v>3</v>
      </c>
      <c r="D366" t="inlineStr">
        <is>
          <t>Int</t>
        </is>
      </c>
      <c r="E366" t="n">
        <v>400</v>
      </c>
      <c r="F366" t="n">
        <v>8.51</v>
      </c>
      <c r="G366" t="b">
        <v>0</v>
      </c>
      <c r="H366" t="inlineStr">
        <is>
          <t>0</t>
        </is>
      </c>
    </row>
    <row r="367">
      <c r="A367" t="inlineStr">
        <is>
          <t>ALL</t>
        </is>
      </c>
      <c r="B367" t="inlineStr">
        <is>
          <t>legendary</t>
        </is>
      </c>
      <c r="C367" t="n">
        <v>3</v>
      </c>
      <c r="D367" t="inlineStr">
        <is>
          <t>Int</t>
        </is>
      </c>
      <c r="E367" t="n">
        <v>600</v>
      </c>
      <c r="F367" t="n">
        <v>0.74</v>
      </c>
      <c r="G367" t="b">
        <v>1</v>
      </c>
      <c r="H367" t="inlineStr">
        <is>
          <t>0</t>
        </is>
      </c>
    </row>
    <row r="368">
      <c r="A368" t="inlineStr">
        <is>
          <t>ALL</t>
        </is>
      </c>
      <c r="B368" t="inlineStr">
        <is>
          <t>legendary</t>
        </is>
      </c>
      <c r="C368" t="n">
        <v>3</v>
      </c>
      <c r="D368" t="inlineStr">
        <is>
          <t>Luk</t>
        </is>
      </c>
      <c r="E368" t="n">
        <v>400</v>
      </c>
      <c r="F368" t="n">
        <v>8.51</v>
      </c>
      <c r="G368" t="b">
        <v>0</v>
      </c>
      <c r="H368">
        <f>Sensitivity!H5</f>
        <v/>
      </c>
    </row>
    <row r="369">
      <c r="A369" t="inlineStr">
        <is>
          <t>ALL</t>
        </is>
      </c>
      <c r="B369" t="inlineStr">
        <is>
          <t>legendary</t>
        </is>
      </c>
      <c r="C369" t="n">
        <v>3</v>
      </c>
      <c r="D369" t="inlineStr">
        <is>
          <t>Luk</t>
        </is>
      </c>
      <c r="E369" t="n">
        <v>600</v>
      </c>
      <c r="F369" t="n">
        <v>0.74</v>
      </c>
      <c r="G369" t="b">
        <v>1</v>
      </c>
      <c r="H369">
        <f>Sensitivity!H5</f>
        <v/>
      </c>
    </row>
    <row r="370">
      <c r="A370" t="inlineStr">
        <is>
          <t>ALL</t>
        </is>
      </c>
      <c r="B370" t="inlineStr">
        <is>
          <t>mystic</t>
        </is>
      </c>
      <c r="C370" t="n">
        <v>1</v>
      </c>
      <c r="D370" t="inlineStr">
        <is>
          <t>Critical Rate %</t>
        </is>
      </c>
      <c r="E370" t="n">
        <v>15</v>
      </c>
      <c r="F370" t="n">
        <v>2.5</v>
      </c>
      <c r="G370" t="b">
        <v>0</v>
      </c>
      <c r="H370">
        <f>IF(Inputs!$B$9&gt;=100,Sensitivity!H16,Sensitivity!H15)</f>
        <v/>
      </c>
    </row>
    <row r="371">
      <c r="A371" t="inlineStr">
        <is>
          <t>ALL</t>
        </is>
      </c>
      <c r="B371" t="inlineStr">
        <is>
          <t>mystic</t>
        </is>
      </c>
      <c r="C371" t="n">
        <v>1</v>
      </c>
      <c r="D371" t="inlineStr">
        <is>
          <t>Attack Speed %</t>
        </is>
      </c>
      <c r="E371" t="n">
        <v>10</v>
      </c>
      <c r="F371" t="n">
        <v>2.5</v>
      </c>
      <c r="G371" t="b">
        <v>0</v>
      </c>
      <c r="H371">
        <f>Sensitivity!H17</f>
        <v/>
      </c>
    </row>
    <row r="372">
      <c r="A372" t="inlineStr">
        <is>
          <t>ALL</t>
        </is>
      </c>
      <c r="B372" t="inlineStr">
        <is>
          <t>mystic</t>
        </is>
      </c>
      <c r="C372" t="n">
        <v>1</v>
      </c>
      <c r="D372" t="inlineStr">
        <is>
          <t>Damage %</t>
        </is>
      </c>
      <c r="E372" t="n">
        <v>35</v>
      </c>
      <c r="F372" t="n">
        <v>4</v>
      </c>
      <c r="G372" t="b">
        <v>0</v>
      </c>
      <c r="H372">
        <f>Sensitivity!H8</f>
        <v/>
      </c>
    </row>
    <row r="373">
      <c r="A373" t="inlineStr">
        <is>
          <t>ALL</t>
        </is>
      </c>
      <c r="B373" t="inlineStr">
        <is>
          <t>mystic</t>
        </is>
      </c>
      <c r="C373" t="n">
        <v>1</v>
      </c>
      <c r="D373" t="inlineStr">
        <is>
          <t>Min Damage Multiplier %</t>
        </is>
      </c>
      <c r="E373" t="n">
        <v>25</v>
      </c>
      <c r="F373" t="n">
        <v>4</v>
      </c>
      <c r="G373" t="b">
        <v>0</v>
      </c>
      <c r="H373">
        <f>Sensitivity!H13</f>
        <v/>
      </c>
    </row>
    <row r="374">
      <c r="A374" t="inlineStr">
        <is>
          <t>ALL</t>
        </is>
      </c>
      <c r="B374" t="inlineStr">
        <is>
          <t>mystic</t>
        </is>
      </c>
      <c r="C374" t="n">
        <v>1</v>
      </c>
      <c r="D374" t="inlineStr">
        <is>
          <t>Max Damage Multiplier %</t>
        </is>
      </c>
      <c r="E374" t="n">
        <v>25</v>
      </c>
      <c r="F374" t="n">
        <v>4</v>
      </c>
      <c r="G374" t="b">
        <v>0</v>
      </c>
      <c r="H374">
        <f>Sensitivity!H14</f>
        <v/>
      </c>
    </row>
    <row r="375">
      <c r="A375" t="inlineStr">
        <is>
          <t>ALL</t>
        </is>
      </c>
      <c r="B375" t="inlineStr">
        <is>
          <t>mystic</t>
        </is>
      </c>
      <c r="C375" t="n">
        <v>1</v>
      </c>
      <c r="D375" t="inlineStr">
        <is>
          <t>Str %</t>
        </is>
      </c>
      <c r="E375" t="n">
        <v>15</v>
      </c>
      <c r="F375" t="n">
        <v>4.5</v>
      </c>
      <c r="G375" t="b">
        <v>0</v>
      </c>
      <c r="H375" t="inlineStr">
        <is>
          <t>0</t>
        </is>
      </c>
    </row>
    <row r="376">
      <c r="A376" t="inlineStr">
        <is>
          <t>ALL</t>
        </is>
      </c>
      <c r="B376" t="inlineStr">
        <is>
          <t>mystic</t>
        </is>
      </c>
      <c r="C376" t="n">
        <v>1</v>
      </c>
      <c r="D376" t="inlineStr">
        <is>
          <t>Dex %</t>
        </is>
      </c>
      <c r="E376" t="n">
        <v>15</v>
      </c>
      <c r="F376" t="n">
        <v>4.5</v>
      </c>
      <c r="G376" t="b">
        <v>0</v>
      </c>
      <c r="H376" t="inlineStr">
        <is>
          <t>0</t>
        </is>
      </c>
    </row>
    <row r="377">
      <c r="A377" t="inlineStr">
        <is>
          <t>ALL</t>
        </is>
      </c>
      <c r="B377" t="inlineStr">
        <is>
          <t>mystic</t>
        </is>
      </c>
      <c r="C377" t="n">
        <v>1</v>
      </c>
      <c r="D377" t="inlineStr">
        <is>
          <t>Int %</t>
        </is>
      </c>
      <c r="E377" t="n">
        <v>15</v>
      </c>
      <c r="F377" t="n">
        <v>4.5</v>
      </c>
      <c r="G377" t="b">
        <v>0</v>
      </c>
      <c r="H377" t="inlineStr">
        <is>
          <t>0</t>
        </is>
      </c>
    </row>
    <row r="378">
      <c r="A378" t="inlineStr">
        <is>
          <t>ALL</t>
        </is>
      </c>
      <c r="B378" t="inlineStr">
        <is>
          <t>mystic</t>
        </is>
      </c>
      <c r="C378" t="n">
        <v>1</v>
      </c>
      <c r="D378" t="inlineStr">
        <is>
          <t>Luk %</t>
        </is>
      </c>
      <c r="E378" t="n">
        <v>15</v>
      </c>
      <c r="F378" t="n">
        <v>4.5</v>
      </c>
      <c r="G378" t="b">
        <v>0</v>
      </c>
      <c r="H378">
        <f>Sensitivity!H6</f>
        <v/>
      </c>
    </row>
    <row r="379">
      <c r="A379" t="inlineStr">
        <is>
          <t>ALL</t>
        </is>
      </c>
      <c r="B379" t="inlineStr">
        <is>
          <t>mystic</t>
        </is>
      </c>
      <c r="C379" t="n">
        <v>1</v>
      </c>
      <c r="D379" t="inlineStr">
        <is>
          <t>Defense %</t>
        </is>
      </c>
      <c r="E379" t="n">
        <v>15</v>
      </c>
      <c r="F379" t="n">
        <v>9</v>
      </c>
      <c r="G379" t="b">
        <v>0</v>
      </c>
      <c r="H379" t="inlineStr">
        <is>
          <t>0</t>
        </is>
      </c>
    </row>
    <row r="380">
      <c r="A380" t="inlineStr">
        <is>
          <t>ALL</t>
        </is>
      </c>
      <c r="B380" t="inlineStr">
        <is>
          <t>mystic</t>
        </is>
      </c>
      <c r="C380" t="n">
        <v>1</v>
      </c>
      <c r="D380" t="inlineStr">
        <is>
          <t>Max HP %</t>
        </is>
      </c>
      <c r="E380" t="n">
        <v>25</v>
      </c>
      <c r="F380" t="n">
        <v>9</v>
      </c>
      <c r="G380" t="b">
        <v>0</v>
      </c>
      <c r="H380" t="inlineStr">
        <is>
          <t>0</t>
        </is>
      </c>
    </row>
    <row r="381">
      <c r="A381" t="inlineStr">
        <is>
          <t>ALL</t>
        </is>
      </c>
      <c r="B381" t="inlineStr">
        <is>
          <t>mystic</t>
        </is>
      </c>
      <c r="C381" t="n">
        <v>1</v>
      </c>
      <c r="D381" t="inlineStr">
        <is>
          <t>Max MP %</t>
        </is>
      </c>
      <c r="E381" t="n">
        <v>15</v>
      </c>
      <c r="F381" t="n">
        <v>9</v>
      </c>
      <c r="G381" t="b">
        <v>0</v>
      </c>
      <c r="H381" t="inlineStr">
        <is>
          <t>0</t>
        </is>
      </c>
    </row>
    <row r="382">
      <c r="A382" t="inlineStr">
        <is>
          <t>ALL</t>
        </is>
      </c>
      <c r="B382" t="inlineStr">
        <is>
          <t>mystic</t>
        </is>
      </c>
      <c r="C382" t="n">
        <v>1</v>
      </c>
      <c r="D382" t="inlineStr">
        <is>
          <t>Str</t>
        </is>
      </c>
      <c r="E382" t="n">
        <v>1000</v>
      </c>
      <c r="F382" t="n">
        <v>9.25</v>
      </c>
      <c r="G382" t="b">
        <v>0</v>
      </c>
      <c r="H382" t="inlineStr">
        <is>
          <t>0</t>
        </is>
      </c>
    </row>
    <row r="383">
      <c r="A383" t="inlineStr">
        <is>
          <t>ALL</t>
        </is>
      </c>
      <c r="B383" t="inlineStr">
        <is>
          <t>mystic</t>
        </is>
      </c>
      <c r="C383" t="n">
        <v>1</v>
      </c>
      <c r="D383" t="inlineStr">
        <is>
          <t>Dex</t>
        </is>
      </c>
      <c r="E383" t="n">
        <v>1000</v>
      </c>
      <c r="F383" t="n">
        <v>9.25</v>
      </c>
      <c r="G383" t="b">
        <v>0</v>
      </c>
      <c r="H383" t="inlineStr">
        <is>
          <t>0</t>
        </is>
      </c>
    </row>
    <row r="384">
      <c r="A384" t="inlineStr">
        <is>
          <t>ALL</t>
        </is>
      </c>
      <c r="B384" t="inlineStr">
        <is>
          <t>mystic</t>
        </is>
      </c>
      <c r="C384" t="n">
        <v>1</v>
      </c>
      <c r="D384" t="inlineStr">
        <is>
          <t>Int</t>
        </is>
      </c>
      <c r="E384" t="n">
        <v>1000</v>
      </c>
      <c r="F384" t="n">
        <v>9.25</v>
      </c>
      <c r="G384" t="b">
        <v>0</v>
      </c>
      <c r="H384" t="inlineStr">
        <is>
          <t>0</t>
        </is>
      </c>
    </row>
    <row r="385">
      <c r="A385" t="inlineStr">
        <is>
          <t>ALL</t>
        </is>
      </c>
      <c r="B385" t="inlineStr">
        <is>
          <t>mystic</t>
        </is>
      </c>
      <c r="C385" t="n">
        <v>1</v>
      </c>
      <c r="D385" t="inlineStr">
        <is>
          <t>Luk</t>
        </is>
      </c>
      <c r="E385" t="n">
        <v>1000</v>
      </c>
      <c r="F385" t="n">
        <v>9.25</v>
      </c>
      <c r="G385" t="b">
        <v>0</v>
      </c>
      <c r="H385">
        <f>Sensitivity!H5</f>
        <v/>
      </c>
    </row>
    <row r="386">
      <c r="A386" t="inlineStr">
        <is>
          <t>ALL</t>
        </is>
      </c>
      <c r="B386" t="inlineStr">
        <is>
          <t>mystic</t>
        </is>
      </c>
      <c r="C386" t="n">
        <v>2</v>
      </c>
      <c r="D386" t="inlineStr">
        <is>
          <t>Critical Rate %</t>
        </is>
      </c>
      <c r="E386" t="n">
        <v>12</v>
      </c>
      <c r="F386" t="n">
        <v>1.9</v>
      </c>
      <c r="G386" t="b">
        <v>0</v>
      </c>
      <c r="H386">
        <f>IF(Inputs!$B$9&gt;=100,Sensitivity!H16,Sensitivity!H15)</f>
        <v/>
      </c>
    </row>
    <row r="387">
      <c r="A387" t="inlineStr">
        <is>
          <t>ALL</t>
        </is>
      </c>
      <c r="B387" t="inlineStr">
        <is>
          <t>mystic</t>
        </is>
      </c>
      <c r="C387" t="n">
        <v>2</v>
      </c>
      <c r="D387" t="inlineStr">
        <is>
          <t>Critical Rate %</t>
        </is>
      </c>
      <c r="E387" t="n">
        <v>15</v>
      </c>
      <c r="F387" t="n">
        <v>0.6</v>
      </c>
      <c r="G387" t="b">
        <v>1</v>
      </c>
      <c r="H387">
        <f>IF(Inputs!$B$9&gt;=100,Sensitivity!H16,Sensitivity!H15)</f>
        <v/>
      </c>
    </row>
    <row r="388">
      <c r="A388" t="inlineStr">
        <is>
          <t>ALL</t>
        </is>
      </c>
      <c r="B388" t="inlineStr">
        <is>
          <t>mystic</t>
        </is>
      </c>
      <c r="C388" t="n">
        <v>2</v>
      </c>
      <c r="D388" t="inlineStr">
        <is>
          <t>Attack Speed %</t>
        </is>
      </c>
      <c r="E388" t="n">
        <v>7</v>
      </c>
      <c r="F388" t="n">
        <v>1.9</v>
      </c>
      <c r="G388" t="b">
        <v>0</v>
      </c>
      <c r="H388">
        <f>Sensitivity!H17</f>
        <v/>
      </c>
    </row>
    <row r="389">
      <c r="A389" t="inlineStr">
        <is>
          <t>ALL</t>
        </is>
      </c>
      <c r="B389" t="inlineStr">
        <is>
          <t>mystic</t>
        </is>
      </c>
      <c r="C389" t="n">
        <v>2</v>
      </c>
      <c r="D389" t="inlineStr">
        <is>
          <t>Attack Speed %</t>
        </is>
      </c>
      <c r="E389" t="n">
        <v>10</v>
      </c>
      <c r="F389" t="n">
        <v>0.6</v>
      </c>
      <c r="G389" t="b">
        <v>1</v>
      </c>
      <c r="H389">
        <f>Sensitivity!H17</f>
        <v/>
      </c>
    </row>
    <row r="390">
      <c r="A390" t="inlineStr">
        <is>
          <t>ALL</t>
        </is>
      </c>
      <c r="B390" t="inlineStr">
        <is>
          <t>mystic</t>
        </is>
      </c>
      <c r="C390" t="n">
        <v>2</v>
      </c>
      <c r="D390" t="inlineStr">
        <is>
          <t>Damage %</t>
        </is>
      </c>
      <c r="E390" t="n">
        <v>25</v>
      </c>
      <c r="F390" t="n">
        <v>3.04</v>
      </c>
      <c r="G390" t="b">
        <v>0</v>
      </c>
      <c r="H390">
        <f>Sensitivity!H8</f>
        <v/>
      </c>
    </row>
    <row r="391">
      <c r="A391" t="inlineStr">
        <is>
          <t>ALL</t>
        </is>
      </c>
      <c r="B391" t="inlineStr">
        <is>
          <t>mystic</t>
        </is>
      </c>
      <c r="C391" t="n">
        <v>2</v>
      </c>
      <c r="D391" t="inlineStr">
        <is>
          <t>Damage %</t>
        </is>
      </c>
      <c r="E391" t="n">
        <v>35</v>
      </c>
      <c r="F391" t="n">
        <v>0.96</v>
      </c>
      <c r="G391" t="b">
        <v>1</v>
      </c>
      <c r="H391">
        <f>Sensitivity!H8</f>
        <v/>
      </c>
    </row>
    <row r="392">
      <c r="A392" t="inlineStr">
        <is>
          <t>ALL</t>
        </is>
      </c>
      <c r="B392" t="inlineStr">
        <is>
          <t>mystic</t>
        </is>
      </c>
      <c r="C392" t="n">
        <v>2</v>
      </c>
      <c r="D392" t="inlineStr">
        <is>
          <t>Min Damage Multiplier %</t>
        </is>
      </c>
      <c r="E392" t="n">
        <v>15</v>
      </c>
      <c r="F392" t="n">
        <v>3.04</v>
      </c>
      <c r="G392" t="b">
        <v>0</v>
      </c>
      <c r="H392">
        <f>Sensitivity!H13</f>
        <v/>
      </c>
    </row>
    <row r="393">
      <c r="A393" t="inlineStr">
        <is>
          <t>ALL</t>
        </is>
      </c>
      <c r="B393" t="inlineStr">
        <is>
          <t>mystic</t>
        </is>
      </c>
      <c r="C393" t="n">
        <v>2</v>
      </c>
      <c r="D393" t="inlineStr">
        <is>
          <t>Min Damage Multiplier %</t>
        </is>
      </c>
      <c r="E393" t="n">
        <v>25</v>
      </c>
      <c r="F393" t="n">
        <v>0.96</v>
      </c>
      <c r="G393" t="b">
        <v>1</v>
      </c>
      <c r="H393">
        <f>Sensitivity!H13</f>
        <v/>
      </c>
    </row>
    <row r="394">
      <c r="A394" t="inlineStr">
        <is>
          <t>ALL</t>
        </is>
      </c>
      <c r="B394" t="inlineStr">
        <is>
          <t>mystic</t>
        </is>
      </c>
      <c r="C394" t="n">
        <v>2</v>
      </c>
      <c r="D394" t="inlineStr">
        <is>
          <t>Max Damage Multiplier %</t>
        </is>
      </c>
      <c r="E394" t="n">
        <v>15</v>
      </c>
      <c r="F394" t="n">
        <v>3.04</v>
      </c>
      <c r="G394" t="b">
        <v>0</v>
      </c>
      <c r="H394">
        <f>Sensitivity!H14</f>
        <v/>
      </c>
    </row>
    <row r="395">
      <c r="A395" t="inlineStr">
        <is>
          <t>ALL</t>
        </is>
      </c>
      <c r="B395" t="inlineStr">
        <is>
          <t>mystic</t>
        </is>
      </c>
      <c r="C395" t="n">
        <v>2</v>
      </c>
      <c r="D395" t="inlineStr">
        <is>
          <t>Max Damage Multiplier %</t>
        </is>
      </c>
      <c r="E395" t="n">
        <v>25</v>
      </c>
      <c r="F395" t="n">
        <v>0.96</v>
      </c>
      <c r="G395" t="b">
        <v>1</v>
      </c>
      <c r="H395">
        <f>Sensitivity!H14</f>
        <v/>
      </c>
    </row>
    <row r="396">
      <c r="A396" t="inlineStr">
        <is>
          <t>ALL</t>
        </is>
      </c>
      <c r="B396" t="inlineStr">
        <is>
          <t>mystic</t>
        </is>
      </c>
      <c r="C396" t="n">
        <v>2</v>
      </c>
      <c r="D396" t="inlineStr">
        <is>
          <t>Str %</t>
        </is>
      </c>
      <c r="E396" t="n">
        <v>12</v>
      </c>
      <c r="F396" t="n">
        <v>3.42</v>
      </c>
      <c r="G396" t="b">
        <v>0</v>
      </c>
      <c r="H396" t="inlineStr">
        <is>
          <t>0</t>
        </is>
      </c>
    </row>
    <row r="397">
      <c r="A397" t="inlineStr">
        <is>
          <t>ALL</t>
        </is>
      </c>
      <c r="B397" t="inlineStr">
        <is>
          <t>mystic</t>
        </is>
      </c>
      <c r="C397" t="n">
        <v>2</v>
      </c>
      <c r="D397" t="inlineStr">
        <is>
          <t>Str %</t>
        </is>
      </c>
      <c r="E397" t="n">
        <v>15</v>
      </c>
      <c r="F397" t="n">
        <v>1.08</v>
      </c>
      <c r="G397" t="b">
        <v>1</v>
      </c>
      <c r="H397" t="inlineStr">
        <is>
          <t>0</t>
        </is>
      </c>
    </row>
    <row r="398">
      <c r="A398" t="inlineStr">
        <is>
          <t>ALL</t>
        </is>
      </c>
      <c r="B398" t="inlineStr">
        <is>
          <t>mystic</t>
        </is>
      </c>
      <c r="C398" t="n">
        <v>2</v>
      </c>
      <c r="D398" t="inlineStr">
        <is>
          <t>Dex %</t>
        </is>
      </c>
      <c r="E398" t="n">
        <v>12</v>
      </c>
      <c r="F398" t="n">
        <v>3.42</v>
      </c>
      <c r="G398" t="b">
        <v>0</v>
      </c>
      <c r="H398" t="inlineStr">
        <is>
          <t>0</t>
        </is>
      </c>
    </row>
    <row r="399">
      <c r="A399" t="inlineStr">
        <is>
          <t>ALL</t>
        </is>
      </c>
      <c r="B399" t="inlineStr">
        <is>
          <t>mystic</t>
        </is>
      </c>
      <c r="C399" t="n">
        <v>2</v>
      </c>
      <c r="D399" t="inlineStr">
        <is>
          <t>Dex %</t>
        </is>
      </c>
      <c r="E399" t="n">
        <v>15</v>
      </c>
      <c r="F399" t="n">
        <v>1.08</v>
      </c>
      <c r="G399" t="b">
        <v>1</v>
      </c>
      <c r="H399" t="inlineStr">
        <is>
          <t>0</t>
        </is>
      </c>
    </row>
    <row r="400">
      <c r="A400" t="inlineStr">
        <is>
          <t>ALL</t>
        </is>
      </c>
      <c r="B400" t="inlineStr">
        <is>
          <t>mystic</t>
        </is>
      </c>
      <c r="C400" t="n">
        <v>2</v>
      </c>
      <c r="D400" t="inlineStr">
        <is>
          <t>Int %</t>
        </is>
      </c>
      <c r="E400" t="n">
        <v>12</v>
      </c>
      <c r="F400" t="n">
        <v>3.42</v>
      </c>
      <c r="G400" t="b">
        <v>0</v>
      </c>
      <c r="H400" t="inlineStr">
        <is>
          <t>0</t>
        </is>
      </c>
    </row>
    <row r="401">
      <c r="A401" t="inlineStr">
        <is>
          <t>ALL</t>
        </is>
      </c>
      <c r="B401" t="inlineStr">
        <is>
          <t>mystic</t>
        </is>
      </c>
      <c r="C401" t="n">
        <v>2</v>
      </c>
      <c r="D401" t="inlineStr">
        <is>
          <t>Int %</t>
        </is>
      </c>
      <c r="E401" t="n">
        <v>15</v>
      </c>
      <c r="F401" t="n">
        <v>1.08</v>
      </c>
      <c r="G401" t="b">
        <v>1</v>
      </c>
      <c r="H401" t="inlineStr">
        <is>
          <t>0</t>
        </is>
      </c>
    </row>
    <row r="402">
      <c r="A402" t="inlineStr">
        <is>
          <t>ALL</t>
        </is>
      </c>
      <c r="B402" t="inlineStr">
        <is>
          <t>mystic</t>
        </is>
      </c>
      <c r="C402" t="n">
        <v>2</v>
      </c>
      <c r="D402" t="inlineStr">
        <is>
          <t>Luk %</t>
        </is>
      </c>
      <c r="E402" t="n">
        <v>12</v>
      </c>
      <c r="F402" t="n">
        <v>3.42</v>
      </c>
      <c r="G402" t="b">
        <v>0</v>
      </c>
      <c r="H402">
        <f>Sensitivity!H6</f>
        <v/>
      </c>
    </row>
    <row r="403">
      <c r="A403" t="inlineStr">
        <is>
          <t>ALL</t>
        </is>
      </c>
      <c r="B403" t="inlineStr">
        <is>
          <t>mystic</t>
        </is>
      </c>
      <c r="C403" t="n">
        <v>2</v>
      </c>
      <c r="D403" t="inlineStr">
        <is>
          <t>Luk %</t>
        </is>
      </c>
      <c r="E403" t="n">
        <v>15</v>
      </c>
      <c r="F403" t="n">
        <v>1.08</v>
      </c>
      <c r="G403" t="b">
        <v>1</v>
      </c>
      <c r="H403">
        <f>Sensitivity!H6</f>
        <v/>
      </c>
    </row>
    <row r="404">
      <c r="A404" t="inlineStr">
        <is>
          <t>ALL</t>
        </is>
      </c>
      <c r="B404" t="inlineStr">
        <is>
          <t>mystic</t>
        </is>
      </c>
      <c r="C404" t="n">
        <v>2</v>
      </c>
      <c r="D404" t="inlineStr">
        <is>
          <t>Defense %</t>
        </is>
      </c>
      <c r="E404" t="n">
        <v>12</v>
      </c>
      <c r="F404" t="n">
        <v>6.84</v>
      </c>
      <c r="G404" t="b">
        <v>0</v>
      </c>
      <c r="H404" t="inlineStr">
        <is>
          <t>0</t>
        </is>
      </c>
    </row>
    <row r="405">
      <c r="A405" t="inlineStr">
        <is>
          <t>ALL</t>
        </is>
      </c>
      <c r="B405" t="inlineStr">
        <is>
          <t>mystic</t>
        </is>
      </c>
      <c r="C405" t="n">
        <v>2</v>
      </c>
      <c r="D405" t="inlineStr">
        <is>
          <t>Defense %</t>
        </is>
      </c>
      <c r="E405" t="n">
        <v>15</v>
      </c>
      <c r="F405" t="n">
        <v>2.16</v>
      </c>
      <c r="G405" t="b">
        <v>1</v>
      </c>
      <c r="H405" t="inlineStr">
        <is>
          <t>0</t>
        </is>
      </c>
    </row>
    <row r="406">
      <c r="A406" t="inlineStr">
        <is>
          <t>ALL</t>
        </is>
      </c>
      <c r="B406" t="inlineStr">
        <is>
          <t>mystic</t>
        </is>
      </c>
      <c r="C406" t="n">
        <v>2</v>
      </c>
      <c r="D406" t="inlineStr">
        <is>
          <t>Max HP %</t>
        </is>
      </c>
      <c r="E406" t="n">
        <v>20</v>
      </c>
      <c r="F406" t="n">
        <v>6.84</v>
      </c>
      <c r="G406" t="b">
        <v>0</v>
      </c>
      <c r="H406" t="inlineStr">
        <is>
          <t>0</t>
        </is>
      </c>
    </row>
    <row r="407">
      <c r="A407" t="inlineStr">
        <is>
          <t>ALL</t>
        </is>
      </c>
      <c r="B407" t="inlineStr">
        <is>
          <t>mystic</t>
        </is>
      </c>
      <c r="C407" t="n">
        <v>2</v>
      </c>
      <c r="D407" t="inlineStr">
        <is>
          <t>Max HP %</t>
        </is>
      </c>
      <c r="E407" t="n">
        <v>25</v>
      </c>
      <c r="F407" t="n">
        <v>2.16</v>
      </c>
      <c r="G407" t="b">
        <v>1</v>
      </c>
      <c r="H407" t="inlineStr">
        <is>
          <t>0</t>
        </is>
      </c>
    </row>
    <row r="408">
      <c r="A408" t="inlineStr">
        <is>
          <t>ALL</t>
        </is>
      </c>
      <c r="B408" t="inlineStr">
        <is>
          <t>mystic</t>
        </is>
      </c>
      <c r="C408" t="n">
        <v>2</v>
      </c>
      <c r="D408" t="inlineStr">
        <is>
          <t>Max MP %</t>
        </is>
      </c>
      <c r="E408" t="n">
        <v>12</v>
      </c>
      <c r="F408" t="n">
        <v>6.84</v>
      </c>
      <c r="G408" t="b">
        <v>0</v>
      </c>
      <c r="H408" t="inlineStr">
        <is>
          <t>0</t>
        </is>
      </c>
    </row>
    <row r="409">
      <c r="A409" t="inlineStr">
        <is>
          <t>ALL</t>
        </is>
      </c>
      <c r="B409" t="inlineStr">
        <is>
          <t>mystic</t>
        </is>
      </c>
      <c r="C409" t="n">
        <v>2</v>
      </c>
      <c r="D409" t="inlineStr">
        <is>
          <t>Max MP %</t>
        </is>
      </c>
      <c r="E409" t="n">
        <v>15</v>
      </c>
      <c r="F409" t="n">
        <v>2.16</v>
      </c>
      <c r="G409" t="b">
        <v>1</v>
      </c>
      <c r="H409" t="inlineStr">
        <is>
          <t>0</t>
        </is>
      </c>
    </row>
    <row r="410">
      <c r="A410" t="inlineStr">
        <is>
          <t>ALL</t>
        </is>
      </c>
      <c r="B410" t="inlineStr">
        <is>
          <t>mystic</t>
        </is>
      </c>
      <c r="C410" t="n">
        <v>2</v>
      </c>
      <c r="D410" t="inlineStr">
        <is>
          <t>Str</t>
        </is>
      </c>
      <c r="E410" t="n">
        <v>600</v>
      </c>
      <c r="F410" t="n">
        <v>7.03</v>
      </c>
      <c r="G410" t="b">
        <v>0</v>
      </c>
      <c r="H410" t="inlineStr">
        <is>
          <t>0</t>
        </is>
      </c>
    </row>
    <row r="411">
      <c r="A411" t="inlineStr">
        <is>
          <t>ALL</t>
        </is>
      </c>
      <c r="B411" t="inlineStr">
        <is>
          <t>mystic</t>
        </is>
      </c>
      <c r="C411" t="n">
        <v>2</v>
      </c>
      <c r="D411" t="inlineStr">
        <is>
          <t>Str</t>
        </is>
      </c>
      <c r="E411" t="n">
        <v>1000</v>
      </c>
      <c r="F411" t="n">
        <v>2.22</v>
      </c>
      <c r="G411" t="b">
        <v>1</v>
      </c>
      <c r="H411" t="inlineStr">
        <is>
          <t>0</t>
        </is>
      </c>
    </row>
    <row r="412">
      <c r="A412" t="inlineStr">
        <is>
          <t>ALL</t>
        </is>
      </c>
      <c r="B412" t="inlineStr">
        <is>
          <t>mystic</t>
        </is>
      </c>
      <c r="C412" t="n">
        <v>2</v>
      </c>
      <c r="D412" t="inlineStr">
        <is>
          <t>Dex</t>
        </is>
      </c>
      <c r="E412" t="n">
        <v>600</v>
      </c>
      <c r="F412" t="n">
        <v>7.03</v>
      </c>
      <c r="G412" t="b">
        <v>0</v>
      </c>
      <c r="H412" t="inlineStr">
        <is>
          <t>0</t>
        </is>
      </c>
    </row>
    <row r="413">
      <c r="A413" t="inlineStr">
        <is>
          <t>ALL</t>
        </is>
      </c>
      <c r="B413" t="inlineStr">
        <is>
          <t>mystic</t>
        </is>
      </c>
      <c r="C413" t="n">
        <v>2</v>
      </c>
      <c r="D413" t="inlineStr">
        <is>
          <t>Dex</t>
        </is>
      </c>
      <c r="E413" t="n">
        <v>1000</v>
      </c>
      <c r="F413" t="n">
        <v>2.22</v>
      </c>
      <c r="G413" t="b">
        <v>1</v>
      </c>
      <c r="H413" t="inlineStr">
        <is>
          <t>0</t>
        </is>
      </c>
    </row>
    <row r="414">
      <c r="A414" t="inlineStr">
        <is>
          <t>ALL</t>
        </is>
      </c>
      <c r="B414" t="inlineStr">
        <is>
          <t>mystic</t>
        </is>
      </c>
      <c r="C414" t="n">
        <v>2</v>
      </c>
      <c r="D414" t="inlineStr">
        <is>
          <t>Int</t>
        </is>
      </c>
      <c r="E414" t="n">
        <v>600</v>
      </c>
      <c r="F414" t="n">
        <v>7.03</v>
      </c>
      <c r="G414" t="b">
        <v>0</v>
      </c>
      <c r="H414" t="inlineStr">
        <is>
          <t>0</t>
        </is>
      </c>
    </row>
    <row r="415">
      <c r="A415" t="inlineStr">
        <is>
          <t>ALL</t>
        </is>
      </c>
      <c r="B415" t="inlineStr">
        <is>
          <t>mystic</t>
        </is>
      </c>
      <c r="C415" t="n">
        <v>2</v>
      </c>
      <c r="D415" t="inlineStr">
        <is>
          <t>Int</t>
        </is>
      </c>
      <c r="E415" t="n">
        <v>1000</v>
      </c>
      <c r="F415" t="n">
        <v>2.22</v>
      </c>
      <c r="G415" t="b">
        <v>1</v>
      </c>
      <c r="H415" t="inlineStr">
        <is>
          <t>0</t>
        </is>
      </c>
    </row>
    <row r="416">
      <c r="A416" t="inlineStr">
        <is>
          <t>ALL</t>
        </is>
      </c>
      <c r="B416" t="inlineStr">
        <is>
          <t>mystic</t>
        </is>
      </c>
      <c r="C416" t="n">
        <v>2</v>
      </c>
      <c r="D416" t="inlineStr">
        <is>
          <t>Luk</t>
        </is>
      </c>
      <c r="E416" t="n">
        <v>600</v>
      </c>
      <c r="F416" t="n">
        <v>7.03</v>
      </c>
      <c r="G416" t="b">
        <v>0</v>
      </c>
      <c r="H416">
        <f>Sensitivity!H5</f>
        <v/>
      </c>
    </row>
    <row r="417">
      <c r="A417" t="inlineStr">
        <is>
          <t>ALL</t>
        </is>
      </c>
      <c r="B417" t="inlineStr">
        <is>
          <t>mystic</t>
        </is>
      </c>
      <c r="C417" t="n">
        <v>2</v>
      </c>
      <c r="D417" t="inlineStr">
        <is>
          <t>Luk</t>
        </is>
      </c>
      <c r="E417" t="n">
        <v>1000</v>
      </c>
      <c r="F417" t="n">
        <v>2.22</v>
      </c>
      <c r="G417" t="b">
        <v>1</v>
      </c>
      <c r="H417">
        <f>Sensitivity!H5</f>
        <v/>
      </c>
    </row>
    <row r="418">
      <c r="A418" t="inlineStr">
        <is>
          <t>ALL</t>
        </is>
      </c>
      <c r="B418" t="inlineStr">
        <is>
          <t>mystic</t>
        </is>
      </c>
      <c r="C418" t="n">
        <v>3</v>
      </c>
      <c r="D418" t="inlineStr">
        <is>
          <t>Critical Rate %</t>
        </is>
      </c>
      <c r="E418" t="n">
        <v>12</v>
      </c>
      <c r="F418" t="n">
        <v>2.3</v>
      </c>
      <c r="G418" t="b">
        <v>0</v>
      </c>
      <c r="H418">
        <f>IF(Inputs!$B$9&gt;=100,Sensitivity!H16,Sensitivity!H15)</f>
        <v/>
      </c>
    </row>
    <row r="419">
      <c r="A419" t="inlineStr">
        <is>
          <t>ALL</t>
        </is>
      </c>
      <c r="B419" t="inlineStr">
        <is>
          <t>mystic</t>
        </is>
      </c>
      <c r="C419" t="n">
        <v>3</v>
      </c>
      <c r="D419" t="inlineStr">
        <is>
          <t>Critical Rate %</t>
        </is>
      </c>
      <c r="E419" t="n">
        <v>15</v>
      </c>
      <c r="F419" t="n">
        <v>0.2</v>
      </c>
      <c r="G419" t="b">
        <v>1</v>
      </c>
      <c r="H419">
        <f>IF(Inputs!$B$9&gt;=100,Sensitivity!H16,Sensitivity!H15)</f>
        <v/>
      </c>
    </row>
    <row r="420">
      <c r="A420" t="inlineStr">
        <is>
          <t>ALL</t>
        </is>
      </c>
      <c r="B420" t="inlineStr">
        <is>
          <t>mystic</t>
        </is>
      </c>
      <c r="C420" t="n">
        <v>3</v>
      </c>
      <c r="D420" t="inlineStr">
        <is>
          <t>Attack Speed %</t>
        </is>
      </c>
      <c r="E420" t="n">
        <v>7</v>
      </c>
      <c r="F420" t="n">
        <v>2.3</v>
      </c>
      <c r="G420" t="b">
        <v>0</v>
      </c>
      <c r="H420">
        <f>Sensitivity!H17</f>
        <v/>
      </c>
    </row>
    <row r="421">
      <c r="A421" t="inlineStr">
        <is>
          <t>ALL</t>
        </is>
      </c>
      <c r="B421" t="inlineStr">
        <is>
          <t>mystic</t>
        </is>
      </c>
      <c r="C421" t="n">
        <v>3</v>
      </c>
      <c r="D421" t="inlineStr">
        <is>
          <t>Attack Speed %</t>
        </is>
      </c>
      <c r="E421" t="n">
        <v>10</v>
      </c>
      <c r="F421" t="n">
        <v>0.2</v>
      </c>
      <c r="G421" t="b">
        <v>1</v>
      </c>
      <c r="H421">
        <f>Sensitivity!H17</f>
        <v/>
      </c>
    </row>
    <row r="422">
      <c r="A422" t="inlineStr">
        <is>
          <t>ALL</t>
        </is>
      </c>
      <c r="B422" t="inlineStr">
        <is>
          <t>mystic</t>
        </is>
      </c>
      <c r="C422" t="n">
        <v>3</v>
      </c>
      <c r="D422" t="inlineStr">
        <is>
          <t>Damage %</t>
        </is>
      </c>
      <c r="E422" t="n">
        <v>25</v>
      </c>
      <c r="F422" t="n">
        <v>3.68</v>
      </c>
      <c r="G422" t="b">
        <v>0</v>
      </c>
      <c r="H422">
        <f>Sensitivity!H8</f>
        <v/>
      </c>
    </row>
    <row r="423">
      <c r="A423" t="inlineStr">
        <is>
          <t>ALL</t>
        </is>
      </c>
      <c r="B423" t="inlineStr">
        <is>
          <t>mystic</t>
        </is>
      </c>
      <c r="C423" t="n">
        <v>3</v>
      </c>
      <c r="D423" t="inlineStr">
        <is>
          <t>Damage %</t>
        </is>
      </c>
      <c r="E423" t="n">
        <v>35</v>
      </c>
      <c r="F423" t="n">
        <v>0.32</v>
      </c>
      <c r="G423" t="b">
        <v>1</v>
      </c>
      <c r="H423">
        <f>Sensitivity!H8</f>
        <v/>
      </c>
    </row>
    <row r="424">
      <c r="A424" t="inlineStr">
        <is>
          <t>ALL</t>
        </is>
      </c>
      <c r="B424" t="inlineStr">
        <is>
          <t>mystic</t>
        </is>
      </c>
      <c r="C424" t="n">
        <v>3</v>
      </c>
      <c r="D424" t="inlineStr">
        <is>
          <t>Min Damage Multiplier %</t>
        </is>
      </c>
      <c r="E424" t="n">
        <v>15</v>
      </c>
      <c r="F424" t="n">
        <v>3.68</v>
      </c>
      <c r="G424" t="b">
        <v>0</v>
      </c>
      <c r="H424">
        <f>Sensitivity!H13</f>
        <v/>
      </c>
    </row>
    <row r="425">
      <c r="A425" t="inlineStr">
        <is>
          <t>ALL</t>
        </is>
      </c>
      <c r="B425" t="inlineStr">
        <is>
          <t>mystic</t>
        </is>
      </c>
      <c r="C425" t="n">
        <v>3</v>
      </c>
      <c r="D425" t="inlineStr">
        <is>
          <t>Min Damage Multiplier %</t>
        </is>
      </c>
      <c r="E425" t="n">
        <v>25</v>
      </c>
      <c r="F425" t="n">
        <v>0.32</v>
      </c>
      <c r="G425" t="b">
        <v>1</v>
      </c>
      <c r="H425">
        <f>Sensitivity!H13</f>
        <v/>
      </c>
    </row>
    <row r="426">
      <c r="A426" t="inlineStr">
        <is>
          <t>ALL</t>
        </is>
      </c>
      <c r="B426" t="inlineStr">
        <is>
          <t>mystic</t>
        </is>
      </c>
      <c r="C426" t="n">
        <v>3</v>
      </c>
      <c r="D426" t="inlineStr">
        <is>
          <t>Max Damage Multiplier %</t>
        </is>
      </c>
      <c r="E426" t="n">
        <v>15</v>
      </c>
      <c r="F426" t="n">
        <v>3.68</v>
      </c>
      <c r="G426" t="b">
        <v>0</v>
      </c>
      <c r="H426">
        <f>Sensitivity!H14</f>
        <v/>
      </c>
    </row>
    <row r="427">
      <c r="A427" t="inlineStr">
        <is>
          <t>ALL</t>
        </is>
      </c>
      <c r="B427" t="inlineStr">
        <is>
          <t>mystic</t>
        </is>
      </c>
      <c r="C427" t="n">
        <v>3</v>
      </c>
      <c r="D427" t="inlineStr">
        <is>
          <t>Max Damage Multiplier %</t>
        </is>
      </c>
      <c r="E427" t="n">
        <v>25</v>
      </c>
      <c r="F427" t="n">
        <v>0.32</v>
      </c>
      <c r="G427" t="b">
        <v>1</v>
      </c>
      <c r="H427">
        <f>Sensitivity!H14</f>
        <v/>
      </c>
    </row>
    <row r="428">
      <c r="A428" t="inlineStr">
        <is>
          <t>ALL</t>
        </is>
      </c>
      <c r="B428" t="inlineStr">
        <is>
          <t>mystic</t>
        </is>
      </c>
      <c r="C428" t="n">
        <v>3</v>
      </c>
      <c r="D428" t="inlineStr">
        <is>
          <t>Str %</t>
        </is>
      </c>
      <c r="E428" t="n">
        <v>12</v>
      </c>
      <c r="F428" t="n">
        <v>4.14</v>
      </c>
      <c r="G428" t="b">
        <v>0</v>
      </c>
      <c r="H428" t="inlineStr">
        <is>
          <t>0</t>
        </is>
      </c>
    </row>
    <row r="429">
      <c r="A429" t="inlineStr">
        <is>
          <t>ALL</t>
        </is>
      </c>
      <c r="B429" t="inlineStr">
        <is>
          <t>mystic</t>
        </is>
      </c>
      <c r="C429" t="n">
        <v>3</v>
      </c>
      <c r="D429" t="inlineStr">
        <is>
          <t>Str %</t>
        </is>
      </c>
      <c r="E429" t="n">
        <v>15</v>
      </c>
      <c r="F429" t="n">
        <v>0.36</v>
      </c>
      <c r="G429" t="b">
        <v>1</v>
      </c>
      <c r="H429" t="inlineStr">
        <is>
          <t>0</t>
        </is>
      </c>
    </row>
    <row r="430">
      <c r="A430" t="inlineStr">
        <is>
          <t>ALL</t>
        </is>
      </c>
      <c r="B430" t="inlineStr">
        <is>
          <t>mystic</t>
        </is>
      </c>
      <c r="C430" t="n">
        <v>3</v>
      </c>
      <c r="D430" t="inlineStr">
        <is>
          <t>Dex %</t>
        </is>
      </c>
      <c r="E430" t="n">
        <v>12</v>
      </c>
      <c r="F430" t="n">
        <v>4.14</v>
      </c>
      <c r="G430" t="b">
        <v>0</v>
      </c>
      <c r="H430" t="inlineStr">
        <is>
          <t>0</t>
        </is>
      </c>
    </row>
    <row r="431">
      <c r="A431" t="inlineStr">
        <is>
          <t>ALL</t>
        </is>
      </c>
      <c r="B431" t="inlineStr">
        <is>
          <t>mystic</t>
        </is>
      </c>
      <c r="C431" t="n">
        <v>3</v>
      </c>
      <c r="D431" t="inlineStr">
        <is>
          <t>Dex %</t>
        </is>
      </c>
      <c r="E431" t="n">
        <v>15</v>
      </c>
      <c r="F431" t="n">
        <v>0.36</v>
      </c>
      <c r="G431" t="b">
        <v>1</v>
      </c>
      <c r="H431" t="inlineStr">
        <is>
          <t>0</t>
        </is>
      </c>
    </row>
    <row r="432">
      <c r="A432" t="inlineStr">
        <is>
          <t>ALL</t>
        </is>
      </c>
      <c r="B432" t="inlineStr">
        <is>
          <t>mystic</t>
        </is>
      </c>
      <c r="C432" t="n">
        <v>3</v>
      </c>
      <c r="D432" t="inlineStr">
        <is>
          <t>Int %</t>
        </is>
      </c>
      <c r="E432" t="n">
        <v>12</v>
      </c>
      <c r="F432" t="n">
        <v>4.14</v>
      </c>
      <c r="G432" t="b">
        <v>0</v>
      </c>
      <c r="H432" t="inlineStr">
        <is>
          <t>0</t>
        </is>
      </c>
    </row>
    <row r="433">
      <c r="A433" t="inlineStr">
        <is>
          <t>ALL</t>
        </is>
      </c>
      <c r="B433" t="inlineStr">
        <is>
          <t>mystic</t>
        </is>
      </c>
      <c r="C433" t="n">
        <v>3</v>
      </c>
      <c r="D433" t="inlineStr">
        <is>
          <t>Int %</t>
        </is>
      </c>
      <c r="E433" t="n">
        <v>15</v>
      </c>
      <c r="F433" t="n">
        <v>0.36</v>
      </c>
      <c r="G433" t="b">
        <v>1</v>
      </c>
      <c r="H433" t="inlineStr">
        <is>
          <t>0</t>
        </is>
      </c>
    </row>
    <row r="434">
      <c r="A434" t="inlineStr">
        <is>
          <t>ALL</t>
        </is>
      </c>
      <c r="B434" t="inlineStr">
        <is>
          <t>mystic</t>
        </is>
      </c>
      <c r="C434" t="n">
        <v>3</v>
      </c>
      <c r="D434" t="inlineStr">
        <is>
          <t>Luk %</t>
        </is>
      </c>
      <c r="E434" t="n">
        <v>12</v>
      </c>
      <c r="F434" t="n">
        <v>4.14</v>
      </c>
      <c r="G434" t="b">
        <v>0</v>
      </c>
      <c r="H434">
        <f>Sensitivity!H6</f>
        <v/>
      </c>
    </row>
    <row r="435">
      <c r="A435" t="inlineStr">
        <is>
          <t>ALL</t>
        </is>
      </c>
      <c r="B435" t="inlineStr">
        <is>
          <t>mystic</t>
        </is>
      </c>
      <c r="C435" t="n">
        <v>3</v>
      </c>
      <c r="D435" t="inlineStr">
        <is>
          <t>Luk %</t>
        </is>
      </c>
      <c r="E435" t="n">
        <v>15</v>
      </c>
      <c r="F435" t="n">
        <v>0.36</v>
      </c>
      <c r="G435" t="b">
        <v>1</v>
      </c>
      <c r="H435">
        <f>Sensitivity!H6</f>
        <v/>
      </c>
    </row>
    <row r="436">
      <c r="A436" t="inlineStr">
        <is>
          <t>ALL</t>
        </is>
      </c>
      <c r="B436" t="inlineStr">
        <is>
          <t>mystic</t>
        </is>
      </c>
      <c r="C436" t="n">
        <v>3</v>
      </c>
      <c r="D436" t="inlineStr">
        <is>
          <t>Defense %</t>
        </is>
      </c>
      <c r="E436" t="n">
        <v>12</v>
      </c>
      <c r="F436" t="n">
        <v>8.279999999999999</v>
      </c>
      <c r="G436" t="b">
        <v>0</v>
      </c>
      <c r="H436" t="inlineStr">
        <is>
          <t>0</t>
        </is>
      </c>
    </row>
    <row r="437">
      <c r="A437" t="inlineStr">
        <is>
          <t>ALL</t>
        </is>
      </c>
      <c r="B437" t="inlineStr">
        <is>
          <t>mystic</t>
        </is>
      </c>
      <c r="C437" t="n">
        <v>3</v>
      </c>
      <c r="D437" t="inlineStr">
        <is>
          <t>Defense %</t>
        </is>
      </c>
      <c r="E437" t="n">
        <v>15</v>
      </c>
      <c r="F437" t="n">
        <v>0.72</v>
      </c>
      <c r="G437" t="b">
        <v>1</v>
      </c>
      <c r="H437" t="inlineStr">
        <is>
          <t>0</t>
        </is>
      </c>
    </row>
    <row r="438">
      <c r="A438" t="inlineStr">
        <is>
          <t>ALL</t>
        </is>
      </c>
      <c r="B438" t="inlineStr">
        <is>
          <t>mystic</t>
        </is>
      </c>
      <c r="C438" t="n">
        <v>3</v>
      </c>
      <c r="D438" t="inlineStr">
        <is>
          <t>Max HP %</t>
        </is>
      </c>
      <c r="E438" t="n">
        <v>20</v>
      </c>
      <c r="F438" t="n">
        <v>8.279999999999999</v>
      </c>
      <c r="G438" t="b">
        <v>0</v>
      </c>
      <c r="H438" t="inlineStr">
        <is>
          <t>0</t>
        </is>
      </c>
    </row>
    <row r="439">
      <c r="A439" t="inlineStr">
        <is>
          <t>ALL</t>
        </is>
      </c>
      <c r="B439" t="inlineStr">
        <is>
          <t>mystic</t>
        </is>
      </c>
      <c r="C439" t="n">
        <v>3</v>
      </c>
      <c r="D439" t="inlineStr">
        <is>
          <t>Max HP %</t>
        </is>
      </c>
      <c r="E439" t="n">
        <v>25</v>
      </c>
      <c r="F439" t="n">
        <v>0.72</v>
      </c>
      <c r="G439" t="b">
        <v>1</v>
      </c>
      <c r="H439" t="inlineStr">
        <is>
          <t>0</t>
        </is>
      </c>
    </row>
    <row r="440">
      <c r="A440" t="inlineStr">
        <is>
          <t>ALL</t>
        </is>
      </c>
      <c r="B440" t="inlineStr">
        <is>
          <t>mystic</t>
        </is>
      </c>
      <c r="C440" t="n">
        <v>3</v>
      </c>
      <c r="D440" t="inlineStr">
        <is>
          <t>Max MP %</t>
        </is>
      </c>
      <c r="E440" t="n">
        <v>12</v>
      </c>
      <c r="F440" t="n">
        <v>8.279999999999999</v>
      </c>
      <c r="G440" t="b">
        <v>0</v>
      </c>
      <c r="H440" t="inlineStr">
        <is>
          <t>0</t>
        </is>
      </c>
    </row>
    <row r="441">
      <c r="A441" t="inlineStr">
        <is>
          <t>ALL</t>
        </is>
      </c>
      <c r="B441" t="inlineStr">
        <is>
          <t>mystic</t>
        </is>
      </c>
      <c r="C441" t="n">
        <v>3</v>
      </c>
      <c r="D441" t="inlineStr">
        <is>
          <t>Max MP %</t>
        </is>
      </c>
      <c r="E441" t="n">
        <v>15</v>
      </c>
      <c r="F441" t="n">
        <v>0.72</v>
      </c>
      <c r="G441" t="b">
        <v>1</v>
      </c>
      <c r="H441" t="inlineStr">
        <is>
          <t>0</t>
        </is>
      </c>
    </row>
    <row r="442">
      <c r="A442" t="inlineStr">
        <is>
          <t>ALL</t>
        </is>
      </c>
      <c r="B442" t="inlineStr">
        <is>
          <t>mystic</t>
        </is>
      </c>
      <c r="C442" t="n">
        <v>3</v>
      </c>
      <c r="D442" t="inlineStr">
        <is>
          <t>Str</t>
        </is>
      </c>
      <c r="E442" t="n">
        <v>600</v>
      </c>
      <c r="F442" t="n">
        <v>8.51</v>
      </c>
      <c r="G442" t="b">
        <v>0</v>
      </c>
      <c r="H442" t="inlineStr">
        <is>
          <t>0</t>
        </is>
      </c>
    </row>
    <row r="443">
      <c r="A443" t="inlineStr">
        <is>
          <t>ALL</t>
        </is>
      </c>
      <c r="B443" t="inlineStr">
        <is>
          <t>mystic</t>
        </is>
      </c>
      <c r="C443" t="n">
        <v>3</v>
      </c>
      <c r="D443" t="inlineStr">
        <is>
          <t>Str</t>
        </is>
      </c>
      <c r="E443" t="n">
        <v>1000</v>
      </c>
      <c r="F443" t="n">
        <v>0.74</v>
      </c>
      <c r="G443" t="b">
        <v>1</v>
      </c>
      <c r="H443" t="inlineStr">
        <is>
          <t>0</t>
        </is>
      </c>
    </row>
    <row r="444">
      <c r="A444" t="inlineStr">
        <is>
          <t>ALL</t>
        </is>
      </c>
      <c r="B444" t="inlineStr">
        <is>
          <t>mystic</t>
        </is>
      </c>
      <c r="C444" t="n">
        <v>3</v>
      </c>
      <c r="D444" t="inlineStr">
        <is>
          <t>Dex</t>
        </is>
      </c>
      <c r="E444" t="n">
        <v>600</v>
      </c>
      <c r="F444" t="n">
        <v>8.51</v>
      </c>
      <c r="G444" t="b">
        <v>0</v>
      </c>
      <c r="H444" t="inlineStr">
        <is>
          <t>0</t>
        </is>
      </c>
    </row>
    <row r="445">
      <c r="A445" t="inlineStr">
        <is>
          <t>ALL</t>
        </is>
      </c>
      <c r="B445" t="inlineStr">
        <is>
          <t>mystic</t>
        </is>
      </c>
      <c r="C445" t="n">
        <v>3</v>
      </c>
      <c r="D445" t="inlineStr">
        <is>
          <t>Dex</t>
        </is>
      </c>
      <c r="E445" t="n">
        <v>1000</v>
      </c>
      <c r="F445" t="n">
        <v>0.74</v>
      </c>
      <c r="G445" t="b">
        <v>1</v>
      </c>
      <c r="H445" t="inlineStr">
        <is>
          <t>0</t>
        </is>
      </c>
    </row>
    <row r="446">
      <c r="A446" t="inlineStr">
        <is>
          <t>ALL</t>
        </is>
      </c>
      <c r="B446" t="inlineStr">
        <is>
          <t>mystic</t>
        </is>
      </c>
      <c r="C446" t="n">
        <v>3</v>
      </c>
      <c r="D446" t="inlineStr">
        <is>
          <t>Int</t>
        </is>
      </c>
      <c r="E446" t="n">
        <v>600</v>
      </c>
      <c r="F446" t="n">
        <v>8.51</v>
      </c>
      <c r="G446" t="b">
        <v>0</v>
      </c>
      <c r="H446" t="inlineStr">
        <is>
          <t>0</t>
        </is>
      </c>
    </row>
    <row r="447">
      <c r="A447" t="inlineStr">
        <is>
          <t>ALL</t>
        </is>
      </c>
      <c r="B447" t="inlineStr">
        <is>
          <t>mystic</t>
        </is>
      </c>
      <c r="C447" t="n">
        <v>3</v>
      </c>
      <c r="D447" t="inlineStr">
        <is>
          <t>Int</t>
        </is>
      </c>
      <c r="E447" t="n">
        <v>1000</v>
      </c>
      <c r="F447" t="n">
        <v>0.74</v>
      </c>
      <c r="G447" t="b">
        <v>1</v>
      </c>
      <c r="H447" t="inlineStr">
        <is>
          <t>0</t>
        </is>
      </c>
    </row>
    <row r="448">
      <c r="A448" t="inlineStr">
        <is>
          <t>ALL</t>
        </is>
      </c>
      <c r="B448" t="inlineStr">
        <is>
          <t>mystic</t>
        </is>
      </c>
      <c r="C448" t="n">
        <v>3</v>
      </c>
      <c r="D448" t="inlineStr">
        <is>
          <t>Luk</t>
        </is>
      </c>
      <c r="E448" t="n">
        <v>600</v>
      </c>
      <c r="F448" t="n">
        <v>8.51</v>
      </c>
      <c r="G448" t="b">
        <v>0</v>
      </c>
      <c r="H448">
        <f>Sensitivity!H5</f>
        <v/>
      </c>
    </row>
    <row r="449">
      <c r="A449" t="inlineStr">
        <is>
          <t>ALL</t>
        </is>
      </c>
      <c r="B449" t="inlineStr">
        <is>
          <t>mystic</t>
        </is>
      </c>
      <c r="C449" t="n">
        <v>3</v>
      </c>
      <c r="D449" t="inlineStr">
        <is>
          <t>Luk</t>
        </is>
      </c>
      <c r="E449" t="n">
        <v>1000</v>
      </c>
      <c r="F449" t="n">
        <v>0.74</v>
      </c>
      <c r="G449" t="b">
        <v>1</v>
      </c>
      <c r="H449">
        <f>Sensitivity!H5</f>
        <v/>
      </c>
    </row>
    <row r="450">
      <c r="A450" t="inlineStr">
        <is>
          <t>head</t>
        </is>
      </c>
      <c r="B450" t="inlineStr">
        <is>
          <t>epic</t>
        </is>
      </c>
      <c r="C450" t="n">
        <v>1</v>
      </c>
      <c r="D450" t="inlineStr">
        <is>
          <t>Skill Cooldown Decrease (seconds)</t>
        </is>
      </c>
      <c r="E450" t="n">
        <v>0.5</v>
      </c>
      <c r="F450" t="n">
        <v>1</v>
      </c>
      <c r="G450" t="b">
        <v>1</v>
      </c>
      <c r="H450">
        <f>Sensitivity!H28</f>
        <v/>
      </c>
    </row>
    <row r="451">
      <c r="A451" t="inlineStr">
        <is>
          <t>head</t>
        </is>
      </c>
      <c r="B451" t="inlineStr">
        <is>
          <t>epic</t>
        </is>
      </c>
      <c r="C451" t="n">
        <v>2</v>
      </c>
      <c r="D451" t="inlineStr">
        <is>
          <t>Skill Cooldown Decrease (seconds)</t>
        </is>
      </c>
      <c r="E451" t="n">
        <v>0.5</v>
      </c>
      <c r="F451" t="n">
        <v>0.24</v>
      </c>
      <c r="G451" t="b">
        <v>1</v>
      </c>
      <c r="H451">
        <f>Sensitivity!H28</f>
        <v/>
      </c>
    </row>
    <row r="452">
      <c r="A452" t="inlineStr">
        <is>
          <t>head</t>
        </is>
      </c>
      <c r="B452" t="inlineStr">
        <is>
          <t>epic</t>
        </is>
      </c>
      <c r="C452" t="n">
        <v>3</v>
      </c>
      <c r="D452" t="inlineStr">
        <is>
          <t>Skill Cooldown Decrease (seconds)</t>
        </is>
      </c>
      <c r="E452" t="n">
        <v>0.5</v>
      </c>
      <c r="F452" t="n">
        <v>0.08</v>
      </c>
      <c r="G452" t="b">
        <v>1</v>
      </c>
      <c r="H452">
        <f>Sensitivity!H28</f>
        <v/>
      </c>
    </row>
    <row r="453">
      <c r="A453" t="inlineStr">
        <is>
          <t>head</t>
        </is>
      </c>
      <c r="B453" t="inlineStr">
        <is>
          <t>unique</t>
        </is>
      </c>
      <c r="C453" t="n">
        <v>1</v>
      </c>
      <c r="D453" t="inlineStr">
        <is>
          <t>Skill Cooldown Decrease (seconds)</t>
        </is>
      </c>
      <c r="E453" t="n">
        <v>1</v>
      </c>
      <c r="F453" t="n">
        <v>1</v>
      </c>
      <c r="G453" t="b">
        <v>1</v>
      </c>
      <c r="H453">
        <f>Sensitivity!H28</f>
        <v/>
      </c>
    </row>
    <row r="454">
      <c r="A454" t="inlineStr">
        <is>
          <t>head</t>
        </is>
      </c>
      <c r="B454" t="inlineStr">
        <is>
          <t>unique</t>
        </is>
      </c>
      <c r="C454" t="n">
        <v>2</v>
      </c>
      <c r="D454" t="inlineStr">
        <is>
          <t>Skill Cooldown Decrease (seconds)</t>
        </is>
      </c>
      <c r="E454" t="n">
        <v>1</v>
      </c>
      <c r="F454" t="n">
        <v>0.24</v>
      </c>
      <c r="G454" t="b">
        <v>1</v>
      </c>
      <c r="H454">
        <f>Sensitivity!H28</f>
        <v/>
      </c>
    </row>
    <row r="455">
      <c r="A455" t="inlineStr">
        <is>
          <t>head</t>
        </is>
      </c>
      <c r="B455" t="inlineStr">
        <is>
          <t>unique</t>
        </is>
      </c>
      <c r="C455" t="n">
        <v>2</v>
      </c>
      <c r="D455" t="inlineStr">
        <is>
          <t>Skill Cooldown Decrease (seconds)</t>
        </is>
      </c>
      <c r="E455" t="n">
        <v>0.5</v>
      </c>
      <c r="F455" t="n">
        <v>0.76</v>
      </c>
      <c r="G455" t="b">
        <v>0</v>
      </c>
      <c r="H455">
        <f>Sensitivity!H28</f>
        <v/>
      </c>
    </row>
    <row r="456">
      <c r="A456" t="inlineStr">
        <is>
          <t>head</t>
        </is>
      </c>
      <c r="B456" t="inlineStr">
        <is>
          <t>unique</t>
        </is>
      </c>
      <c r="C456" t="n">
        <v>3</v>
      </c>
      <c r="D456" t="inlineStr">
        <is>
          <t>Skill Cooldown Decrease (seconds)</t>
        </is>
      </c>
      <c r="E456" t="n">
        <v>1</v>
      </c>
      <c r="F456" t="n">
        <v>0.08</v>
      </c>
      <c r="G456" t="b">
        <v>1</v>
      </c>
      <c r="H456">
        <f>Sensitivity!H28</f>
        <v/>
      </c>
    </row>
    <row r="457">
      <c r="A457" t="inlineStr">
        <is>
          <t>head</t>
        </is>
      </c>
      <c r="B457" t="inlineStr">
        <is>
          <t>unique</t>
        </is>
      </c>
      <c r="C457" t="n">
        <v>3</v>
      </c>
      <c r="D457" t="inlineStr">
        <is>
          <t>Skill Cooldown Decrease (seconds)</t>
        </is>
      </c>
      <c r="E457" t="n">
        <v>0.5</v>
      </c>
      <c r="F457" t="n">
        <v>0.92</v>
      </c>
      <c r="G457" t="b">
        <v>0</v>
      </c>
      <c r="H457">
        <f>Sensitivity!H28</f>
        <v/>
      </c>
    </row>
    <row r="458">
      <c r="A458" t="inlineStr">
        <is>
          <t>head</t>
        </is>
      </c>
      <c r="B458" t="inlineStr">
        <is>
          <t>legendary</t>
        </is>
      </c>
      <c r="C458" t="n">
        <v>1</v>
      </c>
      <c r="D458" t="inlineStr">
        <is>
          <t>Skill Cooldown Decrease (seconds)</t>
        </is>
      </c>
      <c r="E458" t="n">
        <v>1.5</v>
      </c>
      <c r="F458" t="n">
        <v>1</v>
      </c>
      <c r="G458" t="b">
        <v>1</v>
      </c>
      <c r="H458">
        <f>Sensitivity!H28</f>
        <v/>
      </c>
    </row>
    <row r="459">
      <c r="A459" t="inlineStr">
        <is>
          <t>head</t>
        </is>
      </c>
      <c r="B459" t="inlineStr">
        <is>
          <t>legendary</t>
        </is>
      </c>
      <c r="C459" t="n">
        <v>2</v>
      </c>
      <c r="D459" t="inlineStr">
        <is>
          <t>Skill Cooldown Decrease (seconds)</t>
        </is>
      </c>
      <c r="E459" t="n">
        <v>1.5</v>
      </c>
      <c r="F459" t="n">
        <v>0.24</v>
      </c>
      <c r="G459" t="b">
        <v>1</v>
      </c>
      <c r="H459">
        <f>Sensitivity!H28</f>
        <v/>
      </c>
    </row>
    <row r="460">
      <c r="A460" t="inlineStr">
        <is>
          <t>head</t>
        </is>
      </c>
      <c r="B460" t="inlineStr">
        <is>
          <t>legendary</t>
        </is>
      </c>
      <c r="C460" t="n">
        <v>2</v>
      </c>
      <c r="D460" t="inlineStr">
        <is>
          <t>Skill Cooldown Decrease (seconds)</t>
        </is>
      </c>
      <c r="E460" t="n">
        <v>1</v>
      </c>
      <c r="F460" t="n">
        <v>0.76</v>
      </c>
      <c r="G460" t="b">
        <v>0</v>
      </c>
      <c r="H460">
        <f>Sensitivity!H28</f>
        <v/>
      </c>
    </row>
    <row r="461">
      <c r="A461" t="inlineStr">
        <is>
          <t>head</t>
        </is>
      </c>
      <c r="B461" t="inlineStr">
        <is>
          <t>legendary</t>
        </is>
      </c>
      <c r="C461" t="n">
        <v>3</v>
      </c>
      <c r="D461" t="inlineStr">
        <is>
          <t>Skill Cooldown Decrease (seconds)</t>
        </is>
      </c>
      <c r="E461" t="n">
        <v>1.5</v>
      </c>
      <c r="F461" t="n">
        <v>0.08</v>
      </c>
      <c r="G461" t="b">
        <v>1</v>
      </c>
      <c r="H461">
        <f>Sensitivity!H28</f>
        <v/>
      </c>
    </row>
    <row r="462">
      <c r="A462" t="inlineStr">
        <is>
          <t>head</t>
        </is>
      </c>
      <c r="B462" t="inlineStr">
        <is>
          <t>legendary</t>
        </is>
      </c>
      <c r="C462" t="n">
        <v>3</v>
      </c>
      <c r="D462" t="inlineStr">
        <is>
          <t>Skill Cooldown Decrease (seconds)</t>
        </is>
      </c>
      <c r="E462" t="n">
        <v>1</v>
      </c>
      <c r="F462" t="n">
        <v>0.92</v>
      </c>
      <c r="G462" t="b">
        <v>0</v>
      </c>
      <c r="H462">
        <f>Sensitivity!H28</f>
        <v/>
      </c>
    </row>
    <row r="463">
      <c r="A463" t="inlineStr">
        <is>
          <t>head</t>
        </is>
      </c>
      <c r="B463" t="inlineStr">
        <is>
          <t>mystic</t>
        </is>
      </c>
      <c r="C463" t="n">
        <v>1</v>
      </c>
      <c r="D463" t="inlineStr">
        <is>
          <t>Skill Cooldown Decrease (seconds)</t>
        </is>
      </c>
      <c r="E463" t="n">
        <v>2</v>
      </c>
      <c r="F463" t="n">
        <v>1</v>
      </c>
      <c r="G463" t="b">
        <v>1</v>
      </c>
      <c r="H463">
        <f>Sensitivity!H28</f>
        <v/>
      </c>
    </row>
    <row r="464">
      <c r="A464" t="inlineStr">
        <is>
          <t>head</t>
        </is>
      </c>
      <c r="B464" t="inlineStr">
        <is>
          <t>mystic</t>
        </is>
      </c>
      <c r="C464" t="n">
        <v>2</v>
      </c>
      <c r="D464" t="inlineStr">
        <is>
          <t>Skill Cooldown Decrease (seconds)</t>
        </is>
      </c>
      <c r="E464" t="n">
        <v>2</v>
      </c>
      <c r="F464" t="n">
        <v>0.24</v>
      </c>
      <c r="G464" t="b">
        <v>1</v>
      </c>
      <c r="H464">
        <f>Sensitivity!H28</f>
        <v/>
      </c>
    </row>
    <row r="465">
      <c r="A465" t="inlineStr">
        <is>
          <t>head</t>
        </is>
      </c>
      <c r="B465" t="inlineStr">
        <is>
          <t>mystic</t>
        </is>
      </c>
      <c r="C465" t="n">
        <v>2</v>
      </c>
      <c r="D465" t="inlineStr">
        <is>
          <t>Skill Cooldown Decrease (seconds)</t>
        </is>
      </c>
      <c r="E465" t="n">
        <v>1.5</v>
      </c>
      <c r="F465" t="n">
        <v>0.76</v>
      </c>
      <c r="G465" t="b">
        <v>0</v>
      </c>
      <c r="H465">
        <f>Sensitivity!H28</f>
        <v/>
      </c>
    </row>
    <row r="466">
      <c r="A466" t="inlineStr">
        <is>
          <t>head</t>
        </is>
      </c>
      <c r="B466" t="inlineStr">
        <is>
          <t>mystic</t>
        </is>
      </c>
      <c r="C466" t="n">
        <v>3</v>
      </c>
      <c r="D466" t="inlineStr">
        <is>
          <t>Skill Cooldown Decrease (seconds)</t>
        </is>
      </c>
      <c r="E466" t="n">
        <v>2</v>
      </c>
      <c r="F466" t="n">
        <v>0.08</v>
      </c>
      <c r="G466" t="b">
        <v>1</v>
      </c>
      <c r="H466">
        <f>Sensitivity!H28</f>
        <v/>
      </c>
    </row>
    <row r="467">
      <c r="A467" t="inlineStr">
        <is>
          <t>head</t>
        </is>
      </c>
      <c r="B467" t="inlineStr">
        <is>
          <t>mystic</t>
        </is>
      </c>
      <c r="C467" t="n">
        <v>3</v>
      </c>
      <c r="D467" t="inlineStr">
        <is>
          <t>Skill Cooldown Decrease (seconds)</t>
        </is>
      </c>
      <c r="E467" t="n">
        <v>1.5</v>
      </c>
      <c r="F467" t="n">
        <v>0.92</v>
      </c>
      <c r="G467" t="b">
        <v>0</v>
      </c>
      <c r="H467">
        <f>Sensitivity!H28</f>
        <v/>
      </c>
    </row>
    <row r="468">
      <c r="A468" t="inlineStr">
        <is>
          <t>cape</t>
        </is>
      </c>
      <c r="B468" t="inlineStr">
        <is>
          <t>epic</t>
        </is>
      </c>
      <c r="C468" t="n">
        <v>1</v>
      </c>
      <c r="D468" t="inlineStr">
        <is>
          <t>Final Damage %</t>
        </is>
      </c>
      <c r="E468" t="n">
        <v>3</v>
      </c>
      <c r="F468" t="n">
        <v>1</v>
      </c>
      <c r="G468" t="b">
        <v>1</v>
      </c>
      <c r="H468">
        <f>Sensitivity!H12</f>
        <v/>
      </c>
    </row>
    <row r="469">
      <c r="A469" t="inlineStr">
        <is>
          <t>cape</t>
        </is>
      </c>
      <c r="B469" t="inlineStr">
        <is>
          <t>epic</t>
        </is>
      </c>
      <c r="C469" t="n">
        <v>2</v>
      </c>
      <c r="D469" t="inlineStr">
        <is>
          <t>Final Damage %</t>
        </is>
      </c>
      <c r="E469" t="n">
        <v>3</v>
      </c>
      <c r="F469" t="n">
        <v>0.24</v>
      </c>
      <c r="G469" t="b">
        <v>1</v>
      </c>
      <c r="H469">
        <f>Sensitivity!H12</f>
        <v/>
      </c>
    </row>
    <row r="470">
      <c r="A470" t="inlineStr">
        <is>
          <t>cape</t>
        </is>
      </c>
      <c r="B470" t="inlineStr">
        <is>
          <t>epic</t>
        </is>
      </c>
      <c r="C470" t="n">
        <v>3</v>
      </c>
      <c r="D470" t="inlineStr">
        <is>
          <t>Final Damage %</t>
        </is>
      </c>
      <c r="E470" t="n">
        <v>3</v>
      </c>
      <c r="F470" t="n">
        <v>0.08</v>
      </c>
      <c r="G470" t="b">
        <v>1</v>
      </c>
      <c r="H470">
        <f>Sensitivity!H12</f>
        <v/>
      </c>
    </row>
    <row r="471">
      <c r="A471" t="inlineStr">
        <is>
          <t>cape</t>
        </is>
      </c>
      <c r="B471" t="inlineStr">
        <is>
          <t>unique</t>
        </is>
      </c>
      <c r="C471" t="n">
        <v>1</v>
      </c>
      <c r="D471" t="inlineStr">
        <is>
          <t>Final Damage %</t>
        </is>
      </c>
      <c r="E471" t="n">
        <v>5</v>
      </c>
      <c r="F471" t="n">
        <v>1</v>
      </c>
      <c r="G471" t="b">
        <v>1</v>
      </c>
      <c r="H471">
        <f>Sensitivity!H12</f>
        <v/>
      </c>
    </row>
    <row r="472">
      <c r="A472" t="inlineStr">
        <is>
          <t>cape</t>
        </is>
      </c>
      <c r="B472" t="inlineStr">
        <is>
          <t>unique</t>
        </is>
      </c>
      <c r="C472" t="n">
        <v>2</v>
      </c>
      <c r="D472" t="inlineStr">
        <is>
          <t>Final Damage %</t>
        </is>
      </c>
      <c r="E472" t="n">
        <v>5</v>
      </c>
      <c r="F472" t="n">
        <v>0.24</v>
      </c>
      <c r="G472" t="b">
        <v>1</v>
      </c>
      <c r="H472">
        <f>Sensitivity!H12</f>
        <v/>
      </c>
    </row>
    <row r="473">
      <c r="A473" t="inlineStr">
        <is>
          <t>cape</t>
        </is>
      </c>
      <c r="B473" t="inlineStr">
        <is>
          <t>unique</t>
        </is>
      </c>
      <c r="C473" t="n">
        <v>2</v>
      </c>
      <c r="D473" t="inlineStr">
        <is>
          <t>Final Damage %</t>
        </is>
      </c>
      <c r="E473" t="n">
        <v>3</v>
      </c>
      <c r="F473" t="n">
        <v>0.76</v>
      </c>
      <c r="G473" t="b">
        <v>0</v>
      </c>
      <c r="H473">
        <f>Sensitivity!H12</f>
        <v/>
      </c>
    </row>
    <row r="474">
      <c r="A474" t="inlineStr">
        <is>
          <t>cape</t>
        </is>
      </c>
      <c r="B474" t="inlineStr">
        <is>
          <t>unique</t>
        </is>
      </c>
      <c r="C474" t="n">
        <v>3</v>
      </c>
      <c r="D474" t="inlineStr">
        <is>
          <t>Final Damage %</t>
        </is>
      </c>
      <c r="E474" t="n">
        <v>5</v>
      </c>
      <c r="F474" t="n">
        <v>0.08</v>
      </c>
      <c r="G474" t="b">
        <v>1</v>
      </c>
      <c r="H474">
        <f>Sensitivity!H12</f>
        <v/>
      </c>
    </row>
    <row r="475">
      <c r="A475" t="inlineStr">
        <is>
          <t>cape</t>
        </is>
      </c>
      <c r="B475" t="inlineStr">
        <is>
          <t>unique</t>
        </is>
      </c>
      <c r="C475" t="n">
        <v>3</v>
      </c>
      <c r="D475" t="inlineStr">
        <is>
          <t>Final Damage %</t>
        </is>
      </c>
      <c r="E475" t="n">
        <v>3</v>
      </c>
      <c r="F475" t="n">
        <v>0.92</v>
      </c>
      <c r="G475" t="b">
        <v>0</v>
      </c>
      <c r="H475">
        <f>Sensitivity!H12</f>
        <v/>
      </c>
    </row>
    <row r="476">
      <c r="A476" t="inlineStr">
        <is>
          <t>cape</t>
        </is>
      </c>
      <c r="B476" t="inlineStr">
        <is>
          <t>legendary</t>
        </is>
      </c>
      <c r="C476" t="n">
        <v>1</v>
      </c>
      <c r="D476" t="inlineStr">
        <is>
          <t>Final Damage %</t>
        </is>
      </c>
      <c r="E476" t="n">
        <v>8</v>
      </c>
      <c r="F476" t="n">
        <v>1</v>
      </c>
      <c r="G476" t="b">
        <v>1</v>
      </c>
      <c r="H476">
        <f>Sensitivity!H12</f>
        <v/>
      </c>
    </row>
    <row r="477">
      <c r="A477" t="inlineStr">
        <is>
          <t>cape</t>
        </is>
      </c>
      <c r="B477" t="inlineStr">
        <is>
          <t>legendary</t>
        </is>
      </c>
      <c r="C477" t="n">
        <v>2</v>
      </c>
      <c r="D477" t="inlineStr">
        <is>
          <t>Final Damage %</t>
        </is>
      </c>
      <c r="E477" t="n">
        <v>8</v>
      </c>
      <c r="F477" t="n">
        <v>0.24</v>
      </c>
      <c r="G477" t="b">
        <v>1</v>
      </c>
      <c r="H477">
        <f>Sensitivity!H12</f>
        <v/>
      </c>
    </row>
    <row r="478">
      <c r="A478" t="inlineStr">
        <is>
          <t>cape</t>
        </is>
      </c>
      <c r="B478" t="inlineStr">
        <is>
          <t>legendary</t>
        </is>
      </c>
      <c r="C478" t="n">
        <v>2</v>
      </c>
      <c r="D478" t="inlineStr">
        <is>
          <t>Final Damage %</t>
        </is>
      </c>
      <c r="E478" t="n">
        <v>5</v>
      </c>
      <c r="F478" t="n">
        <v>0.76</v>
      </c>
      <c r="G478" t="b">
        <v>0</v>
      </c>
      <c r="H478">
        <f>Sensitivity!H12</f>
        <v/>
      </c>
    </row>
    <row r="479">
      <c r="A479" t="inlineStr">
        <is>
          <t>cape</t>
        </is>
      </c>
      <c r="B479" t="inlineStr">
        <is>
          <t>legendary</t>
        </is>
      </c>
      <c r="C479" t="n">
        <v>3</v>
      </c>
      <c r="D479" t="inlineStr">
        <is>
          <t>Final Damage %</t>
        </is>
      </c>
      <c r="E479" t="n">
        <v>8</v>
      </c>
      <c r="F479" t="n">
        <v>0.08</v>
      </c>
      <c r="G479" t="b">
        <v>1</v>
      </c>
      <c r="H479">
        <f>Sensitivity!H12</f>
        <v/>
      </c>
    </row>
    <row r="480">
      <c r="A480" t="inlineStr">
        <is>
          <t>cape</t>
        </is>
      </c>
      <c r="B480" t="inlineStr">
        <is>
          <t>legendary</t>
        </is>
      </c>
      <c r="C480" t="n">
        <v>3</v>
      </c>
      <c r="D480" t="inlineStr">
        <is>
          <t>Final Damage %</t>
        </is>
      </c>
      <c r="E480" t="n">
        <v>5</v>
      </c>
      <c r="F480" t="n">
        <v>0.92</v>
      </c>
      <c r="G480" t="b">
        <v>0</v>
      </c>
      <c r="H480">
        <f>Sensitivity!H12</f>
        <v/>
      </c>
    </row>
    <row r="481">
      <c r="A481" t="inlineStr">
        <is>
          <t>cape</t>
        </is>
      </c>
      <c r="B481" t="inlineStr">
        <is>
          <t>mystic</t>
        </is>
      </c>
      <c r="C481" t="n">
        <v>1</v>
      </c>
      <c r="D481" t="inlineStr">
        <is>
          <t>Final Damage %</t>
        </is>
      </c>
      <c r="E481" t="n">
        <v>12</v>
      </c>
      <c r="F481" t="n">
        <v>1</v>
      </c>
      <c r="G481" t="b">
        <v>1</v>
      </c>
      <c r="H481">
        <f>Sensitivity!H12</f>
        <v/>
      </c>
    </row>
    <row r="482">
      <c r="A482" t="inlineStr">
        <is>
          <t>cape</t>
        </is>
      </c>
      <c r="B482" t="inlineStr">
        <is>
          <t>mystic</t>
        </is>
      </c>
      <c r="C482" t="n">
        <v>2</v>
      </c>
      <c r="D482" t="inlineStr">
        <is>
          <t>Final Damage %</t>
        </is>
      </c>
      <c r="E482" t="n">
        <v>12</v>
      </c>
      <c r="F482" t="n">
        <v>0.24</v>
      </c>
      <c r="G482" t="b">
        <v>1</v>
      </c>
      <c r="H482">
        <f>Sensitivity!H12</f>
        <v/>
      </c>
    </row>
    <row r="483">
      <c r="A483" t="inlineStr">
        <is>
          <t>cape</t>
        </is>
      </c>
      <c r="B483" t="inlineStr">
        <is>
          <t>mystic</t>
        </is>
      </c>
      <c r="C483" t="n">
        <v>2</v>
      </c>
      <c r="D483" t="inlineStr">
        <is>
          <t>Final Damage %</t>
        </is>
      </c>
      <c r="E483" t="n">
        <v>8</v>
      </c>
      <c r="F483" t="n">
        <v>0.76</v>
      </c>
      <c r="G483" t="b">
        <v>0</v>
      </c>
      <c r="H483">
        <f>Sensitivity!H12</f>
        <v/>
      </c>
    </row>
    <row r="484">
      <c r="A484" t="inlineStr">
        <is>
          <t>cape</t>
        </is>
      </c>
      <c r="B484" t="inlineStr">
        <is>
          <t>mystic</t>
        </is>
      </c>
      <c r="C484" t="n">
        <v>3</v>
      </c>
      <c r="D484" t="inlineStr">
        <is>
          <t>Final Damage %</t>
        </is>
      </c>
      <c r="E484" t="n">
        <v>12</v>
      </c>
      <c r="F484" t="n">
        <v>0.08</v>
      </c>
      <c r="G484" t="b">
        <v>1</v>
      </c>
      <c r="H484">
        <f>Sensitivity!H12</f>
        <v/>
      </c>
    </row>
    <row r="485">
      <c r="A485" t="inlineStr">
        <is>
          <t>cape</t>
        </is>
      </c>
      <c r="B485" t="inlineStr">
        <is>
          <t>mystic</t>
        </is>
      </c>
      <c r="C485" t="n">
        <v>3</v>
      </c>
      <c r="D485" t="inlineStr">
        <is>
          <t>Final Damage %</t>
        </is>
      </c>
      <c r="E485" t="n">
        <v>8</v>
      </c>
      <c r="F485" t="n">
        <v>0.92</v>
      </c>
      <c r="G485" t="b">
        <v>0</v>
      </c>
      <c r="H485">
        <f>Sensitivity!H12</f>
        <v/>
      </c>
    </row>
    <row r="486">
      <c r="A486" t="inlineStr">
        <is>
          <t>chest</t>
        </is>
      </c>
      <c r="B486" t="inlineStr">
        <is>
          <t>unique</t>
        </is>
      </c>
      <c r="C486" t="n">
        <v>1</v>
      </c>
      <c r="D486" t="inlineStr">
        <is>
          <t>Basic Attack Target Increase</t>
        </is>
      </c>
      <c r="E486" t="n">
        <v>1</v>
      </c>
      <c r="F486" t="n">
        <v>1</v>
      </c>
      <c r="G486" t="b">
        <v>1</v>
      </c>
      <c r="H486">
        <f>Sensitivity!H29</f>
        <v/>
      </c>
    </row>
    <row r="487">
      <c r="A487" t="inlineStr">
        <is>
          <t>chest</t>
        </is>
      </c>
      <c r="B487" t="inlineStr">
        <is>
          <t>unique</t>
        </is>
      </c>
      <c r="C487" t="n">
        <v>2</v>
      </c>
      <c r="D487" t="inlineStr">
        <is>
          <t>Basic Attack Target Increase</t>
        </is>
      </c>
      <c r="E487" t="n">
        <v>1</v>
      </c>
      <c r="F487" t="n">
        <v>0.24</v>
      </c>
      <c r="G487" t="b">
        <v>1</v>
      </c>
      <c r="H487">
        <f>Sensitivity!H29</f>
        <v/>
      </c>
    </row>
    <row r="488">
      <c r="A488" t="inlineStr">
        <is>
          <t>chest</t>
        </is>
      </c>
      <c r="B488" t="inlineStr">
        <is>
          <t>unique</t>
        </is>
      </c>
      <c r="C488" t="n">
        <v>3</v>
      </c>
      <c r="D488" t="inlineStr">
        <is>
          <t>Basic Attack Target Increase</t>
        </is>
      </c>
      <c r="E488" t="n">
        <v>1</v>
      </c>
      <c r="F488" t="n">
        <v>0.08</v>
      </c>
      <c r="G488" t="b">
        <v>1</v>
      </c>
      <c r="H488">
        <f>Sensitivity!H29</f>
        <v/>
      </c>
    </row>
    <row r="489">
      <c r="A489" t="inlineStr">
        <is>
          <t>chest</t>
        </is>
      </c>
      <c r="B489" t="inlineStr">
        <is>
          <t>legendary</t>
        </is>
      </c>
      <c r="C489" t="n">
        <v>1</v>
      </c>
      <c r="D489" t="inlineStr">
        <is>
          <t>Basic Attack Target Increase</t>
        </is>
      </c>
      <c r="E489" t="n">
        <v>2</v>
      </c>
      <c r="F489" t="n">
        <v>1</v>
      </c>
      <c r="G489" t="b">
        <v>1</v>
      </c>
      <c r="H489">
        <f>Sensitivity!H29</f>
        <v/>
      </c>
    </row>
    <row r="490">
      <c r="A490" t="inlineStr">
        <is>
          <t>chest</t>
        </is>
      </c>
      <c r="B490" t="inlineStr">
        <is>
          <t>legendary</t>
        </is>
      </c>
      <c r="C490" t="n">
        <v>2</v>
      </c>
      <c r="D490" t="inlineStr">
        <is>
          <t>Basic Attack Target Increase</t>
        </is>
      </c>
      <c r="E490" t="n">
        <v>2</v>
      </c>
      <c r="F490" t="n">
        <v>0.24</v>
      </c>
      <c r="G490" t="b">
        <v>1</v>
      </c>
      <c r="H490">
        <f>Sensitivity!H29</f>
        <v/>
      </c>
    </row>
    <row r="491">
      <c r="A491" t="inlineStr">
        <is>
          <t>chest</t>
        </is>
      </c>
      <c r="B491" t="inlineStr">
        <is>
          <t>legendary</t>
        </is>
      </c>
      <c r="C491" t="n">
        <v>2</v>
      </c>
      <c r="D491" t="inlineStr">
        <is>
          <t>Basic Attack Target Increase</t>
        </is>
      </c>
      <c r="E491" t="n">
        <v>1</v>
      </c>
      <c r="F491" t="n">
        <v>0.76</v>
      </c>
      <c r="G491" t="b">
        <v>0</v>
      </c>
      <c r="H491">
        <f>Sensitivity!H29</f>
        <v/>
      </c>
    </row>
    <row r="492">
      <c r="A492" t="inlineStr">
        <is>
          <t>chest</t>
        </is>
      </c>
      <c r="B492" t="inlineStr">
        <is>
          <t>legendary</t>
        </is>
      </c>
      <c r="C492" t="n">
        <v>3</v>
      </c>
      <c r="D492" t="inlineStr">
        <is>
          <t>Basic Attack Target Increase</t>
        </is>
      </c>
      <c r="E492" t="n">
        <v>2</v>
      </c>
      <c r="F492" t="n">
        <v>0.08</v>
      </c>
      <c r="G492" t="b">
        <v>1</v>
      </c>
      <c r="H492">
        <f>Sensitivity!H29</f>
        <v/>
      </c>
    </row>
    <row r="493">
      <c r="A493" t="inlineStr">
        <is>
          <t>chest</t>
        </is>
      </c>
      <c r="B493" t="inlineStr">
        <is>
          <t>legendary</t>
        </is>
      </c>
      <c r="C493" t="n">
        <v>3</v>
      </c>
      <c r="D493" t="inlineStr">
        <is>
          <t>Basic Attack Target Increase</t>
        </is>
      </c>
      <c r="E493" t="n">
        <v>1</v>
      </c>
      <c r="F493" t="n">
        <v>0.92</v>
      </c>
      <c r="G493" t="b">
        <v>0</v>
      </c>
      <c r="H493">
        <f>Sensitivity!H29</f>
        <v/>
      </c>
    </row>
    <row r="494">
      <c r="A494" t="inlineStr">
        <is>
          <t>chest</t>
        </is>
      </c>
      <c r="B494" t="inlineStr">
        <is>
          <t>mystic</t>
        </is>
      </c>
      <c r="C494" t="n">
        <v>1</v>
      </c>
      <c r="D494" t="inlineStr">
        <is>
          <t>Basic Attack Target Increase</t>
        </is>
      </c>
      <c r="E494" t="n">
        <v>3</v>
      </c>
      <c r="F494" t="n">
        <v>1</v>
      </c>
      <c r="G494" t="b">
        <v>1</v>
      </c>
      <c r="H494">
        <f>Sensitivity!H29</f>
        <v/>
      </c>
    </row>
    <row r="495">
      <c r="A495" t="inlineStr">
        <is>
          <t>chest</t>
        </is>
      </c>
      <c r="B495" t="inlineStr">
        <is>
          <t>mystic</t>
        </is>
      </c>
      <c r="C495" t="n">
        <v>2</v>
      </c>
      <c r="D495" t="inlineStr">
        <is>
          <t>Basic Attack Target Increase</t>
        </is>
      </c>
      <c r="E495" t="n">
        <v>3</v>
      </c>
      <c r="F495" t="n">
        <v>0.24</v>
      </c>
      <c r="G495" t="b">
        <v>1</v>
      </c>
      <c r="H495">
        <f>Sensitivity!H29</f>
        <v/>
      </c>
    </row>
    <row r="496">
      <c r="A496" t="inlineStr">
        <is>
          <t>chest</t>
        </is>
      </c>
      <c r="B496" t="inlineStr">
        <is>
          <t>mystic</t>
        </is>
      </c>
      <c r="C496" t="n">
        <v>2</v>
      </c>
      <c r="D496" t="inlineStr">
        <is>
          <t>Basic Attack Target Increase</t>
        </is>
      </c>
      <c r="E496" t="n">
        <v>2</v>
      </c>
      <c r="F496" t="n">
        <v>0.76</v>
      </c>
      <c r="G496" t="b">
        <v>0</v>
      </c>
      <c r="H496">
        <f>Sensitivity!H29</f>
        <v/>
      </c>
    </row>
    <row r="497">
      <c r="A497" t="inlineStr">
        <is>
          <t>chest</t>
        </is>
      </c>
      <c r="B497" t="inlineStr">
        <is>
          <t>mystic</t>
        </is>
      </c>
      <c r="C497" t="n">
        <v>3</v>
      </c>
      <c r="D497" t="inlineStr">
        <is>
          <t>Basic Attack Target Increase</t>
        </is>
      </c>
      <c r="E497" t="n">
        <v>3</v>
      </c>
      <c r="F497" t="n">
        <v>0.08</v>
      </c>
      <c r="G497" t="b">
        <v>1</v>
      </c>
      <c r="H497">
        <f>Sensitivity!H29</f>
        <v/>
      </c>
    </row>
    <row r="498">
      <c r="A498" t="inlineStr">
        <is>
          <t>chest</t>
        </is>
      </c>
      <c r="B498" t="inlineStr">
        <is>
          <t>mystic</t>
        </is>
      </c>
      <c r="C498" t="n">
        <v>3</v>
      </c>
      <c r="D498" t="inlineStr">
        <is>
          <t>Basic Attack Target Increase</t>
        </is>
      </c>
      <c r="E498" t="n">
        <v>2</v>
      </c>
      <c r="F498" t="n">
        <v>0.92</v>
      </c>
      <c r="G498" t="b">
        <v>0</v>
      </c>
      <c r="H498">
        <f>Sensitivity!H29</f>
        <v/>
      </c>
    </row>
    <row r="499">
      <c r="A499" t="inlineStr">
        <is>
          <t>shoulders</t>
        </is>
      </c>
      <c r="B499" t="inlineStr">
        <is>
          <t>unique</t>
        </is>
      </c>
      <c r="C499" t="n">
        <v>1</v>
      </c>
      <c r="D499" t="inlineStr">
        <is>
          <t>Defense Penetration</t>
        </is>
      </c>
      <c r="E499" t="n">
        <v>8</v>
      </c>
      <c r="F499" t="n">
        <v>1</v>
      </c>
      <c r="G499" t="b">
        <v>1</v>
      </c>
      <c r="H499">
        <f>Sensitivity!H18</f>
        <v/>
      </c>
    </row>
    <row r="500">
      <c r="A500" t="inlineStr">
        <is>
          <t>shoulders</t>
        </is>
      </c>
      <c r="B500" t="inlineStr">
        <is>
          <t>unique</t>
        </is>
      </c>
      <c r="C500" t="n">
        <v>2</v>
      </c>
      <c r="D500" t="inlineStr">
        <is>
          <t>Defense Penetration</t>
        </is>
      </c>
      <c r="E500" t="n">
        <v>8</v>
      </c>
      <c r="F500" t="n">
        <v>0.24</v>
      </c>
      <c r="G500" t="b">
        <v>1</v>
      </c>
      <c r="H500">
        <f>Sensitivity!H18</f>
        <v/>
      </c>
    </row>
    <row r="501">
      <c r="A501" t="inlineStr">
        <is>
          <t>shoulders</t>
        </is>
      </c>
      <c r="B501" t="inlineStr">
        <is>
          <t>unique</t>
        </is>
      </c>
      <c r="C501" t="n">
        <v>3</v>
      </c>
      <c r="D501" t="inlineStr">
        <is>
          <t>Defense Penetration</t>
        </is>
      </c>
      <c r="E501" t="n">
        <v>8</v>
      </c>
      <c r="F501" t="n">
        <v>0.08</v>
      </c>
      <c r="G501" t="b">
        <v>1</v>
      </c>
      <c r="H501">
        <f>Sensitivity!H18</f>
        <v/>
      </c>
    </row>
    <row r="502">
      <c r="A502" t="inlineStr">
        <is>
          <t>shoulders</t>
        </is>
      </c>
      <c r="B502" t="inlineStr">
        <is>
          <t>legendary</t>
        </is>
      </c>
      <c r="C502" t="n">
        <v>1</v>
      </c>
      <c r="D502" t="inlineStr">
        <is>
          <t>Defense Penetration</t>
        </is>
      </c>
      <c r="E502" t="n">
        <v>12</v>
      </c>
      <c r="F502" t="n">
        <v>1</v>
      </c>
      <c r="G502" t="b">
        <v>1</v>
      </c>
      <c r="H502">
        <f>Sensitivity!H18</f>
        <v/>
      </c>
    </row>
    <row r="503">
      <c r="A503" t="inlineStr">
        <is>
          <t>shoulders</t>
        </is>
      </c>
      <c r="B503" t="inlineStr">
        <is>
          <t>legendary</t>
        </is>
      </c>
      <c r="C503" t="n">
        <v>2</v>
      </c>
      <c r="D503" t="inlineStr">
        <is>
          <t>Defense Penetration</t>
        </is>
      </c>
      <c r="E503" t="n">
        <v>12</v>
      </c>
      <c r="F503" t="n">
        <v>0.24</v>
      </c>
      <c r="G503" t="b">
        <v>1</v>
      </c>
      <c r="H503">
        <f>Sensitivity!H18</f>
        <v/>
      </c>
    </row>
    <row r="504">
      <c r="A504" t="inlineStr">
        <is>
          <t>shoulders</t>
        </is>
      </c>
      <c r="B504" t="inlineStr">
        <is>
          <t>legendary</t>
        </is>
      </c>
      <c r="C504" t="n">
        <v>2</v>
      </c>
      <c r="D504" t="inlineStr">
        <is>
          <t>Defense Penetration</t>
        </is>
      </c>
      <c r="E504" t="n">
        <v>8</v>
      </c>
      <c r="F504" t="n">
        <v>0.76</v>
      </c>
      <c r="G504" t="b">
        <v>0</v>
      </c>
      <c r="H504">
        <f>Sensitivity!H18</f>
        <v/>
      </c>
    </row>
    <row r="505">
      <c r="A505" t="inlineStr">
        <is>
          <t>shoulders</t>
        </is>
      </c>
      <c r="B505" t="inlineStr">
        <is>
          <t>legendary</t>
        </is>
      </c>
      <c r="C505" t="n">
        <v>3</v>
      </c>
      <c r="D505" t="inlineStr">
        <is>
          <t>Defense Penetration</t>
        </is>
      </c>
      <c r="E505" t="n">
        <v>12</v>
      </c>
      <c r="F505" t="n">
        <v>0.08</v>
      </c>
      <c r="G505" t="b">
        <v>1</v>
      </c>
      <c r="H505">
        <f>Sensitivity!H18</f>
        <v/>
      </c>
    </row>
    <row r="506">
      <c r="A506" t="inlineStr">
        <is>
          <t>shoulders</t>
        </is>
      </c>
      <c r="B506" t="inlineStr">
        <is>
          <t>legendary</t>
        </is>
      </c>
      <c r="C506" t="n">
        <v>3</v>
      </c>
      <c r="D506" t="inlineStr">
        <is>
          <t>Defense Penetration</t>
        </is>
      </c>
      <c r="E506" t="n">
        <v>8</v>
      </c>
      <c r="F506" t="n">
        <v>0.92</v>
      </c>
      <c r="G506" t="b">
        <v>0</v>
      </c>
      <c r="H506">
        <f>Sensitivity!H18</f>
        <v/>
      </c>
    </row>
    <row r="507">
      <c r="A507" t="inlineStr">
        <is>
          <t>shoulders</t>
        </is>
      </c>
      <c r="B507" t="inlineStr">
        <is>
          <t>mystic</t>
        </is>
      </c>
      <c r="C507" t="n">
        <v>1</v>
      </c>
      <c r="D507" t="inlineStr">
        <is>
          <t>Defense Penetration</t>
        </is>
      </c>
      <c r="E507" t="n">
        <v>20</v>
      </c>
      <c r="F507" t="n">
        <v>1</v>
      </c>
      <c r="G507" t="b">
        <v>1</v>
      </c>
      <c r="H507">
        <f>Sensitivity!H18</f>
        <v/>
      </c>
    </row>
    <row r="508">
      <c r="A508" t="inlineStr">
        <is>
          <t>shoulders</t>
        </is>
      </c>
      <c r="B508" t="inlineStr">
        <is>
          <t>mystic</t>
        </is>
      </c>
      <c r="C508" t="n">
        <v>2</v>
      </c>
      <c r="D508" t="inlineStr">
        <is>
          <t>Defense Penetration</t>
        </is>
      </c>
      <c r="E508" t="n">
        <v>20</v>
      </c>
      <c r="F508" t="n">
        <v>0.24</v>
      </c>
      <c r="G508" t="b">
        <v>1</v>
      </c>
      <c r="H508">
        <f>Sensitivity!H18</f>
        <v/>
      </c>
    </row>
    <row r="509">
      <c r="A509" t="inlineStr">
        <is>
          <t>shoulders</t>
        </is>
      </c>
      <c r="B509" t="inlineStr">
        <is>
          <t>mystic</t>
        </is>
      </c>
      <c r="C509" t="n">
        <v>2</v>
      </c>
      <c r="D509" t="inlineStr">
        <is>
          <t>Defense Penetration</t>
        </is>
      </c>
      <c r="E509" t="n">
        <v>12</v>
      </c>
      <c r="F509" t="n">
        <v>0.76</v>
      </c>
      <c r="G509" t="b">
        <v>0</v>
      </c>
      <c r="H509">
        <f>Sensitivity!H18</f>
        <v/>
      </c>
    </row>
    <row r="510">
      <c r="A510" t="inlineStr">
        <is>
          <t>shoulders</t>
        </is>
      </c>
      <c r="B510" t="inlineStr">
        <is>
          <t>mystic</t>
        </is>
      </c>
      <c r="C510" t="n">
        <v>3</v>
      </c>
      <c r="D510" t="inlineStr">
        <is>
          <t>Defense Penetration</t>
        </is>
      </c>
      <c r="E510" t="n">
        <v>20</v>
      </c>
      <c r="F510" t="n">
        <v>0.08</v>
      </c>
      <c r="G510" t="b">
        <v>1</v>
      </c>
      <c r="H510">
        <f>Sensitivity!H18</f>
        <v/>
      </c>
    </row>
    <row r="511">
      <c r="A511" t="inlineStr">
        <is>
          <t>shoulders</t>
        </is>
      </c>
      <c r="B511" t="inlineStr">
        <is>
          <t>mystic</t>
        </is>
      </c>
      <c r="C511" t="n">
        <v>3</v>
      </c>
      <c r="D511" t="inlineStr">
        <is>
          <t>Defense Penetration</t>
        </is>
      </c>
      <c r="E511" t="n">
        <v>12</v>
      </c>
      <c r="F511" t="n">
        <v>0.92</v>
      </c>
      <c r="G511" t="b">
        <v>0</v>
      </c>
      <c r="H511">
        <f>Sensitivity!H18</f>
        <v/>
      </c>
    </row>
    <row r="512">
      <c r="A512" t="inlineStr">
        <is>
          <t>legs</t>
        </is>
      </c>
      <c r="B512" t="inlineStr">
        <is>
          <t>epic</t>
        </is>
      </c>
      <c r="C512" t="n">
        <v>1</v>
      </c>
      <c r="D512" t="inlineStr">
        <is>
          <t>Final Damage %</t>
        </is>
      </c>
      <c r="E512" t="n">
        <v>3</v>
      </c>
      <c r="F512" t="n">
        <v>1</v>
      </c>
      <c r="G512" t="b">
        <v>1</v>
      </c>
      <c r="H512">
        <f>Sensitivity!H12</f>
        <v/>
      </c>
    </row>
    <row r="513">
      <c r="A513" t="inlineStr">
        <is>
          <t>legs</t>
        </is>
      </c>
      <c r="B513" t="inlineStr">
        <is>
          <t>epic</t>
        </is>
      </c>
      <c r="C513" t="n">
        <v>2</v>
      </c>
      <c r="D513" t="inlineStr">
        <is>
          <t>Final Damage %</t>
        </is>
      </c>
      <c r="E513" t="n">
        <v>3</v>
      </c>
      <c r="F513" t="n">
        <v>0.24</v>
      </c>
      <c r="G513" t="b">
        <v>1</v>
      </c>
      <c r="H513">
        <f>Sensitivity!H12</f>
        <v/>
      </c>
    </row>
    <row r="514">
      <c r="A514" t="inlineStr">
        <is>
          <t>legs</t>
        </is>
      </c>
      <c r="B514" t="inlineStr">
        <is>
          <t>epic</t>
        </is>
      </c>
      <c r="C514" t="n">
        <v>3</v>
      </c>
      <c r="D514" t="inlineStr">
        <is>
          <t>Final Damage %</t>
        </is>
      </c>
      <c r="E514" t="n">
        <v>3</v>
      </c>
      <c r="F514" t="n">
        <v>0.08</v>
      </c>
      <c r="G514" t="b">
        <v>1</v>
      </c>
      <c r="H514">
        <f>Sensitivity!H12</f>
        <v/>
      </c>
    </row>
    <row r="515">
      <c r="A515" t="inlineStr">
        <is>
          <t>legs</t>
        </is>
      </c>
      <c r="B515" t="inlineStr">
        <is>
          <t>unique</t>
        </is>
      </c>
      <c r="C515" t="n">
        <v>1</v>
      </c>
      <c r="D515" t="inlineStr">
        <is>
          <t>Final Damage %</t>
        </is>
      </c>
      <c r="E515" t="n">
        <v>5</v>
      </c>
      <c r="F515" t="n">
        <v>1</v>
      </c>
      <c r="G515" t="b">
        <v>1</v>
      </c>
      <c r="H515">
        <f>Sensitivity!H12</f>
        <v/>
      </c>
    </row>
    <row r="516">
      <c r="A516" t="inlineStr">
        <is>
          <t>legs</t>
        </is>
      </c>
      <c r="B516" t="inlineStr">
        <is>
          <t>unique</t>
        </is>
      </c>
      <c r="C516" t="n">
        <v>2</v>
      </c>
      <c r="D516" t="inlineStr">
        <is>
          <t>Final Damage %</t>
        </is>
      </c>
      <c r="E516" t="n">
        <v>5</v>
      </c>
      <c r="F516" t="n">
        <v>0.24</v>
      </c>
      <c r="G516" t="b">
        <v>1</v>
      </c>
      <c r="H516">
        <f>Sensitivity!H12</f>
        <v/>
      </c>
    </row>
    <row r="517">
      <c r="A517" t="inlineStr">
        <is>
          <t>legs</t>
        </is>
      </c>
      <c r="B517" t="inlineStr">
        <is>
          <t>unique</t>
        </is>
      </c>
      <c r="C517" t="n">
        <v>2</v>
      </c>
      <c r="D517" t="inlineStr">
        <is>
          <t>Final Damage %</t>
        </is>
      </c>
      <c r="E517" t="n">
        <v>3</v>
      </c>
      <c r="F517" t="n">
        <v>0.76</v>
      </c>
      <c r="G517" t="b">
        <v>0</v>
      </c>
      <c r="H517">
        <f>Sensitivity!H12</f>
        <v/>
      </c>
    </row>
    <row r="518">
      <c r="A518" t="inlineStr">
        <is>
          <t>legs</t>
        </is>
      </c>
      <c r="B518" t="inlineStr">
        <is>
          <t>unique</t>
        </is>
      </c>
      <c r="C518" t="n">
        <v>3</v>
      </c>
      <c r="D518" t="inlineStr">
        <is>
          <t>Final Damage %</t>
        </is>
      </c>
      <c r="E518" t="n">
        <v>5</v>
      </c>
      <c r="F518" t="n">
        <v>0.08</v>
      </c>
      <c r="G518" t="b">
        <v>1</v>
      </c>
      <c r="H518">
        <f>Sensitivity!H12</f>
        <v/>
      </c>
    </row>
    <row r="519">
      <c r="A519" t="inlineStr">
        <is>
          <t>legs</t>
        </is>
      </c>
      <c r="B519" t="inlineStr">
        <is>
          <t>unique</t>
        </is>
      </c>
      <c r="C519" t="n">
        <v>3</v>
      </c>
      <c r="D519" t="inlineStr">
        <is>
          <t>Final Damage %</t>
        </is>
      </c>
      <c r="E519" t="n">
        <v>3</v>
      </c>
      <c r="F519" t="n">
        <v>0.92</v>
      </c>
      <c r="G519" t="b">
        <v>0</v>
      </c>
      <c r="H519">
        <f>Sensitivity!H12</f>
        <v/>
      </c>
    </row>
    <row r="520">
      <c r="A520" t="inlineStr">
        <is>
          <t>legs</t>
        </is>
      </c>
      <c r="B520" t="inlineStr">
        <is>
          <t>legendary</t>
        </is>
      </c>
      <c r="C520" t="n">
        <v>1</v>
      </c>
      <c r="D520" t="inlineStr">
        <is>
          <t>Final Damage %</t>
        </is>
      </c>
      <c r="E520" t="n">
        <v>8</v>
      </c>
      <c r="F520" t="n">
        <v>1</v>
      </c>
      <c r="G520" t="b">
        <v>1</v>
      </c>
      <c r="H520">
        <f>Sensitivity!H12</f>
        <v/>
      </c>
    </row>
    <row r="521">
      <c r="A521" t="inlineStr">
        <is>
          <t>legs</t>
        </is>
      </c>
      <c r="B521" t="inlineStr">
        <is>
          <t>legendary</t>
        </is>
      </c>
      <c r="C521" t="n">
        <v>2</v>
      </c>
      <c r="D521" t="inlineStr">
        <is>
          <t>Final Damage %</t>
        </is>
      </c>
      <c r="E521" t="n">
        <v>8</v>
      </c>
      <c r="F521" t="n">
        <v>0.24</v>
      </c>
      <c r="G521" t="b">
        <v>1</v>
      </c>
      <c r="H521">
        <f>Sensitivity!H12</f>
        <v/>
      </c>
    </row>
    <row r="522">
      <c r="A522" t="inlineStr">
        <is>
          <t>legs</t>
        </is>
      </c>
      <c r="B522" t="inlineStr">
        <is>
          <t>legendary</t>
        </is>
      </c>
      <c r="C522" t="n">
        <v>2</v>
      </c>
      <c r="D522" t="inlineStr">
        <is>
          <t>Final Damage %</t>
        </is>
      </c>
      <c r="E522" t="n">
        <v>5</v>
      </c>
      <c r="F522" t="n">
        <v>0.76</v>
      </c>
      <c r="G522" t="b">
        <v>0</v>
      </c>
      <c r="H522">
        <f>Sensitivity!H12</f>
        <v/>
      </c>
    </row>
    <row r="523">
      <c r="A523" t="inlineStr">
        <is>
          <t>legs</t>
        </is>
      </c>
      <c r="B523" t="inlineStr">
        <is>
          <t>legendary</t>
        </is>
      </c>
      <c r="C523" t="n">
        <v>3</v>
      </c>
      <c r="D523" t="inlineStr">
        <is>
          <t>Final Damage %</t>
        </is>
      </c>
      <c r="E523" t="n">
        <v>8</v>
      </c>
      <c r="F523" t="n">
        <v>0.08</v>
      </c>
      <c r="G523" t="b">
        <v>1</v>
      </c>
      <c r="H523">
        <f>Sensitivity!H12</f>
        <v/>
      </c>
    </row>
    <row r="524">
      <c r="A524" t="inlineStr">
        <is>
          <t>legs</t>
        </is>
      </c>
      <c r="B524" t="inlineStr">
        <is>
          <t>legendary</t>
        </is>
      </c>
      <c r="C524" t="n">
        <v>3</v>
      </c>
      <c r="D524" t="inlineStr">
        <is>
          <t>Final Damage %</t>
        </is>
      </c>
      <c r="E524" t="n">
        <v>5</v>
      </c>
      <c r="F524" t="n">
        <v>0.92</v>
      </c>
      <c r="G524" t="b">
        <v>0</v>
      </c>
      <c r="H524">
        <f>Sensitivity!H12</f>
        <v/>
      </c>
    </row>
    <row r="525">
      <c r="A525" t="inlineStr">
        <is>
          <t>legs</t>
        </is>
      </c>
      <c r="B525" t="inlineStr">
        <is>
          <t>mystic</t>
        </is>
      </c>
      <c r="C525" t="n">
        <v>1</v>
      </c>
      <c r="D525" t="inlineStr">
        <is>
          <t>Final Damage %</t>
        </is>
      </c>
      <c r="E525" t="n">
        <v>12</v>
      </c>
      <c r="F525" t="n">
        <v>1</v>
      </c>
      <c r="G525" t="b">
        <v>1</v>
      </c>
      <c r="H525">
        <f>Sensitivity!H12</f>
        <v/>
      </c>
    </row>
    <row r="526">
      <c r="A526" t="inlineStr">
        <is>
          <t>legs</t>
        </is>
      </c>
      <c r="B526" t="inlineStr">
        <is>
          <t>mystic</t>
        </is>
      </c>
      <c r="C526" t="n">
        <v>2</v>
      </c>
      <c r="D526" t="inlineStr">
        <is>
          <t>Final Damage %</t>
        </is>
      </c>
      <c r="E526" t="n">
        <v>12</v>
      </c>
      <c r="F526" t="n">
        <v>0.24</v>
      </c>
      <c r="G526" t="b">
        <v>1</v>
      </c>
      <c r="H526">
        <f>Sensitivity!H12</f>
        <v/>
      </c>
    </row>
    <row r="527">
      <c r="A527" t="inlineStr">
        <is>
          <t>legs</t>
        </is>
      </c>
      <c r="B527" t="inlineStr">
        <is>
          <t>mystic</t>
        </is>
      </c>
      <c r="C527" t="n">
        <v>2</v>
      </c>
      <c r="D527" t="inlineStr">
        <is>
          <t>Final Damage %</t>
        </is>
      </c>
      <c r="E527" t="n">
        <v>8</v>
      </c>
      <c r="F527" t="n">
        <v>0.76</v>
      </c>
      <c r="G527" t="b">
        <v>0</v>
      </c>
      <c r="H527">
        <f>Sensitivity!H12</f>
        <v/>
      </c>
    </row>
    <row r="528">
      <c r="A528" t="inlineStr">
        <is>
          <t>legs</t>
        </is>
      </c>
      <c r="B528" t="inlineStr">
        <is>
          <t>mystic</t>
        </is>
      </c>
      <c r="C528" t="n">
        <v>3</v>
      </c>
      <c r="D528" t="inlineStr">
        <is>
          <t>Final Damage %</t>
        </is>
      </c>
      <c r="E528" t="n">
        <v>12</v>
      </c>
      <c r="F528" t="n">
        <v>0.08</v>
      </c>
      <c r="G528" t="b">
        <v>1</v>
      </c>
      <c r="H528">
        <f>Sensitivity!H12</f>
        <v/>
      </c>
    </row>
    <row r="529">
      <c r="A529" t="inlineStr">
        <is>
          <t>legs</t>
        </is>
      </c>
      <c r="B529" t="inlineStr">
        <is>
          <t>mystic</t>
        </is>
      </c>
      <c r="C529" t="n">
        <v>3</v>
      </c>
      <c r="D529" t="inlineStr">
        <is>
          <t>Final Damage %</t>
        </is>
      </c>
      <c r="E529" t="n">
        <v>8</v>
      </c>
      <c r="F529" t="n">
        <v>0.92</v>
      </c>
      <c r="G529" t="b">
        <v>0</v>
      </c>
      <c r="H529">
        <f>Sensitivity!H12</f>
        <v/>
      </c>
    </row>
    <row r="530">
      <c r="A530" t="inlineStr">
        <is>
          <t>belt</t>
        </is>
      </c>
      <c r="B530" t="inlineStr">
        <is>
          <t>epic</t>
        </is>
      </c>
      <c r="C530" t="n">
        <v>1</v>
      </c>
      <c r="D530" t="inlineStr">
        <is>
          <t>Buff Duration Increase %</t>
        </is>
      </c>
      <c r="E530" t="n">
        <v>5</v>
      </c>
      <c r="F530" t="n">
        <v>1</v>
      </c>
      <c r="G530" t="b">
        <v>1</v>
      </c>
      <c r="H530">
        <f>Sensitivity!H30</f>
        <v/>
      </c>
    </row>
    <row r="531">
      <c r="A531" t="inlineStr">
        <is>
          <t>belt</t>
        </is>
      </c>
      <c r="B531" t="inlineStr">
        <is>
          <t>epic</t>
        </is>
      </c>
      <c r="C531" t="n">
        <v>2</v>
      </c>
      <c r="D531" t="inlineStr">
        <is>
          <t>Buff Duration Increase %</t>
        </is>
      </c>
      <c r="E531" t="n">
        <v>5</v>
      </c>
      <c r="F531" t="n">
        <v>0.24</v>
      </c>
      <c r="G531" t="b">
        <v>1</v>
      </c>
      <c r="H531">
        <f>Sensitivity!H30</f>
        <v/>
      </c>
    </row>
    <row r="532">
      <c r="A532" t="inlineStr">
        <is>
          <t>belt</t>
        </is>
      </c>
      <c r="B532" t="inlineStr">
        <is>
          <t>epic</t>
        </is>
      </c>
      <c r="C532" t="n">
        <v>3</v>
      </c>
      <c r="D532" t="inlineStr">
        <is>
          <t>Buff Duration Increase %</t>
        </is>
      </c>
      <c r="E532" t="n">
        <v>5</v>
      </c>
      <c r="F532" t="n">
        <v>0.08</v>
      </c>
      <c r="G532" t="b">
        <v>1</v>
      </c>
      <c r="H532">
        <f>Sensitivity!H30</f>
        <v/>
      </c>
    </row>
    <row r="533">
      <c r="A533" t="inlineStr">
        <is>
          <t>belt</t>
        </is>
      </c>
      <c r="B533" t="inlineStr">
        <is>
          <t>unique</t>
        </is>
      </c>
      <c r="C533" t="n">
        <v>1</v>
      </c>
      <c r="D533" t="inlineStr">
        <is>
          <t>Buff Duration Increase %</t>
        </is>
      </c>
      <c r="E533" t="n">
        <v>8</v>
      </c>
      <c r="F533" t="n">
        <v>1</v>
      </c>
      <c r="G533" t="b">
        <v>1</v>
      </c>
      <c r="H533">
        <f>Sensitivity!H30</f>
        <v/>
      </c>
    </row>
    <row r="534">
      <c r="A534" t="inlineStr">
        <is>
          <t>belt</t>
        </is>
      </c>
      <c r="B534" t="inlineStr">
        <is>
          <t>unique</t>
        </is>
      </c>
      <c r="C534" t="n">
        <v>2</v>
      </c>
      <c r="D534" t="inlineStr">
        <is>
          <t>Buff Duration Increase %</t>
        </is>
      </c>
      <c r="E534" t="n">
        <v>8</v>
      </c>
      <c r="F534" t="n">
        <v>0.24</v>
      </c>
      <c r="G534" t="b">
        <v>1</v>
      </c>
      <c r="H534">
        <f>Sensitivity!H30</f>
        <v/>
      </c>
    </row>
    <row r="535">
      <c r="A535" t="inlineStr">
        <is>
          <t>belt</t>
        </is>
      </c>
      <c r="B535" t="inlineStr">
        <is>
          <t>unique</t>
        </is>
      </c>
      <c r="C535" t="n">
        <v>2</v>
      </c>
      <c r="D535" t="inlineStr">
        <is>
          <t>Buff Duration Increase %</t>
        </is>
      </c>
      <c r="E535" t="n">
        <v>5</v>
      </c>
      <c r="F535" t="n">
        <v>0.76</v>
      </c>
      <c r="G535" t="b">
        <v>0</v>
      </c>
      <c r="H535">
        <f>Sensitivity!H30</f>
        <v/>
      </c>
    </row>
    <row r="536">
      <c r="A536" t="inlineStr">
        <is>
          <t>belt</t>
        </is>
      </c>
      <c r="B536" t="inlineStr">
        <is>
          <t>unique</t>
        </is>
      </c>
      <c r="C536" t="n">
        <v>3</v>
      </c>
      <c r="D536" t="inlineStr">
        <is>
          <t>Buff Duration Increase %</t>
        </is>
      </c>
      <c r="E536" t="n">
        <v>8</v>
      </c>
      <c r="F536" t="n">
        <v>0.08</v>
      </c>
      <c r="G536" t="b">
        <v>1</v>
      </c>
      <c r="H536">
        <f>Sensitivity!H30</f>
        <v/>
      </c>
    </row>
    <row r="537">
      <c r="A537" t="inlineStr">
        <is>
          <t>belt</t>
        </is>
      </c>
      <c r="B537" t="inlineStr">
        <is>
          <t>unique</t>
        </is>
      </c>
      <c r="C537" t="n">
        <v>3</v>
      </c>
      <c r="D537" t="inlineStr">
        <is>
          <t>Buff Duration Increase %</t>
        </is>
      </c>
      <c r="E537" t="n">
        <v>5</v>
      </c>
      <c r="F537" t="n">
        <v>0.92</v>
      </c>
      <c r="G537" t="b">
        <v>0</v>
      </c>
      <c r="H537">
        <f>Sensitivity!H30</f>
        <v/>
      </c>
    </row>
    <row r="538">
      <c r="A538" t="inlineStr">
        <is>
          <t>belt</t>
        </is>
      </c>
      <c r="B538" t="inlineStr">
        <is>
          <t>legendary</t>
        </is>
      </c>
      <c r="C538" t="n">
        <v>1</v>
      </c>
      <c r="D538" t="inlineStr">
        <is>
          <t>Buff Duration Increase %</t>
        </is>
      </c>
      <c r="E538" t="n">
        <v>12</v>
      </c>
      <c r="F538" t="n">
        <v>1</v>
      </c>
      <c r="G538" t="b">
        <v>1</v>
      </c>
      <c r="H538">
        <f>Sensitivity!H30</f>
        <v/>
      </c>
    </row>
    <row r="539">
      <c r="A539" t="inlineStr">
        <is>
          <t>belt</t>
        </is>
      </c>
      <c r="B539" t="inlineStr">
        <is>
          <t>legendary</t>
        </is>
      </c>
      <c r="C539" t="n">
        <v>2</v>
      </c>
      <c r="D539" t="inlineStr">
        <is>
          <t>Buff Duration Increase %</t>
        </is>
      </c>
      <c r="E539" t="n">
        <v>12</v>
      </c>
      <c r="F539" t="n">
        <v>0.24</v>
      </c>
      <c r="G539" t="b">
        <v>1</v>
      </c>
      <c r="H539">
        <f>Sensitivity!H30</f>
        <v/>
      </c>
    </row>
    <row r="540">
      <c r="A540" t="inlineStr">
        <is>
          <t>belt</t>
        </is>
      </c>
      <c r="B540" t="inlineStr">
        <is>
          <t>legendary</t>
        </is>
      </c>
      <c r="C540" t="n">
        <v>2</v>
      </c>
      <c r="D540" t="inlineStr">
        <is>
          <t>Buff Duration Increase %</t>
        </is>
      </c>
      <c r="E540" t="n">
        <v>8</v>
      </c>
      <c r="F540" t="n">
        <v>0.76</v>
      </c>
      <c r="G540" t="b">
        <v>0</v>
      </c>
      <c r="H540">
        <f>Sensitivity!H30</f>
        <v/>
      </c>
    </row>
    <row r="541">
      <c r="A541" t="inlineStr">
        <is>
          <t>belt</t>
        </is>
      </c>
      <c r="B541" t="inlineStr">
        <is>
          <t>legendary</t>
        </is>
      </c>
      <c r="C541" t="n">
        <v>3</v>
      </c>
      <c r="D541" t="inlineStr">
        <is>
          <t>Buff Duration Increase %</t>
        </is>
      </c>
      <c r="E541" t="n">
        <v>12</v>
      </c>
      <c r="F541" t="n">
        <v>0.08</v>
      </c>
      <c r="G541" t="b">
        <v>1</v>
      </c>
      <c r="H541">
        <f>Sensitivity!H30</f>
        <v/>
      </c>
    </row>
    <row r="542">
      <c r="A542" t="inlineStr">
        <is>
          <t>belt</t>
        </is>
      </c>
      <c r="B542" t="inlineStr">
        <is>
          <t>legendary</t>
        </is>
      </c>
      <c r="C542" t="n">
        <v>3</v>
      </c>
      <c r="D542" t="inlineStr">
        <is>
          <t>Buff Duration Increase %</t>
        </is>
      </c>
      <c r="E542" t="n">
        <v>8</v>
      </c>
      <c r="F542" t="n">
        <v>0.92</v>
      </c>
      <c r="G542" t="b">
        <v>0</v>
      </c>
      <c r="H542">
        <f>Sensitivity!H30</f>
        <v/>
      </c>
    </row>
    <row r="543">
      <c r="A543" t="inlineStr">
        <is>
          <t>belt</t>
        </is>
      </c>
      <c r="B543" t="inlineStr">
        <is>
          <t>mystic</t>
        </is>
      </c>
      <c r="C543" t="n">
        <v>1</v>
      </c>
      <c r="D543" t="inlineStr">
        <is>
          <t>Buff Duration Increase %</t>
        </is>
      </c>
      <c r="E543" t="n">
        <v>20</v>
      </c>
      <c r="F543" t="n">
        <v>1</v>
      </c>
      <c r="G543" t="b">
        <v>1</v>
      </c>
      <c r="H543">
        <f>Sensitivity!H30</f>
        <v/>
      </c>
    </row>
    <row r="544">
      <c r="A544" t="inlineStr">
        <is>
          <t>belt</t>
        </is>
      </c>
      <c r="B544" t="inlineStr">
        <is>
          <t>mystic</t>
        </is>
      </c>
      <c r="C544" t="n">
        <v>2</v>
      </c>
      <c r="D544" t="inlineStr">
        <is>
          <t>Buff Duration Increase %</t>
        </is>
      </c>
      <c r="E544" t="n">
        <v>20</v>
      </c>
      <c r="F544" t="n">
        <v>0.24</v>
      </c>
      <c r="G544" t="b">
        <v>1</v>
      </c>
      <c r="H544">
        <f>Sensitivity!H30</f>
        <v/>
      </c>
    </row>
    <row r="545">
      <c r="A545" t="inlineStr">
        <is>
          <t>belt</t>
        </is>
      </c>
      <c r="B545" t="inlineStr">
        <is>
          <t>mystic</t>
        </is>
      </c>
      <c r="C545" t="n">
        <v>2</v>
      </c>
      <c r="D545" t="inlineStr">
        <is>
          <t>Buff Duration Increase %</t>
        </is>
      </c>
      <c r="E545" t="n">
        <v>12</v>
      </c>
      <c r="F545" t="n">
        <v>0.76</v>
      </c>
      <c r="G545" t="b">
        <v>0</v>
      </c>
      <c r="H545">
        <f>Sensitivity!H30</f>
        <v/>
      </c>
    </row>
    <row r="546">
      <c r="A546" t="inlineStr">
        <is>
          <t>belt</t>
        </is>
      </c>
      <c r="B546" t="inlineStr">
        <is>
          <t>mystic</t>
        </is>
      </c>
      <c r="C546" t="n">
        <v>3</v>
      </c>
      <c r="D546" t="inlineStr">
        <is>
          <t>Buff Duration Increase %</t>
        </is>
      </c>
      <c r="E546" t="n">
        <v>20</v>
      </c>
      <c r="F546" t="n">
        <v>0.08</v>
      </c>
      <c r="G546" t="b">
        <v>1</v>
      </c>
      <c r="H546">
        <f>Sensitivity!H30</f>
        <v/>
      </c>
    </row>
    <row r="547">
      <c r="A547" t="inlineStr">
        <is>
          <t>belt</t>
        </is>
      </c>
      <c r="B547" t="inlineStr">
        <is>
          <t>mystic</t>
        </is>
      </c>
      <c r="C547" t="n">
        <v>3</v>
      </c>
      <c r="D547" t="inlineStr">
        <is>
          <t>Buff Duration Increase %</t>
        </is>
      </c>
      <c r="E547" t="n">
        <v>12</v>
      </c>
      <c r="F547" t="n">
        <v>0.92</v>
      </c>
      <c r="G547" t="b">
        <v>0</v>
      </c>
      <c r="H547">
        <f>Sensitivity!H30</f>
        <v/>
      </c>
    </row>
    <row r="548">
      <c r="A548" t="inlineStr">
        <is>
          <t>gloves</t>
        </is>
      </c>
      <c r="B548" t="inlineStr">
        <is>
          <t>epic</t>
        </is>
      </c>
      <c r="C548" t="n">
        <v>1</v>
      </c>
      <c r="D548" t="inlineStr">
        <is>
          <t>Critical Damage %</t>
        </is>
      </c>
      <c r="E548" t="n">
        <v>10</v>
      </c>
      <c r="F548" t="n">
        <v>1</v>
      </c>
      <c r="G548" t="b">
        <v>1</v>
      </c>
      <c r="H548">
        <f>Sensitivity!H16</f>
        <v/>
      </c>
    </row>
    <row r="549">
      <c r="A549" t="inlineStr">
        <is>
          <t>gloves</t>
        </is>
      </c>
      <c r="B549" t="inlineStr">
        <is>
          <t>epic</t>
        </is>
      </c>
      <c r="C549" t="n">
        <v>2</v>
      </c>
      <c r="D549" t="inlineStr">
        <is>
          <t>Critical Damage %</t>
        </is>
      </c>
      <c r="E549" t="n">
        <v>10</v>
      </c>
      <c r="F549" t="n">
        <v>0.24</v>
      </c>
      <c r="G549" t="b">
        <v>1</v>
      </c>
      <c r="H549">
        <f>Sensitivity!H16</f>
        <v/>
      </c>
    </row>
    <row r="550">
      <c r="A550" t="inlineStr">
        <is>
          <t>gloves</t>
        </is>
      </c>
      <c r="B550" t="inlineStr">
        <is>
          <t>epic</t>
        </is>
      </c>
      <c r="C550" t="n">
        <v>3</v>
      </c>
      <c r="D550" t="inlineStr">
        <is>
          <t>Critical Damage %</t>
        </is>
      </c>
      <c r="E550" t="n">
        <v>10</v>
      </c>
      <c r="F550" t="n">
        <v>0.08</v>
      </c>
      <c r="G550" t="b">
        <v>1</v>
      </c>
      <c r="H550">
        <f>Sensitivity!H16</f>
        <v/>
      </c>
    </row>
    <row r="551">
      <c r="A551" t="inlineStr">
        <is>
          <t>gloves</t>
        </is>
      </c>
      <c r="B551" t="inlineStr">
        <is>
          <t>unique</t>
        </is>
      </c>
      <c r="C551" t="n">
        <v>1</v>
      </c>
      <c r="D551" t="inlineStr">
        <is>
          <t>Critical Damage %</t>
        </is>
      </c>
      <c r="E551" t="n">
        <v>20</v>
      </c>
      <c r="F551" t="n">
        <v>1</v>
      </c>
      <c r="G551" t="b">
        <v>1</v>
      </c>
      <c r="H551">
        <f>Sensitivity!H16</f>
        <v/>
      </c>
    </row>
    <row r="552">
      <c r="A552" t="inlineStr">
        <is>
          <t>gloves</t>
        </is>
      </c>
      <c r="B552" t="inlineStr">
        <is>
          <t>unique</t>
        </is>
      </c>
      <c r="C552" t="n">
        <v>2</v>
      </c>
      <c r="D552" t="inlineStr">
        <is>
          <t>Critical Damage %</t>
        </is>
      </c>
      <c r="E552" t="n">
        <v>20</v>
      </c>
      <c r="F552" t="n">
        <v>0.24</v>
      </c>
      <c r="G552" t="b">
        <v>1</v>
      </c>
      <c r="H552">
        <f>Sensitivity!H16</f>
        <v/>
      </c>
    </row>
    <row r="553">
      <c r="A553" t="inlineStr">
        <is>
          <t>gloves</t>
        </is>
      </c>
      <c r="B553" t="inlineStr">
        <is>
          <t>unique</t>
        </is>
      </c>
      <c r="C553" t="n">
        <v>2</v>
      </c>
      <c r="D553" t="inlineStr">
        <is>
          <t>Critical Damage %</t>
        </is>
      </c>
      <c r="E553" t="n">
        <v>10</v>
      </c>
      <c r="F553" t="n">
        <v>0.76</v>
      </c>
      <c r="G553" t="b">
        <v>0</v>
      </c>
      <c r="H553">
        <f>Sensitivity!H16</f>
        <v/>
      </c>
    </row>
    <row r="554">
      <c r="A554" t="inlineStr">
        <is>
          <t>gloves</t>
        </is>
      </c>
      <c r="B554" t="inlineStr">
        <is>
          <t>unique</t>
        </is>
      </c>
      <c r="C554" t="n">
        <v>3</v>
      </c>
      <c r="D554" t="inlineStr">
        <is>
          <t>Critical Damage %</t>
        </is>
      </c>
      <c r="E554" t="n">
        <v>20</v>
      </c>
      <c r="F554" t="n">
        <v>0.08</v>
      </c>
      <c r="G554" t="b">
        <v>1</v>
      </c>
      <c r="H554">
        <f>Sensitivity!H16</f>
        <v/>
      </c>
    </row>
    <row r="555">
      <c r="A555" t="inlineStr">
        <is>
          <t>gloves</t>
        </is>
      </c>
      <c r="B555" t="inlineStr">
        <is>
          <t>unique</t>
        </is>
      </c>
      <c r="C555" t="n">
        <v>3</v>
      </c>
      <c r="D555" t="inlineStr">
        <is>
          <t>Critical Damage %</t>
        </is>
      </c>
      <c r="E555" t="n">
        <v>10</v>
      </c>
      <c r="F555" t="n">
        <v>0.92</v>
      </c>
      <c r="G555" t="b">
        <v>0</v>
      </c>
      <c r="H555">
        <f>Sensitivity!H16</f>
        <v/>
      </c>
    </row>
    <row r="556">
      <c r="A556" t="inlineStr">
        <is>
          <t>gloves</t>
        </is>
      </c>
      <c r="B556" t="inlineStr">
        <is>
          <t>legendary</t>
        </is>
      </c>
      <c r="C556" t="n">
        <v>1</v>
      </c>
      <c r="D556" t="inlineStr">
        <is>
          <t>Critical Damage %</t>
        </is>
      </c>
      <c r="E556" t="n">
        <v>30</v>
      </c>
      <c r="F556" t="n">
        <v>1</v>
      </c>
      <c r="G556" t="b">
        <v>1</v>
      </c>
      <c r="H556">
        <f>Sensitivity!H16</f>
        <v/>
      </c>
    </row>
    <row r="557">
      <c r="A557" t="inlineStr">
        <is>
          <t>gloves</t>
        </is>
      </c>
      <c r="B557" t="inlineStr">
        <is>
          <t>legendary</t>
        </is>
      </c>
      <c r="C557" t="n">
        <v>2</v>
      </c>
      <c r="D557" t="inlineStr">
        <is>
          <t>Critical Damage %</t>
        </is>
      </c>
      <c r="E557" t="n">
        <v>30</v>
      </c>
      <c r="F557" t="n">
        <v>0.24</v>
      </c>
      <c r="G557" t="b">
        <v>1</v>
      </c>
      <c r="H557">
        <f>Sensitivity!H16</f>
        <v/>
      </c>
    </row>
    <row r="558">
      <c r="A558" t="inlineStr">
        <is>
          <t>gloves</t>
        </is>
      </c>
      <c r="B558" t="inlineStr">
        <is>
          <t>legendary</t>
        </is>
      </c>
      <c r="C558" t="n">
        <v>2</v>
      </c>
      <c r="D558" t="inlineStr">
        <is>
          <t>Critical Damage %</t>
        </is>
      </c>
      <c r="E558" t="n">
        <v>20</v>
      </c>
      <c r="F558" t="n">
        <v>0.76</v>
      </c>
      <c r="G558" t="b">
        <v>0</v>
      </c>
      <c r="H558">
        <f>Sensitivity!H16</f>
        <v/>
      </c>
    </row>
    <row r="559">
      <c r="A559" t="inlineStr">
        <is>
          <t>gloves</t>
        </is>
      </c>
      <c r="B559" t="inlineStr">
        <is>
          <t>legendary</t>
        </is>
      </c>
      <c r="C559" t="n">
        <v>3</v>
      </c>
      <c r="D559" t="inlineStr">
        <is>
          <t>Critical Damage %</t>
        </is>
      </c>
      <c r="E559" t="n">
        <v>30</v>
      </c>
      <c r="F559" t="n">
        <v>0.08</v>
      </c>
      <c r="G559" t="b">
        <v>1</v>
      </c>
      <c r="H559">
        <f>Sensitivity!H16</f>
        <v/>
      </c>
    </row>
    <row r="560">
      <c r="A560" t="inlineStr">
        <is>
          <t>gloves</t>
        </is>
      </c>
      <c r="B560" t="inlineStr">
        <is>
          <t>legendary</t>
        </is>
      </c>
      <c r="C560" t="n">
        <v>3</v>
      </c>
      <c r="D560" t="inlineStr">
        <is>
          <t>Critical Damage %</t>
        </is>
      </c>
      <c r="E560" t="n">
        <v>20</v>
      </c>
      <c r="F560" t="n">
        <v>0.92</v>
      </c>
      <c r="G560" t="b">
        <v>0</v>
      </c>
      <c r="H560">
        <f>Sensitivity!H16</f>
        <v/>
      </c>
    </row>
    <row r="561">
      <c r="A561" t="inlineStr">
        <is>
          <t>gloves</t>
        </is>
      </c>
      <c r="B561" t="inlineStr">
        <is>
          <t>mystic</t>
        </is>
      </c>
      <c r="C561" t="n">
        <v>1</v>
      </c>
      <c r="D561" t="inlineStr">
        <is>
          <t>Critical Damage %</t>
        </is>
      </c>
      <c r="E561" t="n">
        <v>50</v>
      </c>
      <c r="F561" t="n">
        <v>1</v>
      </c>
      <c r="G561" t="b">
        <v>1</v>
      </c>
      <c r="H561">
        <f>Sensitivity!H16</f>
        <v/>
      </c>
    </row>
    <row r="562">
      <c r="A562" t="inlineStr">
        <is>
          <t>gloves</t>
        </is>
      </c>
      <c r="B562" t="inlineStr">
        <is>
          <t>mystic</t>
        </is>
      </c>
      <c r="C562" t="n">
        <v>2</v>
      </c>
      <c r="D562" t="inlineStr">
        <is>
          <t>Critical Damage %</t>
        </is>
      </c>
      <c r="E562" t="n">
        <v>50</v>
      </c>
      <c r="F562" t="n">
        <v>0.24</v>
      </c>
      <c r="G562" t="b">
        <v>1</v>
      </c>
      <c r="H562">
        <f>Sensitivity!H16</f>
        <v/>
      </c>
    </row>
    <row r="563">
      <c r="A563" t="inlineStr">
        <is>
          <t>gloves</t>
        </is>
      </c>
      <c r="B563" t="inlineStr">
        <is>
          <t>mystic</t>
        </is>
      </c>
      <c r="C563" t="n">
        <v>2</v>
      </c>
      <c r="D563" t="inlineStr">
        <is>
          <t>Critical Damage %</t>
        </is>
      </c>
      <c r="E563" t="n">
        <v>30</v>
      </c>
      <c r="F563" t="n">
        <v>0.76</v>
      </c>
      <c r="G563" t="b">
        <v>0</v>
      </c>
      <c r="H563">
        <f>Sensitivity!H16</f>
        <v/>
      </c>
    </row>
    <row r="564">
      <c r="A564" t="inlineStr">
        <is>
          <t>gloves</t>
        </is>
      </c>
      <c r="B564" t="inlineStr">
        <is>
          <t>mystic</t>
        </is>
      </c>
      <c r="C564" t="n">
        <v>3</v>
      </c>
      <c r="D564" t="inlineStr">
        <is>
          <t>Critical Damage %</t>
        </is>
      </c>
      <c r="E564" t="n">
        <v>50</v>
      </c>
      <c r="F564" t="n">
        <v>0.08</v>
      </c>
      <c r="G564" t="b">
        <v>1</v>
      </c>
      <c r="H564">
        <f>Sensitivity!H16</f>
        <v/>
      </c>
    </row>
    <row r="565">
      <c r="A565" t="inlineStr">
        <is>
          <t>gloves</t>
        </is>
      </c>
      <c r="B565" t="inlineStr">
        <is>
          <t>mystic</t>
        </is>
      </c>
      <c r="C565" t="n">
        <v>3</v>
      </c>
      <c r="D565" t="inlineStr">
        <is>
          <t>Critical Damage %</t>
        </is>
      </c>
      <c r="E565" t="n">
        <v>30</v>
      </c>
      <c r="F565" t="n">
        <v>0.92</v>
      </c>
      <c r="G565" t="b">
        <v>0</v>
      </c>
      <c r="H565">
        <f>Sensitivity!H16</f>
        <v/>
      </c>
    </row>
    <row r="566">
      <c r="A566" t="inlineStr">
        <is>
          <t>boots</t>
        </is>
      </c>
      <c r="B566" t="inlineStr">
        <is>
          <t>epic</t>
        </is>
      </c>
      <c r="C566" t="n">
        <v>1</v>
      </c>
      <c r="D566" t="inlineStr">
        <is>
          <t>Companion Summoning Time Increase %</t>
        </is>
      </c>
      <c r="E566" t="n">
        <v>5</v>
      </c>
      <c r="F566" t="n">
        <v>1</v>
      </c>
      <c r="G566" t="b">
        <v>1</v>
      </c>
      <c r="H566">
        <f>Sensitivity!H16</f>
        <v/>
      </c>
    </row>
    <row r="567">
      <c r="A567" t="inlineStr">
        <is>
          <t>boots</t>
        </is>
      </c>
      <c r="B567" t="inlineStr">
        <is>
          <t>epic</t>
        </is>
      </c>
      <c r="C567" t="n">
        <v>2</v>
      </c>
      <c r="D567" t="inlineStr">
        <is>
          <t>Companion Summoning Time Increase %</t>
        </is>
      </c>
      <c r="E567" t="n">
        <v>5</v>
      </c>
      <c r="F567" t="n">
        <v>0.24</v>
      </c>
      <c r="G567" t="b">
        <v>1</v>
      </c>
      <c r="H567">
        <f>Sensitivity!H16</f>
        <v/>
      </c>
    </row>
    <row r="568">
      <c r="A568" t="inlineStr">
        <is>
          <t>boots</t>
        </is>
      </c>
      <c r="B568" t="inlineStr">
        <is>
          <t>epic</t>
        </is>
      </c>
      <c r="C568" t="n">
        <v>3</v>
      </c>
      <c r="D568" t="inlineStr">
        <is>
          <t>Companion Summoning Time Increase %</t>
        </is>
      </c>
      <c r="E568" t="n">
        <v>5</v>
      </c>
      <c r="F568" t="n">
        <v>0.08</v>
      </c>
      <c r="G568" t="b">
        <v>1</v>
      </c>
      <c r="H568">
        <f>Sensitivity!H16</f>
        <v/>
      </c>
    </row>
    <row r="569">
      <c r="A569" t="inlineStr">
        <is>
          <t>boots</t>
        </is>
      </c>
      <c r="B569" t="inlineStr">
        <is>
          <t>unique</t>
        </is>
      </c>
      <c r="C569" t="n">
        <v>1</v>
      </c>
      <c r="D569" t="inlineStr">
        <is>
          <t>Companion Summoning Time Increase %</t>
        </is>
      </c>
      <c r="E569" t="n">
        <v>8</v>
      </c>
      <c r="F569" t="n">
        <v>1</v>
      </c>
      <c r="G569" t="b">
        <v>1</v>
      </c>
      <c r="H569">
        <f>Sensitivity!H16</f>
        <v/>
      </c>
    </row>
    <row r="570">
      <c r="A570" t="inlineStr">
        <is>
          <t>boots</t>
        </is>
      </c>
      <c r="B570" t="inlineStr">
        <is>
          <t>unique</t>
        </is>
      </c>
      <c r="C570" t="n">
        <v>2</v>
      </c>
      <c r="D570" t="inlineStr">
        <is>
          <t>Companion Summoning Time Increase %</t>
        </is>
      </c>
      <c r="E570" t="n">
        <v>8</v>
      </c>
      <c r="F570" t="n">
        <v>0.24</v>
      </c>
      <c r="G570" t="b">
        <v>1</v>
      </c>
      <c r="H570">
        <f>Sensitivity!H16</f>
        <v/>
      </c>
    </row>
    <row r="571">
      <c r="A571" t="inlineStr">
        <is>
          <t>boots</t>
        </is>
      </c>
      <c r="B571" t="inlineStr">
        <is>
          <t>unique</t>
        </is>
      </c>
      <c r="C571" t="n">
        <v>2</v>
      </c>
      <c r="D571" t="inlineStr">
        <is>
          <t>Companion Summoning Time Increase %</t>
        </is>
      </c>
      <c r="E571" t="n">
        <v>5</v>
      </c>
      <c r="F571" t="n">
        <v>0.76</v>
      </c>
      <c r="G571" t="b">
        <v>0</v>
      </c>
      <c r="H571">
        <f>Sensitivity!H16</f>
        <v/>
      </c>
    </row>
    <row r="572">
      <c r="A572" t="inlineStr">
        <is>
          <t>boots</t>
        </is>
      </c>
      <c r="B572" t="inlineStr">
        <is>
          <t>unique</t>
        </is>
      </c>
      <c r="C572" t="n">
        <v>3</v>
      </c>
      <c r="D572" t="inlineStr">
        <is>
          <t>Companion Summoning Time Increase %</t>
        </is>
      </c>
      <c r="E572" t="n">
        <v>8</v>
      </c>
      <c r="F572" t="n">
        <v>0.08</v>
      </c>
      <c r="G572" t="b">
        <v>1</v>
      </c>
      <c r="H572">
        <f>Sensitivity!H16</f>
        <v/>
      </c>
    </row>
    <row r="573">
      <c r="A573" t="inlineStr">
        <is>
          <t>boots</t>
        </is>
      </c>
      <c r="B573" t="inlineStr">
        <is>
          <t>unique</t>
        </is>
      </c>
      <c r="C573" t="n">
        <v>3</v>
      </c>
      <c r="D573" t="inlineStr">
        <is>
          <t>Companion Summoning Time Increase %</t>
        </is>
      </c>
      <c r="E573" t="n">
        <v>5</v>
      </c>
      <c r="F573" t="n">
        <v>0.92</v>
      </c>
      <c r="G573" t="b">
        <v>0</v>
      </c>
      <c r="H573">
        <f>Sensitivity!H16</f>
        <v/>
      </c>
    </row>
    <row r="574">
      <c r="A574" t="inlineStr">
        <is>
          <t>boots</t>
        </is>
      </c>
      <c r="B574" t="inlineStr">
        <is>
          <t>legendary</t>
        </is>
      </c>
      <c r="C574" t="n">
        <v>1</v>
      </c>
      <c r="D574" t="inlineStr">
        <is>
          <t>Companion Summoning Time Increase %</t>
        </is>
      </c>
      <c r="E574" t="n">
        <v>12</v>
      </c>
      <c r="F574" t="n">
        <v>1</v>
      </c>
      <c r="G574" t="b">
        <v>1</v>
      </c>
      <c r="H574">
        <f>Sensitivity!H16</f>
        <v/>
      </c>
    </row>
    <row r="575">
      <c r="A575" t="inlineStr">
        <is>
          <t>boots</t>
        </is>
      </c>
      <c r="B575" t="inlineStr">
        <is>
          <t>legendary</t>
        </is>
      </c>
      <c r="C575" t="n">
        <v>2</v>
      </c>
      <c r="D575" t="inlineStr">
        <is>
          <t>Companion Summoning Time Increase %</t>
        </is>
      </c>
      <c r="E575" t="n">
        <v>12</v>
      </c>
      <c r="F575" t="n">
        <v>0.24</v>
      </c>
      <c r="G575" t="b">
        <v>1</v>
      </c>
      <c r="H575">
        <f>Sensitivity!H16</f>
        <v/>
      </c>
    </row>
    <row r="576">
      <c r="A576" t="inlineStr">
        <is>
          <t>boots</t>
        </is>
      </c>
      <c r="B576" t="inlineStr">
        <is>
          <t>legendary</t>
        </is>
      </c>
      <c r="C576" t="n">
        <v>2</v>
      </c>
      <c r="D576" t="inlineStr">
        <is>
          <t>Companion Summoning Time Increase %</t>
        </is>
      </c>
      <c r="E576" t="n">
        <v>8</v>
      </c>
      <c r="F576" t="n">
        <v>0.76</v>
      </c>
      <c r="G576" t="b">
        <v>0</v>
      </c>
      <c r="H576">
        <f>Sensitivity!H16</f>
        <v/>
      </c>
    </row>
    <row r="577">
      <c r="A577" t="inlineStr">
        <is>
          <t>boots</t>
        </is>
      </c>
      <c r="B577" t="inlineStr">
        <is>
          <t>legendary</t>
        </is>
      </c>
      <c r="C577" t="n">
        <v>3</v>
      </c>
      <c r="D577" t="inlineStr">
        <is>
          <t>Companion Summoning Time Increase %</t>
        </is>
      </c>
      <c r="E577" t="n">
        <v>12</v>
      </c>
      <c r="F577" t="n">
        <v>0.08</v>
      </c>
      <c r="G577" t="b">
        <v>1</v>
      </c>
      <c r="H577">
        <f>Sensitivity!H16</f>
        <v/>
      </c>
    </row>
    <row r="578">
      <c r="A578" t="inlineStr">
        <is>
          <t>boots</t>
        </is>
      </c>
      <c r="B578" t="inlineStr">
        <is>
          <t>legendary</t>
        </is>
      </c>
      <c r="C578" t="n">
        <v>3</v>
      </c>
      <c r="D578" t="inlineStr">
        <is>
          <t>Companion Summoning Time Increase %</t>
        </is>
      </c>
      <c r="E578" t="n">
        <v>8</v>
      </c>
      <c r="F578" t="n">
        <v>0.92</v>
      </c>
      <c r="G578" t="b">
        <v>0</v>
      </c>
      <c r="H578">
        <f>Sensitivity!H16</f>
        <v/>
      </c>
    </row>
    <row r="579">
      <c r="A579" t="inlineStr">
        <is>
          <t>boots</t>
        </is>
      </c>
      <c r="B579" t="inlineStr">
        <is>
          <t>mystic</t>
        </is>
      </c>
      <c r="C579" t="n">
        <v>1</v>
      </c>
      <c r="D579" t="inlineStr">
        <is>
          <t>Companion Summoning Time Increase %</t>
        </is>
      </c>
      <c r="E579" t="n">
        <v>20</v>
      </c>
      <c r="F579" t="n">
        <v>1</v>
      </c>
      <c r="G579" t="b">
        <v>1</v>
      </c>
      <c r="H579">
        <f>Sensitivity!H16</f>
        <v/>
      </c>
    </row>
    <row r="580">
      <c r="A580" t="inlineStr">
        <is>
          <t>boots</t>
        </is>
      </c>
      <c r="B580" t="inlineStr">
        <is>
          <t>mystic</t>
        </is>
      </c>
      <c r="C580" t="n">
        <v>2</v>
      </c>
      <c r="D580" t="inlineStr">
        <is>
          <t>Companion Summoning Time Increase %</t>
        </is>
      </c>
      <c r="E580" t="n">
        <v>20</v>
      </c>
      <c r="F580" t="n">
        <v>0.24</v>
      </c>
      <c r="G580" t="b">
        <v>1</v>
      </c>
      <c r="H580">
        <f>Sensitivity!H16</f>
        <v/>
      </c>
    </row>
    <row r="581">
      <c r="A581" t="inlineStr">
        <is>
          <t>boots</t>
        </is>
      </c>
      <c r="B581" t="inlineStr">
        <is>
          <t>mystic</t>
        </is>
      </c>
      <c r="C581" t="n">
        <v>2</v>
      </c>
      <c r="D581" t="inlineStr">
        <is>
          <t>Companion Summoning Time Increase %</t>
        </is>
      </c>
      <c r="E581" t="n">
        <v>12</v>
      </c>
      <c r="F581" t="n">
        <v>0.76</v>
      </c>
      <c r="G581" t="b">
        <v>0</v>
      </c>
      <c r="H581">
        <f>Sensitivity!H16</f>
        <v/>
      </c>
    </row>
    <row r="582">
      <c r="A582" t="inlineStr">
        <is>
          <t>boots</t>
        </is>
      </c>
      <c r="B582" t="inlineStr">
        <is>
          <t>mystic</t>
        </is>
      </c>
      <c r="C582" t="n">
        <v>3</v>
      </c>
      <c r="D582" t="inlineStr">
        <is>
          <t>Companion Summoning Time Increase %</t>
        </is>
      </c>
      <c r="E582" t="n">
        <v>20</v>
      </c>
      <c r="F582" t="n">
        <v>0.08</v>
      </c>
      <c r="G582" t="b">
        <v>1</v>
      </c>
      <c r="H582">
        <f>Sensitivity!H16</f>
        <v/>
      </c>
    </row>
    <row r="583">
      <c r="A583" t="inlineStr">
        <is>
          <t>boots</t>
        </is>
      </c>
      <c r="B583" t="inlineStr">
        <is>
          <t>mystic</t>
        </is>
      </c>
      <c r="C583" t="n">
        <v>3</v>
      </c>
      <c r="D583" t="inlineStr">
        <is>
          <t>Companion Summoning Time Increase %</t>
        </is>
      </c>
      <c r="E583" t="n">
        <v>12</v>
      </c>
      <c r="F583" t="n">
        <v>0.92</v>
      </c>
      <c r="G583" t="b">
        <v>0</v>
      </c>
      <c r="H583">
        <f>Sensitivity!H16</f>
        <v/>
      </c>
    </row>
    <row r="584">
      <c r="A584" t="inlineStr">
        <is>
          <t>ring</t>
        </is>
      </c>
      <c r="B584" t="inlineStr">
        <is>
          <t>epic</t>
        </is>
      </c>
      <c r="C584" t="n">
        <v>1</v>
      </c>
      <c r="D584" t="inlineStr">
        <is>
          <t>All Skill Level</t>
        </is>
      </c>
      <c r="E584" t="n">
        <v>5</v>
      </c>
      <c r="F584" t="n">
        <v>1</v>
      </c>
      <c r="G584" t="b">
        <v>1</v>
      </c>
      <c r="H584">
        <f>Sensitivity!H25</f>
        <v/>
      </c>
    </row>
    <row r="585">
      <c r="A585" t="inlineStr">
        <is>
          <t>ring</t>
        </is>
      </c>
      <c r="B585" t="inlineStr">
        <is>
          <t>epic</t>
        </is>
      </c>
      <c r="C585" t="n">
        <v>2</v>
      </c>
      <c r="D585" t="inlineStr">
        <is>
          <t>All Skill Level</t>
        </is>
      </c>
      <c r="E585" t="n">
        <v>5</v>
      </c>
      <c r="F585" t="n">
        <v>0.24</v>
      </c>
      <c r="G585" t="b">
        <v>1</v>
      </c>
      <c r="H585">
        <f>Sensitivity!H25</f>
        <v/>
      </c>
    </row>
    <row r="586">
      <c r="A586" t="inlineStr">
        <is>
          <t>ring</t>
        </is>
      </c>
      <c r="B586" t="inlineStr">
        <is>
          <t>epic</t>
        </is>
      </c>
      <c r="C586" t="n">
        <v>3</v>
      </c>
      <c r="D586" t="inlineStr">
        <is>
          <t>All Skill Level</t>
        </is>
      </c>
      <c r="E586" t="n">
        <v>5</v>
      </c>
      <c r="F586" t="n">
        <v>0.08</v>
      </c>
      <c r="G586" t="b">
        <v>1</v>
      </c>
      <c r="H586">
        <f>Sensitivity!H25</f>
        <v/>
      </c>
    </row>
    <row r="587">
      <c r="A587" t="inlineStr">
        <is>
          <t>ring</t>
        </is>
      </c>
      <c r="B587" t="inlineStr">
        <is>
          <t>unique</t>
        </is>
      </c>
      <c r="C587" t="n">
        <v>1</v>
      </c>
      <c r="D587" t="inlineStr">
        <is>
          <t>All Skill Level</t>
        </is>
      </c>
      <c r="E587" t="n">
        <v>8</v>
      </c>
      <c r="F587" t="n">
        <v>1</v>
      </c>
      <c r="G587" t="b">
        <v>1</v>
      </c>
      <c r="H587">
        <f>Sensitivity!H25</f>
        <v/>
      </c>
    </row>
    <row r="588">
      <c r="A588" t="inlineStr">
        <is>
          <t>ring</t>
        </is>
      </c>
      <c r="B588" t="inlineStr">
        <is>
          <t>unique</t>
        </is>
      </c>
      <c r="C588" t="n">
        <v>2</v>
      </c>
      <c r="D588" t="inlineStr">
        <is>
          <t>All Skill Level</t>
        </is>
      </c>
      <c r="E588" t="n">
        <v>8</v>
      </c>
      <c r="F588" t="n">
        <v>0.24</v>
      </c>
      <c r="G588" t="b">
        <v>1</v>
      </c>
      <c r="H588">
        <f>Sensitivity!H25</f>
        <v/>
      </c>
    </row>
    <row r="589">
      <c r="A589" t="inlineStr">
        <is>
          <t>ring</t>
        </is>
      </c>
      <c r="B589" t="inlineStr">
        <is>
          <t>unique</t>
        </is>
      </c>
      <c r="C589" t="n">
        <v>2</v>
      </c>
      <c r="D589" t="inlineStr">
        <is>
          <t>All Skill Level</t>
        </is>
      </c>
      <c r="E589" t="n">
        <v>5</v>
      </c>
      <c r="F589" t="n">
        <v>0.76</v>
      </c>
      <c r="G589" t="b">
        <v>0</v>
      </c>
      <c r="H589">
        <f>Sensitivity!H25</f>
        <v/>
      </c>
    </row>
    <row r="590">
      <c r="A590" t="inlineStr">
        <is>
          <t>ring</t>
        </is>
      </c>
      <c r="B590" t="inlineStr">
        <is>
          <t>unique</t>
        </is>
      </c>
      <c r="C590" t="n">
        <v>3</v>
      </c>
      <c r="D590" t="inlineStr">
        <is>
          <t>All Skill Level</t>
        </is>
      </c>
      <c r="E590" t="n">
        <v>8</v>
      </c>
      <c r="F590" t="n">
        <v>0.08</v>
      </c>
      <c r="G590" t="b">
        <v>1</v>
      </c>
      <c r="H590">
        <f>Sensitivity!H25</f>
        <v/>
      </c>
    </row>
    <row r="591">
      <c r="A591" t="inlineStr">
        <is>
          <t>ring</t>
        </is>
      </c>
      <c r="B591" t="inlineStr">
        <is>
          <t>unique</t>
        </is>
      </c>
      <c r="C591" t="n">
        <v>3</v>
      </c>
      <c r="D591" t="inlineStr">
        <is>
          <t>All Skill Level</t>
        </is>
      </c>
      <c r="E591" t="n">
        <v>5</v>
      </c>
      <c r="F591" t="n">
        <v>0.92</v>
      </c>
      <c r="G591" t="b">
        <v>0</v>
      </c>
      <c r="H591">
        <f>Sensitivity!H25</f>
        <v/>
      </c>
    </row>
    <row r="592">
      <c r="A592" t="inlineStr">
        <is>
          <t>ring</t>
        </is>
      </c>
      <c r="B592" t="inlineStr">
        <is>
          <t>legendary</t>
        </is>
      </c>
      <c r="C592" t="n">
        <v>1</v>
      </c>
      <c r="D592" t="inlineStr">
        <is>
          <t>All Skill Level</t>
        </is>
      </c>
      <c r="E592" t="n">
        <v>12</v>
      </c>
      <c r="F592" t="n">
        <v>1</v>
      </c>
      <c r="G592" t="b">
        <v>1</v>
      </c>
      <c r="H592">
        <f>Sensitivity!H25</f>
        <v/>
      </c>
    </row>
    <row r="593">
      <c r="A593" t="inlineStr">
        <is>
          <t>ring</t>
        </is>
      </c>
      <c r="B593" t="inlineStr">
        <is>
          <t>legendary</t>
        </is>
      </c>
      <c r="C593" t="n">
        <v>2</v>
      </c>
      <c r="D593" t="inlineStr">
        <is>
          <t>All Skill Level</t>
        </is>
      </c>
      <c r="E593" t="n">
        <v>12</v>
      </c>
      <c r="F593" t="n">
        <v>0.24</v>
      </c>
      <c r="G593" t="b">
        <v>1</v>
      </c>
      <c r="H593">
        <f>Sensitivity!H25</f>
        <v/>
      </c>
    </row>
    <row r="594">
      <c r="A594" t="inlineStr">
        <is>
          <t>ring</t>
        </is>
      </c>
      <c r="B594" t="inlineStr">
        <is>
          <t>legendary</t>
        </is>
      </c>
      <c r="C594" t="n">
        <v>2</v>
      </c>
      <c r="D594" t="inlineStr">
        <is>
          <t>All Skill Level</t>
        </is>
      </c>
      <c r="E594" t="n">
        <v>8</v>
      </c>
      <c r="F594" t="n">
        <v>0.76</v>
      </c>
      <c r="G594" t="b">
        <v>0</v>
      </c>
      <c r="H594">
        <f>Sensitivity!H25</f>
        <v/>
      </c>
    </row>
    <row r="595">
      <c r="A595" t="inlineStr">
        <is>
          <t>ring</t>
        </is>
      </c>
      <c r="B595" t="inlineStr">
        <is>
          <t>legendary</t>
        </is>
      </c>
      <c r="C595" t="n">
        <v>3</v>
      </c>
      <c r="D595" t="inlineStr">
        <is>
          <t>All Skill Level</t>
        </is>
      </c>
      <c r="E595" t="n">
        <v>12</v>
      </c>
      <c r="F595" t="n">
        <v>0.08</v>
      </c>
      <c r="G595" t="b">
        <v>1</v>
      </c>
      <c r="H595">
        <f>Sensitivity!H25</f>
        <v/>
      </c>
    </row>
    <row r="596">
      <c r="A596" t="inlineStr">
        <is>
          <t>ring</t>
        </is>
      </c>
      <c r="B596" t="inlineStr">
        <is>
          <t>legendary</t>
        </is>
      </c>
      <c r="C596" t="n">
        <v>3</v>
      </c>
      <c r="D596" t="inlineStr">
        <is>
          <t>All Skill Level</t>
        </is>
      </c>
      <c r="E596" t="n">
        <v>8</v>
      </c>
      <c r="F596" t="n">
        <v>0.92</v>
      </c>
      <c r="G596" t="b">
        <v>0</v>
      </c>
      <c r="H596">
        <f>Sensitivity!H25</f>
        <v/>
      </c>
    </row>
    <row r="597">
      <c r="A597" t="inlineStr">
        <is>
          <t>ring</t>
        </is>
      </c>
      <c r="B597" t="inlineStr">
        <is>
          <t>mystic</t>
        </is>
      </c>
      <c r="C597" t="n">
        <v>1</v>
      </c>
      <c r="D597" t="inlineStr">
        <is>
          <t>All Skill Level</t>
        </is>
      </c>
      <c r="E597" t="n">
        <v>16</v>
      </c>
      <c r="F597" t="n">
        <v>1</v>
      </c>
      <c r="G597" t="b">
        <v>1</v>
      </c>
      <c r="H597">
        <f>Sensitivity!H25</f>
        <v/>
      </c>
    </row>
    <row r="598">
      <c r="A598" t="inlineStr">
        <is>
          <t>ring</t>
        </is>
      </c>
      <c r="B598" t="inlineStr">
        <is>
          <t>mystic</t>
        </is>
      </c>
      <c r="C598" t="n">
        <v>2</v>
      </c>
      <c r="D598" t="inlineStr">
        <is>
          <t>All Skill Level</t>
        </is>
      </c>
      <c r="E598" t="n">
        <v>16</v>
      </c>
      <c r="F598" t="n">
        <v>0.24</v>
      </c>
      <c r="G598" t="b">
        <v>1</v>
      </c>
      <c r="H598">
        <f>Sensitivity!H25</f>
        <v/>
      </c>
    </row>
    <row r="599">
      <c r="A599" t="inlineStr">
        <is>
          <t>ring</t>
        </is>
      </c>
      <c r="B599" t="inlineStr">
        <is>
          <t>mystic</t>
        </is>
      </c>
      <c r="C599" t="n">
        <v>2</v>
      </c>
      <c r="D599" t="inlineStr">
        <is>
          <t>All Skill Level</t>
        </is>
      </c>
      <c r="E599" t="n">
        <v>12</v>
      </c>
      <c r="F599" t="n">
        <v>0.76</v>
      </c>
      <c r="G599" t="b">
        <v>0</v>
      </c>
      <c r="H599">
        <f>Sensitivity!H25</f>
        <v/>
      </c>
    </row>
    <row r="600">
      <c r="A600" t="inlineStr">
        <is>
          <t>ring</t>
        </is>
      </c>
      <c r="B600" t="inlineStr">
        <is>
          <t>mystic</t>
        </is>
      </c>
      <c r="C600" t="n">
        <v>3</v>
      </c>
      <c r="D600" t="inlineStr">
        <is>
          <t>All Skill Level</t>
        </is>
      </c>
      <c r="E600" t="n">
        <v>16</v>
      </c>
      <c r="F600" t="n">
        <v>0.08</v>
      </c>
      <c r="G600" t="b">
        <v>1</v>
      </c>
      <c r="H600">
        <f>Sensitivity!H25</f>
        <v/>
      </c>
    </row>
    <row r="601">
      <c r="A601" t="inlineStr">
        <is>
          <t>ring</t>
        </is>
      </c>
      <c r="B601" t="inlineStr">
        <is>
          <t>mystic</t>
        </is>
      </c>
      <c r="C601" t="n">
        <v>3</v>
      </c>
      <c r="D601" t="inlineStr">
        <is>
          <t>All Skill Level</t>
        </is>
      </c>
      <c r="E601" t="n">
        <v>12</v>
      </c>
      <c r="F601" t="n">
        <v>0.92</v>
      </c>
      <c r="G601" t="b">
        <v>0</v>
      </c>
      <c r="H601">
        <f>Sensitivity!H25</f>
        <v/>
      </c>
    </row>
    <row r="602">
      <c r="A602" t="inlineStr">
        <is>
          <t>neck</t>
        </is>
      </c>
      <c r="B602" t="inlineStr">
        <is>
          <t>epic</t>
        </is>
      </c>
      <c r="C602" t="n">
        <v>1</v>
      </c>
      <c r="D602" t="inlineStr">
        <is>
          <t>All Skill Level</t>
        </is>
      </c>
      <c r="E602" t="n">
        <v>5</v>
      </c>
      <c r="F602" t="n">
        <v>1</v>
      </c>
      <c r="G602" t="b">
        <v>1</v>
      </c>
      <c r="H602">
        <f>Sensitivity!H25</f>
        <v/>
      </c>
    </row>
    <row r="603">
      <c r="A603" t="inlineStr">
        <is>
          <t>neck</t>
        </is>
      </c>
      <c r="B603" t="inlineStr">
        <is>
          <t>epic</t>
        </is>
      </c>
      <c r="C603" t="n">
        <v>2</v>
      </c>
      <c r="D603" t="inlineStr">
        <is>
          <t>All Skill Level</t>
        </is>
      </c>
      <c r="E603" t="n">
        <v>5</v>
      </c>
      <c r="F603" t="n">
        <v>0.24</v>
      </c>
      <c r="G603" t="b">
        <v>1</v>
      </c>
      <c r="H603">
        <f>Sensitivity!H25</f>
        <v/>
      </c>
    </row>
    <row r="604">
      <c r="A604" t="inlineStr">
        <is>
          <t>neck</t>
        </is>
      </c>
      <c r="B604" t="inlineStr">
        <is>
          <t>epic</t>
        </is>
      </c>
      <c r="C604" t="n">
        <v>3</v>
      </c>
      <c r="D604" t="inlineStr">
        <is>
          <t>All Skill Level</t>
        </is>
      </c>
      <c r="E604" t="n">
        <v>5</v>
      </c>
      <c r="F604" t="n">
        <v>0.08</v>
      </c>
      <c r="G604" t="b">
        <v>1</v>
      </c>
      <c r="H604">
        <f>Sensitivity!H25</f>
        <v/>
      </c>
    </row>
    <row r="605">
      <c r="A605" t="inlineStr">
        <is>
          <t>neck</t>
        </is>
      </c>
      <c r="B605" t="inlineStr">
        <is>
          <t>unique</t>
        </is>
      </c>
      <c r="C605" t="n">
        <v>1</v>
      </c>
      <c r="D605" t="inlineStr">
        <is>
          <t>All Skill Level</t>
        </is>
      </c>
      <c r="E605" t="n">
        <v>8</v>
      </c>
      <c r="F605" t="n">
        <v>1</v>
      </c>
      <c r="G605" t="b">
        <v>1</v>
      </c>
      <c r="H605">
        <f>Sensitivity!H25</f>
        <v/>
      </c>
    </row>
    <row r="606">
      <c r="A606" t="inlineStr">
        <is>
          <t>neck</t>
        </is>
      </c>
      <c r="B606" t="inlineStr">
        <is>
          <t>unique</t>
        </is>
      </c>
      <c r="C606" t="n">
        <v>2</v>
      </c>
      <c r="D606" t="inlineStr">
        <is>
          <t>All Skill Level</t>
        </is>
      </c>
      <c r="E606" t="n">
        <v>8</v>
      </c>
      <c r="F606" t="n">
        <v>0.24</v>
      </c>
      <c r="G606" t="b">
        <v>1</v>
      </c>
      <c r="H606">
        <f>Sensitivity!H25</f>
        <v/>
      </c>
    </row>
    <row r="607">
      <c r="A607" t="inlineStr">
        <is>
          <t>neck</t>
        </is>
      </c>
      <c r="B607" t="inlineStr">
        <is>
          <t>unique</t>
        </is>
      </c>
      <c r="C607" t="n">
        <v>2</v>
      </c>
      <c r="D607" t="inlineStr">
        <is>
          <t>All Skill Level</t>
        </is>
      </c>
      <c r="E607" t="n">
        <v>5</v>
      </c>
      <c r="F607" t="n">
        <v>0.76</v>
      </c>
      <c r="G607" t="b">
        <v>0</v>
      </c>
      <c r="H607">
        <f>Sensitivity!H25</f>
        <v/>
      </c>
    </row>
    <row r="608">
      <c r="A608" t="inlineStr">
        <is>
          <t>neck</t>
        </is>
      </c>
      <c r="B608" t="inlineStr">
        <is>
          <t>unique</t>
        </is>
      </c>
      <c r="C608" t="n">
        <v>3</v>
      </c>
      <c r="D608" t="inlineStr">
        <is>
          <t>All Skill Level</t>
        </is>
      </c>
      <c r="E608" t="n">
        <v>8</v>
      </c>
      <c r="F608" t="n">
        <v>0.08</v>
      </c>
      <c r="G608" t="b">
        <v>1</v>
      </c>
      <c r="H608">
        <f>Sensitivity!H25</f>
        <v/>
      </c>
    </row>
    <row r="609">
      <c r="A609" t="inlineStr">
        <is>
          <t>neck</t>
        </is>
      </c>
      <c r="B609" t="inlineStr">
        <is>
          <t>unique</t>
        </is>
      </c>
      <c r="C609" t="n">
        <v>3</v>
      </c>
      <c r="D609" t="inlineStr">
        <is>
          <t>All Skill Level</t>
        </is>
      </c>
      <c r="E609" t="n">
        <v>5</v>
      </c>
      <c r="F609" t="n">
        <v>0.92</v>
      </c>
      <c r="G609" t="b">
        <v>0</v>
      </c>
      <c r="H609">
        <f>Sensitivity!H25</f>
        <v/>
      </c>
    </row>
    <row r="610">
      <c r="A610" t="inlineStr">
        <is>
          <t>neck</t>
        </is>
      </c>
      <c r="B610" t="inlineStr">
        <is>
          <t>legendary</t>
        </is>
      </c>
      <c r="C610" t="n">
        <v>1</v>
      </c>
      <c r="D610" t="inlineStr">
        <is>
          <t>All Skill Level</t>
        </is>
      </c>
      <c r="E610" t="n">
        <v>12</v>
      </c>
      <c r="F610" t="n">
        <v>1</v>
      </c>
      <c r="G610" t="b">
        <v>1</v>
      </c>
      <c r="H610">
        <f>Sensitivity!H25</f>
        <v/>
      </c>
    </row>
    <row r="611">
      <c r="A611" t="inlineStr">
        <is>
          <t>neck</t>
        </is>
      </c>
      <c r="B611" t="inlineStr">
        <is>
          <t>legendary</t>
        </is>
      </c>
      <c r="C611" t="n">
        <v>2</v>
      </c>
      <c r="D611" t="inlineStr">
        <is>
          <t>All Skill Level</t>
        </is>
      </c>
      <c r="E611" t="n">
        <v>12</v>
      </c>
      <c r="F611" t="n">
        <v>0.24</v>
      </c>
      <c r="G611" t="b">
        <v>1</v>
      </c>
      <c r="H611">
        <f>Sensitivity!H25</f>
        <v/>
      </c>
    </row>
    <row r="612">
      <c r="A612" t="inlineStr">
        <is>
          <t>neck</t>
        </is>
      </c>
      <c r="B612" t="inlineStr">
        <is>
          <t>legendary</t>
        </is>
      </c>
      <c r="C612" t="n">
        <v>2</v>
      </c>
      <c r="D612" t="inlineStr">
        <is>
          <t>All Skill Level</t>
        </is>
      </c>
      <c r="E612" t="n">
        <v>8</v>
      </c>
      <c r="F612" t="n">
        <v>0.76</v>
      </c>
      <c r="G612" t="b">
        <v>0</v>
      </c>
      <c r="H612">
        <f>Sensitivity!H25</f>
        <v/>
      </c>
    </row>
    <row r="613">
      <c r="A613" t="inlineStr">
        <is>
          <t>neck</t>
        </is>
      </c>
      <c r="B613" t="inlineStr">
        <is>
          <t>legendary</t>
        </is>
      </c>
      <c r="C613" t="n">
        <v>3</v>
      </c>
      <c r="D613" t="inlineStr">
        <is>
          <t>All Skill Level</t>
        </is>
      </c>
      <c r="E613" t="n">
        <v>12</v>
      </c>
      <c r="F613" t="n">
        <v>0.08</v>
      </c>
      <c r="G613" t="b">
        <v>1</v>
      </c>
      <c r="H613">
        <f>Sensitivity!H25</f>
        <v/>
      </c>
    </row>
    <row r="614">
      <c r="A614" t="inlineStr">
        <is>
          <t>neck</t>
        </is>
      </c>
      <c r="B614" t="inlineStr">
        <is>
          <t>legendary</t>
        </is>
      </c>
      <c r="C614" t="n">
        <v>3</v>
      </c>
      <c r="D614" t="inlineStr">
        <is>
          <t>All Skill Level</t>
        </is>
      </c>
      <c r="E614" t="n">
        <v>8</v>
      </c>
      <c r="F614" t="n">
        <v>0.92</v>
      </c>
      <c r="G614" t="b">
        <v>0</v>
      </c>
      <c r="H614">
        <f>Sensitivity!H25</f>
        <v/>
      </c>
    </row>
    <row r="615">
      <c r="A615" t="inlineStr">
        <is>
          <t>neck</t>
        </is>
      </c>
      <c r="B615" t="inlineStr">
        <is>
          <t>mystic</t>
        </is>
      </c>
      <c r="C615" t="n">
        <v>1</v>
      </c>
      <c r="D615" t="inlineStr">
        <is>
          <t>All Skill Level</t>
        </is>
      </c>
      <c r="E615" t="n">
        <v>16</v>
      </c>
      <c r="F615" t="n">
        <v>1</v>
      </c>
      <c r="G615" t="b">
        <v>1</v>
      </c>
      <c r="H615">
        <f>Sensitivity!H25</f>
        <v/>
      </c>
    </row>
    <row r="616">
      <c r="A616" t="inlineStr">
        <is>
          <t>neck</t>
        </is>
      </c>
      <c r="B616" t="inlineStr">
        <is>
          <t>mystic</t>
        </is>
      </c>
      <c r="C616" t="n">
        <v>2</v>
      </c>
      <c r="D616" t="inlineStr">
        <is>
          <t>All Skill Level</t>
        </is>
      </c>
      <c r="E616" t="n">
        <v>16</v>
      </c>
      <c r="F616" t="n">
        <v>0.24</v>
      </c>
      <c r="G616" t="b">
        <v>1</v>
      </c>
      <c r="H616">
        <f>Sensitivity!H25</f>
        <v/>
      </c>
    </row>
    <row r="617">
      <c r="A617" t="inlineStr">
        <is>
          <t>neck</t>
        </is>
      </c>
      <c r="B617" t="inlineStr">
        <is>
          <t>mystic</t>
        </is>
      </c>
      <c r="C617" t="n">
        <v>2</v>
      </c>
      <c r="D617" t="inlineStr">
        <is>
          <t>All Skill Level</t>
        </is>
      </c>
      <c r="E617" t="n">
        <v>12</v>
      </c>
      <c r="F617" t="n">
        <v>0.76</v>
      </c>
      <c r="G617" t="b">
        <v>0</v>
      </c>
      <c r="H617">
        <f>Sensitivity!H25</f>
        <v/>
      </c>
    </row>
    <row r="618">
      <c r="A618" t="inlineStr">
        <is>
          <t>neck</t>
        </is>
      </c>
      <c r="B618" t="inlineStr">
        <is>
          <t>mystic</t>
        </is>
      </c>
      <c r="C618" t="n">
        <v>3</v>
      </c>
      <c r="D618" t="inlineStr">
        <is>
          <t>All Skill Level</t>
        </is>
      </c>
      <c r="E618" t="n">
        <v>16</v>
      </c>
      <c r="F618" t="n">
        <v>0.08</v>
      </c>
      <c r="G618" t="b">
        <v>1</v>
      </c>
      <c r="H618">
        <f>Sensitivity!H25</f>
        <v/>
      </c>
    </row>
    <row r="619">
      <c r="A619" t="inlineStr">
        <is>
          <t>neck</t>
        </is>
      </c>
      <c r="B619" t="inlineStr">
        <is>
          <t>mystic</t>
        </is>
      </c>
      <c r="C619" t="n">
        <v>3</v>
      </c>
      <c r="D619" t="inlineStr">
        <is>
          <t>All Skill Level</t>
        </is>
      </c>
      <c r="E619" t="n">
        <v>12</v>
      </c>
      <c r="F619" t="n">
        <v>0.92</v>
      </c>
      <c r="G619" t="b">
        <v>0</v>
      </c>
      <c r="H619">
        <f>Sensitivity!H25</f>
        <v/>
      </c>
    </row>
    <row r="620">
      <c r="A620" t="inlineStr">
        <is>
          <t>eye-accessory</t>
        </is>
      </c>
      <c r="B620" t="inlineStr">
        <is>
          <t>epic</t>
        </is>
      </c>
      <c r="C620" t="n">
        <v>1</v>
      </c>
      <c r="D620" t="inlineStr">
        <is>
          <t>Main Stat Per Level</t>
        </is>
      </c>
      <c r="E620" t="n">
        <v>10</v>
      </c>
      <c r="F620" t="n">
        <v>1</v>
      </c>
      <c r="G620" t="b">
        <v>1</v>
      </c>
      <c r="H620">
        <f>Sensitivity!H5*Inputs!$B$3</f>
        <v/>
      </c>
    </row>
    <row r="621">
      <c r="A621" t="inlineStr">
        <is>
          <t>eye-accessory</t>
        </is>
      </c>
      <c r="B621" t="inlineStr">
        <is>
          <t>epic</t>
        </is>
      </c>
      <c r="C621" t="n">
        <v>2</v>
      </c>
      <c r="D621" t="inlineStr">
        <is>
          <t>Main Stat Per Level</t>
        </is>
      </c>
      <c r="E621" t="n">
        <v>10</v>
      </c>
      <c r="F621" t="n">
        <v>0.24</v>
      </c>
      <c r="G621" t="b">
        <v>1</v>
      </c>
      <c r="H621">
        <f>Sensitivity!H5*Inputs!$B$3</f>
        <v/>
      </c>
    </row>
    <row r="622">
      <c r="A622" t="inlineStr">
        <is>
          <t>eye-accessory</t>
        </is>
      </c>
      <c r="B622" t="inlineStr">
        <is>
          <t>epic</t>
        </is>
      </c>
      <c r="C622" t="n">
        <v>3</v>
      </c>
      <c r="D622" t="inlineStr">
        <is>
          <t>Main Stat Per Level</t>
        </is>
      </c>
      <c r="E622" t="n">
        <v>10</v>
      </c>
      <c r="F622" t="n">
        <v>0.08</v>
      </c>
      <c r="G622" t="b">
        <v>1</v>
      </c>
      <c r="H622">
        <f>Sensitivity!H5*Inputs!$B$3</f>
        <v/>
      </c>
    </row>
    <row r="623">
      <c r="A623" t="inlineStr">
        <is>
          <t>eye-accessory</t>
        </is>
      </c>
      <c r="B623" t="inlineStr">
        <is>
          <t>unique</t>
        </is>
      </c>
      <c r="C623" t="n">
        <v>1</v>
      </c>
      <c r="D623" t="inlineStr">
        <is>
          <t>Main Stat Per Level</t>
        </is>
      </c>
      <c r="E623" t="n">
        <v>20</v>
      </c>
      <c r="F623" t="n">
        <v>1</v>
      </c>
      <c r="G623" t="b">
        <v>1</v>
      </c>
      <c r="H623">
        <f>Sensitivity!H5*Inputs!$B$3</f>
        <v/>
      </c>
    </row>
    <row r="624">
      <c r="A624" t="inlineStr">
        <is>
          <t>eye-accessory</t>
        </is>
      </c>
      <c r="B624" t="inlineStr">
        <is>
          <t>unique</t>
        </is>
      </c>
      <c r="C624" t="n">
        <v>2</v>
      </c>
      <c r="D624" t="inlineStr">
        <is>
          <t>Main Stat Per Level</t>
        </is>
      </c>
      <c r="E624" t="n">
        <v>20</v>
      </c>
      <c r="F624" t="n">
        <v>0.24</v>
      </c>
      <c r="G624" t="b">
        <v>1</v>
      </c>
      <c r="H624">
        <f>Sensitivity!H5*Inputs!$B$3</f>
        <v/>
      </c>
    </row>
    <row r="625">
      <c r="A625" t="inlineStr">
        <is>
          <t>eye-accessory</t>
        </is>
      </c>
      <c r="B625" t="inlineStr">
        <is>
          <t>unique</t>
        </is>
      </c>
      <c r="C625" t="n">
        <v>2</v>
      </c>
      <c r="D625" t="inlineStr">
        <is>
          <t>Main Stat Per Level</t>
        </is>
      </c>
      <c r="E625" t="n">
        <v>10</v>
      </c>
      <c r="F625" t="n">
        <v>0.76</v>
      </c>
      <c r="G625" t="b">
        <v>0</v>
      </c>
      <c r="H625">
        <f>Sensitivity!H5*Inputs!$B$3</f>
        <v/>
      </c>
    </row>
    <row r="626">
      <c r="A626" t="inlineStr">
        <is>
          <t>eye-accessory</t>
        </is>
      </c>
      <c r="B626" t="inlineStr">
        <is>
          <t>unique</t>
        </is>
      </c>
      <c r="C626" t="n">
        <v>3</v>
      </c>
      <c r="D626" t="inlineStr">
        <is>
          <t>Main Stat Per Level</t>
        </is>
      </c>
      <c r="E626" t="n">
        <v>20</v>
      </c>
      <c r="F626" t="n">
        <v>0.08</v>
      </c>
      <c r="G626" t="b">
        <v>1</v>
      </c>
      <c r="H626">
        <f>Sensitivity!H5*Inputs!$B$3</f>
        <v/>
      </c>
    </row>
    <row r="627">
      <c r="A627" t="inlineStr">
        <is>
          <t>eye-accessory</t>
        </is>
      </c>
      <c r="B627" t="inlineStr">
        <is>
          <t>unique</t>
        </is>
      </c>
      <c r="C627" t="n">
        <v>3</v>
      </c>
      <c r="D627" t="inlineStr">
        <is>
          <t>Main Stat Per Level</t>
        </is>
      </c>
      <c r="E627" t="n">
        <v>10</v>
      </c>
      <c r="F627" t="n">
        <v>0.92</v>
      </c>
      <c r="G627" t="b">
        <v>0</v>
      </c>
      <c r="H627">
        <f>Sensitivity!H5*Inputs!$B$3</f>
        <v/>
      </c>
    </row>
    <row r="628">
      <c r="A628" t="inlineStr">
        <is>
          <t>eye-accessory</t>
        </is>
      </c>
      <c r="B628" t="inlineStr">
        <is>
          <t>legendary</t>
        </is>
      </c>
      <c r="C628" t="n">
        <v>1</v>
      </c>
      <c r="D628" t="inlineStr">
        <is>
          <t>Main Stat Per Level</t>
        </is>
      </c>
      <c r="E628" t="n">
        <v>35</v>
      </c>
      <c r="F628" t="n">
        <v>1</v>
      </c>
      <c r="G628" t="b">
        <v>1</v>
      </c>
      <c r="H628">
        <f>Sensitivity!H5*Inputs!$B$3</f>
        <v/>
      </c>
    </row>
    <row r="629">
      <c r="A629" t="inlineStr">
        <is>
          <t>eye-accessory</t>
        </is>
      </c>
      <c r="B629" t="inlineStr">
        <is>
          <t>legendary</t>
        </is>
      </c>
      <c r="C629" t="n">
        <v>2</v>
      </c>
      <c r="D629" t="inlineStr">
        <is>
          <t>Main Stat Per Level</t>
        </is>
      </c>
      <c r="E629" t="n">
        <v>35</v>
      </c>
      <c r="F629" t="n">
        <v>0.24</v>
      </c>
      <c r="G629" t="b">
        <v>1</v>
      </c>
      <c r="H629">
        <f>Sensitivity!H5*Inputs!$B$3</f>
        <v/>
      </c>
    </row>
    <row r="630">
      <c r="A630" t="inlineStr">
        <is>
          <t>eye-accessory</t>
        </is>
      </c>
      <c r="B630" t="inlineStr">
        <is>
          <t>legendary</t>
        </is>
      </c>
      <c r="C630" t="n">
        <v>2</v>
      </c>
      <c r="D630" t="inlineStr">
        <is>
          <t>Main Stat Per Level</t>
        </is>
      </c>
      <c r="E630" t="n">
        <v>20</v>
      </c>
      <c r="F630" t="n">
        <v>0.76</v>
      </c>
      <c r="G630" t="b">
        <v>0</v>
      </c>
      <c r="H630">
        <f>Sensitivity!H5*Inputs!$B$3</f>
        <v/>
      </c>
    </row>
    <row r="631">
      <c r="A631" t="inlineStr">
        <is>
          <t>eye-accessory</t>
        </is>
      </c>
      <c r="B631" t="inlineStr">
        <is>
          <t>legendary</t>
        </is>
      </c>
      <c r="C631" t="n">
        <v>3</v>
      </c>
      <c r="D631" t="inlineStr">
        <is>
          <t>Main Stat Per Level</t>
        </is>
      </c>
      <c r="E631" t="n">
        <v>35</v>
      </c>
      <c r="F631" t="n">
        <v>0.08</v>
      </c>
      <c r="G631" t="b">
        <v>1</v>
      </c>
      <c r="H631">
        <f>Sensitivity!H5*Inputs!$B$3</f>
        <v/>
      </c>
    </row>
    <row r="632">
      <c r="A632" t="inlineStr">
        <is>
          <t>eye-accessory</t>
        </is>
      </c>
      <c r="B632" t="inlineStr">
        <is>
          <t>legendary</t>
        </is>
      </c>
      <c r="C632" t="n">
        <v>3</v>
      </c>
      <c r="D632" t="inlineStr">
        <is>
          <t>Main Stat Per Level</t>
        </is>
      </c>
      <c r="E632" t="n">
        <v>20</v>
      </c>
      <c r="F632" t="n">
        <v>0.92</v>
      </c>
      <c r="G632" t="b">
        <v>0</v>
      </c>
      <c r="H632">
        <f>Sensitivity!H5*Inputs!$B$3</f>
        <v/>
      </c>
    </row>
    <row r="633">
      <c r="A633" t="inlineStr">
        <is>
          <t>eye-accessory</t>
        </is>
      </c>
      <c r="B633" t="inlineStr">
        <is>
          <t>mystic</t>
        </is>
      </c>
      <c r="C633" t="n">
        <v>1</v>
      </c>
      <c r="D633" t="inlineStr">
        <is>
          <t>Main Stat Per Level</t>
        </is>
      </c>
      <c r="E633" t="n">
        <v>50</v>
      </c>
      <c r="F633" t="n">
        <v>1</v>
      </c>
      <c r="G633" t="b">
        <v>1</v>
      </c>
      <c r="H633">
        <f>Sensitivity!H5*Inputs!$B$3</f>
        <v/>
      </c>
    </row>
    <row r="634">
      <c r="A634" t="inlineStr">
        <is>
          <t>eye-accessory</t>
        </is>
      </c>
      <c r="B634" t="inlineStr">
        <is>
          <t>mystic</t>
        </is>
      </c>
      <c r="C634" t="n">
        <v>2</v>
      </c>
      <c r="D634" t="inlineStr">
        <is>
          <t>Main Stat Per Level</t>
        </is>
      </c>
      <c r="E634" t="n">
        <v>50</v>
      </c>
      <c r="F634" t="n">
        <v>0.24</v>
      </c>
      <c r="G634" t="b">
        <v>1</v>
      </c>
      <c r="H634">
        <f>Sensitivity!H5*Inputs!$B$3</f>
        <v/>
      </c>
    </row>
    <row r="635">
      <c r="A635" t="inlineStr">
        <is>
          <t>eye-accessory</t>
        </is>
      </c>
      <c r="B635" t="inlineStr">
        <is>
          <t>mystic</t>
        </is>
      </c>
      <c r="C635" t="n">
        <v>2</v>
      </c>
      <c r="D635" t="inlineStr">
        <is>
          <t>Main Stat Per Level</t>
        </is>
      </c>
      <c r="E635" t="n">
        <v>35</v>
      </c>
      <c r="F635" t="n">
        <v>0.76</v>
      </c>
      <c r="G635" t="b">
        <v>0</v>
      </c>
      <c r="H635">
        <f>Sensitivity!H5*Inputs!$B$3</f>
        <v/>
      </c>
    </row>
    <row r="636">
      <c r="A636" t="inlineStr">
        <is>
          <t>eye-accessory</t>
        </is>
      </c>
      <c r="B636" t="inlineStr">
        <is>
          <t>mystic</t>
        </is>
      </c>
      <c r="C636" t="n">
        <v>3</v>
      </c>
      <c r="D636" t="inlineStr">
        <is>
          <t>Main Stat Per Level</t>
        </is>
      </c>
      <c r="E636" t="n">
        <v>50</v>
      </c>
      <c r="F636" t="n">
        <v>0.08</v>
      </c>
      <c r="G636" t="b">
        <v>1</v>
      </c>
      <c r="H636">
        <f>Sensitivity!H5*Inputs!$B$3</f>
        <v/>
      </c>
    </row>
    <row r="637">
      <c r="A637" t="inlineStr">
        <is>
          <t>eye-accessory</t>
        </is>
      </c>
      <c r="B637" t="inlineStr">
        <is>
          <t>mystic</t>
        </is>
      </c>
      <c r="C637" t="n">
        <v>3</v>
      </c>
      <c r="D637" t="inlineStr">
        <is>
          <t>Main Stat Per Level</t>
        </is>
      </c>
      <c r="E637" t="n">
        <v>35</v>
      </c>
      <c r="F637" t="n">
        <v>0.92</v>
      </c>
      <c r="G637" t="b">
        <v>0</v>
      </c>
      <c r="H637">
        <f>Sensitivity!H5*Inputs!$B$3</f>
        <v/>
      </c>
    </row>
    <row r="638">
      <c r="A638" t="inlineStr">
        <is>
          <t>ring2</t>
        </is>
      </c>
      <c r="B638" t="inlineStr">
        <is>
          <t>epic</t>
        </is>
      </c>
      <c r="C638" t="n">
        <v>1</v>
      </c>
      <c r="D638" t="inlineStr">
        <is>
          <t>Basic Attack Damage %</t>
        </is>
      </c>
      <c r="E638" t="n">
        <v>8</v>
      </c>
      <c r="F638" t="n">
        <v>1</v>
      </c>
      <c r="G638" t="b">
        <v>1</v>
      </c>
      <c r="H638">
        <f>Sensitivity!H19</f>
        <v/>
      </c>
    </row>
    <row r="639">
      <c r="A639" t="inlineStr">
        <is>
          <t>ring2</t>
        </is>
      </c>
      <c r="B639" t="inlineStr">
        <is>
          <t>epic</t>
        </is>
      </c>
      <c r="C639" t="n">
        <v>2</v>
      </c>
      <c r="D639" t="inlineStr">
        <is>
          <t>Basic Attack Damage %</t>
        </is>
      </c>
      <c r="E639" t="n">
        <v>8</v>
      </c>
      <c r="F639" t="n">
        <v>0.24</v>
      </c>
      <c r="G639" t="b">
        <v>1</v>
      </c>
      <c r="H639">
        <f>Sensitivity!H19</f>
        <v/>
      </c>
    </row>
    <row r="640">
      <c r="A640" t="inlineStr">
        <is>
          <t>ring2</t>
        </is>
      </c>
      <c r="B640" t="inlineStr">
        <is>
          <t>epic</t>
        </is>
      </c>
      <c r="C640" t="n">
        <v>3</v>
      </c>
      <c r="D640" t="inlineStr">
        <is>
          <t>Basic Attack Damage %</t>
        </is>
      </c>
      <c r="E640" t="n">
        <v>8</v>
      </c>
      <c r="F640" t="n">
        <v>0.08</v>
      </c>
      <c r="G640" t="b">
        <v>1</v>
      </c>
      <c r="H640">
        <f>Sensitivity!H19</f>
        <v/>
      </c>
    </row>
    <row r="641">
      <c r="A641" t="inlineStr">
        <is>
          <t>ring2</t>
        </is>
      </c>
      <c r="B641" t="inlineStr">
        <is>
          <t>unique</t>
        </is>
      </c>
      <c r="C641" t="n">
        <v>1</v>
      </c>
      <c r="D641" t="inlineStr">
        <is>
          <t>Basic Attack Damage %</t>
        </is>
      </c>
      <c r="E641" t="n">
        <v>14</v>
      </c>
      <c r="F641" t="n">
        <v>1</v>
      </c>
      <c r="G641" t="b">
        <v>1</v>
      </c>
      <c r="H641">
        <f>Sensitivity!H19</f>
        <v/>
      </c>
    </row>
    <row r="642">
      <c r="A642" t="inlineStr">
        <is>
          <t>ring2</t>
        </is>
      </c>
      <c r="B642" t="inlineStr">
        <is>
          <t>unique</t>
        </is>
      </c>
      <c r="C642" t="n">
        <v>2</v>
      </c>
      <c r="D642" t="inlineStr">
        <is>
          <t>Basic Attack Damage %</t>
        </is>
      </c>
      <c r="E642" t="n">
        <v>14</v>
      </c>
      <c r="F642" t="n">
        <v>0.24</v>
      </c>
      <c r="G642" t="b">
        <v>1</v>
      </c>
      <c r="H642">
        <f>Sensitivity!H19</f>
        <v/>
      </c>
    </row>
    <row r="643">
      <c r="A643" t="inlineStr">
        <is>
          <t>ring2</t>
        </is>
      </c>
      <c r="B643" t="inlineStr">
        <is>
          <t>unique</t>
        </is>
      </c>
      <c r="C643" t="n">
        <v>2</v>
      </c>
      <c r="D643" t="inlineStr">
        <is>
          <t>Basic Attack Damage %</t>
        </is>
      </c>
      <c r="E643" t="n">
        <v>8</v>
      </c>
      <c r="F643" t="n">
        <v>0.76</v>
      </c>
      <c r="G643" t="b">
        <v>0</v>
      </c>
      <c r="H643">
        <f>Sensitivity!H19</f>
        <v/>
      </c>
    </row>
    <row r="644">
      <c r="A644" t="inlineStr">
        <is>
          <t>ring2</t>
        </is>
      </c>
      <c r="B644" t="inlineStr">
        <is>
          <t>unique</t>
        </is>
      </c>
      <c r="C644" t="n">
        <v>3</v>
      </c>
      <c r="D644" t="inlineStr">
        <is>
          <t>Basic Attack Damage %</t>
        </is>
      </c>
      <c r="E644" t="n">
        <v>14</v>
      </c>
      <c r="F644" t="n">
        <v>0.08</v>
      </c>
      <c r="G644" t="b">
        <v>1</v>
      </c>
      <c r="H644">
        <f>Sensitivity!H19</f>
        <v/>
      </c>
    </row>
    <row r="645">
      <c r="A645" t="inlineStr">
        <is>
          <t>ring2</t>
        </is>
      </c>
      <c r="B645" t="inlineStr">
        <is>
          <t>unique</t>
        </is>
      </c>
      <c r="C645" t="n">
        <v>3</v>
      </c>
      <c r="D645" t="inlineStr">
        <is>
          <t>Basic Attack Damage %</t>
        </is>
      </c>
      <c r="E645" t="n">
        <v>8</v>
      </c>
      <c r="F645" t="n">
        <v>0.92</v>
      </c>
      <c r="G645" t="b">
        <v>0</v>
      </c>
      <c r="H645">
        <f>Sensitivity!H19</f>
        <v/>
      </c>
    </row>
    <row r="646">
      <c r="A646" t="inlineStr">
        <is>
          <t>ring2</t>
        </is>
      </c>
      <c r="B646" t="inlineStr">
        <is>
          <t>legendary</t>
        </is>
      </c>
      <c r="C646" t="n">
        <v>1</v>
      </c>
      <c r="D646" t="inlineStr">
        <is>
          <t>Basic Attack Damage %</t>
        </is>
      </c>
      <c r="E646" t="n">
        <v>21</v>
      </c>
      <c r="F646" t="n">
        <v>1</v>
      </c>
      <c r="G646" t="b">
        <v>1</v>
      </c>
      <c r="H646">
        <f>Sensitivity!H19</f>
        <v/>
      </c>
    </row>
    <row r="647">
      <c r="A647" t="inlineStr">
        <is>
          <t>ring2</t>
        </is>
      </c>
      <c r="B647" t="inlineStr">
        <is>
          <t>legendary</t>
        </is>
      </c>
      <c r="C647" t="n">
        <v>2</v>
      </c>
      <c r="D647" t="inlineStr">
        <is>
          <t>Basic Attack Damage %</t>
        </is>
      </c>
      <c r="E647" t="n">
        <v>21</v>
      </c>
      <c r="F647" t="n">
        <v>0.24</v>
      </c>
      <c r="G647" t="b">
        <v>1</v>
      </c>
      <c r="H647">
        <f>Sensitivity!H19</f>
        <v/>
      </c>
    </row>
    <row r="648">
      <c r="A648" t="inlineStr">
        <is>
          <t>ring2</t>
        </is>
      </c>
      <c r="B648" t="inlineStr">
        <is>
          <t>legendary</t>
        </is>
      </c>
      <c r="C648" t="n">
        <v>2</v>
      </c>
      <c r="D648" t="inlineStr">
        <is>
          <t>Basic Attack Damage %</t>
        </is>
      </c>
      <c r="E648" t="n">
        <v>14</v>
      </c>
      <c r="F648" t="n">
        <v>0.76</v>
      </c>
      <c r="G648" t="b">
        <v>0</v>
      </c>
      <c r="H648">
        <f>Sensitivity!H19</f>
        <v/>
      </c>
    </row>
    <row r="649">
      <c r="A649" t="inlineStr">
        <is>
          <t>ring2</t>
        </is>
      </c>
      <c r="B649" t="inlineStr">
        <is>
          <t>legendary</t>
        </is>
      </c>
      <c r="C649" t="n">
        <v>3</v>
      </c>
      <c r="D649" t="inlineStr">
        <is>
          <t>Basic Attack Damage %</t>
        </is>
      </c>
      <c r="E649" t="n">
        <v>21</v>
      </c>
      <c r="F649" t="n">
        <v>0.08</v>
      </c>
      <c r="G649" t="b">
        <v>1</v>
      </c>
      <c r="H649">
        <f>Sensitivity!H19</f>
        <v/>
      </c>
    </row>
    <row r="650">
      <c r="A650" t="inlineStr">
        <is>
          <t>ring2</t>
        </is>
      </c>
      <c r="B650" t="inlineStr">
        <is>
          <t>legendary</t>
        </is>
      </c>
      <c r="C650" t="n">
        <v>3</v>
      </c>
      <c r="D650" t="inlineStr">
        <is>
          <t>Basic Attack Damage %</t>
        </is>
      </c>
      <c r="E650" t="n">
        <v>14</v>
      </c>
      <c r="F650" t="n">
        <v>0.92</v>
      </c>
      <c r="G650" t="b">
        <v>0</v>
      </c>
      <c r="H650">
        <f>Sensitivity!H19</f>
        <v/>
      </c>
    </row>
    <row r="651">
      <c r="A651" t="inlineStr">
        <is>
          <t>ring2</t>
        </is>
      </c>
      <c r="B651" t="inlineStr">
        <is>
          <t>mystic</t>
        </is>
      </c>
      <c r="C651" t="n">
        <v>1</v>
      </c>
      <c r="D651" t="inlineStr">
        <is>
          <t>Basic Attack Damage %</t>
        </is>
      </c>
      <c r="E651" t="n">
        <v>30</v>
      </c>
      <c r="F651" t="n">
        <v>1</v>
      </c>
      <c r="G651" t="b">
        <v>1</v>
      </c>
      <c r="H651">
        <f>Sensitivity!H19</f>
        <v/>
      </c>
    </row>
    <row r="652">
      <c r="A652" t="inlineStr">
        <is>
          <t>ring2</t>
        </is>
      </c>
      <c r="B652" t="inlineStr">
        <is>
          <t>mystic</t>
        </is>
      </c>
      <c r="C652" t="n">
        <v>2</v>
      </c>
      <c r="D652" t="inlineStr">
        <is>
          <t>Basic Attack Damage %</t>
        </is>
      </c>
      <c r="E652" t="n">
        <v>30</v>
      </c>
      <c r="F652" t="n">
        <v>0.24</v>
      </c>
      <c r="G652" t="b">
        <v>1</v>
      </c>
      <c r="H652">
        <f>Sensitivity!H19</f>
        <v/>
      </c>
    </row>
    <row r="653">
      <c r="A653" t="inlineStr">
        <is>
          <t>ring2</t>
        </is>
      </c>
      <c r="B653" t="inlineStr">
        <is>
          <t>mystic</t>
        </is>
      </c>
      <c r="C653" t="n">
        <v>2</v>
      </c>
      <c r="D653" t="inlineStr">
        <is>
          <t>Basic Attack Damage %</t>
        </is>
      </c>
      <c r="E653" t="n">
        <v>21</v>
      </c>
      <c r="F653" t="n">
        <v>0.76</v>
      </c>
      <c r="G653" t="b">
        <v>0</v>
      </c>
      <c r="H653">
        <f>Sensitivity!H19</f>
        <v/>
      </c>
    </row>
    <row r="654">
      <c r="A654" t="inlineStr">
        <is>
          <t>ring2</t>
        </is>
      </c>
      <c r="B654" t="inlineStr">
        <is>
          <t>mystic</t>
        </is>
      </c>
      <c r="C654" t="n">
        <v>3</v>
      </c>
      <c r="D654" t="inlineStr">
        <is>
          <t>Basic Attack Damage %</t>
        </is>
      </c>
      <c r="E654" t="n">
        <v>30</v>
      </c>
      <c r="F654" t="n">
        <v>0.08</v>
      </c>
      <c r="G654" t="b">
        <v>1</v>
      </c>
      <c r="H654">
        <f>Sensitivity!H19</f>
        <v/>
      </c>
    </row>
    <row r="655">
      <c r="A655" t="inlineStr">
        <is>
          <t>ring2</t>
        </is>
      </c>
      <c r="B655" t="inlineStr">
        <is>
          <t>mystic</t>
        </is>
      </c>
      <c r="C655" t="n">
        <v>3</v>
      </c>
      <c r="D655" t="inlineStr">
        <is>
          <t>Basic Attack Damage %</t>
        </is>
      </c>
      <c r="E655" t="n">
        <v>21</v>
      </c>
      <c r="F655" t="n">
        <v>0.92</v>
      </c>
      <c r="G655" t="b">
        <v>0</v>
      </c>
      <c r="H655">
        <f>Sensitivity!H19</f>
        <v/>
      </c>
    </row>
    <row r="656">
      <c r="A656" t="inlineStr">
        <is>
          <t>face</t>
        </is>
      </c>
      <c r="B656" t="inlineStr">
        <is>
          <t>epic</t>
        </is>
      </c>
      <c r="C656" t="n">
        <v>1</v>
      </c>
      <c r="D656" t="inlineStr">
        <is>
          <t>Final Damage %</t>
        </is>
      </c>
      <c r="E656" t="n">
        <v>3</v>
      </c>
      <c r="F656" t="n">
        <v>1</v>
      </c>
      <c r="G656" t="b">
        <v>1</v>
      </c>
      <c r="H656">
        <f>Sensitivity!H12</f>
        <v/>
      </c>
    </row>
    <row r="657">
      <c r="A657" t="inlineStr">
        <is>
          <t>face</t>
        </is>
      </c>
      <c r="B657" t="inlineStr">
        <is>
          <t>epic</t>
        </is>
      </c>
      <c r="C657" t="n">
        <v>2</v>
      </c>
      <c r="D657" t="inlineStr">
        <is>
          <t>Final Damage %</t>
        </is>
      </c>
      <c r="E657" t="n">
        <v>3</v>
      </c>
      <c r="F657" t="n">
        <v>0.24</v>
      </c>
      <c r="G657" t="b">
        <v>1</v>
      </c>
      <c r="H657">
        <f>Sensitivity!H12</f>
        <v/>
      </c>
    </row>
    <row r="658">
      <c r="A658" t="inlineStr">
        <is>
          <t>face</t>
        </is>
      </c>
      <c r="B658" t="inlineStr">
        <is>
          <t>epic</t>
        </is>
      </c>
      <c r="C658" t="n">
        <v>3</v>
      </c>
      <c r="D658" t="inlineStr">
        <is>
          <t>Final Damage %</t>
        </is>
      </c>
      <c r="E658" t="n">
        <v>3</v>
      </c>
      <c r="F658" t="n">
        <v>0.08</v>
      </c>
      <c r="G658" t="b">
        <v>1</v>
      </c>
      <c r="H658">
        <f>Sensitivity!H12</f>
        <v/>
      </c>
    </row>
    <row r="659">
      <c r="A659" t="inlineStr">
        <is>
          <t>face</t>
        </is>
      </c>
      <c r="B659" t="inlineStr">
        <is>
          <t>unique</t>
        </is>
      </c>
      <c r="C659" t="n">
        <v>1</v>
      </c>
      <c r="D659" t="inlineStr">
        <is>
          <t>Final Damage %</t>
        </is>
      </c>
      <c r="E659" t="n">
        <v>5</v>
      </c>
      <c r="F659" t="n">
        <v>1</v>
      </c>
      <c r="G659" t="b">
        <v>1</v>
      </c>
      <c r="H659">
        <f>Sensitivity!H12</f>
        <v/>
      </c>
    </row>
    <row r="660">
      <c r="A660" t="inlineStr">
        <is>
          <t>face</t>
        </is>
      </c>
      <c r="B660" t="inlineStr">
        <is>
          <t>unique</t>
        </is>
      </c>
      <c r="C660" t="n">
        <v>2</v>
      </c>
      <c r="D660" t="inlineStr">
        <is>
          <t>Final Damage %</t>
        </is>
      </c>
      <c r="E660" t="n">
        <v>5</v>
      </c>
      <c r="F660" t="n">
        <v>0.24</v>
      </c>
      <c r="G660" t="b">
        <v>1</v>
      </c>
      <c r="H660">
        <f>Sensitivity!H12</f>
        <v/>
      </c>
    </row>
    <row r="661">
      <c r="A661" t="inlineStr">
        <is>
          <t>face</t>
        </is>
      </c>
      <c r="B661" t="inlineStr">
        <is>
          <t>unique</t>
        </is>
      </c>
      <c r="C661" t="n">
        <v>2</v>
      </c>
      <c r="D661" t="inlineStr">
        <is>
          <t>Final Damage %</t>
        </is>
      </c>
      <c r="E661" t="n">
        <v>3</v>
      </c>
      <c r="F661" t="n">
        <v>0.76</v>
      </c>
      <c r="G661" t="b">
        <v>0</v>
      </c>
      <c r="H661">
        <f>Sensitivity!H12</f>
        <v/>
      </c>
    </row>
    <row r="662">
      <c r="A662" t="inlineStr">
        <is>
          <t>face</t>
        </is>
      </c>
      <c r="B662" t="inlineStr">
        <is>
          <t>unique</t>
        </is>
      </c>
      <c r="C662" t="n">
        <v>3</v>
      </c>
      <c r="D662" t="inlineStr">
        <is>
          <t>Final Damage %</t>
        </is>
      </c>
      <c r="E662" t="n">
        <v>5</v>
      </c>
      <c r="F662" t="n">
        <v>0.08</v>
      </c>
      <c r="G662" t="b">
        <v>1</v>
      </c>
      <c r="H662">
        <f>Sensitivity!H12</f>
        <v/>
      </c>
    </row>
    <row r="663">
      <c r="A663" t="inlineStr">
        <is>
          <t>face</t>
        </is>
      </c>
      <c r="B663" t="inlineStr">
        <is>
          <t>unique</t>
        </is>
      </c>
      <c r="C663" t="n">
        <v>3</v>
      </c>
      <c r="D663" t="inlineStr">
        <is>
          <t>Final Damage %</t>
        </is>
      </c>
      <c r="E663" t="n">
        <v>3</v>
      </c>
      <c r="F663" t="n">
        <v>0.92</v>
      </c>
      <c r="G663" t="b">
        <v>0</v>
      </c>
      <c r="H663">
        <f>Sensitivity!H12</f>
        <v/>
      </c>
    </row>
    <row r="664">
      <c r="A664" t="inlineStr">
        <is>
          <t>face</t>
        </is>
      </c>
      <c r="B664" t="inlineStr">
        <is>
          <t>legendary</t>
        </is>
      </c>
      <c r="C664" t="n">
        <v>1</v>
      </c>
      <c r="D664" t="inlineStr">
        <is>
          <t>Final Damage %</t>
        </is>
      </c>
      <c r="E664" t="n">
        <v>8</v>
      </c>
      <c r="F664" t="n">
        <v>1</v>
      </c>
      <c r="G664" t="b">
        <v>1</v>
      </c>
      <c r="H664">
        <f>Sensitivity!H12</f>
        <v/>
      </c>
    </row>
    <row r="665">
      <c r="A665" t="inlineStr">
        <is>
          <t>face</t>
        </is>
      </c>
      <c r="B665" t="inlineStr">
        <is>
          <t>legendary</t>
        </is>
      </c>
      <c r="C665" t="n">
        <v>2</v>
      </c>
      <c r="D665" t="inlineStr">
        <is>
          <t>Final Damage %</t>
        </is>
      </c>
      <c r="E665" t="n">
        <v>8</v>
      </c>
      <c r="F665" t="n">
        <v>0.24</v>
      </c>
      <c r="G665" t="b">
        <v>1</v>
      </c>
      <c r="H665">
        <f>Sensitivity!H12</f>
        <v/>
      </c>
    </row>
    <row r="666">
      <c r="A666" t="inlineStr">
        <is>
          <t>face</t>
        </is>
      </c>
      <c r="B666" t="inlineStr">
        <is>
          <t>legendary</t>
        </is>
      </c>
      <c r="C666" t="n">
        <v>2</v>
      </c>
      <c r="D666" t="inlineStr">
        <is>
          <t>Final Damage %</t>
        </is>
      </c>
      <c r="E666" t="n">
        <v>5</v>
      </c>
      <c r="F666" t="n">
        <v>0.76</v>
      </c>
      <c r="G666" t="b">
        <v>0</v>
      </c>
      <c r="H666">
        <f>Sensitivity!H12</f>
        <v/>
      </c>
    </row>
    <row r="667">
      <c r="A667" t="inlineStr">
        <is>
          <t>face</t>
        </is>
      </c>
      <c r="B667" t="inlineStr">
        <is>
          <t>legendary</t>
        </is>
      </c>
      <c r="C667" t="n">
        <v>3</v>
      </c>
      <c r="D667" t="inlineStr">
        <is>
          <t>Final Damage %</t>
        </is>
      </c>
      <c r="E667" t="n">
        <v>8</v>
      </c>
      <c r="F667" t="n">
        <v>0.08</v>
      </c>
      <c r="G667" t="b">
        <v>1</v>
      </c>
      <c r="H667">
        <f>Sensitivity!H12</f>
        <v/>
      </c>
    </row>
    <row r="668">
      <c r="A668" t="inlineStr">
        <is>
          <t>face</t>
        </is>
      </c>
      <c r="B668" t="inlineStr">
        <is>
          <t>legendary</t>
        </is>
      </c>
      <c r="C668" t="n">
        <v>3</v>
      </c>
      <c r="D668" t="inlineStr">
        <is>
          <t>Final Damage %</t>
        </is>
      </c>
      <c r="E668" t="n">
        <v>5</v>
      </c>
      <c r="F668" t="n">
        <v>0.92</v>
      </c>
      <c r="G668" t="b">
        <v>0</v>
      </c>
      <c r="H668">
        <f>Sensitivity!H12</f>
        <v/>
      </c>
    </row>
    <row r="669">
      <c r="A669" t="inlineStr">
        <is>
          <t>face</t>
        </is>
      </c>
      <c r="B669" t="inlineStr">
        <is>
          <t>mystic</t>
        </is>
      </c>
      <c r="C669" t="n">
        <v>1</v>
      </c>
      <c r="D669" t="inlineStr">
        <is>
          <t>Final Damage %</t>
        </is>
      </c>
      <c r="E669" t="n">
        <v>12</v>
      </c>
      <c r="F669" t="n">
        <v>1</v>
      </c>
      <c r="G669" t="b">
        <v>1</v>
      </c>
      <c r="H669">
        <f>Sensitivity!H12</f>
        <v/>
      </c>
    </row>
    <row r="670">
      <c r="A670" t="inlineStr">
        <is>
          <t>face</t>
        </is>
      </c>
      <c r="B670" t="inlineStr">
        <is>
          <t>mystic</t>
        </is>
      </c>
      <c r="C670" t="n">
        <v>2</v>
      </c>
      <c r="D670" t="inlineStr">
        <is>
          <t>Final Damage %</t>
        </is>
      </c>
      <c r="E670" t="n">
        <v>12</v>
      </c>
      <c r="F670" t="n">
        <v>0.24</v>
      </c>
      <c r="G670" t="b">
        <v>1</v>
      </c>
      <c r="H670">
        <f>Sensitivity!H12</f>
        <v/>
      </c>
    </row>
    <row r="671">
      <c r="A671" t="inlineStr">
        <is>
          <t>face</t>
        </is>
      </c>
      <c r="B671" t="inlineStr">
        <is>
          <t>mystic</t>
        </is>
      </c>
      <c r="C671" t="n">
        <v>2</v>
      </c>
      <c r="D671" t="inlineStr">
        <is>
          <t>Final Damage %</t>
        </is>
      </c>
      <c r="E671" t="n">
        <v>8</v>
      </c>
      <c r="F671" t="n">
        <v>0.76</v>
      </c>
      <c r="G671" t="b">
        <v>0</v>
      </c>
      <c r="H671">
        <f>Sensitivity!H12</f>
        <v/>
      </c>
    </row>
    <row r="672">
      <c r="A672" t="inlineStr">
        <is>
          <t>face</t>
        </is>
      </c>
      <c r="B672" t="inlineStr">
        <is>
          <t>mystic</t>
        </is>
      </c>
      <c r="C672" t="n">
        <v>3</v>
      </c>
      <c r="D672" t="inlineStr">
        <is>
          <t>Final Damage %</t>
        </is>
      </c>
      <c r="E672" t="n">
        <v>12</v>
      </c>
      <c r="F672" t="n">
        <v>0.08</v>
      </c>
      <c r="G672" t="b">
        <v>1</v>
      </c>
      <c r="H672">
        <f>Sensitivity!H12</f>
        <v/>
      </c>
    </row>
    <row r="673">
      <c r="A673" t="inlineStr">
        <is>
          <t>face</t>
        </is>
      </c>
      <c r="B673" t="inlineStr">
        <is>
          <t>mystic</t>
        </is>
      </c>
      <c r="C673" t="n">
        <v>3</v>
      </c>
      <c r="D673" t="inlineStr">
        <is>
          <t>Final Damage %</t>
        </is>
      </c>
      <c r="E673" t="n">
        <v>8</v>
      </c>
      <c r="F673" t="n">
        <v>0.92</v>
      </c>
      <c r="G673" t="b">
        <v>0</v>
      </c>
      <c r="H673">
        <f>Sensitivity!H12</f>
        <v/>
      </c>
    </row>
    <row r="674">
      <c r="A674" t="inlineStr">
        <is>
          <t>earrings</t>
        </is>
      </c>
      <c r="B674" t="inlineStr">
        <is>
          <t>epic</t>
        </is>
      </c>
      <c r="C674" t="n">
        <v>1</v>
      </c>
      <c r="D674" t="inlineStr">
        <is>
          <t>Skill Damage %</t>
        </is>
      </c>
      <c r="E674" t="n">
        <v>8</v>
      </c>
      <c r="F674" t="n">
        <v>1</v>
      </c>
      <c r="G674" t="b">
        <v>1</v>
      </c>
      <c r="H674">
        <f>Sensitivity!H20</f>
        <v/>
      </c>
    </row>
    <row r="675">
      <c r="A675" t="inlineStr">
        <is>
          <t>earrings</t>
        </is>
      </c>
      <c r="B675" t="inlineStr">
        <is>
          <t>epic</t>
        </is>
      </c>
      <c r="C675" t="n">
        <v>2</v>
      </c>
      <c r="D675" t="inlineStr">
        <is>
          <t>Skill Damage %</t>
        </is>
      </c>
      <c r="E675" t="n">
        <v>8</v>
      </c>
      <c r="F675" t="n">
        <v>0.24</v>
      </c>
      <c r="G675" t="b">
        <v>1</v>
      </c>
      <c r="H675">
        <f>Sensitivity!H20</f>
        <v/>
      </c>
    </row>
    <row r="676">
      <c r="A676" t="inlineStr">
        <is>
          <t>earrings</t>
        </is>
      </c>
      <c r="B676" t="inlineStr">
        <is>
          <t>epic</t>
        </is>
      </c>
      <c r="C676" t="n">
        <v>3</v>
      </c>
      <c r="D676" t="inlineStr">
        <is>
          <t>Skill Damage %</t>
        </is>
      </c>
      <c r="E676" t="n">
        <v>8</v>
      </c>
      <c r="F676" t="n">
        <v>0.08</v>
      </c>
      <c r="G676" t="b">
        <v>1</v>
      </c>
      <c r="H676">
        <f>Sensitivity!H20</f>
        <v/>
      </c>
    </row>
    <row r="677">
      <c r="A677" t="inlineStr">
        <is>
          <t>earrings</t>
        </is>
      </c>
      <c r="B677" t="inlineStr">
        <is>
          <t>unique</t>
        </is>
      </c>
      <c r="C677" t="n">
        <v>1</v>
      </c>
      <c r="D677" t="inlineStr">
        <is>
          <t>Skill Damage %</t>
        </is>
      </c>
      <c r="E677" t="n">
        <v>14</v>
      </c>
      <c r="F677" t="n">
        <v>1</v>
      </c>
      <c r="G677" t="b">
        <v>1</v>
      </c>
      <c r="H677">
        <f>Sensitivity!H20</f>
        <v/>
      </c>
    </row>
    <row r="678">
      <c r="A678" t="inlineStr">
        <is>
          <t>earrings</t>
        </is>
      </c>
      <c r="B678" t="inlineStr">
        <is>
          <t>unique</t>
        </is>
      </c>
      <c r="C678" t="n">
        <v>2</v>
      </c>
      <c r="D678" t="inlineStr">
        <is>
          <t>Skill Damage %</t>
        </is>
      </c>
      <c r="E678" t="n">
        <v>14</v>
      </c>
      <c r="F678" t="n">
        <v>0.24</v>
      </c>
      <c r="G678" t="b">
        <v>1</v>
      </c>
      <c r="H678">
        <f>Sensitivity!H20</f>
        <v/>
      </c>
    </row>
    <row r="679">
      <c r="A679" t="inlineStr">
        <is>
          <t>earrings</t>
        </is>
      </c>
      <c r="B679" t="inlineStr">
        <is>
          <t>unique</t>
        </is>
      </c>
      <c r="C679" t="n">
        <v>2</v>
      </c>
      <c r="D679" t="inlineStr">
        <is>
          <t>Skill Damage %</t>
        </is>
      </c>
      <c r="E679" t="n">
        <v>8</v>
      </c>
      <c r="F679" t="n">
        <v>0.76</v>
      </c>
      <c r="G679" t="b">
        <v>0</v>
      </c>
      <c r="H679">
        <f>Sensitivity!H20</f>
        <v/>
      </c>
    </row>
    <row r="680">
      <c r="A680" t="inlineStr">
        <is>
          <t>earrings</t>
        </is>
      </c>
      <c r="B680" t="inlineStr">
        <is>
          <t>unique</t>
        </is>
      </c>
      <c r="C680" t="n">
        <v>3</v>
      </c>
      <c r="D680" t="inlineStr">
        <is>
          <t>Skill Damage %</t>
        </is>
      </c>
      <c r="E680" t="n">
        <v>14</v>
      </c>
      <c r="F680" t="n">
        <v>0.08</v>
      </c>
      <c r="G680" t="b">
        <v>1</v>
      </c>
      <c r="H680">
        <f>Sensitivity!H20</f>
        <v/>
      </c>
    </row>
    <row r="681">
      <c r="A681" t="inlineStr">
        <is>
          <t>earrings</t>
        </is>
      </c>
      <c r="B681" t="inlineStr">
        <is>
          <t>unique</t>
        </is>
      </c>
      <c r="C681" t="n">
        <v>3</v>
      </c>
      <c r="D681" t="inlineStr">
        <is>
          <t>Skill Damage %</t>
        </is>
      </c>
      <c r="E681" t="n">
        <v>8</v>
      </c>
      <c r="F681" t="n">
        <v>0.92</v>
      </c>
      <c r="G681" t="b">
        <v>0</v>
      </c>
      <c r="H681">
        <f>Sensitivity!H20</f>
        <v/>
      </c>
    </row>
    <row r="682">
      <c r="A682" t="inlineStr">
        <is>
          <t>earrings</t>
        </is>
      </c>
      <c r="B682" t="inlineStr">
        <is>
          <t>legendary</t>
        </is>
      </c>
      <c r="C682" t="n">
        <v>1</v>
      </c>
      <c r="D682" t="inlineStr">
        <is>
          <t>Skill Damage %</t>
        </is>
      </c>
      <c r="E682" t="n">
        <v>21</v>
      </c>
      <c r="F682" t="n">
        <v>1</v>
      </c>
      <c r="G682" t="b">
        <v>1</v>
      </c>
      <c r="H682">
        <f>Sensitivity!H20</f>
        <v/>
      </c>
    </row>
    <row r="683">
      <c r="A683" t="inlineStr">
        <is>
          <t>earrings</t>
        </is>
      </c>
      <c r="B683" t="inlineStr">
        <is>
          <t>legendary</t>
        </is>
      </c>
      <c r="C683" t="n">
        <v>2</v>
      </c>
      <c r="D683" t="inlineStr">
        <is>
          <t>Skill Damage %</t>
        </is>
      </c>
      <c r="E683" t="n">
        <v>21</v>
      </c>
      <c r="F683" t="n">
        <v>0.24</v>
      </c>
      <c r="G683" t="b">
        <v>1</v>
      </c>
      <c r="H683">
        <f>Sensitivity!H20</f>
        <v/>
      </c>
    </row>
    <row r="684">
      <c r="A684" t="inlineStr">
        <is>
          <t>earrings</t>
        </is>
      </c>
      <c r="B684" t="inlineStr">
        <is>
          <t>legendary</t>
        </is>
      </c>
      <c r="C684" t="n">
        <v>2</v>
      </c>
      <c r="D684" t="inlineStr">
        <is>
          <t>Skill Damage %</t>
        </is>
      </c>
      <c r="E684" t="n">
        <v>14</v>
      </c>
      <c r="F684" t="n">
        <v>0.76</v>
      </c>
      <c r="G684" t="b">
        <v>0</v>
      </c>
      <c r="H684">
        <f>Sensitivity!H20</f>
        <v/>
      </c>
    </row>
    <row r="685">
      <c r="A685" t="inlineStr">
        <is>
          <t>earrings</t>
        </is>
      </c>
      <c r="B685" t="inlineStr">
        <is>
          <t>legendary</t>
        </is>
      </c>
      <c r="C685" t="n">
        <v>3</v>
      </c>
      <c r="D685" t="inlineStr">
        <is>
          <t>Skill Damage %</t>
        </is>
      </c>
      <c r="E685" t="n">
        <v>21</v>
      </c>
      <c r="F685" t="n">
        <v>0.08</v>
      </c>
      <c r="G685" t="b">
        <v>1</v>
      </c>
      <c r="H685">
        <f>Sensitivity!H20</f>
        <v/>
      </c>
    </row>
    <row r="686">
      <c r="A686" t="inlineStr">
        <is>
          <t>earrings</t>
        </is>
      </c>
      <c r="B686" t="inlineStr">
        <is>
          <t>legendary</t>
        </is>
      </c>
      <c r="C686" t="n">
        <v>3</v>
      </c>
      <c r="D686" t="inlineStr">
        <is>
          <t>Skill Damage %</t>
        </is>
      </c>
      <c r="E686" t="n">
        <v>14</v>
      </c>
      <c r="F686" t="n">
        <v>0.92</v>
      </c>
      <c r="G686" t="b">
        <v>0</v>
      </c>
      <c r="H686">
        <f>Sensitivity!H20</f>
        <v/>
      </c>
    </row>
    <row r="687">
      <c r="A687" t="inlineStr">
        <is>
          <t>earrings</t>
        </is>
      </c>
      <c r="B687" t="inlineStr">
        <is>
          <t>mystic</t>
        </is>
      </c>
      <c r="C687" t="n">
        <v>1</v>
      </c>
      <c r="D687" t="inlineStr">
        <is>
          <t>Skill Damage %</t>
        </is>
      </c>
      <c r="E687" t="n">
        <v>30</v>
      </c>
      <c r="F687" t="n">
        <v>1</v>
      </c>
      <c r="G687" t="b">
        <v>1</v>
      </c>
      <c r="H687">
        <f>Sensitivity!H20</f>
        <v/>
      </c>
    </row>
    <row r="688">
      <c r="A688" t="inlineStr">
        <is>
          <t>earrings</t>
        </is>
      </c>
      <c r="B688" t="inlineStr">
        <is>
          <t>mystic</t>
        </is>
      </c>
      <c r="C688" t="n">
        <v>2</v>
      </c>
      <c r="D688" t="inlineStr">
        <is>
          <t>Skill Damage %</t>
        </is>
      </c>
      <c r="E688" t="n">
        <v>30</v>
      </c>
      <c r="F688" t="n">
        <v>0.24</v>
      </c>
      <c r="G688" t="b">
        <v>1</v>
      </c>
      <c r="H688">
        <f>Sensitivity!H20</f>
        <v/>
      </c>
    </row>
    <row r="689">
      <c r="A689" t="inlineStr">
        <is>
          <t>earrings</t>
        </is>
      </c>
      <c r="B689" t="inlineStr">
        <is>
          <t>mystic</t>
        </is>
      </c>
      <c r="C689" t="n">
        <v>2</v>
      </c>
      <c r="D689" t="inlineStr">
        <is>
          <t>Skill Damage %</t>
        </is>
      </c>
      <c r="E689" t="n">
        <v>21</v>
      </c>
      <c r="F689" t="n">
        <v>0.76</v>
      </c>
      <c r="G689" t="b">
        <v>0</v>
      </c>
      <c r="H689">
        <f>Sensitivity!H20</f>
        <v/>
      </c>
    </row>
    <row r="690">
      <c r="A690" t="inlineStr">
        <is>
          <t>earrings</t>
        </is>
      </c>
      <c r="B690" t="inlineStr">
        <is>
          <t>mystic</t>
        </is>
      </c>
      <c r="C690" t="n">
        <v>3</v>
      </c>
      <c r="D690" t="inlineStr">
        <is>
          <t>Skill Damage %</t>
        </is>
      </c>
      <c r="E690" t="n">
        <v>30</v>
      </c>
      <c r="F690" t="n">
        <v>0.08</v>
      </c>
      <c r="G690" t="b">
        <v>1</v>
      </c>
      <c r="H690">
        <f>Sensitivity!H20</f>
        <v/>
      </c>
    </row>
    <row r="691">
      <c r="A691" t="inlineStr">
        <is>
          <t>earrings</t>
        </is>
      </c>
      <c r="B691" t="inlineStr">
        <is>
          <t>mystic</t>
        </is>
      </c>
      <c r="C691" t="n">
        <v>3</v>
      </c>
      <c r="D691" t="inlineStr">
        <is>
          <t>Skill Damage %</t>
        </is>
      </c>
      <c r="E691" t="n">
        <v>21</v>
      </c>
      <c r="F691" t="n">
        <v>0.92</v>
      </c>
      <c r="G691" t="b">
        <v>0</v>
      </c>
      <c r="H691">
        <f>Sensitivity!H20</f>
        <v/>
      </c>
    </row>
    <row r="692">
      <c r="A692" t="inlineStr">
        <is>
          <t>pocket</t>
        </is>
      </c>
      <c r="B692" t="inlineStr">
        <is>
          <t>epic</t>
        </is>
      </c>
      <c r="C692" t="n">
        <v>1</v>
      </c>
      <c r="D692" t="inlineStr">
        <is>
          <t>Main Stat % per 4 Levels</t>
        </is>
      </c>
      <c r="E692" t="n">
        <v>0.4</v>
      </c>
      <c r="F692" t="n">
        <v>1</v>
      </c>
      <c r="G692" t="b">
        <v>1</v>
      </c>
      <c r="H692">
        <f>Sensitivity!H6*INT(Inputs!$B$3/4)</f>
        <v/>
      </c>
    </row>
    <row r="693">
      <c r="A693" t="inlineStr">
        <is>
          <t>pocket</t>
        </is>
      </c>
      <c r="B693" t="inlineStr">
        <is>
          <t>epic</t>
        </is>
      </c>
      <c r="C693" t="n">
        <v>2</v>
      </c>
      <c r="D693" t="inlineStr">
        <is>
          <t>Main Stat % per 4 Levels</t>
        </is>
      </c>
      <c r="E693" t="n">
        <v>0.4</v>
      </c>
      <c r="F693" t="n">
        <v>0.24</v>
      </c>
      <c r="G693" t="b">
        <v>1</v>
      </c>
      <c r="H693">
        <f>Sensitivity!H6*INT(Inputs!$B$3/4)</f>
        <v/>
      </c>
    </row>
    <row r="694">
      <c r="A694" t="inlineStr">
        <is>
          <t>pocket</t>
        </is>
      </c>
      <c r="B694" t="inlineStr">
        <is>
          <t>epic</t>
        </is>
      </c>
      <c r="C694" t="n">
        <v>3</v>
      </c>
      <c r="D694" t="inlineStr">
        <is>
          <t>Main Stat % per 4 Levels</t>
        </is>
      </c>
      <c r="E694" t="n">
        <v>0.4</v>
      </c>
      <c r="F694" t="n">
        <v>0.08</v>
      </c>
      <c r="G694" t="b">
        <v>1</v>
      </c>
      <c r="H694">
        <f>Sensitivity!H6*INT(Inputs!$B$3/4)</f>
        <v/>
      </c>
    </row>
    <row r="695">
      <c r="A695" t="inlineStr">
        <is>
          <t>pocket</t>
        </is>
      </c>
      <c r="B695" t="inlineStr">
        <is>
          <t>unique</t>
        </is>
      </c>
      <c r="C695" t="n">
        <v>1</v>
      </c>
      <c r="D695" t="inlineStr">
        <is>
          <t>Main Stat % per 4 Levels</t>
        </is>
      </c>
      <c r="E695" t="n">
        <v>0.6</v>
      </c>
      <c r="F695" t="n">
        <v>1</v>
      </c>
      <c r="G695" t="b">
        <v>1</v>
      </c>
      <c r="H695">
        <f>Sensitivity!H6*INT(Inputs!$B$3/4)</f>
        <v/>
      </c>
    </row>
    <row r="696">
      <c r="A696" t="inlineStr">
        <is>
          <t>pocket</t>
        </is>
      </c>
      <c r="B696" t="inlineStr">
        <is>
          <t>unique</t>
        </is>
      </c>
      <c r="C696" t="n">
        <v>2</v>
      </c>
      <c r="D696" t="inlineStr">
        <is>
          <t>Main Stat % per 4 Levels</t>
        </is>
      </c>
      <c r="E696" t="n">
        <v>0.6</v>
      </c>
      <c r="F696" t="n">
        <v>0.24</v>
      </c>
      <c r="G696" t="b">
        <v>1</v>
      </c>
      <c r="H696">
        <f>Sensitivity!H6*INT(Inputs!$B$3/4)</f>
        <v/>
      </c>
    </row>
    <row r="697">
      <c r="A697" t="inlineStr">
        <is>
          <t>pocket</t>
        </is>
      </c>
      <c r="B697" t="inlineStr">
        <is>
          <t>unique</t>
        </is>
      </c>
      <c r="C697" t="n">
        <v>2</v>
      </c>
      <c r="D697" t="inlineStr">
        <is>
          <t>Main Stat % per 4 Levels</t>
        </is>
      </c>
      <c r="E697" t="n">
        <v>0.4</v>
      </c>
      <c r="F697" t="n">
        <v>0.76</v>
      </c>
      <c r="G697" t="b">
        <v>0</v>
      </c>
      <c r="H697">
        <f>Sensitivity!H6*INT(Inputs!$B$3/4)</f>
        <v/>
      </c>
    </row>
    <row r="698">
      <c r="A698" t="inlineStr">
        <is>
          <t>pocket</t>
        </is>
      </c>
      <c r="B698" t="inlineStr">
        <is>
          <t>unique</t>
        </is>
      </c>
      <c r="C698" t="n">
        <v>3</v>
      </c>
      <c r="D698" t="inlineStr">
        <is>
          <t>Main Stat % per 4 Levels</t>
        </is>
      </c>
      <c r="E698" t="n">
        <v>0.6</v>
      </c>
      <c r="F698" t="n">
        <v>0.08</v>
      </c>
      <c r="G698" t="b">
        <v>1</v>
      </c>
      <c r="H698">
        <f>Sensitivity!H6*INT(Inputs!$B$3/4)</f>
        <v/>
      </c>
    </row>
    <row r="699">
      <c r="A699" t="inlineStr">
        <is>
          <t>pocket</t>
        </is>
      </c>
      <c r="B699" t="inlineStr">
        <is>
          <t>unique</t>
        </is>
      </c>
      <c r="C699" t="n">
        <v>3</v>
      </c>
      <c r="D699" t="inlineStr">
        <is>
          <t>Main Stat % per 4 Levels</t>
        </is>
      </c>
      <c r="E699" t="n">
        <v>0.4</v>
      </c>
      <c r="F699" t="n">
        <v>0.92</v>
      </c>
      <c r="G699" t="b">
        <v>0</v>
      </c>
      <c r="H699">
        <f>Sensitivity!H6*INT(Inputs!$B$3/4)</f>
        <v/>
      </c>
    </row>
    <row r="700">
      <c r="A700" t="inlineStr">
        <is>
          <t>pocket</t>
        </is>
      </c>
      <c r="B700" t="inlineStr">
        <is>
          <t>legendary</t>
        </is>
      </c>
      <c r="C700" t="n">
        <v>1</v>
      </c>
      <c r="D700" t="inlineStr">
        <is>
          <t>Main Stat % per 4 Levels</t>
        </is>
      </c>
      <c r="E700" t="n">
        <v>0.8</v>
      </c>
      <c r="F700" t="n">
        <v>1</v>
      </c>
      <c r="G700" t="b">
        <v>1</v>
      </c>
      <c r="H700">
        <f>Sensitivity!H6*INT(Inputs!$B$3/4)</f>
        <v/>
      </c>
    </row>
    <row r="701">
      <c r="A701" t="inlineStr">
        <is>
          <t>pocket</t>
        </is>
      </c>
      <c r="B701" t="inlineStr">
        <is>
          <t>legendary</t>
        </is>
      </c>
      <c r="C701" t="n">
        <v>2</v>
      </c>
      <c r="D701" t="inlineStr">
        <is>
          <t>Main Stat % per 4 Levels</t>
        </is>
      </c>
      <c r="E701" t="n">
        <v>0.8</v>
      </c>
      <c r="F701" t="n">
        <v>0.24</v>
      </c>
      <c r="G701" t="b">
        <v>1</v>
      </c>
      <c r="H701">
        <f>Sensitivity!H6*INT(Inputs!$B$3/4)</f>
        <v/>
      </c>
    </row>
    <row r="702">
      <c r="A702" t="inlineStr">
        <is>
          <t>pocket</t>
        </is>
      </c>
      <c r="B702" t="inlineStr">
        <is>
          <t>legendary</t>
        </is>
      </c>
      <c r="C702" t="n">
        <v>2</v>
      </c>
      <c r="D702" t="inlineStr">
        <is>
          <t>Main Stat % per 4 Levels</t>
        </is>
      </c>
      <c r="E702" t="n">
        <v>0.6</v>
      </c>
      <c r="F702" t="n">
        <v>0.76</v>
      </c>
      <c r="G702" t="b">
        <v>0</v>
      </c>
      <c r="H702">
        <f>Sensitivity!H6*INT(Inputs!$B$3/4)</f>
        <v/>
      </c>
    </row>
    <row r="703">
      <c r="A703" t="inlineStr">
        <is>
          <t>pocket</t>
        </is>
      </c>
      <c r="B703" t="inlineStr">
        <is>
          <t>legendary</t>
        </is>
      </c>
      <c r="C703" t="n">
        <v>3</v>
      </c>
      <c r="D703" t="inlineStr">
        <is>
          <t>Main Stat % per 4 Levels</t>
        </is>
      </c>
      <c r="E703" t="n">
        <v>0.8</v>
      </c>
      <c r="F703" t="n">
        <v>0.08</v>
      </c>
      <c r="G703" t="b">
        <v>1</v>
      </c>
      <c r="H703">
        <f>Sensitivity!H6*INT(Inputs!$B$3/4)</f>
        <v/>
      </c>
    </row>
    <row r="704">
      <c r="A704" t="inlineStr">
        <is>
          <t>pocket</t>
        </is>
      </c>
      <c r="B704" t="inlineStr">
        <is>
          <t>legendary</t>
        </is>
      </c>
      <c r="C704" t="n">
        <v>3</v>
      </c>
      <c r="D704" t="inlineStr">
        <is>
          <t>Main Stat % per 4 Levels</t>
        </is>
      </c>
      <c r="E704" t="n">
        <v>0.6</v>
      </c>
      <c r="F704" t="n">
        <v>0.92</v>
      </c>
      <c r="G704" t="b">
        <v>0</v>
      </c>
      <c r="H704">
        <f>Sensitivity!H6*INT(Inputs!$B$3/4)</f>
        <v/>
      </c>
    </row>
    <row r="705">
      <c r="A705" t="inlineStr">
        <is>
          <t>pocket</t>
        </is>
      </c>
      <c r="B705" t="inlineStr">
        <is>
          <t>mystic</t>
        </is>
      </c>
      <c r="C705" t="n">
        <v>1</v>
      </c>
      <c r="D705" t="inlineStr">
        <is>
          <t>Main Stat % per 4 Levels</t>
        </is>
      </c>
      <c r="E705" t="n">
        <v>1.2</v>
      </c>
      <c r="F705" t="n">
        <v>1</v>
      </c>
      <c r="G705" t="b">
        <v>1</v>
      </c>
      <c r="H705">
        <f>Sensitivity!H6*INT(Inputs!$B$3/4)</f>
        <v/>
      </c>
    </row>
    <row r="706">
      <c r="A706" t="inlineStr">
        <is>
          <t>pocket</t>
        </is>
      </c>
      <c r="B706" t="inlineStr">
        <is>
          <t>mystic</t>
        </is>
      </c>
      <c r="C706" t="n">
        <v>2</v>
      </c>
      <c r="D706" t="inlineStr">
        <is>
          <t>Main Stat % per 4 Levels</t>
        </is>
      </c>
      <c r="E706" t="n">
        <v>1.2</v>
      </c>
      <c r="F706" t="n">
        <v>0.24</v>
      </c>
      <c r="G706" t="b">
        <v>1</v>
      </c>
      <c r="H706">
        <f>Sensitivity!H6*INT(Inputs!$B$3/4)</f>
        <v/>
      </c>
    </row>
    <row r="707">
      <c r="A707" t="inlineStr">
        <is>
          <t>pocket</t>
        </is>
      </c>
      <c r="B707" t="inlineStr">
        <is>
          <t>mystic</t>
        </is>
      </c>
      <c r="C707" t="n">
        <v>2</v>
      </c>
      <c r="D707" t="inlineStr">
        <is>
          <t>Main Stat % per 4 Levels</t>
        </is>
      </c>
      <c r="E707" t="n">
        <v>0.8</v>
      </c>
      <c r="F707" t="n">
        <v>0.76</v>
      </c>
      <c r="G707" t="b">
        <v>0</v>
      </c>
      <c r="H707">
        <f>Sensitivity!H6*INT(Inputs!$B$3/4)</f>
        <v/>
      </c>
    </row>
    <row r="708">
      <c r="A708" t="inlineStr">
        <is>
          <t>pocket</t>
        </is>
      </c>
      <c r="B708" t="inlineStr">
        <is>
          <t>mystic</t>
        </is>
      </c>
      <c r="C708" t="n">
        <v>3</v>
      </c>
      <c r="D708" t="inlineStr">
        <is>
          <t>Main Stat % per 4 Levels</t>
        </is>
      </c>
      <c r="E708" t="n">
        <v>1.2</v>
      </c>
      <c r="F708" t="n">
        <v>0.08</v>
      </c>
      <c r="G708" t="b">
        <v>1</v>
      </c>
      <c r="H708">
        <f>Sensitivity!H6*INT(Inputs!$B$3/4)</f>
        <v/>
      </c>
    </row>
    <row r="709">
      <c r="A709" t="inlineStr">
        <is>
          <t>pocket</t>
        </is>
      </c>
      <c r="B709" t="inlineStr">
        <is>
          <t>mystic</t>
        </is>
      </c>
      <c r="C709" t="n">
        <v>3</v>
      </c>
      <c r="D709" t="inlineStr">
        <is>
          <t>Main Stat % per 4 Levels</t>
        </is>
      </c>
      <c r="E709" t="n">
        <v>0.8</v>
      </c>
      <c r="F709" t="n">
        <v>0.92</v>
      </c>
      <c r="G709" t="b">
        <v>0</v>
      </c>
      <c r="H709">
        <f>Sensitivity!H6*INT(Inputs!$B$3/4)</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35"/>
  <sheetViews>
    <sheetView workbookViewId="0">
      <pane ySplit="5" topLeftCell="A6" activePane="bottomLeft" state="frozen"/>
      <selection pane="bottomLeft" activeCell="A1" sqref="A1"/>
    </sheetView>
  </sheetViews>
  <sheetFormatPr baseColWidth="8" defaultRowHeight="15"/>
  <cols>
    <col width="12" customWidth="1" min="1" max="1"/>
    <col width="15" customWidth="1" min="2" max="2"/>
    <col width="13" customWidth="1" min="3" max="3"/>
    <col width="18" customWidth="1" min="4" max="4"/>
    <col width="26" customWidth="1" min="5" max="5"/>
    <col width="11" customWidth="1" min="6" max="6"/>
    <col width="26" customWidth="1" min="7" max="7"/>
    <col width="11" customWidth="1" min="8" max="8"/>
    <col width="26" customWidth="1" min="9" max="9"/>
    <col width="11" customWidth="1" min="10" max="10"/>
  </cols>
  <sheetData>
    <row r="1">
      <c r="A1" s="4" t="inlineStr">
        <is>
          <t>Potential Cubes — Current Gear State</t>
        </is>
      </c>
    </row>
    <row r="2">
      <c r="A2" t="inlineStr">
        <is>
          <t>Fill in your actual current gear for every slot/potential-type you want EV results for, then run `python3 tools/potential_cubes_ev.py` — it reads this table plus the live CubeData sheet and computes exact 'expected value of the best roll kept after N rerolls' for all 30 rows (printed + written to a CSV), via a full line1 x line2 x line3 enumeration per rarity/slot rather than a single-roll average.</t>
        </is>
      </c>
    </row>
    <row r="3">
      <c r="A3" t="inlineStr">
        <is>
          <t>Leave a line's Stat as "(none)" if that line isn't rolled yet / doesn't matter.</t>
        </is>
      </c>
    </row>
    <row r="5">
      <c r="A5" s="9" t="inlineStr">
        <is>
          <t>Slot</t>
        </is>
      </c>
      <c r="B5" s="9" t="inlineStr">
        <is>
          <t>Potential Type</t>
        </is>
      </c>
      <c r="C5" s="9" t="inlineStr">
        <is>
          <t>Current Rarity</t>
        </is>
      </c>
      <c r="D5" s="9" t="inlineStr">
        <is>
          <t>Current Pity Count</t>
        </is>
      </c>
      <c r="E5" s="9" t="inlineStr">
        <is>
          <t>Line 1 Stat</t>
        </is>
      </c>
      <c r="F5" s="9" t="inlineStr">
        <is>
          <t>Line 1 Value</t>
        </is>
      </c>
      <c r="G5" s="9" t="inlineStr">
        <is>
          <t>Line 2 Stat</t>
        </is>
      </c>
      <c r="H5" s="9" t="inlineStr">
        <is>
          <t>Line 2 Value</t>
        </is>
      </c>
      <c r="I5" s="9" t="inlineStr">
        <is>
          <t>Line 3 Stat</t>
        </is>
      </c>
      <c r="J5" s="9" t="inlineStr">
        <is>
          <t>Line 3 Value</t>
        </is>
      </c>
    </row>
    <row r="6">
      <c r="A6" t="inlineStr">
        <is>
          <t>head</t>
        </is>
      </c>
      <c r="B6" t="inlineStr">
        <is>
          <t>Potential</t>
        </is>
      </c>
      <c r="C6" t="inlineStr">
        <is>
          <t>normal</t>
        </is>
      </c>
      <c r="D6" t="n">
        <v>0</v>
      </c>
      <c r="E6" t="inlineStr">
        <is>
          <t>(none)</t>
        </is>
      </c>
      <c r="F6" t="n">
        <v>0</v>
      </c>
      <c r="G6" t="inlineStr">
        <is>
          <t>(none)</t>
        </is>
      </c>
      <c r="H6" t="n">
        <v>0</v>
      </c>
      <c r="I6" t="inlineStr">
        <is>
          <t>(none)</t>
        </is>
      </c>
      <c r="J6" t="n">
        <v>0</v>
      </c>
    </row>
    <row r="7">
      <c r="A7" t="inlineStr">
        <is>
          <t>head</t>
        </is>
      </c>
      <c r="B7" t="inlineStr">
        <is>
          <t>Bonus Potential</t>
        </is>
      </c>
      <c r="C7" t="inlineStr">
        <is>
          <t>normal</t>
        </is>
      </c>
      <c r="D7" t="n">
        <v>0</v>
      </c>
      <c r="E7" t="inlineStr">
        <is>
          <t>(none)</t>
        </is>
      </c>
      <c r="F7" t="n">
        <v>0</v>
      </c>
      <c r="G7" t="inlineStr">
        <is>
          <t>(none)</t>
        </is>
      </c>
      <c r="H7" t="n">
        <v>0</v>
      </c>
      <c r="I7" t="inlineStr">
        <is>
          <t>(none)</t>
        </is>
      </c>
      <c r="J7" t="n">
        <v>0</v>
      </c>
    </row>
    <row r="8">
      <c r="A8" t="inlineStr">
        <is>
          <t>cape</t>
        </is>
      </c>
      <c r="B8" t="inlineStr">
        <is>
          <t>Potential</t>
        </is>
      </c>
      <c r="C8" t="inlineStr">
        <is>
          <t>normal</t>
        </is>
      </c>
      <c r="D8" t="n">
        <v>0</v>
      </c>
      <c r="E8" t="inlineStr">
        <is>
          <t>(none)</t>
        </is>
      </c>
      <c r="F8" t="n">
        <v>0</v>
      </c>
      <c r="G8" t="inlineStr">
        <is>
          <t>(none)</t>
        </is>
      </c>
      <c r="H8" t="n">
        <v>0</v>
      </c>
      <c r="I8" t="inlineStr">
        <is>
          <t>(none)</t>
        </is>
      </c>
      <c r="J8" t="n">
        <v>0</v>
      </c>
    </row>
    <row r="9">
      <c r="A9" t="inlineStr">
        <is>
          <t>cape</t>
        </is>
      </c>
      <c r="B9" t="inlineStr">
        <is>
          <t>Bonus Potential</t>
        </is>
      </c>
      <c r="C9" t="inlineStr">
        <is>
          <t>normal</t>
        </is>
      </c>
      <c r="D9" t="n">
        <v>0</v>
      </c>
      <c r="E9" t="inlineStr">
        <is>
          <t>(none)</t>
        </is>
      </c>
      <c r="F9" t="n">
        <v>0</v>
      </c>
      <c r="G9" t="inlineStr">
        <is>
          <t>(none)</t>
        </is>
      </c>
      <c r="H9" t="n">
        <v>0</v>
      </c>
      <c r="I9" t="inlineStr">
        <is>
          <t>(none)</t>
        </is>
      </c>
      <c r="J9" t="n">
        <v>0</v>
      </c>
    </row>
    <row r="10">
      <c r="A10" t="inlineStr">
        <is>
          <t>chest</t>
        </is>
      </c>
      <c r="B10" t="inlineStr">
        <is>
          <t>Potential</t>
        </is>
      </c>
      <c r="C10" t="inlineStr">
        <is>
          <t>normal</t>
        </is>
      </c>
      <c r="D10" t="n">
        <v>0</v>
      </c>
      <c r="E10" t="inlineStr">
        <is>
          <t>(none)</t>
        </is>
      </c>
      <c r="F10" t="n">
        <v>0</v>
      </c>
      <c r="G10" t="inlineStr">
        <is>
          <t>(none)</t>
        </is>
      </c>
      <c r="H10" t="n">
        <v>0</v>
      </c>
      <c r="I10" t="inlineStr">
        <is>
          <t>(none)</t>
        </is>
      </c>
      <c r="J10" t="n">
        <v>0</v>
      </c>
    </row>
    <row r="11">
      <c r="A11" t="inlineStr">
        <is>
          <t>chest</t>
        </is>
      </c>
      <c r="B11" t="inlineStr">
        <is>
          <t>Bonus Potential</t>
        </is>
      </c>
      <c r="C11" t="inlineStr">
        <is>
          <t>normal</t>
        </is>
      </c>
      <c r="D11" t="n">
        <v>0</v>
      </c>
      <c r="E11" t="inlineStr">
        <is>
          <t>(none)</t>
        </is>
      </c>
      <c r="F11" t="n">
        <v>0</v>
      </c>
      <c r="G11" t="inlineStr">
        <is>
          <t>(none)</t>
        </is>
      </c>
      <c r="H11" t="n">
        <v>0</v>
      </c>
      <c r="I11" t="inlineStr">
        <is>
          <t>(none)</t>
        </is>
      </c>
      <c r="J11" t="n">
        <v>0</v>
      </c>
    </row>
    <row r="12">
      <c r="A12" t="inlineStr">
        <is>
          <t>shoulders</t>
        </is>
      </c>
      <c r="B12" t="inlineStr">
        <is>
          <t>Potential</t>
        </is>
      </c>
      <c r="C12" t="inlineStr">
        <is>
          <t>normal</t>
        </is>
      </c>
      <c r="D12" t="n">
        <v>0</v>
      </c>
      <c r="E12" t="inlineStr">
        <is>
          <t>(none)</t>
        </is>
      </c>
      <c r="F12" t="n">
        <v>0</v>
      </c>
      <c r="G12" t="inlineStr">
        <is>
          <t>(none)</t>
        </is>
      </c>
      <c r="H12" t="n">
        <v>0</v>
      </c>
      <c r="I12" t="inlineStr">
        <is>
          <t>(none)</t>
        </is>
      </c>
      <c r="J12" t="n">
        <v>0</v>
      </c>
    </row>
    <row r="13">
      <c r="A13" t="inlineStr">
        <is>
          <t>shoulders</t>
        </is>
      </c>
      <c r="B13" t="inlineStr">
        <is>
          <t>Bonus Potential</t>
        </is>
      </c>
      <c r="C13" t="inlineStr">
        <is>
          <t>normal</t>
        </is>
      </c>
      <c r="D13" t="n">
        <v>0</v>
      </c>
      <c r="E13" t="inlineStr">
        <is>
          <t>(none)</t>
        </is>
      </c>
      <c r="F13" t="n">
        <v>0</v>
      </c>
      <c r="G13" t="inlineStr">
        <is>
          <t>(none)</t>
        </is>
      </c>
      <c r="H13" t="n">
        <v>0</v>
      </c>
      <c r="I13" t="inlineStr">
        <is>
          <t>(none)</t>
        </is>
      </c>
      <c r="J13" t="n">
        <v>0</v>
      </c>
    </row>
    <row r="14">
      <c r="A14" t="inlineStr">
        <is>
          <t>legs</t>
        </is>
      </c>
      <c r="B14" t="inlineStr">
        <is>
          <t>Potential</t>
        </is>
      </c>
      <c r="C14" t="inlineStr">
        <is>
          <t>normal</t>
        </is>
      </c>
      <c r="D14" t="n">
        <v>0</v>
      </c>
      <c r="E14" t="inlineStr">
        <is>
          <t>(none)</t>
        </is>
      </c>
      <c r="F14" t="n">
        <v>0</v>
      </c>
      <c r="G14" t="inlineStr">
        <is>
          <t>(none)</t>
        </is>
      </c>
      <c r="H14" t="n">
        <v>0</v>
      </c>
      <c r="I14" t="inlineStr">
        <is>
          <t>(none)</t>
        </is>
      </c>
      <c r="J14" t="n">
        <v>0</v>
      </c>
    </row>
    <row r="15">
      <c r="A15" t="inlineStr">
        <is>
          <t>legs</t>
        </is>
      </c>
      <c r="B15" t="inlineStr">
        <is>
          <t>Bonus Potential</t>
        </is>
      </c>
      <c r="C15" t="inlineStr">
        <is>
          <t>normal</t>
        </is>
      </c>
      <c r="D15" t="n">
        <v>0</v>
      </c>
      <c r="E15" t="inlineStr">
        <is>
          <t>(none)</t>
        </is>
      </c>
      <c r="F15" t="n">
        <v>0</v>
      </c>
      <c r="G15" t="inlineStr">
        <is>
          <t>(none)</t>
        </is>
      </c>
      <c r="H15" t="n">
        <v>0</v>
      </c>
      <c r="I15" t="inlineStr">
        <is>
          <t>(none)</t>
        </is>
      </c>
      <c r="J15" t="n">
        <v>0</v>
      </c>
    </row>
    <row r="16">
      <c r="A16" t="inlineStr">
        <is>
          <t>belt</t>
        </is>
      </c>
      <c r="B16" t="inlineStr">
        <is>
          <t>Potential</t>
        </is>
      </c>
      <c r="C16" t="inlineStr">
        <is>
          <t>normal</t>
        </is>
      </c>
      <c r="D16" t="n">
        <v>0</v>
      </c>
      <c r="E16" t="inlineStr">
        <is>
          <t>(none)</t>
        </is>
      </c>
      <c r="F16" t="n">
        <v>0</v>
      </c>
      <c r="G16" t="inlineStr">
        <is>
          <t>(none)</t>
        </is>
      </c>
      <c r="H16" t="n">
        <v>0</v>
      </c>
      <c r="I16" t="inlineStr">
        <is>
          <t>(none)</t>
        </is>
      </c>
      <c r="J16" t="n">
        <v>0</v>
      </c>
    </row>
    <row r="17">
      <c r="A17" t="inlineStr">
        <is>
          <t>belt</t>
        </is>
      </c>
      <c r="B17" t="inlineStr">
        <is>
          <t>Bonus Potential</t>
        </is>
      </c>
      <c r="C17" t="inlineStr">
        <is>
          <t>normal</t>
        </is>
      </c>
      <c r="D17" t="n">
        <v>0</v>
      </c>
      <c r="E17" t="inlineStr">
        <is>
          <t>(none)</t>
        </is>
      </c>
      <c r="F17" t="n">
        <v>0</v>
      </c>
      <c r="G17" t="inlineStr">
        <is>
          <t>(none)</t>
        </is>
      </c>
      <c r="H17" t="n">
        <v>0</v>
      </c>
      <c r="I17" t="inlineStr">
        <is>
          <t>(none)</t>
        </is>
      </c>
      <c r="J17" t="n">
        <v>0</v>
      </c>
    </row>
    <row r="18">
      <c r="A18" t="inlineStr">
        <is>
          <t>gloves</t>
        </is>
      </c>
      <c r="B18" t="inlineStr">
        <is>
          <t>Potential</t>
        </is>
      </c>
      <c r="C18" t="inlineStr">
        <is>
          <t>normal</t>
        </is>
      </c>
      <c r="D18" t="n">
        <v>0</v>
      </c>
      <c r="E18" t="inlineStr">
        <is>
          <t>(none)</t>
        </is>
      </c>
      <c r="F18" t="n">
        <v>0</v>
      </c>
      <c r="G18" t="inlineStr">
        <is>
          <t>(none)</t>
        </is>
      </c>
      <c r="H18" t="n">
        <v>0</v>
      </c>
      <c r="I18" t="inlineStr">
        <is>
          <t>(none)</t>
        </is>
      </c>
      <c r="J18" t="n">
        <v>0</v>
      </c>
    </row>
    <row r="19">
      <c r="A19" t="inlineStr">
        <is>
          <t>gloves</t>
        </is>
      </c>
      <c r="B19" t="inlineStr">
        <is>
          <t>Bonus Potential</t>
        </is>
      </c>
      <c r="C19" t="inlineStr">
        <is>
          <t>normal</t>
        </is>
      </c>
      <c r="D19" t="n">
        <v>0</v>
      </c>
      <c r="E19" t="inlineStr">
        <is>
          <t>(none)</t>
        </is>
      </c>
      <c r="F19" t="n">
        <v>0</v>
      </c>
      <c r="G19" t="inlineStr">
        <is>
          <t>(none)</t>
        </is>
      </c>
      <c r="H19" t="n">
        <v>0</v>
      </c>
      <c r="I19" t="inlineStr">
        <is>
          <t>(none)</t>
        </is>
      </c>
      <c r="J19" t="n">
        <v>0</v>
      </c>
    </row>
    <row r="20">
      <c r="A20" t="inlineStr">
        <is>
          <t>boots</t>
        </is>
      </c>
      <c r="B20" t="inlineStr">
        <is>
          <t>Potential</t>
        </is>
      </c>
      <c r="C20" t="inlineStr">
        <is>
          <t>normal</t>
        </is>
      </c>
      <c r="D20" t="n">
        <v>0</v>
      </c>
      <c r="E20" t="inlineStr">
        <is>
          <t>(none)</t>
        </is>
      </c>
      <c r="F20" t="n">
        <v>0</v>
      </c>
      <c r="G20" t="inlineStr">
        <is>
          <t>(none)</t>
        </is>
      </c>
      <c r="H20" t="n">
        <v>0</v>
      </c>
      <c r="I20" t="inlineStr">
        <is>
          <t>(none)</t>
        </is>
      </c>
      <c r="J20" t="n">
        <v>0</v>
      </c>
    </row>
    <row r="21">
      <c r="A21" t="inlineStr">
        <is>
          <t>boots</t>
        </is>
      </c>
      <c r="B21" t="inlineStr">
        <is>
          <t>Bonus Potential</t>
        </is>
      </c>
      <c r="C21" t="inlineStr">
        <is>
          <t>normal</t>
        </is>
      </c>
      <c r="D21" t="n">
        <v>0</v>
      </c>
      <c r="E21" t="inlineStr">
        <is>
          <t>(none)</t>
        </is>
      </c>
      <c r="F21" t="n">
        <v>0</v>
      </c>
      <c r="G21" t="inlineStr">
        <is>
          <t>(none)</t>
        </is>
      </c>
      <c r="H21" t="n">
        <v>0</v>
      </c>
      <c r="I21" t="inlineStr">
        <is>
          <t>(none)</t>
        </is>
      </c>
      <c r="J21" t="n">
        <v>0</v>
      </c>
    </row>
    <row r="22">
      <c r="A22" t="inlineStr">
        <is>
          <t>ring</t>
        </is>
      </c>
      <c r="B22" t="inlineStr">
        <is>
          <t>Potential</t>
        </is>
      </c>
      <c r="C22" t="inlineStr">
        <is>
          <t>normal</t>
        </is>
      </c>
      <c r="D22" t="n">
        <v>0</v>
      </c>
      <c r="E22" t="inlineStr">
        <is>
          <t>(none)</t>
        </is>
      </c>
      <c r="F22" t="n">
        <v>0</v>
      </c>
      <c r="G22" t="inlineStr">
        <is>
          <t>(none)</t>
        </is>
      </c>
      <c r="H22" t="n">
        <v>0</v>
      </c>
      <c r="I22" t="inlineStr">
        <is>
          <t>(none)</t>
        </is>
      </c>
      <c r="J22" t="n">
        <v>0</v>
      </c>
    </row>
    <row r="23">
      <c r="A23" t="inlineStr">
        <is>
          <t>ring</t>
        </is>
      </c>
      <c r="B23" t="inlineStr">
        <is>
          <t>Bonus Potential</t>
        </is>
      </c>
      <c r="C23" t="inlineStr">
        <is>
          <t>normal</t>
        </is>
      </c>
      <c r="D23" t="n">
        <v>0</v>
      </c>
      <c r="E23" t="inlineStr">
        <is>
          <t>(none)</t>
        </is>
      </c>
      <c r="F23" t="n">
        <v>0</v>
      </c>
      <c r="G23" t="inlineStr">
        <is>
          <t>(none)</t>
        </is>
      </c>
      <c r="H23" t="n">
        <v>0</v>
      </c>
      <c r="I23" t="inlineStr">
        <is>
          <t>(none)</t>
        </is>
      </c>
      <c r="J23" t="n">
        <v>0</v>
      </c>
    </row>
    <row r="24">
      <c r="A24" t="inlineStr">
        <is>
          <t>neck</t>
        </is>
      </c>
      <c r="B24" t="inlineStr">
        <is>
          <t>Potential</t>
        </is>
      </c>
      <c r="C24" t="inlineStr">
        <is>
          <t>normal</t>
        </is>
      </c>
      <c r="D24" t="n">
        <v>0</v>
      </c>
      <c r="E24" t="inlineStr">
        <is>
          <t>(none)</t>
        </is>
      </c>
      <c r="F24" t="n">
        <v>0</v>
      </c>
      <c r="G24" t="inlineStr">
        <is>
          <t>(none)</t>
        </is>
      </c>
      <c r="H24" t="n">
        <v>0</v>
      </c>
      <c r="I24" t="inlineStr">
        <is>
          <t>(none)</t>
        </is>
      </c>
      <c r="J24" t="n">
        <v>0</v>
      </c>
    </row>
    <row r="25">
      <c r="A25" t="inlineStr">
        <is>
          <t>neck</t>
        </is>
      </c>
      <c r="B25" t="inlineStr">
        <is>
          <t>Bonus Potential</t>
        </is>
      </c>
      <c r="C25" t="inlineStr">
        <is>
          <t>normal</t>
        </is>
      </c>
      <c r="D25" t="n">
        <v>0</v>
      </c>
      <c r="E25" t="inlineStr">
        <is>
          <t>(none)</t>
        </is>
      </c>
      <c r="F25" t="n">
        <v>0</v>
      </c>
      <c r="G25" t="inlineStr">
        <is>
          <t>(none)</t>
        </is>
      </c>
      <c r="H25" t="n">
        <v>0</v>
      </c>
      <c r="I25" t="inlineStr">
        <is>
          <t>(none)</t>
        </is>
      </c>
      <c r="J25" t="n">
        <v>0</v>
      </c>
    </row>
    <row r="26">
      <c r="A26" t="inlineStr">
        <is>
          <t>eye-accessory</t>
        </is>
      </c>
      <c r="B26" t="inlineStr">
        <is>
          <t>Potential</t>
        </is>
      </c>
      <c r="C26" t="inlineStr">
        <is>
          <t>normal</t>
        </is>
      </c>
      <c r="D26" t="n">
        <v>0</v>
      </c>
      <c r="E26" t="inlineStr">
        <is>
          <t>(none)</t>
        </is>
      </c>
      <c r="F26" t="n">
        <v>0</v>
      </c>
      <c r="G26" t="inlineStr">
        <is>
          <t>(none)</t>
        </is>
      </c>
      <c r="H26" t="n">
        <v>0</v>
      </c>
      <c r="I26" t="inlineStr">
        <is>
          <t>(none)</t>
        </is>
      </c>
      <c r="J26" t="n">
        <v>0</v>
      </c>
    </row>
    <row r="27">
      <c r="A27" t="inlineStr">
        <is>
          <t>eye-accessory</t>
        </is>
      </c>
      <c r="B27" t="inlineStr">
        <is>
          <t>Bonus Potential</t>
        </is>
      </c>
      <c r="C27" t="inlineStr">
        <is>
          <t>normal</t>
        </is>
      </c>
      <c r="D27" t="n">
        <v>0</v>
      </c>
      <c r="E27" t="inlineStr">
        <is>
          <t>(none)</t>
        </is>
      </c>
      <c r="F27" t="n">
        <v>0</v>
      </c>
      <c r="G27" t="inlineStr">
        <is>
          <t>(none)</t>
        </is>
      </c>
      <c r="H27" t="n">
        <v>0</v>
      </c>
      <c r="I27" t="inlineStr">
        <is>
          <t>(none)</t>
        </is>
      </c>
      <c r="J27" t="n">
        <v>0</v>
      </c>
    </row>
    <row r="28">
      <c r="A28" t="inlineStr">
        <is>
          <t>ring2</t>
        </is>
      </c>
      <c r="B28" t="inlineStr">
        <is>
          <t>Potential</t>
        </is>
      </c>
      <c r="C28" t="inlineStr">
        <is>
          <t>normal</t>
        </is>
      </c>
      <c r="D28" t="n">
        <v>0</v>
      </c>
      <c r="E28" t="inlineStr">
        <is>
          <t>(none)</t>
        </is>
      </c>
      <c r="F28" t="n">
        <v>0</v>
      </c>
      <c r="G28" t="inlineStr">
        <is>
          <t>(none)</t>
        </is>
      </c>
      <c r="H28" t="n">
        <v>0</v>
      </c>
      <c r="I28" t="inlineStr">
        <is>
          <t>(none)</t>
        </is>
      </c>
      <c r="J28" t="n">
        <v>0</v>
      </c>
    </row>
    <row r="29">
      <c r="A29" t="inlineStr">
        <is>
          <t>ring2</t>
        </is>
      </c>
      <c r="B29" t="inlineStr">
        <is>
          <t>Bonus Potential</t>
        </is>
      </c>
      <c r="C29" t="inlineStr">
        <is>
          <t>normal</t>
        </is>
      </c>
      <c r="D29" t="n">
        <v>0</v>
      </c>
      <c r="E29" t="inlineStr">
        <is>
          <t>(none)</t>
        </is>
      </c>
      <c r="F29" t="n">
        <v>0</v>
      </c>
      <c r="G29" t="inlineStr">
        <is>
          <t>(none)</t>
        </is>
      </c>
      <c r="H29" t="n">
        <v>0</v>
      </c>
      <c r="I29" t="inlineStr">
        <is>
          <t>(none)</t>
        </is>
      </c>
      <c r="J29" t="n">
        <v>0</v>
      </c>
    </row>
    <row r="30">
      <c r="A30" t="inlineStr">
        <is>
          <t>face</t>
        </is>
      </c>
      <c r="B30" t="inlineStr">
        <is>
          <t>Potential</t>
        </is>
      </c>
      <c r="C30" t="inlineStr">
        <is>
          <t>normal</t>
        </is>
      </c>
      <c r="D30" t="n">
        <v>0</v>
      </c>
      <c r="E30" t="inlineStr">
        <is>
          <t>(none)</t>
        </is>
      </c>
      <c r="F30" t="n">
        <v>0</v>
      </c>
      <c r="G30" t="inlineStr">
        <is>
          <t>(none)</t>
        </is>
      </c>
      <c r="H30" t="n">
        <v>0</v>
      </c>
      <c r="I30" t="inlineStr">
        <is>
          <t>(none)</t>
        </is>
      </c>
      <c r="J30" t="n">
        <v>0</v>
      </c>
    </row>
    <row r="31">
      <c r="A31" t="inlineStr">
        <is>
          <t>face</t>
        </is>
      </c>
      <c r="B31" t="inlineStr">
        <is>
          <t>Bonus Potential</t>
        </is>
      </c>
      <c r="C31" t="inlineStr">
        <is>
          <t>normal</t>
        </is>
      </c>
      <c r="D31" t="n">
        <v>0</v>
      </c>
      <c r="E31" t="inlineStr">
        <is>
          <t>(none)</t>
        </is>
      </c>
      <c r="F31" t="n">
        <v>0</v>
      </c>
      <c r="G31" t="inlineStr">
        <is>
          <t>(none)</t>
        </is>
      </c>
      <c r="H31" t="n">
        <v>0</v>
      </c>
      <c r="I31" t="inlineStr">
        <is>
          <t>(none)</t>
        </is>
      </c>
      <c r="J31" t="n">
        <v>0</v>
      </c>
    </row>
    <row r="32">
      <c r="A32" t="inlineStr">
        <is>
          <t>earrings</t>
        </is>
      </c>
      <c r="B32" t="inlineStr">
        <is>
          <t>Potential</t>
        </is>
      </c>
      <c r="C32" t="inlineStr">
        <is>
          <t>normal</t>
        </is>
      </c>
      <c r="D32" t="n">
        <v>0</v>
      </c>
      <c r="E32" t="inlineStr">
        <is>
          <t>(none)</t>
        </is>
      </c>
      <c r="F32" t="n">
        <v>0</v>
      </c>
      <c r="G32" t="inlineStr">
        <is>
          <t>(none)</t>
        </is>
      </c>
      <c r="H32" t="n">
        <v>0</v>
      </c>
      <c r="I32" t="inlineStr">
        <is>
          <t>(none)</t>
        </is>
      </c>
      <c r="J32" t="n">
        <v>0</v>
      </c>
    </row>
    <row r="33">
      <c r="A33" t="inlineStr">
        <is>
          <t>earrings</t>
        </is>
      </c>
      <c r="B33" t="inlineStr">
        <is>
          <t>Bonus Potential</t>
        </is>
      </c>
      <c r="C33" t="inlineStr">
        <is>
          <t>normal</t>
        </is>
      </c>
      <c r="D33" t="n">
        <v>0</v>
      </c>
      <c r="E33" t="inlineStr">
        <is>
          <t>(none)</t>
        </is>
      </c>
      <c r="F33" t="n">
        <v>0</v>
      </c>
      <c r="G33" t="inlineStr">
        <is>
          <t>(none)</t>
        </is>
      </c>
      <c r="H33" t="n">
        <v>0</v>
      </c>
      <c r="I33" t="inlineStr">
        <is>
          <t>(none)</t>
        </is>
      </c>
      <c r="J33" t="n">
        <v>0</v>
      </c>
    </row>
    <row r="34">
      <c r="A34" t="inlineStr">
        <is>
          <t>pocket</t>
        </is>
      </c>
      <c r="B34" t="inlineStr">
        <is>
          <t>Potential</t>
        </is>
      </c>
      <c r="C34" t="inlineStr">
        <is>
          <t>normal</t>
        </is>
      </c>
      <c r="D34" t="n">
        <v>0</v>
      </c>
      <c r="E34" t="inlineStr">
        <is>
          <t>(none)</t>
        </is>
      </c>
      <c r="F34" t="n">
        <v>0</v>
      </c>
      <c r="G34" t="inlineStr">
        <is>
          <t>(none)</t>
        </is>
      </c>
      <c r="H34" t="n">
        <v>0</v>
      </c>
      <c r="I34" t="inlineStr">
        <is>
          <t>(none)</t>
        </is>
      </c>
      <c r="J34" t="n">
        <v>0</v>
      </c>
    </row>
    <row r="35">
      <c r="A35" t="inlineStr">
        <is>
          <t>pocket</t>
        </is>
      </c>
      <c r="B35" t="inlineStr">
        <is>
          <t>Bonus Potential</t>
        </is>
      </c>
      <c r="C35" t="inlineStr">
        <is>
          <t>normal</t>
        </is>
      </c>
      <c r="D35" t="n">
        <v>0</v>
      </c>
      <c r="E35" t="inlineStr">
        <is>
          <t>(none)</t>
        </is>
      </c>
      <c r="F35" t="n">
        <v>0</v>
      </c>
      <c r="G35" t="inlineStr">
        <is>
          <t>(none)</t>
        </is>
      </c>
      <c r="H35" t="n">
        <v>0</v>
      </c>
      <c r="I35" t="inlineStr">
        <is>
          <t>(none)</t>
        </is>
      </c>
      <c r="J35" t="n">
        <v>0</v>
      </c>
    </row>
  </sheetData>
  <dataValidations count="2">
    <dataValidation sqref="C6 C7 C8 C9 C10 C11 C12 C13 C14 C15 C16 C17 C18 C19 C20 C21 C22 C23 C24 C25 C26 C27 C28 C29 C30 C31 C32 C33 C34 C35" showDropDown="0" showInputMessage="0" showErrorMessage="0" allowBlank="0" type="list">
      <formula1>"normal,rare,epic,unique,legendary,mystic"</formula1>
    </dataValidation>
    <dataValidation sqref="E6 E7 E8 E9 E10 E11 E12 E13 E14 E15 E16 E17 E18 E19 E20 E21 E22 E23 E24 E25 E26 E27 E28 E29 E30 E31 E32 E33 E34 E35 G6 G7 G8 G9 G10 G11 G12 G13 G14 G15 G16 G17 G18 G19 G20 G21 G22 G23 G24 G25 G26 G27 G28 G29 G30 G31 G32 G33 G34 G35 I6 I7 I8 I9 I10 I11 I12 I13 I14 I15 I16 I17 I18 I19 I20 I21 I22 I23 I24 I25 I26 I27 I28 I29 I30 I31 I32 I33 I34 I35" showDropDown="0" showInputMessage="0" showErrorMessage="0" allowBlank="0" type="list">
      <formula1>=CubeData!$J$2:$J$30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2026-09-18T11:10:43Z</dcterms:created>
  <dcterms:modified xsi:type="dcterms:W3CDTF">2026-09-18T11:10:43Z</dcterms:modified>
</cp:coreProperties>
</file>