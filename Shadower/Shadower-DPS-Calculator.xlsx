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Feet/Agile Daggers)</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Into Darkness/Smokescreen)</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U1" s="5" t="inlineStr">
        <is>
          <t>Maple Hero (Shadower) helper — unused (see MAPLE_HERO_SHADOWER row's own Note)</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J2*(1+Summary!$B$51/100)*(1+Inputs!$B$15/100)*(1+Inputs!$B$16/100)*(5000/(6000+Inputs!$B$43*(1-Inputs!$B$19/100)))*(1+Inputs!$B$24/100)*(1+(IF(Skills!A2="CRUEL_STAB",Inputs!$B$17,Inputs!$B$18))/100)*(Summary!$B$57*Summary!$B$60*I2)</f>
        <v/>
      </c>
      <c r="L2">
        <f>K2*(MIN(Inputs!$B$22,Inputs!$B$23)/100+Inputs!$B$23/100)/2</f>
        <v/>
      </c>
      <c r="M2">
        <f>L2*(1+(Inputs!$B$10+Summary!$B$65)/100)</f>
        <v/>
      </c>
      <c r="N2">
        <f>L2*(1-MIN((Inputs!$B$9+Summary!$B$58),100)/100)+M2*(MIN((Inputs!$B$9+Summary!$B$58),100)/100)</f>
        <v/>
      </c>
      <c r="O2">
        <f>(1-Summary!$B$55)*T2+Summary!$B$55*V2</f>
        <v/>
      </c>
      <c r="P2">
        <f>IF(Summary!$B$3=0,0,O2/Summary!$B$3)</f>
        <v/>
      </c>
      <c r="Q2" t="n">
        <v>0</v>
      </c>
      <c r="R2" t="n">
        <v>0</v>
      </c>
      <c r="S2">
        <f>IFERROR(O2/N2,0)</f>
        <v/>
      </c>
      <c r="T2">
        <f>IF(C2,(Skills!G2*N2*Summary!$B$64)*IF(Inputs!$B$39="pvp",1,1+(Inputs!$B$20+Skills!P2+Summary!$B$59)/100),0)</f>
        <v/>
      </c>
      <c r="V2">
        <f>IF(C2,(Skills!G2*N2*Summary!$B$64)*IF(Inputs!$B$39="pvp",1,(1+(Inputs!$B$21+Skills!Q2+Summary!$B$59)/100)*(MIN(Skills!W2,Inputs!$B$37))),0)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(1-Summary!$B$55)*T3+Summary!$B$55*V3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J4*(1+Summary!$B$51/100)*(1+Inputs!$B$15/100)*(1+Inputs!$B$16/100)*(5000/(6000+Inputs!$B$43*(1-Inputs!$B$19/100)))*(1+Inputs!$B$24/100)*(1+(IF(Skills!A4="CRUEL_STAB",Inputs!$B$17,Inputs!$B$18))/100)*(Summary!$B$57*Summary!$B$60*I4)</f>
        <v/>
      </c>
      <c r="L4">
        <f>K4*(MIN(Inputs!$B$22,Inputs!$B$23)/100+Inputs!$B$23/100)/2</f>
        <v/>
      </c>
      <c r="M4">
        <f>L4*(1+(Inputs!$B$10+Summary!$B$65)/100)</f>
        <v/>
      </c>
      <c r="N4">
        <f>L4*(1-MIN((Inputs!$B$9+Summary!$B$58),100)/100)+M4*(MIN((Inputs!$B$9+Summary!$B$58),100)/100)</f>
        <v/>
      </c>
      <c r="O4">
        <f>(1-Summary!$B$55)*T4+Summary!$B$55*V4</f>
        <v/>
      </c>
      <c r="P4">
        <f>IF(Summary!$B$3=0,0,O4/Summary!$B$3)</f>
        <v/>
      </c>
      <c r="Q4">
        <f>IFERROR(1/IF(Inputs!$B$39="pvp",15,MAX(0.1,Skills!D4-IF(Skills!E4=TRUE,Inputs!$B$32,0))),0)</f>
        <v/>
      </c>
      <c r="R4">
        <f>IF(AND(Inputs!$B$39&lt;&gt;"pvp",Inputs!$B$44&gt;0),IF(MAX(0,Inputs!$B$44-Summary!$B$70)&lt;=0,0,(INT(MAX(0,Inputs!$B$44-Summary!$B$70)/IF(Inputs!$B$39="pvp",15,MAX(0.1,Skills!D4-IF(Skills!E4=TRUE,Inputs!$B$32,0))))+1)),0)</f>
        <v/>
      </c>
      <c r="S4">
        <f>IFERROR(O4/N4,0)</f>
        <v/>
      </c>
      <c r="T4">
        <f>IF(C4,(H4*N4*IF(AND(Inputs!$B$39&lt;&gt;"pvp",Inputs!$B$44&gt;0),((Skills!G4*((R4-1)*IF(Skills!H4&gt;0,Skills!I4/Skills!H4,1)+IF(Skills!H4&gt;0,MIN(Skills!I4,MAX(0,MAX(0,Inputs!$B$44-Summary!$B$70)-((R4-1)*IF(Inputs!$B$39="pvp",15,MAX(0.1,Skills!D4-IF(Skills!E4=TRUE,Inputs!$B$32,0))))))/Skills!H4,1)))/Inputs!$B$44),G4*Q4))*IF(Inputs!$B$39="pvp",1,1+(Inputs!$B$20+Skills!P4+Summary!$B$59)/100),0)</f>
        <v/>
      </c>
      <c r="V4">
        <f>IF(C4,(H4*N4*IF(AND(Inputs!$B$39&lt;&gt;"pvp",Inputs!$B$44&gt;0),((Skills!G4*((R4-1)*IF(Skills!H4&gt;0,Skills!I4/Skills!H4,1)+IF(Skills!H4&gt;0,MIN(Skills!I4,MAX(0,MAX(0,Inputs!$B$44-Summary!$B$70)-((R4-1)*IF(Inputs!$B$39="pvp",15,MAX(0.1,Skills!D4-IF(Skills!E4=TRUE,Inputs!$B$32,0))))))/Skills!H4,1)))/Inputs!$B$44),G4*Q4))*IF(Inputs!$B$39="pvp",1,(1+(Inputs!$B$21+Skills!Q4+Summary!$B$59)/100)*(MIN(MIN(10,0.5*Summary!$B$62*Skills!D4),Inputs!$B$37))),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J5*(1+Summary!$B$51/100)*(1+Inputs!$B$15/100)*(1+Inputs!$B$16/100)*(5000/(6000+Inputs!$B$43*(1-Inputs!$B$19/100)))*(1+Inputs!$B$24/100)*(1+2.6666666666666665*IF(C18=TRUE,F18,0)/100)*(1+(IF(Skills!A5="CRUEL_STAB",Inputs!$B$17,Inputs!$B$18))/100)*(Summary!$B$57*Summary!$B$60*I5)</f>
        <v/>
      </c>
      <c r="L5">
        <f>K5*(MIN(Inputs!$B$22,Inputs!$B$23)/100+Inputs!$B$23/100)/2</f>
        <v/>
      </c>
      <c r="M5">
        <f>L5*(1+(Inputs!$B$10+Summary!$B$65)/100)</f>
        <v/>
      </c>
      <c r="N5">
        <f>L5*(1-MIN((Inputs!$B$9+Summary!$B$58),100)/100)+M5*(MIN((Inputs!$B$9+Summary!$B$58),100)/100)</f>
        <v/>
      </c>
      <c r="O5">
        <f>(1-Summary!$B$55)*T5+Summary!$B$55*V5</f>
        <v/>
      </c>
      <c r="P5">
        <f>IF(Summary!$B$3=0,0,O5/Summary!$B$3)</f>
        <v/>
      </c>
      <c r="Q5">
        <f>IFERROR(1/IF(Inputs!$B$39="pvp",15,MAX(0.1,Skills!D5-IF(Skills!E5=TRUE,Inputs!$B$32,0))),0)</f>
        <v/>
      </c>
      <c r="R5">
        <f>IF(AND(Inputs!$B$39&lt;&gt;"pvp",Inputs!$B$44&gt;0),IF(MAX(0,Inputs!$B$44-Summary!$B$70)&lt;=0,0,(INT(MAX(0,Inputs!$B$44-Summary!$B$70)/IF(Inputs!$B$39="pvp",15,MAX(0.1,Skills!D5-IF(Skills!E5=TRUE,Inputs!$B$32,0))))+1)),0)</f>
        <v/>
      </c>
      <c r="S5">
        <f>IFERROR(O5/N5,0)</f>
        <v/>
      </c>
      <c r="T5">
        <f>IF(C5,(H5*N5*IF(AND(Inputs!$B$39&lt;&gt;"pvp",Inputs!$B$44&gt;0),((Skills!G5*((R5-1)*IF(Skills!H5&gt;0,Skills!I5/Skills!H5,1)+IF(Skills!H5&gt;0,MIN(Skills!I5,MAX(0,MAX(0,Inputs!$B$44-Summary!$B$70)-((R5-1)*IF(Inputs!$B$39="pvp",15,MAX(0.1,Skills!D5-IF(Skills!E5=TRUE,Inputs!$B$32,0))))))/Skills!H5,1)))/Inputs!$B$44),G5*Q5))*IF(Inputs!$B$39="pvp",1,1+(Inputs!$B$20+Skills!P5+Summary!$B$59)/100),0)</f>
        <v/>
      </c>
      <c r="V5">
        <f>IF(C5,(H5*N5*IF(AND(Inputs!$B$39&lt;&gt;"pvp",Inputs!$B$44&gt;0),((Skills!G5*((R5-1)*IF(Skills!H5&gt;0,Skills!I5/Skills!H5,1)+IF(Skills!H5&gt;0,MIN(Skills!I5,MAX(0,MAX(0,Inputs!$B$44-Summary!$B$70)-((R5-1)*IF(Inputs!$B$39="pvp",15,MAX(0.1,Skills!D5-IF(Skills!E5=TRUE,Inputs!$B$32,0))))))/Skills!H5,1)))/Inputs!$B$44),G5*Q5))*IF(Inputs!$B$39="pvp",1,(1+(Inputs!$B$21+Skills!Q5+Summary!$B$59)/100)*(MIN(Skills!W5,Inputs!$B$37))),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J6*(1+Summary!$B$51/100)*(1+Inputs!$B$15/100)*(1+Inputs!$B$16/100)*(5000/(6000+Inputs!$B$43*(1-Inputs!$B$19/100)))*(1+Inputs!$B$24/100)*(1+1.0*IF(C18=TRUE,F18,0)/100)*(1+(IF(Skills!A6="CRUEL_STAB",Inputs!$B$17,Inputs!$B$18))/100)*(Summary!$B$57*Summary!$B$60*I6)</f>
        <v/>
      </c>
      <c r="L6">
        <f>K6*(MIN(Inputs!$B$22,Inputs!$B$23)/100+Inputs!$B$23/100)/2</f>
        <v/>
      </c>
      <c r="M6">
        <f>L6*(1+(Inputs!$B$10+Summary!$B$65)/100)</f>
        <v/>
      </c>
      <c r="N6">
        <f>L6*(1-MIN((Inputs!$B$9+Summary!$B$58),100)/100)+M6*(MIN((Inputs!$B$9+Summary!$B$58),100)/100)</f>
        <v/>
      </c>
      <c r="O6">
        <f>(1-Summary!$B$55)*T6+Summary!$B$55*V6</f>
        <v/>
      </c>
      <c r="P6">
        <f>IF(Summary!$B$3=0,0,O6/Summary!$B$3)</f>
        <v/>
      </c>
      <c r="Q6">
        <f>IFERROR(1/IF(Inputs!$B$39="pvp",15,MAX(0.1,Skills!D6-IF(Skills!E6=TRUE,Inputs!$B$32,0))),0)</f>
        <v/>
      </c>
      <c r="R6">
        <f>IF(AND(Inputs!$B$39&lt;&gt;"pvp",Inputs!$B$44&gt;0),IF(MAX(0,Inputs!$B$44-Summary!$B$70)&lt;=0,0,(INT(MAX(0,Inputs!$B$44-Summary!$B$70)/IF(Inputs!$B$39="pvp",15,MAX(0.1,Skills!D6-IF(Skills!E6=TRUE,Inputs!$B$32,0))))+1)),0)</f>
        <v/>
      </c>
      <c r="S6">
        <f>IFERROR(O6/N6,0)</f>
        <v/>
      </c>
      <c r="T6">
        <f>IF(C6,(H6*N6*IF(AND(Inputs!$B$39&lt;&gt;"pvp",Inputs!$B$44&gt;0),((Skills!G6*((R6-1)*IF(Skills!H6&gt;0,Skills!I6/Skills!H6,1)+IF(Skills!H6&gt;0,MIN(Skills!I6,MAX(0,MAX(0,Inputs!$B$44-Summary!$B$70)-((R6-1)*IF(Inputs!$B$39="pvp",15,MAX(0.1,Skills!D6-IF(Skills!E6=TRUE,Inputs!$B$32,0))))))/Skills!H6,1)))/Inputs!$B$44),G6*Q6))*IF(Inputs!$B$39="pvp",1,1+(Inputs!$B$20+Skills!P6+Summary!$B$59)/100),0)</f>
        <v/>
      </c>
      <c r="V6">
        <f>IF(C6,(H6*N6*IF(AND(Inputs!$B$39&lt;&gt;"pvp",Inputs!$B$44&gt;0),((Skills!G6*((R6-1)*IF(Skills!H6&gt;0,Skills!I6/Skills!H6,1)+IF(Skills!H6&gt;0,MIN(Skills!I6,MAX(0,MAX(0,Inputs!$B$44-Summary!$B$70)-((R6-1)*IF(Inputs!$B$39="pvp",15,MAX(0.1,Skills!D6-IF(Skills!E6=TRUE,Inputs!$B$32,0))))))/Skills!H6,1)))/Inputs!$B$44),G6*Q6))*IF(Inputs!$B$39="pvp",1,(1+(Inputs!$B$21+Skills!Q6+Summary!$B$59)/100)*(MIN(Skills!W6,Inputs!$B$37))),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(1-Summary!$B$55)*T7+Summary!$B$55*V7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J8*(1+Summary!$B$51/100)*(1+Inputs!$B$15/100)*(1+Inputs!$B$16/100)*(5000/(6000+Inputs!$B$43*(1-Inputs!$B$19/100)))*(1+Inputs!$B$24/100)*(1+3.3333333333333335*IF(C18=TRUE,F18,0)/100)*(1+(IF(Skills!A8="CRUEL_STAB",Inputs!$B$17,Inputs!$B$18))/100)*(Summary!$B$57*Summary!$B$60*I8)</f>
        <v/>
      </c>
      <c r="L8">
        <f>K8*(MIN(Inputs!$B$22,Inputs!$B$23)/100+Inputs!$B$23/100)/2</f>
        <v/>
      </c>
      <c r="M8">
        <f>L8*(1+(Inputs!$B$10+Summary!$B$65)/100)</f>
        <v/>
      </c>
      <c r="N8">
        <f>L8*(1-MIN((Inputs!$B$9+Summary!$B$58),100)/100)+M8*(MIN((Inputs!$B$9+Summary!$B$58),100)/100)</f>
        <v/>
      </c>
      <c r="O8">
        <f>(1-Summary!$B$55)*T8+Summary!$B$55*V8</f>
        <v/>
      </c>
      <c r="P8">
        <f>IF(Summary!$B$3=0,0,O8/Summary!$B$3)</f>
        <v/>
      </c>
      <c r="Q8">
        <f>IFERROR(1/IF(Inputs!$B$39="pvp",15,MAX(0.1,Skills!D8-IF(Skills!E8=TRUE,Inputs!$B$32,0))),0)</f>
        <v/>
      </c>
      <c r="R8">
        <f>IF(AND(Inputs!$B$39&lt;&gt;"pvp",Inputs!$B$44&gt;0),IF(MAX(0,Inputs!$B$44-Summary!$B$70)&lt;=0,0,(INT(MAX(0,Inputs!$B$44-Summary!$B$70)/IF(Inputs!$B$39="pvp",15,MAX(0.1,Skills!D8-IF(Skills!E8=TRUE,Inputs!$B$32,0))))+1)),0)</f>
        <v/>
      </c>
      <c r="S8">
        <f>IFERROR(O8/N8,0)</f>
        <v/>
      </c>
      <c r="T8">
        <f>IF(C8,(H8*N8*IF(AND(Inputs!$B$39&lt;&gt;"pvp",Inputs!$B$44&gt;0),((Skills!G8*((R8-1)*IF(Skills!H8&gt;0,Skills!I8/Skills!H8,1)+IF(Skills!H8&gt;0,MIN(Skills!I8,MAX(0,MAX(0,Inputs!$B$44-Summary!$B$70)-((R8-1)*IF(Inputs!$B$39="pvp",15,MAX(0.1,Skills!D8-IF(Skills!E8=TRUE,Inputs!$B$32,0))))))/Skills!H8,1)))/Inputs!$B$44),G8*Q8))*IF(Inputs!$B$39="pvp",1,1+(Inputs!$B$20+Skills!P8+Summary!$B$59)/100),0)</f>
        <v/>
      </c>
      <c r="V8">
        <f>IF(C8,(H8*N8*IF(AND(Inputs!$B$39&lt;&gt;"pvp",Inputs!$B$44&gt;0),((Skills!G8*((R8-1)*IF(Skills!H8&gt;0,Skills!I8/Skills!H8,1)+IF(Skills!H8&gt;0,MIN(Skills!I8,MAX(0,MAX(0,Inputs!$B$44-Summary!$B$70)-((R8-1)*IF(Inputs!$B$39="pvp",15,MAX(0.1,Skills!D8-IF(Skills!E8=TRUE,Inputs!$B$32,0))))))/Skills!H8,1)))/Inputs!$B$44),G8*Q8))*IF(Inputs!$B$39="pvp",1,(1+(Inputs!$B$21+Skills!Q8+Summary!$B$59)/100)*(MIN(Skills!W8,Inputs!$B$37))),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J9*(1+Summary!$B$51/100)*(1+Inputs!$B$15/100)*(1+Inputs!$B$16/100)*(5000/(6000+Inputs!$B$43*(1-Inputs!$B$19/100)))*(1+Inputs!$B$24/100)*(1+(IF(Skills!A9="CRUEL_STAB",Inputs!$B$17,Inputs!$B$18))/100)*(Summary!$B$57*Summary!$B$60*I9)</f>
        <v/>
      </c>
      <c r="L9">
        <f>K9*(MIN(Inputs!$B$22,Inputs!$B$23)/100+Inputs!$B$23/100)/2</f>
        <v/>
      </c>
      <c r="M9">
        <f>L9*(1+(Inputs!$B$10+Summary!$B$65)/100)</f>
        <v/>
      </c>
      <c r="N9">
        <f>L9*(1-MIN((Inputs!$B$9+Summary!$B$58),100)/100)+M9*(MIN((Inputs!$B$9+Summary!$B$58),100)/100)</f>
        <v/>
      </c>
      <c r="O9">
        <f>(1-Summary!$B$55)*T9+Summary!$B$55*V9</f>
        <v/>
      </c>
      <c r="P9">
        <f>IF(Summary!$B$3=0,0,O9/Summary!$B$3)</f>
        <v/>
      </c>
      <c r="Q9" t="n">
        <v>0</v>
      </c>
      <c r="R9" t="n">
        <v>0</v>
      </c>
      <c r="S9" t="n">
        <v>0</v>
      </c>
      <c r="T9">
        <f>IF(C9,(0.2*SUMPRODUCT((Skills!Z2:Z30=TRUE)*(C2:C30=TRUE)*S2:S30)*N9)*IF(Inputs!$B$39="pvp",1,1+(Inputs!$B$20+Skills!P9+Summary!$B$59)/100),0)</f>
        <v/>
      </c>
      <c r="V9">
        <f>IF(C9,(0.2*SUMPRODUCT((Skills!Z2:Z30=TRUE)*(C2:C30=TRUE)*S2:S30)*N9)*IF(Inputs!$B$39="pvp",1,(1+(Inputs!$B$21+Skills!Q9+Summary!$B$59)/100)*(MIN(Skills!W9,Inputs!$B$37))),0)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(1-Summary!$B$55)*T10+Summary!$B$55*V10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J11*(1+Summary!$B$51/100)*(1+Inputs!$B$15/100)*(1+Inputs!$B$16/100)*(5000/(6000+Inputs!$B$43*(1-Inputs!$B$19/100)))*(1+Inputs!$B$24/100)*(1+(IF(Skills!A11="CRUEL_STAB",Inputs!$B$17,Inputs!$B$18))/100)*(Summary!$B$57*Summary!$B$60*I11)</f>
        <v/>
      </c>
      <c r="L11">
        <f>K11*(MIN(Inputs!$B$22,Inputs!$B$23)/100+Inputs!$B$23/100)/2</f>
        <v/>
      </c>
      <c r="M11">
        <f>L11*(1+(Inputs!$B$10+Summary!$B$65)/100)</f>
        <v/>
      </c>
      <c r="N11">
        <f>L11*(1-MIN((Inputs!$B$9+Summary!$B$58),100)/100)+M11*(MIN((Inputs!$B$9+Summary!$B$58),100)/100)</f>
        <v/>
      </c>
      <c r="O11">
        <f>(1-Summary!$B$55)*T11+Summary!$B$55*V11</f>
        <v/>
      </c>
      <c r="P11">
        <f>IF(Summary!$B$3=0,0,O11/Summary!$B$3)</f>
        <v/>
      </c>
      <c r="Q11">
        <f>IFERROR(1/IF(Inputs!$B$39="pvp",15,MAX(0.1,Skills!D11-IF(Skills!E11=TRUE,Inputs!$B$32,0))),0)</f>
        <v/>
      </c>
      <c r="R11">
        <f>IF(AND(Inputs!$B$39&lt;&gt;"pvp",Inputs!$B$44&gt;0),IF(MAX(0,Inputs!$B$44-Summary!$B$70)&lt;=0,0,(INT(MAX(0,Inputs!$B$44-Summary!$B$70)/IF(Inputs!$B$39="pvp",15,MAX(0.1,Skills!D11-IF(Skills!E11=TRUE,Inputs!$B$32,0))))+1)),0)</f>
        <v/>
      </c>
      <c r="S11">
        <f>IFERROR(O11/N11,0)</f>
        <v/>
      </c>
      <c r="T11">
        <f>IF(C11,(H11*N11*IF(AND(Inputs!$B$39&lt;&gt;"pvp",Inputs!$B$44&gt;0),((Skills!G11*((R11-1)*IF(Skills!H11&gt;0,Skills!I11/Skills!H11,1)+IF(Skills!H11&gt;0,MIN(Skills!I11,MAX(0,MAX(0,Inputs!$B$44-Summary!$B$70)-((R11-1)*IF(Inputs!$B$39="pvp",15,MAX(0.1,Skills!D11-IF(Skills!E11=TRUE,Inputs!$B$32,0))))))/Skills!H11,1)))/Inputs!$B$44),G11*Q11))*IF(Inputs!$B$39="pvp",1,1+(Inputs!$B$20+Skills!P11+Summary!$B$59)/100),0)</f>
        <v/>
      </c>
      <c r="V11">
        <f>IF(C11,(H11*N11*IF(AND(Inputs!$B$39&lt;&gt;"pvp",Inputs!$B$44&gt;0),((Skills!G11*((R11-1)*IF(Skills!H11&gt;0,Skills!I11/Skills!H11,1)+IF(Skills!H11&gt;0,MIN(Skills!I11,MAX(0,MAX(0,Inputs!$B$44-Summary!$B$70)-((R11-1)*IF(Inputs!$B$39="pvp",15,MAX(0.1,Skills!D11-IF(Skills!E11=TRUE,Inputs!$B$32,0))))))/Skills!H11,1)))/Inputs!$B$44),G11*Q11))*IF(Inputs!$B$39="pvp",1,(1+(Inputs!$B$21+Skills!Q11+Summary!$B$59)/100)*(MIN(Skills!W11,Inputs!$B$37))),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J12*(1+Summary!$B$51/100)*(1+Inputs!$B$15/100)*(1+Inputs!$B$16/100)*(5000/(6000+Inputs!$B$43*(1-Inputs!$B$19/100)))*(1+Inputs!$B$24/100)*(1+(IF(Skills!A12="CRUEL_STAB",Inputs!$B$17,Inputs!$B$18))/100)*(Summary!$B$57*Summary!$B$60*I12)</f>
        <v/>
      </c>
      <c r="L12">
        <f>K12*(MIN(Inputs!$B$22,Inputs!$B$23)/100+Inputs!$B$23/100)/2</f>
        <v/>
      </c>
      <c r="M12">
        <f>L12*(1+(Inputs!$B$10+Summary!$B$65)/100)</f>
        <v/>
      </c>
      <c r="N12">
        <f>L12*(1-MIN((Inputs!$B$9+Summary!$B$58),100)/100)+M12*(MIN((Inputs!$B$9+Summary!$B$58),100)/100)</f>
        <v/>
      </c>
      <c r="O12">
        <f>(1-Summary!$B$55)*T12+Summary!$B$55*V12</f>
        <v/>
      </c>
      <c r="P12">
        <f>IF(Summary!$B$3=0,0,O12/Summary!$B$3)</f>
        <v/>
      </c>
      <c r="Q12">
        <f>IFERROR(1/IF(Inputs!$B$39="pvp",15,MAX(0.1,Skills!D12-IF(Skills!E12=TRUE,Inputs!$B$32,0))),0)</f>
        <v/>
      </c>
      <c r="R12">
        <f>IF(AND(Inputs!$B$39&lt;&gt;"pvp",Inputs!$B$44&gt;0),IF(MAX(0,Inputs!$B$44-Summary!$B$70)&lt;=0,0,(INT(MAX(0,Inputs!$B$44-Summary!$B$70)/IF(Inputs!$B$39="pvp",15,MAX(0.1,Skills!D12-IF(Skills!E12=TRUE,Inputs!$B$32,0))))+1)),0)</f>
        <v/>
      </c>
      <c r="S12">
        <f>IFERROR(O12/N12,0)</f>
        <v/>
      </c>
      <c r="T12">
        <f>IF(C12,(H12*N12*IF(AND(Inputs!$B$39&lt;&gt;"pvp",Inputs!$B$44&gt;0),((Skills!G12*((R12-1)*IF(Skills!H12&gt;0,Skills!I12/Skills!H12,1)+IF(Skills!H12&gt;0,MIN(Skills!I12,MAX(0,MAX(0,Inputs!$B$44-Summary!$B$70)-((R12-1)*IF(Inputs!$B$39="pvp",15,MAX(0.1,Skills!D12-IF(Skills!E12=TRUE,Inputs!$B$32,0))))))/Skills!H12,1)))/Inputs!$B$44),G12*Q12))*IF(Inputs!$B$39="pvp",1,1+(Inputs!$B$20+Skills!P12+Summary!$B$59)/100),0)</f>
        <v/>
      </c>
      <c r="V12">
        <f>IF(C12,(H12*N12*IF(AND(Inputs!$B$39&lt;&gt;"pvp",Inputs!$B$44&gt;0),((Skills!G12*((R12-1)*IF(Skills!H12&gt;0,Skills!I12/Skills!H12,1)+IF(Skills!H12&gt;0,MIN(Skills!I12,MAX(0,MAX(0,Inputs!$B$44-Summary!$B$70)-((R12-1)*IF(Inputs!$B$39="pvp",15,MAX(0.1,Skills!D12-IF(Skills!E12=TRUE,Inputs!$B$32,0))))))/Skills!H12,1)))/Inputs!$B$44),G12*Q12))*IF(Inputs!$B$39="pvp",1,(1+(Inputs!$B$21+Skills!Q12+Summary!$B$59)/100)*(MIN(Skills!W12,Inputs!$B$37))),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J13*(1+Summary!$B$51/100)*(1+Inputs!$B$15/100)*(1+Inputs!$B$16/100)*(5000/(6000+Inputs!$B$43*(1-Inputs!$B$19/100)))*(1+Inputs!$B$24/100)*(1+(IF(Skills!A13="CRUEL_STAB",Inputs!$B$17,Inputs!$B$18))/100)*(Summary!$B$57*Summary!$B$60*I13)</f>
        <v/>
      </c>
      <c r="L13">
        <f>K13*(MIN(Inputs!$B$22,Inputs!$B$23)/100+Inputs!$B$23/100)/2</f>
        <v/>
      </c>
      <c r="M13">
        <f>L13*(1+(Inputs!$B$10+Summary!$B$65)/100)</f>
        <v/>
      </c>
      <c r="N13">
        <f>L13*(1-MIN((Inputs!$B$9+Summary!$B$58),100)/100)+M13*(MIN((Inputs!$B$9+Summary!$B$58),100)/100)</f>
        <v/>
      </c>
      <c r="O13">
        <f>(1-Summary!$B$55)*T13+Summary!$B$55*V13</f>
        <v/>
      </c>
      <c r="P13">
        <f>IF(Summary!$B$3=0,0,O13/Summary!$B$3)</f>
        <v/>
      </c>
      <c r="Q13">
        <f>IFERROR(1/IF(Inputs!$B$39="pvp",15,MAX(0.1,Skills!D13-IF(Skills!E13=TRUE,Inputs!$B$32,0))),0)</f>
        <v/>
      </c>
      <c r="R13">
        <f>IF(AND(Inputs!$B$39&lt;&gt;"pvp",Inputs!$B$44&gt;0),IF(MAX(0,Inputs!$B$44-Summary!$B$70)&lt;=0,0,(INT(MAX(0,Inputs!$B$44-Summary!$B$70)/IF(Inputs!$B$39="pvp",15,MAX(0.1,Skills!D13-IF(Skills!E13=TRUE,Inputs!$B$32,0))))+1)),0)</f>
        <v/>
      </c>
      <c r="S13">
        <f>IFERROR(O13/N13,0)</f>
        <v/>
      </c>
      <c r="T13">
        <f>IF(C13,(H13*N13*IF(AND(Inputs!$B$39&lt;&gt;"pvp",Inputs!$B$44&gt;0),((Skills!G13*((R13-1)*IF(Skills!H13&gt;0,Skills!I13/Skills!H13,1)+IF(Skills!H13&gt;0,MIN(Skills!I13,MAX(0,MAX(0,Inputs!$B$44-Summary!$B$70)-((R13-1)*IF(Inputs!$B$39="pvp",15,MAX(0.1,Skills!D13-IF(Skills!E13=TRUE,Inputs!$B$32,0))))))/Skills!H13,1)))/Inputs!$B$44),G13*Q13))*IF(Inputs!$B$39="pvp",1,1+(Inputs!$B$20+Skills!P13+Summary!$B$59)/100),0)</f>
        <v/>
      </c>
      <c r="V13">
        <f>IF(C13,(H13*N13*IF(AND(Inputs!$B$39&lt;&gt;"pvp",Inputs!$B$44&gt;0),((Skills!G13*((R13-1)*IF(Skills!H13&gt;0,Skills!I13/Skills!H13,1)+IF(Skills!H13&gt;0,MIN(Skills!I13,MAX(0,MAX(0,Inputs!$B$44-Summary!$B$70)-((R13-1)*IF(Inputs!$B$39="pvp",15,MAX(0.1,Skills!D13-IF(Skills!E13=TRUE,Inputs!$B$32,0))))))/Skills!H13,1)))/Inputs!$B$44),G13*Q13))*IF(Inputs!$B$39="pvp",1,(1+(Inputs!$B$21+Skills!Q13+Summary!$B$59)/100)*(MIN(Skills!W13,Inputs!$B$37))),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J14*(1+Summary!$B$51/100)*(1+Inputs!$B$15/100)*(1+Inputs!$B$16/100)*(5000/(6000+Inputs!$B$43*(1-Inputs!$B$19/100)))*(1+Inputs!$B$24/100)*(1+(IF(Skills!A14="CRUEL_STAB",Inputs!$B$17,Inputs!$B$18))/100)*(Summary!$B$57*Summary!$B$60*I14)</f>
        <v/>
      </c>
      <c r="L14">
        <f>K14*(MIN(Inputs!$B$22,Inputs!$B$23)/100+Inputs!$B$23/100)/2</f>
        <v/>
      </c>
      <c r="M14">
        <f>L14*(1+(Inputs!$B$10+Summary!$B$65)/100)</f>
        <v/>
      </c>
      <c r="N14">
        <f>L14*(1-MIN((Inputs!$B$9+Summary!$B$58),100)/100)+M14*(MIN((Inputs!$B$9+Summary!$B$58),100)/100)</f>
        <v/>
      </c>
      <c r="O14">
        <f>(1-Summary!$B$55)*T14+Summary!$B$55*V14</f>
        <v/>
      </c>
      <c r="P14">
        <f>IF(Summary!$B$3=0,0,O14/Summary!$B$3)</f>
        <v/>
      </c>
      <c r="Q14">
        <f>IFERROR(1/IF(Inputs!$B$39="pvp",15,MAX(0.1,Skills!D14-IF(Skills!E14=TRUE,Inputs!$B$32,0))),0)</f>
        <v/>
      </c>
      <c r="R14">
        <f>IF(AND(Inputs!$B$39&lt;&gt;"pvp",Inputs!$B$44&gt;0),IF(MAX(0,Inputs!$B$44-Summary!$B$70)&lt;=0,0,(INT(MAX(0,Inputs!$B$44-Summary!$B$70)/IF(Inputs!$B$39="pvp",15,MAX(0.1,Skills!D14-IF(Skills!E14=TRUE,Inputs!$B$32,0))))+1)),0)</f>
        <v/>
      </c>
      <c r="S14">
        <f>IFERROR(O14/N14,0)</f>
        <v/>
      </c>
      <c r="T14">
        <f>IF(C14,(H14*N14*IF(AND(Inputs!$B$39&lt;&gt;"pvp",Inputs!$B$44&gt;0),((Skills!G14*((R14-1)*IF(Skills!H14&gt;0,Skills!I14/Skills!H14,1)+IF(Skills!H14&gt;0,MIN(Skills!I14,MAX(0,MAX(0,Inputs!$B$44-Summary!$B$70)-((R14-1)*IF(Inputs!$B$39="pvp",15,MAX(0.1,Skills!D14-IF(Skills!E14=TRUE,Inputs!$B$32,0))))))/Skills!H14,1)))/Inputs!$B$44),G14*Q14))*IF(Inputs!$B$39="pvp",1,1+(Inputs!$B$20+Skills!P14+Summary!$B$59)/100),0)</f>
        <v/>
      </c>
      <c r="V14">
        <f>IF(C14,(H14*N14*IF(AND(Inputs!$B$39&lt;&gt;"pvp",Inputs!$B$44&gt;0),((Skills!G14*((R14-1)*IF(Skills!H14&gt;0,Skills!I14/Skills!H14,1)+IF(Skills!H14&gt;0,MIN(Skills!I14,MAX(0,MAX(0,Inputs!$B$44-Summary!$B$70)-((R14-1)*IF(Inputs!$B$39="pvp",15,MAX(0.1,Skills!D14-IF(Skills!E14=TRUE,Inputs!$B$32,0))))))/Skills!H14,1)))/Inputs!$B$44),G14*Q14))*IF(Inputs!$B$39="pvp",1,(1+(Inputs!$B$21+Skills!Q14+Summary!$B$59)/100)*(MIN(MIN(5,0.25*Summary!$B$62*Skills!D4)*Skills!V14,Inputs!$B$37))),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J16*(1+Summary!$B$51/100)*(1+Inputs!$B$15/100)*(1+Inputs!$B$16/100)*(5000/(6000+Inputs!$B$43*(1-Inputs!$B$19/100)))*(1+Inputs!$B$24/100)*(1+(IF(Skills!A16="CRUEL_STAB",Inputs!$B$17,Inputs!$B$18))/100)*(Summary!$B$57*Summary!$B$60*I16)</f>
        <v/>
      </c>
      <c r="L16">
        <f>K16*(MIN(Inputs!$B$22,Inputs!$B$23)/100+Inputs!$B$23/100)/2</f>
        <v/>
      </c>
      <c r="M16">
        <f>L16*(1+(Inputs!$B$10+Summary!$B$65)/100)</f>
        <v/>
      </c>
      <c r="N16">
        <f>L16*(1-MIN((Inputs!$B$9+Summary!$B$58),100)/100)+M16*(MIN((Inputs!$B$9+Summary!$B$58),100)/100)</f>
        <v/>
      </c>
      <c r="O16">
        <f>(1-Summary!$B$55)*T16+Summary!$B$55*V16</f>
        <v/>
      </c>
      <c r="P16">
        <f>IF(Summary!$B$3=0,0,O16/Summary!$B$3)</f>
        <v/>
      </c>
      <c r="Q16" t="n">
        <v>0</v>
      </c>
      <c r="R16" t="n">
        <v>0</v>
      </c>
      <c r="S16">
        <f>IFERROR(O16/N16,0)</f>
        <v/>
      </c>
      <c r="T16">
        <f>IF(C16,(Inputs!$B$38*0.2*N16)*IF(Inputs!$B$39="pvp",1,1+(Inputs!$B$20+Skills!P16+Summary!$B$59)/100),0)</f>
        <v/>
      </c>
      <c r="V16">
        <f>IF(C16,(Inputs!$B$38*0.2*N16)*IF(Inputs!$B$39="pvp",1,(1+(Inputs!$B$21+Skills!Q16+Summary!$B$59)/100)*(MIN(Skills!W16,Inputs!$B$37))),0)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(1-Summary!$B$55)*T27+Summary!$B$55*V27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(1-Summary!$B$55)*T28+Summary!$B$55*V28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(1-Summary!$B$55)*T29+Summary!$B$55*V29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(1-Summary!$B$55)*T30+Summary!$B$55*V30</f>
        <v/>
      </c>
      <c r="P30">
        <f>IF(Summary!$B$3=0,0,O30/Summary!$B$3)</f>
        <v/>
      </c>
      <c r="Q30" t="n">
        <v>0</v>
      </c>
      <c r="R30" t="n">
        <v>0</v>
      </c>
      <c r="S30">
        <f>IFERROR(O30/N30,0)</f>
        <v/>
      </c>
      <c r="T30" t="n">
        <v>0</v>
      </c>
      <c r="V30"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2"/>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(Cruel Stab) Input Level (4th job formula)</t>
        </is>
      </c>
      <c r="B52">
        <f>MAX(0,(Inputs!$B$3-100)*3)+Inputs!$B$28+Inputs!$B$29</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Into Darkness + Smokescreen FD)</t>
        </is>
      </c>
      <c r="B57">
        <f>(1+((Calc!C21=TRUE)*Calc!F21*IF(AND(Inputs!$B$39&lt;&gt;"pvp",Inputs!$B$44&gt;0),(((Calc!R21-1)*(Skills!Y21*(1+Inputs!$B$34/100))+MIN((Skills!Y21*(1+Inputs!$B$34/100)),MAX(0,Inputs!$B$44-((Calc!R21-1)*Skills!D21))))/Inputs!$B$44),IF(Inputs!$B$39="pvp",MIN((Skills!Y21*(1+Inputs!$B$34/100)),15)/15,(Skills!Y21*(1+Inputs!$B$34/100))/Skills!D21)))/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58">
      <c r="A58" t="inlineStr">
        <is>
          <t>Global Crit Rate Bonus % (Dark Sight Crit Rate, duty-cycle averaged)</t>
        </is>
      </c>
      <c r="B58">
        <f>((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$39&lt;&gt;"pvp",Inputs!$B$44&gt;0),(((Calc!R19-1)*(Skills!Y19*(1+Inputs!$B$34/100))+MIN((Skills!Y19*(1+Inputs!$B$34/100)),MAX(0,Inputs!$B$44-((Calc!R19-1)*Skills!D19))))/Inputs!$B$44),IF(Inputs!$B$39="pvp",MIN((Skills!Y19*(1+Inputs!$B$34/100)),15)/15,(Skills!Y19*(1+Inputs!$B$34/100))/Skills!D19)))+((Calc!C3=TRUE)*Calc!F3*3)</f>
        <v/>
      </c>
    </row>
    <row r="62">
      <c r="A62" t="inlineStr">
        <is>
          <t>Actions Per Second</t>
        </is>
      </c>
      <c r="B62">
        <f>1+MIN(150,150*(1-(1-Inputs!$B$11/150)*(1-B61/150)))/100</f>
        <v/>
      </c>
    </row>
    <row r="63">
      <c r="A63" t="inlineStr">
        <is>
          <t>Skill + Buff Cast Rate (subtracted from Cruel Stab, 1/s)</t>
        </is>
      </c>
      <c r="B63">
        <f>IF(AND(Inputs!$B$39&lt;&gt;"pvp",Inputs!$B$44&gt;0),SUMPRODUCT((Skills!E2:E30=TRUE)*(Calc!C2:C30=TRUE)*Calc!R2:R30*Skills!F2:F30)/Inputs!$B$44,SUMPRODUCT((Skills!E2:E30=TRUE)*(Calc!C2:C30=TRUE)*Calc!Q2:Q30*Skills!F2:F30))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$39&lt;&gt;"pvp",Inputs!$B$44&gt;0),(((Calc!R15-1)*(Skills!Y15*(1+Inputs!$B$34/100))+MIN((Skills!Y15*(1+Inputs!$B$34/100)),MAX(0,Inputs!$B$44-((Calc!R15-1)*Skills!D15))))/Inputs!$B$44),IF(Inputs!$B$39="pvp",MIN((Skills!Y15*(1+Inputs!$B$34/100)),15)/15,(Skills!Y15*(1+Inputs!$B$34/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row r="70">
      <c r="A70" t="inlineStr">
        <is>
          <t>Buff-Casting Startup Delay (s, before first damage-skill cast; fixed-duration only)</t>
        </is>
      </c>
      <c r="B70">
        <f>IF(AND(Inputs!$B$39&lt;&gt;"pvp",Inputs!$B$44&gt;0),SUMPRODUCT((Skills!Y2:Y30&gt;0)*(Skills!E2:E30=TRUE)*(Calc!C2:C30=TRUE))/B62,0)</f>
        <v/>
      </c>
    </row>
    <row r="71">
      <c r="A71" t="inlineStr">
        <is>
          <t>Boss-Only Total DPS (Sensitivity baseline)</t>
        </is>
      </c>
      <c r="B71">
        <f>SUM(Calc!T2:T30)</f>
        <v/>
      </c>
    </row>
    <row r="72">
      <c r="A72" t="inlineStr">
        <is>
          <t>Normal-Only Total DPS (Sensitivity baseline)</t>
        </is>
      </c>
      <c r="B72">
        <f>SUM(Calc!V2:V30)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89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B79</f>
        <v/>
      </c>
      <c r="H5">
        <f>Summary!$B$3*(((1-Summary!$B$55)*IFERROR(B80/Summary!$B$71,1)+Summary!$B$55*IFERROR(B81/Summary!$B$72,1))-1)</f>
        <v/>
      </c>
      <c r="I5">
        <f>((1-Summary!$B$55)*IFERROR(B80/Summary!$B$71,1)+Summary!$B$55*IFERROR(B81/Summary!$B$72,1))*100</f>
        <v/>
      </c>
    </row>
    <row r="6">
      <c r="A6" t="inlineStr">
        <is>
          <t>LUK %</t>
        </is>
      </c>
      <c r="B6">
        <f>IFERROR(1/(I6-100),"n/a")</f>
        <v/>
      </c>
      <c r="C6" t="inlineStr">
        <is>
          <t>pct</t>
        </is>
      </c>
      <c r="D6">
        <f>Inputs!$B$13</f>
        <v/>
      </c>
      <c r="E6">
        <f>(Inputs!$B$13+1)</f>
        <v/>
      </c>
      <c r="F6">
        <f>Summary!$B$3</f>
        <v/>
      </c>
      <c r="G6">
        <f>B129</f>
        <v/>
      </c>
      <c r="H6">
        <f>Summary!$B$3*(((1-Summary!$B$55)*IFERROR(B130/Summary!$B$71,1)+Summary!$B$55*IFERROR(B131/Summary!$B$72,1))-1)</f>
        <v/>
      </c>
      <c r="I6">
        <f>((1-Summary!$B$55)*IFERROR(B130/Summary!$B$71,1)+Summary!$B$55*IFERROR(B131/Summary!$B$72,1))*100</f>
        <v/>
      </c>
    </row>
    <row r="7">
      <c r="A7" t="inlineStr">
        <is>
          <t>DEX</t>
        </is>
      </c>
      <c r="B7">
        <f>IFERROR(1/(I7-100),"n/a")</f>
        <v/>
      </c>
      <c r="C7" t="inlineStr">
        <is>
          <t>flat</t>
        </is>
      </c>
      <c r="D7">
        <f>Inputs!$B$14</f>
        <v/>
      </c>
      <c r="E7">
        <f>(Inputs!$B$14+1)</f>
        <v/>
      </c>
      <c r="F7">
        <f>Summary!$B$3</f>
        <v/>
      </c>
      <c r="G7">
        <f>B179</f>
        <v/>
      </c>
      <c r="H7">
        <f>Summary!$B$3*(((1-Summary!$B$55)*IFERROR(B180/Summary!$B$71,1)+Summary!$B$55*IFERROR(B181/Summary!$B$72,1))-1)</f>
        <v/>
      </c>
      <c r="I7">
        <f>((1-Summary!$B$55)*IFERROR(B180/Summary!$B$71,1)+Summary!$B$55*IFERROR(B181/Summary!$B$72,1))*100</f>
        <v/>
      </c>
    </row>
    <row r="8">
      <c r="A8" t="inlineStr">
        <is>
          <t>DAMAGE %</t>
        </is>
      </c>
      <c r="B8">
        <f>IFERROR(1/(I8-100),"n/a")</f>
        <v/>
      </c>
      <c r="C8" t="inlineStr">
        <is>
          <t>pct</t>
        </is>
      </c>
      <c r="D8">
        <f>Inputs!$B$15</f>
        <v/>
      </c>
      <c r="E8">
        <f>(Inputs!$B$15+1)</f>
        <v/>
      </c>
      <c r="F8">
        <f>Summary!$B$3</f>
        <v/>
      </c>
      <c r="G8">
        <f>B229</f>
        <v/>
      </c>
      <c r="H8">
        <f>Summary!$B$3*(((1-Summary!$B$55)*IFERROR(B230/Summary!$B$71,1)+Summary!$B$55*IFERROR(B231/Summary!$B$72,1))-1)</f>
        <v/>
      </c>
      <c r="I8">
        <f>((1-Summary!$B$55)*IFERROR(B230/Summary!$B$71,1)+Summary!$B$55*IFERROR(B231/Summary!$B$72,1))*100</f>
        <v/>
      </c>
    </row>
    <row r="9">
      <c r="A9" t="inlineStr">
        <is>
          <t>DAMAGE_AMP %</t>
        </is>
      </c>
      <c r="B9">
        <f>IFERROR(1/(I9-100),"n/a")</f>
        <v/>
      </c>
      <c r="C9" t="inlineStr">
        <is>
          <t>pct</t>
        </is>
      </c>
      <c r="D9">
        <f>Inputs!$B$16</f>
        <v/>
      </c>
      <c r="E9">
        <f>(Inputs!$B$16+1)</f>
        <v/>
      </c>
      <c r="F9">
        <f>Summary!$B$3</f>
        <v/>
      </c>
      <c r="G9">
        <f>B279</f>
        <v/>
      </c>
      <c r="H9">
        <f>Summary!$B$3*(((1-Summary!$B$55)*IFERROR(B280/Summary!$B$71,1)+Summary!$B$55*IFERROR(B281/Summary!$B$72,1))-1)</f>
        <v/>
      </c>
      <c r="I9">
        <f>((1-Summary!$B$55)*IFERROR(B280/Summary!$B$71,1)+Summary!$B$55*IFERROR(B281/Summary!$B$72,1))*100</f>
        <v/>
      </c>
    </row>
    <row r="10">
      <c r="A10" t="inlineStr">
        <is>
          <t>BOSS_DAMAGE %</t>
        </is>
      </c>
      <c r="B10">
        <f>IFERROR(1/(I10-100),"n/a")</f>
        <v/>
      </c>
      <c r="C10" t="inlineStr">
        <is>
          <t>pct</t>
        </is>
      </c>
      <c r="D10">
        <f>Inputs!$B$20</f>
        <v/>
      </c>
      <c r="E10">
        <f>(Inputs!$B$20+1)</f>
        <v/>
      </c>
      <c r="F10">
        <f>Summary!$B$3</f>
        <v/>
      </c>
      <c r="G10">
        <f>B329</f>
        <v/>
      </c>
      <c r="H10">
        <f>Summary!$B$3*(((1-Summary!$B$55)*IFERROR(B330/Summary!$B$71,1)+Summary!$B$55*IFERROR(B331/Summary!$B$72,1))-1)</f>
        <v/>
      </c>
      <c r="I10">
        <f>((1-Summary!$B$55)*IFERROR(B330/Summary!$B$71,1)+Summary!$B$55*IFERROR(B331/Summary!$B$72,1))*100</f>
        <v/>
      </c>
    </row>
    <row r="11">
      <c r="A11" t="inlineStr">
        <is>
          <t>NORMAL_DAMAGE %</t>
        </is>
      </c>
      <c r="B11">
        <f>IFERROR(1/(I11-100),"n/a")</f>
        <v/>
      </c>
      <c r="C11" t="inlineStr">
        <is>
          <t>pct</t>
        </is>
      </c>
      <c r="D11">
        <f>Inputs!$B$21</f>
        <v/>
      </c>
      <c r="E11">
        <f>(Inputs!$B$21+1)</f>
        <v/>
      </c>
      <c r="F11">
        <f>Summary!$B$3</f>
        <v/>
      </c>
      <c r="G11">
        <f>B379</f>
        <v/>
      </c>
      <c r="H11">
        <f>Summary!$B$3*(((1-Summary!$B$55)*IFERROR(B380/Summary!$B$71,1)+Summary!$B$55*IFERROR(B381/Summary!$B$72,1))-1)</f>
        <v/>
      </c>
      <c r="I11">
        <f>((1-Summary!$B$55)*IFERROR(B380/Summary!$B$71,1)+Summary!$B$55*IFERROR(B381/Summary!$B$72,1))*100</f>
        <v/>
      </c>
    </row>
    <row r="12">
      <c r="A12" t="inlineStr">
        <is>
          <t>FINAL_DAMAGE % (multiplicative source)</t>
        </is>
      </c>
      <c r="B12">
        <f>IFERROR(1/(I12-100),"n/a")</f>
        <v/>
      </c>
      <c r="C12" t="inlineStr">
        <is>
          <t>mult</t>
        </is>
      </c>
      <c r="D12">
        <f>Inputs!$B$24</f>
        <v/>
      </c>
      <c r="E12">
        <f>((((1+Inputs!$B$24/100)*(1.01))-1)*100)</f>
        <v/>
      </c>
      <c r="F12">
        <f>Summary!$B$3</f>
        <v/>
      </c>
      <c r="G12">
        <f>B429</f>
        <v/>
      </c>
      <c r="H12">
        <f>Summary!$B$3*(((1-Summary!$B$55)*IFERROR(B430/Summary!$B$71,1)+Summary!$B$55*IFERROR(B431/Summary!$B$72,1))-1)</f>
        <v/>
      </c>
      <c r="I12">
        <f>((1-Summary!$B$55)*IFERROR(B430/Summary!$B$71,1)+Summary!$B$55*IFERROR(B431/Summary!$B$72,1))*100</f>
        <v/>
      </c>
    </row>
    <row r="13">
      <c r="A13" t="inlineStr">
        <is>
          <t>MIN_DAMAGE %</t>
        </is>
      </c>
      <c r="B13">
        <f>IFERROR(1/(I13-100),"n/a")</f>
        <v/>
      </c>
      <c r="C13" t="inlineStr">
        <is>
          <t>pct</t>
        </is>
      </c>
      <c r="D13">
        <f>Inputs!$B$22</f>
        <v/>
      </c>
      <c r="E13">
        <f>(Inputs!$B$22+1)</f>
        <v/>
      </c>
      <c r="F13">
        <f>Summary!$B$3</f>
        <v/>
      </c>
      <c r="G13">
        <f>B479</f>
        <v/>
      </c>
      <c r="H13">
        <f>Summary!$B$3*(((1-Summary!$B$55)*IFERROR(B480/Summary!$B$71,1)+Summary!$B$55*IFERROR(B481/Summary!$B$72,1))-1)</f>
        <v/>
      </c>
      <c r="I13">
        <f>((1-Summary!$B$55)*IFERROR(B480/Summary!$B$71,1)+Summary!$B$55*IFERROR(B481/Summary!$B$72,1))*100</f>
        <v/>
      </c>
    </row>
    <row r="14">
      <c r="A14" t="inlineStr">
        <is>
          <t>MAX_DAMAGE %</t>
        </is>
      </c>
      <c r="B14">
        <f>IFERROR(1/(I14-100),"n/a")</f>
        <v/>
      </c>
      <c r="C14" t="inlineStr">
        <is>
          <t>pct</t>
        </is>
      </c>
      <c r="D14">
        <f>Inputs!$B$23</f>
        <v/>
      </c>
      <c r="E14">
        <f>(Inputs!$B$23+1)</f>
        <v/>
      </c>
      <c r="F14">
        <f>Summary!$B$3</f>
        <v/>
      </c>
      <c r="G14">
        <f>B529</f>
        <v/>
      </c>
      <c r="H14">
        <f>Summary!$B$3*(((1-Summary!$B$55)*IFERROR(B530/Summary!$B$71,1)+Summary!$B$55*IFERROR(B531/Summary!$B$72,1))-1)</f>
        <v/>
      </c>
      <c r="I14">
        <f>((1-Summary!$B$55)*IFERROR(B530/Summary!$B$71,1)+Summary!$B$55*IFERROR(B531/Summary!$B$72,1))*100</f>
        <v/>
      </c>
    </row>
    <row r="15">
      <c r="A15" t="inlineStr">
        <is>
          <t>CRIT_RATE %</t>
        </is>
      </c>
      <c r="B15">
        <f>IFERROR(1/(I15-100),"n/a")</f>
        <v/>
      </c>
      <c r="C15" t="inlineStr">
        <is>
          <t>pct</t>
        </is>
      </c>
      <c r="D15">
        <f>Inputs!$B$9</f>
        <v/>
      </c>
      <c r="E15">
        <f>(Inputs!$B$9+1)</f>
        <v/>
      </c>
      <c r="F15">
        <f>Summary!$B$3</f>
        <v/>
      </c>
      <c r="G15">
        <f>B579</f>
        <v/>
      </c>
      <c r="H15">
        <f>Summary!$B$3*(((1-Summary!$B$55)*IFERROR(B580/Summary!$B$71,1)+Summary!$B$55*IFERROR(B581/Summary!$B$72,1))-1)</f>
        <v/>
      </c>
      <c r="I15">
        <f>((1-Summary!$B$55)*IFERROR(B580/Summary!$B$71,1)+Summary!$B$55*IFERROR(B581/Summary!$B$72,1))*100</f>
        <v/>
      </c>
    </row>
    <row r="16">
      <c r="A16" t="inlineStr">
        <is>
          <t>CRIT_DAMAGE %</t>
        </is>
      </c>
      <c r="B16">
        <f>IFERROR(1/(I16-100),"n/a")</f>
        <v/>
      </c>
      <c r="C16" t="inlineStr">
        <is>
          <t>pct</t>
        </is>
      </c>
      <c r="D16">
        <f>Inputs!$B$10</f>
        <v/>
      </c>
      <c r="E16">
        <f>(Inputs!$B$10+1)</f>
        <v/>
      </c>
      <c r="F16">
        <f>Summary!$B$3</f>
        <v/>
      </c>
      <c r="G16">
        <f>B629</f>
        <v/>
      </c>
      <c r="H16">
        <f>Summary!$B$3*(((1-Summary!$B$55)*IFERROR(B630/Summary!$B$71,1)+Summary!$B$55*IFERROR(B631/Summary!$B$72,1))-1)</f>
        <v/>
      </c>
      <c r="I16">
        <f>((1-Summary!$B$55)*IFERROR(B630/Summary!$B$71,1)+Summary!$B$55*IFERROR(B631/Summary!$B$72,1))*100</f>
        <v/>
      </c>
    </row>
    <row r="17">
      <c r="A17" t="inlineStr">
        <is>
          <t>ATTACK_SPEED % (diminishing returns, factor 150)</t>
        </is>
      </c>
      <c r="B17">
        <f>IFERROR(1/(I17-100),"n/a")</f>
        <v/>
      </c>
      <c r="C17" t="inlineStr">
        <is>
          <t>dr150</t>
        </is>
      </c>
      <c r="D17">
        <f>Inputs!$B$11</f>
        <v/>
      </c>
      <c r="E17">
        <f>((1-(1-Inputs!$B$11/150)*(1-1/150))*150)</f>
        <v/>
      </c>
      <c r="F17">
        <f>Summary!$B$3</f>
        <v/>
      </c>
      <c r="G17">
        <f>B679</f>
        <v/>
      </c>
      <c r="H17">
        <f>Summary!$B$3*(((1-Summary!$B$55)*IFERROR(B680/Summary!$B$71,1)+Summary!$B$55*IFERROR(B681/Summary!$B$72,1))-1)</f>
        <v/>
      </c>
      <c r="I17">
        <f>((1-Summary!$B$55)*IFERROR(B680/Summary!$B$71,1)+Summary!$B$55*IFERROR(B681/Summary!$B$72,1))*100</f>
        <v/>
      </c>
    </row>
    <row r="18">
      <c r="A18" t="inlineStr">
        <is>
          <t>DEF_PEN % (diminishing returns, factor 100)</t>
        </is>
      </c>
      <c r="B18">
        <f>IFERROR(1/(I18-100),"n/a")</f>
        <v/>
      </c>
      <c r="C18" t="inlineStr">
        <is>
          <t>dr100</t>
        </is>
      </c>
      <c r="D18">
        <f>Inputs!$B$19</f>
        <v/>
      </c>
      <c r="E18">
        <f>((1-(1-Inputs!$B$19/100)*(1-1/100))*100)</f>
        <v/>
      </c>
      <c r="F18">
        <f>Summary!$B$3</f>
        <v/>
      </c>
      <c r="G18">
        <f>B729</f>
        <v/>
      </c>
      <c r="H18">
        <f>Summary!$B$3*(((1-Summary!$B$55)*IFERROR(B730/Summary!$B$71,1)+Summary!$B$55*IFERROR(B731/Summary!$B$72,1))-1)</f>
        <v/>
      </c>
      <c r="I18">
        <f>((1-Summary!$B$55)*IFERROR(B730/Summary!$B$71,1)+Summary!$B$55*IFERROR(B731/Summary!$B$72,1))*100</f>
        <v/>
      </c>
    </row>
    <row r="19">
      <c r="A19" t="inlineStr">
        <is>
          <t>BASIC_ATTACK_DAMAGE %</t>
        </is>
      </c>
      <c r="B19">
        <f>IFERROR(1/(I19-100),"n/a")</f>
        <v/>
      </c>
      <c r="C19" t="inlineStr">
        <is>
          <t>pct</t>
        </is>
      </c>
      <c r="D19">
        <f>Inputs!$B$17</f>
        <v/>
      </c>
      <c r="E19">
        <f>(Inputs!$B$17+1)</f>
        <v/>
      </c>
      <c r="F19">
        <f>Summary!$B$3</f>
        <v/>
      </c>
      <c r="G19">
        <f>B779</f>
        <v/>
      </c>
      <c r="H19">
        <f>Summary!$B$3*(((1-Summary!$B$55)*IFERROR(B780/Summary!$B$71,1)+Summary!$B$55*IFERROR(B781/Summary!$B$72,1))-1)</f>
        <v/>
      </c>
      <c r="I19">
        <f>((1-Summary!$B$55)*IFERROR(B780/Summary!$B$71,1)+Summary!$B$55*IFERROR(B781/Summary!$B$72,1))*100</f>
        <v/>
      </c>
    </row>
    <row r="20">
      <c r="A20" t="inlineStr">
        <is>
          <t>SKILL_DAMAGE %</t>
        </is>
      </c>
      <c r="B20">
        <f>IFERROR(1/(I20-100),"n/a")</f>
        <v/>
      </c>
      <c r="C20" t="inlineStr">
        <is>
          <t>pct</t>
        </is>
      </c>
      <c r="D20">
        <f>Inputs!$B$18</f>
        <v/>
      </c>
      <c r="E20">
        <f>(Inputs!$B$18+1)</f>
        <v/>
      </c>
      <c r="F20">
        <f>Summary!$B$3</f>
        <v/>
      </c>
      <c r="G20">
        <f>B829</f>
        <v/>
      </c>
      <c r="H20">
        <f>Summary!$B$3*(((1-Summary!$B$55)*IFERROR(B830/Summary!$B$71,1)+Summary!$B$55*IFERROR(B831/Summary!$B$72,1))-1)</f>
        <v/>
      </c>
      <c r="I20">
        <f>((1-Summary!$B$55)*IFERROR(B830/Summary!$B$71,1)+Summary!$B$55*IFERROR(B831/Summary!$B$72,1))*100</f>
        <v/>
      </c>
    </row>
    <row r="21">
      <c r="A21" t="inlineStr">
        <is>
          <t>Skill Level Bonus — 1st Job</t>
        </is>
      </c>
      <c r="B21">
        <f>IFERROR(1/(I21-100),"n/a")</f>
        <v/>
      </c>
      <c r="C21" t="inlineStr">
        <is>
          <t>level</t>
        </is>
      </c>
      <c r="D21">
        <f>Inputs!$B$25</f>
        <v/>
      </c>
      <c r="E21">
        <f>(Inputs!$B$25+1)</f>
        <v/>
      </c>
      <c r="F21">
        <f>Summary!$B$3</f>
        <v/>
      </c>
      <c r="G21">
        <f>B879</f>
        <v/>
      </c>
      <c r="H21">
        <f>Summary!$B$3*(((1-Summary!$B$55)*IFERROR(B880/Summary!$B$71,1)+Summary!$B$55*IFERROR(B881/Summary!$B$72,1))-1)</f>
        <v/>
      </c>
      <c r="I21">
        <f>((1-Summary!$B$55)*IFERROR(B880/Summary!$B$71,1)+Summary!$B$55*IFERROR(B881/Summary!$B$72,1))*100</f>
        <v/>
      </c>
    </row>
    <row r="22">
      <c r="A22" t="inlineStr">
        <is>
          <t>Skill Level Bonus — 2nd Job</t>
        </is>
      </c>
      <c r="B22">
        <f>IFERROR(1/(I22-100),"n/a")</f>
        <v/>
      </c>
      <c r="C22" t="inlineStr">
        <is>
          <t>level</t>
        </is>
      </c>
      <c r="D22">
        <f>Inputs!$B$26</f>
        <v/>
      </c>
      <c r="E22">
        <f>(Inputs!$B$26+1)</f>
        <v/>
      </c>
      <c r="F22">
        <f>Summary!$B$3</f>
        <v/>
      </c>
      <c r="G22">
        <f>B929</f>
        <v/>
      </c>
      <c r="H22">
        <f>Summary!$B$3*(((1-Summary!$B$55)*IFERROR(B930/Summary!$B$71,1)+Summary!$B$55*IFERROR(B931/Summary!$B$72,1))-1)</f>
        <v/>
      </c>
      <c r="I22">
        <f>((1-Summary!$B$55)*IFERROR(B930/Summary!$B$71,1)+Summary!$B$55*IFERROR(B931/Summary!$B$72,1))*100</f>
        <v/>
      </c>
    </row>
    <row r="23">
      <c r="A23" t="inlineStr">
        <is>
          <t>Skill Level Bonus — 3rd Job</t>
        </is>
      </c>
      <c r="B23">
        <f>IFERROR(1/(I23-100),"n/a")</f>
        <v/>
      </c>
      <c r="C23" t="inlineStr">
        <is>
          <t>level</t>
        </is>
      </c>
      <c r="D23">
        <f>Inputs!$B$27</f>
        <v/>
      </c>
      <c r="E23">
        <f>(Inputs!$B$27+1)</f>
        <v/>
      </c>
      <c r="F23">
        <f>Summary!$B$3</f>
        <v/>
      </c>
      <c r="G23">
        <f>B979</f>
        <v/>
      </c>
      <c r="H23">
        <f>Summary!$B$3*(((1-Summary!$B$55)*IFERROR(B980/Summary!$B$71,1)+Summary!$B$55*IFERROR(B981/Summary!$B$72,1))-1)</f>
        <v/>
      </c>
      <c r="I23">
        <f>((1-Summary!$B$55)*IFERROR(B980/Summary!$B$71,1)+Summary!$B$55*IFERROR(B981/Summary!$B$72,1))*100</f>
        <v/>
      </c>
    </row>
    <row r="24">
      <c r="A24" t="inlineStr">
        <is>
          <t>Skill Level Bonus — 4th Job</t>
        </is>
      </c>
      <c r="B24">
        <f>IFERROR(1/(I24-100),"n/a")</f>
        <v/>
      </c>
      <c r="C24" t="inlineStr">
        <is>
          <t>level</t>
        </is>
      </c>
      <c r="D24">
        <f>Inputs!$B$28</f>
        <v/>
      </c>
      <c r="E24">
        <f>(Inputs!$B$28+1)</f>
        <v/>
      </c>
      <c r="F24">
        <f>Summary!$B$3</f>
        <v/>
      </c>
      <c r="G24">
        <f>B1029</f>
        <v/>
      </c>
      <c r="H24">
        <f>Summary!$B$3*(((1-Summary!$B$55)*IFERROR(B1030/Summary!$B$71,1)+Summary!$B$55*IFERROR(B1031/Summary!$B$72,1))-1)</f>
        <v/>
      </c>
      <c r="I24">
        <f>((1-Summary!$B$55)*IFERROR(B1030/Summary!$B$71,1)+Summary!$B$55*IFERROR(B1031/Summary!$B$72,1))*100</f>
        <v/>
      </c>
    </row>
    <row r="25">
      <c r="A25" t="inlineStr">
        <is>
          <t>Skill Level Bonus — All Skills</t>
        </is>
      </c>
      <c r="B25">
        <f>IFERROR(1/(I25-100),"n/a")</f>
        <v/>
      </c>
      <c r="C25" t="inlineStr">
        <is>
          <t>level</t>
        </is>
      </c>
      <c r="D25">
        <f>Inputs!$B$29</f>
        <v/>
      </c>
      <c r="E25">
        <f>(Inputs!$B$29+1)</f>
        <v/>
      </c>
      <c r="F25">
        <f>Summary!$B$3</f>
        <v/>
      </c>
      <c r="G25">
        <f>B1079</f>
        <v/>
      </c>
      <c r="H25">
        <f>Summary!$B$3*(((1-Summary!$B$55)*IFERROR(B1080/Summary!$B$71,1)+Summary!$B$55*IFERROR(B1081/Summary!$B$72,1))-1)</f>
        <v/>
      </c>
      <c r="I25">
        <f>((1-Summary!$B$55)*IFERROR(B1080/Summary!$B$71,1)+Summary!$B$55*IFERROR(B1081/Summary!$B$72,1))*100</f>
        <v/>
      </c>
    </row>
    <row r="26">
      <c r="A26" t="inlineStr">
        <is>
          <t>Flat ATTACK</t>
        </is>
      </c>
      <c r="B26">
        <f>IFERROR(1/(I26-100),"n/a")</f>
        <v/>
      </c>
      <c r="C26" t="inlineStr">
        <is>
          <t>flat</t>
        </is>
      </c>
      <c r="D26">
        <f>Inputs!$B$6</f>
        <v/>
      </c>
      <c r="E26">
        <f>(Inputs!$B$6+1)</f>
        <v/>
      </c>
      <c r="F26">
        <f>Summary!$B$3</f>
        <v/>
      </c>
      <c r="G26">
        <f>B1129</f>
        <v/>
      </c>
      <c r="H26">
        <f>Summary!$B$3*(((1-Summary!$B$55)*IFERROR(B1130/Summary!$B$71,1)+Summary!$B$55*IFERROR(B1131/Summary!$B$72,1))-1)</f>
        <v/>
      </c>
      <c r="I26">
        <f>((1-Summary!$B$55)*IFERROR(B1130/Summary!$B$71,1)+Summary!$B$55*IFERROR(B1131/Summary!$B$72,1))*100</f>
        <v/>
      </c>
    </row>
    <row r="27">
      <c r="A27" t="inlineStr">
        <is>
          <t>ATTACK %</t>
        </is>
      </c>
      <c r="B27">
        <f>IFERROR(1/(I27-100),"n/a")</f>
        <v/>
      </c>
      <c r="C27" t="inlineStr">
        <is>
          <t>pct</t>
        </is>
      </c>
      <c r="D27">
        <f>Inputs!$B$7</f>
        <v/>
      </c>
      <c r="E27">
        <f>(Inputs!$B$7+1)</f>
        <v/>
      </c>
      <c r="F27">
        <f>Summary!$B$3</f>
        <v/>
      </c>
      <c r="G27">
        <f>B1179</f>
        <v/>
      </c>
      <c r="H27">
        <f>Summary!$B$3*(((1-Summary!$B$55)*IFERROR(B1180/Summary!$B$71,1)+Summary!$B$55*IFERROR(B1181/Summary!$B$72,1))-1)</f>
        <v/>
      </c>
      <c r="I27">
        <f>((1-Summary!$B$55)*IFERROR(B1180/Summary!$B$71,1)+Summary!$B$55*IFERROR(B1181/Summary!$B$72,1))*100</f>
        <v/>
      </c>
    </row>
    <row r="28">
      <c r="A28" t="inlineStr">
        <is>
          <t>Skill Cooldown Decrease (seconds)</t>
        </is>
      </c>
      <c r="B28">
        <f>IFERROR(1/(I28-100),"n/a")</f>
        <v/>
      </c>
      <c r="C28" t="inlineStr">
        <is>
          <t>flat</t>
        </is>
      </c>
      <c r="D28">
        <f>Inputs!$B$32</f>
        <v/>
      </c>
      <c r="E28">
        <f>(Inputs!$B$32+1)</f>
        <v/>
      </c>
      <c r="F28">
        <f>Summary!$B$3</f>
        <v/>
      </c>
      <c r="G28">
        <f>B1229</f>
        <v/>
      </c>
      <c r="H28">
        <f>Summary!$B$3*(((1-Summary!$B$55)*IFERROR(B1230/Summary!$B$71,1)+Summary!$B$55*IFERROR(B1231/Summary!$B$72,1))-1)</f>
        <v/>
      </c>
      <c r="I28">
        <f>((1-Summary!$B$55)*IFERROR(B1230/Summary!$B$71,1)+Summary!$B$55*IFERROR(B1231/Summary!$B$72,1))*100</f>
        <v/>
      </c>
    </row>
    <row r="29">
      <c r="A29" t="inlineStr">
        <is>
          <t>Basic Attack Target Increase (flat)</t>
        </is>
      </c>
      <c r="B29">
        <f>IFERROR(1/(I29-100),"n/a")</f>
        <v/>
      </c>
      <c r="C29" t="inlineStr">
        <is>
          <t>flat</t>
        </is>
      </c>
      <c r="D29">
        <f>Inputs!$B$33</f>
        <v/>
      </c>
      <c r="E29">
        <f>(Inputs!$B$33+1)</f>
        <v/>
      </c>
      <c r="F29">
        <f>Summary!$B$3</f>
        <v/>
      </c>
      <c r="G29">
        <f>B1279</f>
        <v/>
      </c>
      <c r="H29">
        <f>Summary!$B$3*(((1-Summary!$B$55)*IFERROR(B1280/Summary!$B$71,1)+Summary!$B$55*IFERROR(B1281/Summary!$B$72,1))-1)</f>
        <v/>
      </c>
      <c r="I29">
        <f>((1-Summary!$B$55)*IFERROR(B1280/Summary!$B$71,1)+Summary!$B$55*IFERROR(B1281/Summary!$B$72,1))*100</f>
        <v/>
      </c>
    </row>
    <row r="30">
      <c r="A30" t="inlineStr">
        <is>
          <t>Buff Duration Increase %</t>
        </is>
      </c>
      <c r="B30">
        <f>IFERROR(1/(I30-100),"n/a")</f>
        <v/>
      </c>
      <c r="C30" t="inlineStr">
        <is>
          <t>pct</t>
        </is>
      </c>
      <c r="D30">
        <f>Inputs!$B$34</f>
        <v/>
      </c>
      <c r="E30">
        <f>(Inputs!$B$34+1)</f>
        <v/>
      </c>
      <c r="F30">
        <f>Summary!$B$3</f>
        <v/>
      </c>
      <c r="G30">
        <f>B1329</f>
        <v/>
      </c>
      <c r="H30">
        <f>Summary!$B$3*(((1-Summary!$B$55)*IFERROR(B1330/Summary!$B$71,1)+Summary!$B$55*IFERROR(B1331/Summary!$B$72,1))-1)</f>
        <v/>
      </c>
      <c r="I30">
        <f>((1-Summary!$B$55)*IFERROR(B1330/Summary!$B$71,1)+Summary!$B$55*IFERROR(B1331/Summary!$B$72,1))*100</f>
        <v/>
      </c>
    </row>
    <row r="31">
      <c r="A31" t="inlineStr">
        <is>
          <t>Incoming Hit Rate (hits/sec, Shadow Shifter only)</t>
        </is>
      </c>
      <c r="B31">
        <f>IFERROR(1/(I31-100),"n/a")</f>
        <v/>
      </c>
      <c r="C31" t="inlineStr">
        <is>
          <t>flat</t>
        </is>
      </c>
      <c r="D31">
        <f>Inputs!$B$38</f>
        <v/>
      </c>
      <c r="E31">
        <f>(Inputs!$B$38+1)</f>
        <v/>
      </c>
      <c r="F31">
        <f>Summary!$B$3</f>
        <v/>
      </c>
      <c r="G31">
        <f>B1379</f>
        <v/>
      </c>
      <c r="H31">
        <f>Summary!$B$3*(((1-Summary!$B$55)*IFERROR(B1380/Summary!$B$71,1)+Summary!$B$55*IFERROR(B1381/Summary!$B$72,1))-1)</f>
        <v/>
      </c>
      <c r="I31">
        <f>((1-Summary!$B$55)*IFERROR(B1380/Summary!$B$71,1)+Summary!$B$55*IFERROR(B1381/Summary!$B$72,1))*100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((Inputs!$B$6*(1+Inputs!$B$7/100))+((((Inputs!$B$12+1)*(1+Inputs!$B$13/100))-(Inputs!$B$12*(1+Inputs!$B$13/100)))+0.25*(Inputs!$B$14-Inputs!$B$14))*(1+Inputs!$B$7/100))*(F36/100)</f>
        <v/>
      </c>
      <c r="K36">
        <f>J36*(1+(((Inputs!$B$12+1)*(1+Inputs!$B$13/100))*0.01+Inputs!$B$14*0.0025)/100)*(1+Inputs!$B$15/100)*(1+Inputs!$B$16/100)*(5000/(6000+Inputs!$B$43*(1-Inputs!$B$19/100)))*(1+(Inputs!$B$24+((C64=TRUE)*(F64-Calc!F30)))/100)*(1+(IF(Skills!A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36)</f>
        <v/>
      </c>
      <c r="L36">
        <f>K36*(MIN(Inputs!$B$22+((C58=TRUE)*(F58-Calc!F24)),Inputs!$B$23+((C63=TRUE)*(F63-Calc!F29)))/100+(Inputs!$B$23+((C63=TRUE)*(F63-Calc!F29)))/100)/2</f>
        <v/>
      </c>
      <c r="M36">
        <f>L36*(1+(Inputs!$B$10+((C60=TRUE)*(F60-Calc!F26))+B74)/100)</f>
        <v/>
      </c>
      <c r="N36">
        <f>L36*(1-MIN((Inputs!$B$9+((C59=TRUE)*(F59-Calc!F25))+B67),100)/100)+M36*(MIN((Inputs!$B$9+((C59=TRUE)*(F59-Calc!F25))+B67),100)/100)</f>
        <v/>
      </c>
      <c r="O36">
        <f>(1-Summary!$B$55)*T36+Summary!$B$55*V36</f>
        <v/>
      </c>
      <c r="P36">
        <f>IF(B79=0,0,O36/B79)</f>
        <v/>
      </c>
      <c r="Q36" t="n">
        <v>0</v>
      </c>
      <c r="R36" t="n">
        <v>0</v>
      </c>
      <c r="S36">
        <f>IFERROR(O36/N36,0)</f>
        <v/>
      </c>
      <c r="T36">
        <f>IF(C36,(Skills!G2*N36*B73)*IF(Inputs!$B$39="pvp",1,1+(Inputs!$B$20+0+Skills!P2+B68)/100),0)</f>
        <v/>
      </c>
      <c r="U36">
        <f>MAX(0,(Inputs!$B$3-100)*3)+Inputs!$B$28+Inputs!$B$29</f>
        <v/>
      </c>
      <c r="V36">
        <f>IF(C36,(Skills!G2*N36*B73)*IF(Inputs!$B$39="pvp",1,(1+(Inputs!$B$21+Skills!Q2+B68)/100)*(MIN((6+Inputs!$B$33),Inputs!$B$37))),0)</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f>(1-Summary!$B$55)*T37+Summary!$B$55*V37</f>
        <v/>
      </c>
      <c r="P37">
        <f>IF(B79=0,0,O37/B79)</f>
        <v/>
      </c>
      <c r="Q37" t="n">
        <v>0</v>
      </c>
      <c r="R37" t="n">
        <v>0</v>
      </c>
      <c r="S37">
        <f>IFERROR(O37/N37,0)</f>
        <v/>
      </c>
      <c r="T37" t="n">
        <v>0</v>
      </c>
      <c r="U37">
        <f>INDEX(FactorTable!$B$2:$Y$301, MATCH(ROUND(MIN(300,MAX(1,U36)),0), FactorTable!$A$2:$A$301,0), 22)</f>
        <v/>
      </c>
      <c r="V37" t="n">
        <v>0</v>
      </c>
    </row>
    <row r="38">
      <c r="A38">
        <f>Skills!A4</f>
        <v/>
      </c>
      <c r="B38">
        <f>Skills!B4</f>
        <v/>
      </c>
      <c r="C38">
        <f>Inputs!$B$3&gt;=66</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((Inputs!$B$6*(1+Inputs!$B$7/100))+((((Inputs!$B$12+1)*(1+Inputs!$B$13/100))-(Inputs!$B$12*(1+Inputs!$B$13/100)))+0.25*(Inputs!$B$14-Inputs!$B$14))*(1+Inputs!$B$7/100))*(F38/100)</f>
        <v/>
      </c>
      <c r="K38">
        <f>J38*(1+(((Inputs!$B$12+1)*(1+Inputs!$B$13/100))*0.01+Inputs!$B$14*0.0025)/100)*(1+Inputs!$B$15/100)*(1+Inputs!$B$16/100)*(5000/(6000+Inputs!$B$43*(1-Inputs!$B$19/100)))*(1+(Inputs!$B$24+((C64=TRUE)*(F64-Calc!F30)))/100)*(1+(IF(Skills!A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38)</f>
        <v/>
      </c>
      <c r="L38">
        <f>K38*(MIN(Inputs!$B$22+((C58=TRUE)*(F58-Calc!F24)),Inputs!$B$23+((C63=TRUE)*(F63-Calc!F29)))/100+(Inputs!$B$23+((C63=TRUE)*(F63-Calc!F29)))/100)/2</f>
        <v/>
      </c>
      <c r="M38">
        <f>L38*(1+(Inputs!$B$10+((C60=TRUE)*(F60-Calc!F26))+B74)/100)</f>
        <v/>
      </c>
      <c r="N38">
        <f>L38*(1-MIN((Inputs!$B$9+((C59=TRUE)*(F59-Calc!F25))+B67),100)/100)+M38*(MIN((Inputs!$B$9+((C59=TRUE)*(F59-Calc!F25))+B67),100)/100)</f>
        <v/>
      </c>
      <c r="O38">
        <f>(1-Summary!$B$55)*T38+Summary!$B$55*V38</f>
        <v/>
      </c>
      <c r="P38">
        <f>IF(B79=0,0,O38/B79)</f>
        <v/>
      </c>
      <c r="Q38">
        <f>IFERROR(1/IF(Inputs!$B$39="pvp",15,MAX(0.1,Skills!D4-IF(Skills!E4=TRUE,Inputs!$B$32,0))),0)</f>
        <v/>
      </c>
      <c r="R38">
        <f>IF(AND(Inputs!$B$39&lt;&gt;"pvp",Inputs!$B$44&gt;0),IF(MAX(0,Inputs!$B$44-B78)&lt;=0,0,(INT(MAX(0,Inputs!$B$44-B78)/IF(Inputs!$B$39="pvp",15,MAX(0.1,Skills!D4-IF(Skills!E4=TRUE,Inputs!$B$32,0))))+1)),0)</f>
        <v/>
      </c>
      <c r="S38">
        <f>IFERROR(O38/N38,0)</f>
        <v/>
      </c>
      <c r="T38">
        <f>IF(C38,(H38*N38*IF(AND(Inputs!$B$39&lt;&gt;"pvp",Inputs!$B$44&gt;0),((Skills!G4*((R38-1)*IF(Skills!H4&gt;0,Skills!I4/Skills!H4,1)+IF(Skills!H4&gt;0,MIN(Skills!I4,MAX(0,MAX(0,Inputs!$B$44-B78)-((R38-1)*IF(Inputs!$B$39="pvp",15,MAX(0.1,Skills!D4-IF(Skills!E4=TRUE,Inputs!$B$32,0))))))/Skills!H4,1)))/Inputs!$B$44),G38*Q38))*IF(Inputs!$B$39="pvp",1,1+(Inputs!$B$20+0+Skills!P4+B68)/100),0)</f>
        <v/>
      </c>
      <c r="U38">
        <f>290*U37/1000</f>
        <v/>
      </c>
      <c r="V38">
        <f>IF(C38,(H38*N38*IF(AND(Inputs!$B$39&lt;&gt;"pvp",Inputs!$B$44&gt;0),((Skills!G4*((R38-1)*IF(Skills!H4&gt;0,Skills!I4/Skills!H4,1)+IF(Skills!H4&gt;0,MIN(Skills!I4,MAX(0,MAX(0,Inputs!$B$44-B78)-((R38-1)*IF(Inputs!$B$39="pvp",15,MAX(0.1,Skills!D4-IF(Skills!E4=TRUE,Inputs!$B$32,0))))))/Skills!H4,1)))/Inputs!$B$44),G38*Q38))*IF(Inputs!$B$39="pvp",1,(1+(Inputs!$B$21+Skills!Q4+B68)/100)*(MIN(MIN(10,0.5*B71*Skills!D4),Inputs!$B$37))),0)</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((Inputs!$B$6*(1+Inputs!$B$7/100))+((((Inputs!$B$12+1)*(1+Inputs!$B$13/100))-(Inputs!$B$12*(1+Inputs!$B$13/100)))+0.25*(Inputs!$B$14-Inputs!$B$14))*(1+Inputs!$B$7/100))*(F39/100)</f>
        <v/>
      </c>
      <c r="K39">
        <f>J39*(1+(((Inputs!$B$12+1)*(1+Inputs!$B$13/100))*0.01+Inputs!$B$14*0.0025)/100)*(1+Inputs!$B$15/100)*(1+Inputs!$B$16/100)*(5000/(6000+Inputs!$B$43*(1-Inputs!$B$19/100)))*(1+(Inputs!$B$24+((C64=TRUE)*(F64-Calc!F30)))/100)*(1+2.6666666666666665*IF(C52=TRUE,F52,0)/100)*(1+(IF(Skills!A5="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39)</f>
        <v/>
      </c>
      <c r="L39">
        <f>K39*(MIN(Inputs!$B$22+((C58=TRUE)*(F58-Calc!F24)),Inputs!$B$23+((C63=TRUE)*(F63-Calc!F29)))/100+(Inputs!$B$23+((C63=TRUE)*(F63-Calc!F29)))/100)/2</f>
        <v/>
      </c>
      <c r="M39">
        <f>L39*(1+(Inputs!$B$10+((C60=TRUE)*(F60-Calc!F26))+B74)/100)</f>
        <v/>
      </c>
      <c r="N39">
        <f>L39*(1-MIN((Inputs!$B$9+((C59=TRUE)*(F59-Calc!F25))+B67),100)/100)+M39*(MIN((Inputs!$B$9+((C59=TRUE)*(F59-Calc!F25))+B67),100)/100)</f>
        <v/>
      </c>
      <c r="O39">
        <f>(1-Summary!$B$55)*T39+Summary!$B$55*V39</f>
        <v/>
      </c>
      <c r="P39">
        <f>IF(B79=0,0,O39/B79)</f>
        <v/>
      </c>
      <c r="Q39">
        <f>IFERROR(1/IF(Inputs!$B$39="pvp",15,MAX(0.1,Skills!D5-IF(Skills!E5=TRUE,Inputs!$B$32,0))),0)</f>
        <v/>
      </c>
      <c r="R39">
        <f>IF(AND(Inputs!$B$39&lt;&gt;"pvp",Inputs!$B$44&gt;0),IF(MAX(0,Inputs!$B$44-B78)&lt;=0,0,(INT(MAX(0,Inputs!$B$44-B78)/IF(Inputs!$B$39="pvp",15,MAX(0.1,Skills!D5-IF(Skills!E5=TRUE,Inputs!$B$32,0))))+1)),0)</f>
        <v/>
      </c>
      <c r="S39">
        <f>IFERROR(O39/N39,0)</f>
        <v/>
      </c>
      <c r="T39">
        <f>IF(C39,(H39*N39*IF(AND(Inputs!$B$39&lt;&gt;"pvp",Inputs!$B$44&gt;0),((Skills!G5*((R39-1)*IF(Skills!H5&gt;0,Skills!I5/Skills!H5,1)+IF(Skills!H5&gt;0,MIN(Skills!I5,MAX(0,MAX(0,Inputs!$B$44-B78)-((R39-1)*IF(Inputs!$B$39="pvp",15,MAX(0.1,Skills!D5-IF(Skills!E5=TRUE,Inputs!$B$32,0))))))/Skills!H5,1)))/Inputs!$B$44),G39*Q39))*IF(Inputs!$B$39="pvp",1,1+(Inputs!$B$20+0+Skills!P5+B68)/100),0)</f>
        <v/>
      </c>
      <c r="V39">
        <f>IF(C39,(H39*N39*IF(AND(Inputs!$B$39&lt;&gt;"pvp",Inputs!$B$44&gt;0),((Skills!G5*((R39-1)*IF(Skills!H5&gt;0,Skills!I5/Skills!H5,1)+IF(Skills!H5&gt;0,MIN(Skills!I5,MAX(0,MAX(0,Inputs!$B$44-B78)-((R39-1)*IF(Inputs!$B$39="pvp",15,MAX(0.1,Skills!D5-IF(Skills!E5=TRUE,Inputs!$B$32,0))))))/Skills!H5,1)))/Inputs!$B$44),G39*Q39))*IF(Inputs!$B$39="pvp",1,(1+(Inputs!$B$21+Skills!Q5+B68)/100)*(MIN(Skills!W5,Inputs!$B$37))),0)</f>
        <v/>
      </c>
    </row>
    <row r="40">
      <c r="A40">
        <f>Skills!A6</f>
        <v/>
      </c>
      <c r="B40">
        <f>Skills!B6</f>
        <v/>
      </c>
      <c r="C40">
        <f>Inputs!$B$3&gt;=69</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((Inputs!$B$6*(1+Inputs!$B$7/100))+((((Inputs!$B$12+1)*(1+Inputs!$B$13/100))-(Inputs!$B$12*(1+Inputs!$B$13/100)))+0.25*(Inputs!$B$14-Inputs!$B$14))*(1+Inputs!$B$7/100))*(F40/100)</f>
        <v/>
      </c>
      <c r="K40">
        <f>J40*(1+(((Inputs!$B$12+1)*(1+Inputs!$B$13/100))*0.01+Inputs!$B$14*0.0025)/100)*(1+Inputs!$B$15/100)*(1+Inputs!$B$16/100)*(5000/(6000+Inputs!$B$43*(1-Inputs!$B$19/100)))*(1+(Inputs!$B$24+((C64=TRUE)*(F64-Calc!F30)))/100)*(1+1.0*IF(C52=TRUE,F52,0)/100)*(1+(IF(Skills!A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40)</f>
        <v/>
      </c>
      <c r="L40">
        <f>K40*(MIN(Inputs!$B$22+((C58=TRUE)*(F58-Calc!F24)),Inputs!$B$23+((C63=TRUE)*(F63-Calc!F29)))/100+(Inputs!$B$23+((C63=TRUE)*(F63-Calc!F29)))/100)/2</f>
        <v/>
      </c>
      <c r="M40">
        <f>L40*(1+(Inputs!$B$10+((C60=TRUE)*(F60-Calc!F26))+B74)/100)</f>
        <v/>
      </c>
      <c r="N40">
        <f>L40*(1-MIN((Inputs!$B$9+((C59=TRUE)*(F59-Calc!F25))+B67),100)/100)+M40*(MIN((Inputs!$B$9+((C59=TRUE)*(F59-Calc!F25))+B67),100)/100)</f>
        <v/>
      </c>
      <c r="O40">
        <f>(1-Summary!$B$55)*T40+Summary!$B$55*V40</f>
        <v/>
      </c>
      <c r="P40">
        <f>IF(B79=0,0,O40/B79)</f>
        <v/>
      </c>
      <c r="Q40">
        <f>IFERROR(1/IF(Inputs!$B$39="pvp",15,MAX(0.1,Skills!D6-IF(Skills!E6=TRUE,Inputs!$B$32,0))),0)</f>
        <v/>
      </c>
      <c r="R40">
        <f>IF(AND(Inputs!$B$39&lt;&gt;"pvp",Inputs!$B$44&gt;0),IF(MAX(0,Inputs!$B$44-B78)&lt;=0,0,(INT(MAX(0,Inputs!$B$44-B78)/IF(Inputs!$B$39="pvp",15,MAX(0.1,Skills!D6-IF(Skills!E6=TRUE,Inputs!$B$32,0))))+1)),0)</f>
        <v/>
      </c>
      <c r="S40">
        <f>IFERROR(O40/N40,0)</f>
        <v/>
      </c>
      <c r="T40">
        <f>IF(C40,(H40*N40*IF(AND(Inputs!$B$39&lt;&gt;"pvp",Inputs!$B$44&gt;0),((Skills!G6*((R40-1)*IF(Skills!H6&gt;0,Skills!I6/Skills!H6,1)+IF(Skills!H6&gt;0,MIN(Skills!I6,MAX(0,MAX(0,Inputs!$B$44-B78)-((R40-1)*IF(Inputs!$B$39="pvp",15,MAX(0.1,Skills!D6-IF(Skills!E6=TRUE,Inputs!$B$32,0))))))/Skills!H6,1)))/Inputs!$B$44),G40*Q40))*IF(Inputs!$B$39="pvp",1,1+(Inputs!$B$20+0+Skills!P6+B68)/100),0)</f>
        <v/>
      </c>
      <c r="V40">
        <f>IF(C40,(H40*N40*IF(AND(Inputs!$B$39&lt;&gt;"pvp",Inputs!$B$44&gt;0),((Skills!G6*((R40-1)*IF(Skills!H6&gt;0,Skills!I6/Skills!H6,1)+IF(Skills!H6&gt;0,MIN(Skills!I6,MAX(0,MAX(0,Inputs!$B$44-B78)-((R40-1)*IF(Inputs!$B$39="pvp",15,MAX(0.1,Skills!D6-IF(Skills!E6=TRUE,Inputs!$B$32,0))))))/Skills!H6,1)))/Inputs!$B$44),G40*Q40))*IF(Inputs!$B$39="pvp",1,(1+(Inputs!$B$21+Skills!Q6+B68)/100)*(MIN(Skills!W6,Inputs!$B$37))),0)</f>
        <v/>
      </c>
    </row>
    <row r="41">
      <c r="A41">
        <f>Skills!A7</f>
        <v/>
      </c>
      <c r="B41">
        <f>Skills!B7</f>
        <v/>
      </c>
      <c r="C41">
        <f>Inputs!$B$3&gt;=60</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f>(1-Summary!$B$55)*T41+Summary!$B$55*V41</f>
        <v/>
      </c>
      <c r="P41">
        <f>IF(B79=0,0,O41/B79)</f>
        <v/>
      </c>
      <c r="Q41" t="n">
        <v>0</v>
      </c>
      <c r="R41" t="n">
        <v>0</v>
      </c>
      <c r="S41">
        <f>IFERROR(O41/N41,0)</f>
        <v/>
      </c>
      <c r="T41" t="n">
        <v>0</v>
      </c>
      <c r="V41" t="n">
        <v>0</v>
      </c>
    </row>
    <row r="42">
      <c r="A42">
        <f>Skills!A8</f>
        <v/>
      </c>
      <c r="B42">
        <f>Skills!B8</f>
        <v/>
      </c>
      <c r="C42">
        <f>Inputs!$B$3&gt;=72</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((Inputs!$B$6*(1+Inputs!$B$7/100))+((((Inputs!$B$12+1)*(1+Inputs!$B$13/100))-(Inputs!$B$12*(1+Inputs!$B$13/100)))+0.25*(Inputs!$B$14-Inputs!$B$14))*(1+Inputs!$B$7/100))*(F42/100)</f>
        <v/>
      </c>
      <c r="K42">
        <f>J42*(1+(((Inputs!$B$12+1)*(1+Inputs!$B$13/100))*0.01+Inputs!$B$14*0.0025)/100)*(1+Inputs!$B$15/100)*(1+Inputs!$B$16/100)*(5000/(6000+Inputs!$B$43*(1-Inputs!$B$19/100)))*(1+(Inputs!$B$24+((C64=TRUE)*(F64-Calc!F30)))/100)*(1+3.3333333333333335*IF(C52=TRUE,F52,0)/100)*(1+(IF(Skills!A8="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42)</f>
        <v/>
      </c>
      <c r="L42">
        <f>K42*(MIN(Inputs!$B$22+((C58=TRUE)*(F58-Calc!F24)),Inputs!$B$23+((C63=TRUE)*(F63-Calc!F29)))/100+(Inputs!$B$23+((C63=TRUE)*(F63-Calc!F29)))/100)/2</f>
        <v/>
      </c>
      <c r="M42">
        <f>L42*(1+(Inputs!$B$10+((C60=TRUE)*(F60-Calc!F26))+B74)/100)</f>
        <v/>
      </c>
      <c r="N42">
        <f>L42*(1-MIN((Inputs!$B$9+((C59=TRUE)*(F59-Calc!F25))+B67),100)/100)+M42*(MIN((Inputs!$B$9+((C59=TRUE)*(F59-Calc!F25))+B67),100)/100)</f>
        <v/>
      </c>
      <c r="O42">
        <f>(1-Summary!$B$55)*T42+Summary!$B$55*V42</f>
        <v/>
      </c>
      <c r="P42">
        <f>IF(B79=0,0,O42/B79)</f>
        <v/>
      </c>
      <c r="Q42">
        <f>IFERROR(1/IF(Inputs!$B$39="pvp",15,MAX(0.1,Skills!D8-IF(Skills!E8=TRUE,Inputs!$B$32,0))),0)</f>
        <v/>
      </c>
      <c r="R42">
        <f>IF(AND(Inputs!$B$39&lt;&gt;"pvp",Inputs!$B$44&gt;0),IF(MAX(0,Inputs!$B$44-B78)&lt;=0,0,(INT(MAX(0,Inputs!$B$44-B78)/IF(Inputs!$B$39="pvp",15,MAX(0.1,Skills!D8-IF(Skills!E8=TRUE,Inputs!$B$32,0))))+1)),0)</f>
        <v/>
      </c>
      <c r="S42">
        <f>IFERROR(O42/N42,0)</f>
        <v/>
      </c>
      <c r="T42">
        <f>IF(C42,(H42*N42*IF(AND(Inputs!$B$39&lt;&gt;"pvp",Inputs!$B$44&gt;0),((Skills!G8*((R42-1)*IF(Skills!H8&gt;0,Skills!I8/Skills!H8,1)+IF(Skills!H8&gt;0,MIN(Skills!I8,MAX(0,MAX(0,Inputs!$B$44-B78)-((R42-1)*IF(Inputs!$B$39="pvp",15,MAX(0.1,Skills!D8-IF(Skills!E8=TRUE,Inputs!$B$32,0))))))/Skills!H8,1)))/Inputs!$B$44),G42*Q42))*IF(Inputs!$B$39="pvp",1,1+(Inputs!$B$20+0+Skills!P8+B68)/100),0)</f>
        <v/>
      </c>
      <c r="V42">
        <f>IF(C42,(H42*N42*IF(AND(Inputs!$B$39&lt;&gt;"pvp",Inputs!$B$44&gt;0),((Skills!G8*((R42-1)*IF(Skills!H8&gt;0,Skills!I8/Skills!H8,1)+IF(Skills!H8&gt;0,MIN(Skills!I8,MAX(0,MAX(0,Inputs!$B$44-B78)-((R42-1)*IF(Inputs!$B$39="pvp",15,MAX(0.1,Skills!D8-IF(Skills!E8=TRUE,Inputs!$B$32,0))))))/Skills!H8,1)))/Inputs!$B$44),G42*Q42))*IF(Inputs!$B$39="pvp",1,(1+(Inputs!$B$21+Skills!Q8+B68)/100)*(MIN(Skills!W8,Inputs!$B$37))),0)</f>
        <v/>
      </c>
    </row>
    <row r="43">
      <c r="A43">
        <f>Skills!A9</f>
        <v/>
      </c>
      <c r="B43">
        <f>Skills!B9</f>
        <v/>
      </c>
      <c r="C43">
        <f>Inputs!$B$3&gt;=117</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((Inputs!$B$6*(1+Inputs!$B$7/100))+((((Inputs!$B$12+1)*(1+Inputs!$B$13/100))-(Inputs!$B$12*(1+Inputs!$B$13/100)))+0.25*(Inputs!$B$14-Inputs!$B$14))*(1+Inputs!$B$7/100))*(F43/100)</f>
        <v/>
      </c>
      <c r="K43">
        <f>J43*(1+(((Inputs!$B$12+1)*(1+Inputs!$B$13/100))*0.01+Inputs!$B$14*0.0025)/100)*(1+Inputs!$B$15/100)*(1+Inputs!$B$16/100)*(5000/(6000+Inputs!$B$43*(1-Inputs!$B$19/100)))*(1+(Inputs!$B$24+((C64=TRUE)*(F64-Calc!F30)))/100)*(1+(IF(Skills!A9="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43)</f>
        <v/>
      </c>
      <c r="L43">
        <f>K43*(MIN(Inputs!$B$22+((C58=TRUE)*(F58-Calc!F24)),Inputs!$B$23+((C63=TRUE)*(F63-Calc!F29)))/100+(Inputs!$B$23+((C63=TRUE)*(F63-Calc!F29)))/100)/2</f>
        <v/>
      </c>
      <c r="M43">
        <f>L43*(1+(Inputs!$B$10+((C60=TRUE)*(F60-Calc!F26))+B74)/100)</f>
        <v/>
      </c>
      <c r="N43">
        <f>L43*(1-MIN((Inputs!$B$9+((C59=TRUE)*(F59-Calc!F25))+B67),100)/100)+M43*(MIN((Inputs!$B$9+((C59=TRUE)*(F59-Calc!F25))+B67),100)/100)</f>
        <v/>
      </c>
      <c r="O43">
        <f>(1-Summary!$B$55)*T43+Summary!$B$55*V43</f>
        <v/>
      </c>
      <c r="P43">
        <f>IF(B79=0,0,O43/B79)</f>
        <v/>
      </c>
      <c r="Q43" t="n">
        <v>0</v>
      </c>
      <c r="R43" t="n">
        <v>0</v>
      </c>
      <c r="S43" t="n">
        <v>0</v>
      </c>
      <c r="T43">
        <f>IF(C43,(0.2*SUMPRODUCT((Skills!Z2:Z30=TRUE)*(C36:C64=TRUE)*S36:S64)*N43)*IF(Inputs!$B$39="pvp",1,1+(Inputs!$B$20+0+Skills!P9+B68)/100),0)</f>
        <v/>
      </c>
      <c r="V43">
        <f>IF(C43,(0.2*SUMPRODUCT((Skills!Z2:Z30=TRUE)*(C36:C64=TRUE)*S36:S64)*N43)*IF(Inputs!$B$39="pvp",1,(1+(Inputs!$B$21+Skills!Q9+B68)/100)*(MIN(Skills!W9,Inputs!$B$37))),0)</f>
        <v/>
      </c>
    </row>
    <row r="44">
      <c r="A44">
        <f>Skills!A10</f>
        <v/>
      </c>
      <c r="B44">
        <f>Skills!B10</f>
        <v/>
      </c>
      <c r="C44">
        <f>Inputs!$B$3&gt;=74</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f>(1-Summary!$B$55)*T44+Summary!$B$55*V44</f>
        <v/>
      </c>
      <c r="P44">
        <f>IF(B79=0,0,O44/B79)</f>
        <v/>
      </c>
      <c r="Q44">
        <f>IFERROR(1/IF(Inputs!$B$39="pvp",15,MAX(0.1,Skills!D10-IF(Skills!E10=TRUE,Inputs!$B$32,0))),0)</f>
        <v/>
      </c>
      <c r="R44">
        <f>IF(AND(Inputs!$B$39&lt;&gt;"pvp",Inputs!$B$44&gt;0),IF(Inputs!$B$44&lt;=0,0,(INT(Inputs!$B$44/IF(Inputs!$B$39="pvp",15,MAX(0.1,Skills!D10-IF(Skills!E10=TRUE,Inputs!$B$32,0))))+1)),0)</f>
        <v/>
      </c>
      <c r="S44">
        <f>IFERROR(O44/N44,0)</f>
        <v/>
      </c>
      <c r="T44" t="n">
        <v>0</v>
      </c>
      <c r="V44" t="n">
        <v>0</v>
      </c>
    </row>
    <row r="45">
      <c r="A45">
        <f>Skills!A11</f>
        <v/>
      </c>
      <c r="B45">
        <f>Skills!B11</f>
        <v/>
      </c>
      <c r="C45">
        <f>Inputs!$B$3&gt;=103</f>
        <v/>
      </c>
      <c r="D45">
        <f>IF(Skills!C11=1,60+Inputs!$B$25+Inputs!$B$29,IF(Skills!C11=2,90+Inputs!$B$26+Inputs!$B$29,IF(Skills!C11=3,120+Inputs!$B$27+Inputs!$B$29,MAX(0,(Inputs!$B$3-100)*3)+Inputs!$B$28+Inputs!$B$29)))</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((Inputs!$B$6*(1+Inputs!$B$7/100))+((((Inputs!$B$12+1)*(1+Inputs!$B$13/100))-(Inputs!$B$12*(1+Inputs!$B$13/100)))+0.25*(Inputs!$B$14-Inputs!$B$14))*(1+Inputs!$B$7/100))*(F45/100)</f>
        <v/>
      </c>
      <c r="K45">
        <f>J45*(1+(((Inputs!$B$12+1)*(1+Inputs!$B$13/100))*0.01+Inputs!$B$14*0.0025)/100)*(1+Inputs!$B$15/100)*(1+Inputs!$B$16/100)*(5000/(6000+Inputs!$B$43*(1-Inputs!$B$19/100)))*(1+(Inputs!$B$24+((C64=TRUE)*(F64-Calc!F30)))/100)*(1+(IF(Skills!A11="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45)</f>
        <v/>
      </c>
      <c r="L45">
        <f>K45*(MIN(Inputs!$B$22+((C58=TRUE)*(F58-Calc!F24)),Inputs!$B$23+((C63=TRUE)*(F63-Calc!F29)))/100+(Inputs!$B$23+((C63=TRUE)*(F63-Calc!F29)))/100)/2</f>
        <v/>
      </c>
      <c r="M45">
        <f>L45*(1+(Inputs!$B$10+((C60=TRUE)*(F60-Calc!F26))+B74)/100)</f>
        <v/>
      </c>
      <c r="N45">
        <f>L45*(1-MIN((Inputs!$B$9+((C59=TRUE)*(F59-Calc!F25))+B67),100)/100)+M45*(MIN((Inputs!$B$9+((C59=TRUE)*(F59-Calc!F25))+B67),100)/100)</f>
        <v/>
      </c>
      <c r="O45">
        <f>(1-Summary!$B$55)*T45+Summary!$B$55*V45</f>
        <v/>
      </c>
      <c r="P45">
        <f>IF(B79=0,0,O45/B79)</f>
        <v/>
      </c>
      <c r="Q45">
        <f>IFERROR(1/IF(Inputs!$B$39="pvp",15,MAX(0.1,Skills!D11-IF(Skills!E11=TRUE,Inputs!$B$32,0))),0)</f>
        <v/>
      </c>
      <c r="R45">
        <f>IF(AND(Inputs!$B$39&lt;&gt;"pvp",Inputs!$B$44&gt;0),IF(MAX(0,Inputs!$B$44-B78)&lt;=0,0,(INT(MAX(0,Inputs!$B$44-B78)/IF(Inputs!$B$39="pvp",15,MAX(0.1,Skills!D11-IF(Skills!E11=TRUE,Inputs!$B$32,0))))+1)),0)</f>
        <v/>
      </c>
      <c r="S45">
        <f>IFERROR(O45/N45,0)</f>
        <v/>
      </c>
      <c r="T45">
        <f>IF(C45,(H45*N45*IF(AND(Inputs!$B$39&lt;&gt;"pvp",Inputs!$B$44&gt;0),((Skills!G11*((R45-1)*IF(Skills!H11&gt;0,Skills!I11/Skills!H11,1)+IF(Skills!H11&gt;0,MIN(Skills!I11,MAX(0,MAX(0,Inputs!$B$44-B78)-((R45-1)*IF(Inputs!$B$39="pvp",15,MAX(0.1,Skills!D11-IF(Skills!E11=TRUE,Inputs!$B$32,0))))))/Skills!H11,1)))/Inputs!$B$44),G45*Q45))*IF(Inputs!$B$39="pvp",1,1+(Inputs!$B$20+0+Skills!P11+B68)/100),0)</f>
        <v/>
      </c>
      <c r="V45">
        <f>IF(C45,(H45*N45*IF(AND(Inputs!$B$39&lt;&gt;"pvp",Inputs!$B$44&gt;0),((Skills!G11*((R45-1)*IF(Skills!H11&gt;0,Skills!I11/Skills!H11,1)+IF(Skills!H11&gt;0,MIN(Skills!I11,MAX(0,MAX(0,Inputs!$B$44-B78)-((R45-1)*IF(Inputs!$B$39="pvp",15,MAX(0.1,Skills!D11-IF(Skills!E11=TRUE,Inputs!$B$32,0))))))/Skills!H11,1)))/Inputs!$B$44),G45*Q45))*IF(Inputs!$B$39="pvp",1,(1+(Inputs!$B$21+Skills!Q11+B68)/100)*(MIN(Skills!W11,Inputs!$B$37))),0)</f>
        <v/>
      </c>
    </row>
    <row r="46">
      <c r="A46">
        <f>Skills!A12</f>
        <v/>
      </c>
      <c r="B46">
        <f>Skills!B12</f>
        <v/>
      </c>
      <c r="C46">
        <f>Inputs!$B$3&gt;=105</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((Inputs!$B$6*(1+Inputs!$B$7/100))+((((Inputs!$B$12+1)*(1+Inputs!$B$13/100))-(Inputs!$B$12*(1+Inputs!$B$13/100)))+0.25*(Inputs!$B$14-Inputs!$B$14))*(1+Inputs!$B$7/100))*(F46/100)</f>
        <v/>
      </c>
      <c r="K46">
        <f>J46*(1+(((Inputs!$B$12+1)*(1+Inputs!$B$13/100))*0.01+Inputs!$B$14*0.0025)/100)*(1+Inputs!$B$15/100)*(1+Inputs!$B$16/100)*(5000/(6000+Inputs!$B$43*(1-Inputs!$B$19/100)))*(1+(Inputs!$B$24+((C64=TRUE)*(F64-Calc!F30)))/100)*(1+(IF(Skills!A12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46)</f>
        <v/>
      </c>
      <c r="L46">
        <f>K46*(MIN(Inputs!$B$22+((C58=TRUE)*(F58-Calc!F24)),Inputs!$B$23+((C63=TRUE)*(F63-Calc!F29)))/100+(Inputs!$B$23+((C63=TRUE)*(F63-Calc!F29)))/100)/2</f>
        <v/>
      </c>
      <c r="M46">
        <f>L46*(1+(Inputs!$B$10+((C60=TRUE)*(F60-Calc!F26))+B74)/100)</f>
        <v/>
      </c>
      <c r="N46">
        <f>L46*(1-MIN((Inputs!$B$9+((C59=TRUE)*(F59-Calc!F25))+B67),100)/100)+M46*(MIN((Inputs!$B$9+((C59=TRUE)*(F59-Calc!F25))+B67),100)/100)</f>
        <v/>
      </c>
      <c r="O46">
        <f>(1-Summary!$B$55)*T46+Summary!$B$55*V46</f>
        <v/>
      </c>
      <c r="P46">
        <f>IF(B79=0,0,O46/B79)</f>
        <v/>
      </c>
      <c r="Q46">
        <f>IFERROR(1/IF(Inputs!$B$39="pvp",15,MAX(0.1,Skills!D12-IF(Skills!E12=TRUE,Inputs!$B$32,0))),0)</f>
        <v/>
      </c>
      <c r="R46">
        <f>IF(AND(Inputs!$B$39&lt;&gt;"pvp",Inputs!$B$44&gt;0),IF(MAX(0,Inputs!$B$44-B78)&lt;=0,0,(INT(MAX(0,Inputs!$B$44-B78)/IF(Inputs!$B$39="pvp",15,MAX(0.1,Skills!D12-IF(Skills!E12=TRUE,Inputs!$B$32,0))))+1)),0)</f>
        <v/>
      </c>
      <c r="S46">
        <f>IFERROR(O46/N46,0)</f>
        <v/>
      </c>
      <c r="T46">
        <f>IF(C46,(H46*N46*IF(AND(Inputs!$B$39&lt;&gt;"pvp",Inputs!$B$44&gt;0),((Skills!G12*((R46-1)*IF(Skills!H12&gt;0,Skills!I12/Skills!H12,1)+IF(Skills!H12&gt;0,MIN(Skills!I12,MAX(0,MAX(0,Inputs!$B$44-B78)-((R46-1)*IF(Inputs!$B$39="pvp",15,MAX(0.1,Skills!D12-IF(Skills!E12=TRUE,Inputs!$B$32,0))))))/Skills!H12,1)))/Inputs!$B$44),G46*Q46))*IF(Inputs!$B$39="pvp",1,1+(Inputs!$B$20+0+Skills!P12+B68)/100),0)</f>
        <v/>
      </c>
      <c r="V46">
        <f>IF(C46,(H46*N46*IF(AND(Inputs!$B$39&lt;&gt;"pvp",Inputs!$B$44&gt;0),((Skills!G12*((R46-1)*IF(Skills!H12&gt;0,Skills!I12/Skills!H12,1)+IF(Skills!H12&gt;0,MIN(Skills!I12,MAX(0,MAX(0,Inputs!$B$44-B78)-((R46-1)*IF(Inputs!$B$39="pvp",15,MAX(0.1,Skills!D12-IF(Skills!E12=TRUE,Inputs!$B$32,0))))))/Skills!H12,1)))/Inputs!$B$44),G46*Q46))*IF(Inputs!$B$39="pvp",1,(1+(Inputs!$B$21+Skills!Q12+B68)/100)*(MIN(Skills!W12,Inputs!$B$37))),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((Inputs!$B$6*(1+Inputs!$B$7/100))+((((Inputs!$B$12+1)*(1+Inputs!$B$13/100))-(Inputs!$B$12*(1+Inputs!$B$13/100)))+0.25*(Inputs!$B$14-Inputs!$B$14))*(1+Inputs!$B$7/100))*(F47/100)</f>
        <v/>
      </c>
      <c r="K47">
        <f>J47*(1+(((Inputs!$B$12+1)*(1+Inputs!$B$13/100))*0.01+Inputs!$B$14*0.0025)/100)*(1+Inputs!$B$15/100)*(1+Inputs!$B$16/100)*(5000/(6000+Inputs!$B$43*(1-Inputs!$B$19/100)))*(1+(Inputs!$B$24+((C64=TRUE)*(F64-Calc!F30)))/100)*(1+(IF(Skills!A13="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47)</f>
        <v/>
      </c>
      <c r="L47">
        <f>K47*(MIN(Inputs!$B$22+((C58=TRUE)*(F58-Calc!F24)),Inputs!$B$23+((C63=TRUE)*(F63-Calc!F29)))/100+(Inputs!$B$23+((C63=TRUE)*(F63-Calc!F29)))/100)/2</f>
        <v/>
      </c>
      <c r="M47">
        <f>L47*(1+(Inputs!$B$10+((C60=TRUE)*(F60-Calc!F26))+B74)/100)</f>
        <v/>
      </c>
      <c r="N47">
        <f>L47*(1-MIN((Inputs!$B$9+((C59=TRUE)*(F59-Calc!F25))+B67),100)/100)+M47*(MIN((Inputs!$B$9+((C59=TRUE)*(F59-Calc!F25))+B67),100)/100)</f>
        <v/>
      </c>
      <c r="O47">
        <f>(1-Summary!$B$55)*T47+Summary!$B$55*V47</f>
        <v/>
      </c>
      <c r="P47">
        <f>IF(B79=0,0,O47/B79)</f>
        <v/>
      </c>
      <c r="Q47">
        <f>IFERROR(1/IF(Inputs!$B$39="pvp",15,MAX(0.1,Skills!D13-IF(Skills!E13=TRUE,Inputs!$B$32,0))),0)</f>
        <v/>
      </c>
      <c r="R47">
        <f>IF(AND(Inputs!$B$39&lt;&gt;"pvp",Inputs!$B$44&gt;0),IF(MAX(0,Inputs!$B$44-B78)&lt;=0,0,(INT(MAX(0,Inputs!$B$44-B78)/IF(Inputs!$B$39="pvp",15,MAX(0.1,Skills!D13-IF(Skills!E13=TRUE,Inputs!$B$32,0))))+1)),0)</f>
        <v/>
      </c>
      <c r="S47">
        <f>IFERROR(O47/N47,0)</f>
        <v/>
      </c>
      <c r="T47">
        <f>IF(C47,(H47*N47*IF(AND(Inputs!$B$39&lt;&gt;"pvp",Inputs!$B$44&gt;0),((Skills!G13*((R47-1)*IF(Skills!H13&gt;0,Skills!I13/Skills!H13,1)+IF(Skills!H13&gt;0,MIN(Skills!I13,MAX(0,MAX(0,Inputs!$B$44-B78)-((R47-1)*IF(Inputs!$B$39="pvp",15,MAX(0.1,Skills!D13-IF(Skills!E13=TRUE,Inputs!$B$32,0))))))/Skills!H13,1)))/Inputs!$B$44),G47*Q47))*IF(Inputs!$B$39="pvp",1,1+(Inputs!$B$20+0+Skills!P13+B68)/100),0)</f>
        <v/>
      </c>
      <c r="V47">
        <f>IF(C47,(H47*N47*IF(AND(Inputs!$B$39&lt;&gt;"pvp",Inputs!$B$44&gt;0),((Skills!G13*((R47-1)*IF(Skills!H13&gt;0,Skills!I13/Skills!H13,1)+IF(Skills!H13&gt;0,MIN(Skills!I13,MAX(0,MAX(0,Inputs!$B$44-B78)-((R47-1)*IF(Inputs!$B$39="pvp",15,MAX(0.1,Skills!D13-IF(Skills!E13=TRUE,Inputs!$B$32,0))))))/Skills!H13,1)))/Inputs!$B$44),G47*Q47))*IF(Inputs!$B$39="pvp",1,(1+(Inputs!$B$21+Skills!Q13+B68)/100)*(MIN(Skills!W13,Inputs!$B$37))),0)</f>
        <v/>
      </c>
    </row>
    <row r="48">
      <c r="A48">
        <f>Skills!A14</f>
        <v/>
      </c>
      <c r="B48">
        <f>Skills!B14</f>
        <v/>
      </c>
      <c r="C48">
        <f>Inputs!$B$3&gt;=107</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((Inputs!$B$6*(1+Inputs!$B$7/100))+((((Inputs!$B$12+1)*(1+Inputs!$B$13/100))-(Inputs!$B$12*(1+Inputs!$B$13/100)))+0.25*(Inputs!$B$14-Inputs!$B$14))*(1+Inputs!$B$7/100))*(F48/100)</f>
        <v/>
      </c>
      <c r="K48">
        <f>J48*(1+(((Inputs!$B$12+1)*(1+Inputs!$B$13/100))*0.01+Inputs!$B$14*0.0025)/100)*(1+Inputs!$B$15/100)*(1+Inputs!$B$16/100)*(5000/(6000+Inputs!$B$43*(1-Inputs!$B$19/100)))*(1+(Inputs!$B$24+((C64=TRUE)*(F64-Calc!F30)))/100)*(1+(IF(Skills!A14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48)</f>
        <v/>
      </c>
      <c r="L48">
        <f>K48*(MIN(Inputs!$B$22+((C58=TRUE)*(F58-Calc!F24)),Inputs!$B$23+((C63=TRUE)*(F63-Calc!F29)))/100+(Inputs!$B$23+((C63=TRUE)*(F63-Calc!F29)))/100)/2</f>
        <v/>
      </c>
      <c r="M48">
        <f>L48*(1+(Inputs!$B$10+((C60=TRUE)*(F60-Calc!F26))+B74)/100)</f>
        <v/>
      </c>
      <c r="N48">
        <f>L48*(1-MIN((Inputs!$B$9+((C59=TRUE)*(F59-Calc!F25))+B67),100)/100)+M48*(MIN((Inputs!$B$9+((C59=TRUE)*(F59-Calc!F25))+B67),100)/100)</f>
        <v/>
      </c>
      <c r="O48">
        <f>(1-Summary!$B$55)*T48+Summary!$B$55*V48</f>
        <v/>
      </c>
      <c r="P48">
        <f>IF(B79=0,0,O48/B79)</f>
        <v/>
      </c>
      <c r="Q48">
        <f>IFERROR(1/IF(Inputs!$B$39="pvp",15,MAX(0.1,Skills!D14-IF(Skills!E14=TRUE,Inputs!$B$32,0))),0)</f>
        <v/>
      </c>
      <c r="R48">
        <f>IF(AND(Inputs!$B$39&lt;&gt;"pvp",Inputs!$B$44&gt;0),IF(MAX(0,Inputs!$B$44-B78)&lt;=0,0,(INT(MAX(0,Inputs!$B$44-B78)/IF(Inputs!$B$39="pvp",15,MAX(0.1,Skills!D14-IF(Skills!E14=TRUE,Inputs!$B$32,0))))+1)),0)</f>
        <v/>
      </c>
      <c r="S48">
        <f>IFERROR(O48/N48,0)</f>
        <v/>
      </c>
      <c r="T48">
        <f>IF(C48,(H48*N48*IF(AND(Inputs!$B$39&lt;&gt;"pvp",Inputs!$B$44&gt;0),((Skills!G14*((R48-1)*IF(Skills!H14&gt;0,Skills!I14/Skills!H14,1)+IF(Skills!H14&gt;0,MIN(Skills!I14,MAX(0,MAX(0,Inputs!$B$44-B78)-((R48-1)*IF(Inputs!$B$39="pvp",15,MAX(0.1,Skills!D14-IF(Skills!E14=TRUE,Inputs!$B$32,0))))))/Skills!H14,1)))/Inputs!$B$44),G48*Q48))*IF(Inputs!$B$39="pvp",1,1+(Inputs!$B$20+0+Skills!P14+B68)/100),0)</f>
        <v/>
      </c>
      <c r="V48">
        <f>IF(C48,(H48*N48*IF(AND(Inputs!$B$39&lt;&gt;"pvp",Inputs!$B$44&gt;0),((Skills!G14*((R48-1)*IF(Skills!H14&gt;0,Skills!I14/Skills!H14,1)+IF(Skills!H14&gt;0,MIN(Skills!I14,MAX(0,MAX(0,Inputs!$B$44-B78)-((R48-1)*IF(Inputs!$B$39="pvp",15,MAX(0.1,Skills!D14-IF(Skills!E14=TRUE,Inputs!$B$32,0))))))/Skills!H14,1)))/Inputs!$B$44),G48*Q48))*IF(Inputs!$B$39="pvp",1,(1+(Inputs!$B$21+Skills!Q14+B68)/100)*(MIN(MIN(5,0.25*B71*Skills!D4)*Skills!V14,Inputs!$B$37))),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f>(1-Summary!$B$55)*T49+Summary!$B$55*V49</f>
        <v/>
      </c>
      <c r="P49">
        <f>IF(B79=0,0,O49/B79)</f>
        <v/>
      </c>
      <c r="Q49">
        <f>IFERROR(1/IF(Inputs!$B$39="pvp",15,MAX(0.1,Skills!D15-IF(Skills!E15=TRUE,Inputs!$B$32,0))),0)</f>
        <v/>
      </c>
      <c r="R49">
        <f>IF(AND(Inputs!$B$39&lt;&gt;"pvp",Inputs!$B$44&gt;0),IF(Inputs!$B$44&lt;=0,0,(INT(Inputs!$B$44/IF(Inputs!$B$39="pvp",15,MAX(0.1,Skills!D15-IF(Skills!E15=TRUE,Inputs!$B$32,0))))+1)),0)</f>
        <v/>
      </c>
      <c r="S49">
        <f>IFERROR(O49/N49,0)</f>
        <v/>
      </c>
      <c r="T49" t="n">
        <v>0</v>
      </c>
      <c r="V49" t="n">
        <v>0</v>
      </c>
    </row>
    <row r="50">
      <c r="A50">
        <f>Skills!A16</f>
        <v/>
      </c>
      <c r="B50">
        <f>Skills!B16</f>
        <v/>
      </c>
      <c r="C50">
        <f>Inputs!$B$3&gt;=115</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((Inputs!$B$6*(1+Inputs!$B$7/100))+((((Inputs!$B$12+1)*(1+Inputs!$B$13/100))-(Inputs!$B$12*(1+Inputs!$B$13/100)))+0.25*(Inputs!$B$14-Inputs!$B$14))*(1+Inputs!$B$7/100))*(F50/100)</f>
        <v/>
      </c>
      <c r="K50">
        <f>J50*(1+(((Inputs!$B$12+1)*(1+Inputs!$B$13/100))*0.01+Inputs!$B$14*0.0025)/100)*(1+Inputs!$B$15/100)*(1+Inputs!$B$16/100)*(5000/(6000+Inputs!$B$43*(1-Inputs!$B$19/100)))*(1+(Inputs!$B$24+((C64=TRUE)*(F64-Calc!F30)))/100)*(1+(IF(Skills!A16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50)</f>
        <v/>
      </c>
      <c r="L50">
        <f>K50*(MIN(Inputs!$B$22+((C58=TRUE)*(F58-Calc!F24)),Inputs!$B$23+((C63=TRUE)*(F63-Calc!F29)))/100+(Inputs!$B$23+((C63=TRUE)*(F63-Calc!F29)))/100)/2</f>
        <v/>
      </c>
      <c r="M50">
        <f>L50*(1+(Inputs!$B$10+((C60=TRUE)*(F60-Calc!F26))+B74)/100)</f>
        <v/>
      </c>
      <c r="N50">
        <f>L50*(1-MIN((Inputs!$B$9+((C59=TRUE)*(F59-Calc!F25))+B67),100)/100)+M50*(MIN((Inputs!$B$9+((C59=TRUE)*(F59-Calc!F25))+B67),100)/100)</f>
        <v/>
      </c>
      <c r="O50">
        <f>(1-Summary!$B$55)*T50+Summary!$B$55*V50</f>
        <v/>
      </c>
      <c r="P50">
        <f>IF(B79=0,0,O50/B79)</f>
        <v/>
      </c>
      <c r="Q50" t="n">
        <v>0</v>
      </c>
      <c r="R50" t="n">
        <v>0</v>
      </c>
      <c r="S50">
        <f>IFERROR(O50/N50,0)</f>
        <v/>
      </c>
      <c r="T50">
        <f>IF(C50,(Inputs!$B$38*0.2*N50)*IF(Inputs!$B$39="pvp",1,1+(Inputs!$B$20+0+Skills!P16+B68)/100),0)</f>
        <v/>
      </c>
      <c r="V50">
        <f>IF(C50,(Inputs!$B$38*0.2*N50)*IF(Inputs!$B$39="pvp",1,(1+(Inputs!$B$21+Skills!Q16+B68)/100)*(MIN(Skills!W16,Inputs!$B$37))),0)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f>(1-Summary!$B$55)*T51+Summary!$B$55*V51</f>
        <v/>
      </c>
      <c r="P51">
        <f>IF(B79=0,0,O51/B79)</f>
        <v/>
      </c>
      <c r="Q51" t="n">
        <v>0</v>
      </c>
      <c r="R51" t="n">
        <v>0</v>
      </c>
      <c r="S51">
        <f>IFERROR(O51/N51,0)</f>
        <v/>
      </c>
      <c r="T51" t="n">
        <v>0</v>
      </c>
      <c r="V51" t="n">
        <v>0</v>
      </c>
    </row>
    <row r="52">
      <c r="A52">
        <f>Skills!A18</f>
        <v/>
      </c>
      <c r="B52">
        <f>Skills!B18</f>
        <v/>
      </c>
      <c r="C52">
        <f>Inputs!$B$3&gt;=100</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f>(1-Summary!$B$55)*T52+Summary!$B$55*V52</f>
        <v/>
      </c>
      <c r="P52">
        <f>IF(B79=0,0,O52/B79)</f>
        <v/>
      </c>
      <c r="Q52" t="n">
        <v>0</v>
      </c>
      <c r="R52" t="n">
        <v>0</v>
      </c>
      <c r="S52">
        <f>IFERROR(O52/N52,0)</f>
        <v/>
      </c>
      <c r="T52" t="n">
        <v>0</v>
      </c>
      <c r="V52" t="n">
        <v>0</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f>(1-Summary!$B$55)*T53+Summary!$B$55*V53</f>
        <v/>
      </c>
      <c r="P53">
        <f>IF(B79=0,0,O53/B79)</f>
        <v/>
      </c>
      <c r="Q53">
        <f>IFERROR(1/IF(Inputs!$B$39="pvp",15,MAX(0.1,Skills!D19-IF(Skills!E19=TRUE,Inputs!$B$32,0))),0)</f>
        <v/>
      </c>
      <c r="R53">
        <f>IF(AND(Inputs!$B$39&lt;&gt;"pvp",Inputs!$B$44&gt;0),IF(Inputs!$B$44&lt;=0,0,(INT(Inputs!$B$44/IF(Inputs!$B$39="pvp",15,MAX(0.1,Skills!D19-IF(Skills!E19=TRUE,Inputs!$B$32,0))))+1)),0)</f>
        <v/>
      </c>
      <c r="S53">
        <f>IFERROR(O53/N53,0)</f>
        <v/>
      </c>
      <c r="T53" t="n">
        <v>0</v>
      </c>
      <c r="V53" t="n">
        <v>0</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f>(1-Summary!$B$55)*T54+Summary!$B$55*V54</f>
        <v/>
      </c>
      <c r="P54">
        <f>IF(B79=0,0,O54/B79)</f>
        <v/>
      </c>
      <c r="Q54">
        <f>IFERROR(1/IF(Inputs!$B$39="pvp",15,MAX(0.1,Skills!D20-IF(Skills!E20=TRUE,Inputs!$B$32,0))),0)</f>
        <v/>
      </c>
      <c r="R54">
        <f>IF(AND(Inputs!$B$39&lt;&gt;"pvp",Inputs!$B$44&gt;0),IF(Inputs!$B$44&lt;=0,0,(INT(Inputs!$B$44/IF(Inputs!$B$39="pvp",15,MAX(0.1,Skills!D20-IF(Skills!E20=TRUE,Inputs!$B$32,0))))+1)),0)</f>
        <v/>
      </c>
      <c r="S54">
        <f>IFERROR(O54/N54,0)</f>
        <v/>
      </c>
      <c r="T54" t="n">
        <v>0</v>
      </c>
      <c r="V54" t="n">
        <v>0</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f>(1-Summary!$B$55)*T55+Summary!$B$55*V55</f>
        <v/>
      </c>
      <c r="P55">
        <f>IF(B79=0,0,O55/B79)</f>
        <v/>
      </c>
      <c r="Q55">
        <f>IFERROR(1/IF(Inputs!$B$39="pvp",15,MAX(0.1,Skills!D21-IF(Skills!E21=TRUE,Inputs!$B$32,0))),0)</f>
        <v/>
      </c>
      <c r="R55">
        <f>IF(AND(Inputs!$B$39&lt;&gt;"pvp",Inputs!$B$44&gt;0),IF(Inputs!$B$44&lt;=0,0,(INT(Inputs!$B$44/IF(Inputs!$B$39="pvp",15,MAX(0.1,Skills!D21-IF(Skills!E21=TRUE,Inputs!$B$32,0))))+1)),0)</f>
        <v/>
      </c>
      <c r="S55">
        <f>IFERROR(O55/N55,0)</f>
        <v/>
      </c>
      <c r="T55" t="n">
        <v>0</v>
      </c>
      <c r="V55" t="n">
        <v>0</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f>(1-Summary!$B$55)*T56+Summary!$B$55*V56</f>
        <v/>
      </c>
      <c r="P56">
        <f>IF(B79=0,0,O56/B79)</f>
        <v/>
      </c>
      <c r="Q56" t="n">
        <v>0</v>
      </c>
      <c r="R56" t="n">
        <v>0</v>
      </c>
      <c r="S56">
        <f>IFERROR(O56/N56,0)</f>
        <v/>
      </c>
      <c r="T56" t="n">
        <v>0</v>
      </c>
      <c r="V56" t="n">
        <v>0</v>
      </c>
    </row>
    <row r="57">
      <c r="A57">
        <f>Skills!A23</f>
        <v/>
      </c>
      <c r="B57">
        <f>Skills!B23</f>
        <v/>
      </c>
      <c r="C57">
        <f>Inputs!$B$3&gt;=40</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f>(1-Summary!$B$55)*T57+Summary!$B$55*V57</f>
        <v/>
      </c>
      <c r="P57">
        <f>IF(B79=0,0,O57/B79)</f>
        <v/>
      </c>
      <c r="Q57" t="n">
        <v>0</v>
      </c>
      <c r="R57" t="n">
        <v>0</v>
      </c>
      <c r="S57">
        <f>IFERROR(O57/N57,0)</f>
        <v/>
      </c>
      <c r="T57" t="n">
        <v>0</v>
      </c>
      <c r="V57" t="n">
        <v>0</v>
      </c>
    </row>
    <row r="58">
      <c r="A58">
        <f>Skills!A24</f>
        <v/>
      </c>
      <c r="B58">
        <f>Skills!B24</f>
        <v/>
      </c>
      <c r="C58">
        <f>Inputs!$B$3&gt;=43</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f>(1-Summary!$B$55)*T58+Summary!$B$55*V58</f>
        <v/>
      </c>
      <c r="P58">
        <f>IF(B79=0,0,O58/B79)</f>
        <v/>
      </c>
      <c r="Q58" t="n">
        <v>0</v>
      </c>
      <c r="R58" t="n">
        <v>0</v>
      </c>
      <c r="S58">
        <f>IFERROR(O58/N58,0)</f>
        <v/>
      </c>
      <c r="T58" t="n">
        <v>0</v>
      </c>
      <c r="V58" t="n">
        <v>0</v>
      </c>
    </row>
    <row r="59">
      <c r="A59">
        <f>Skills!A25</f>
        <v/>
      </c>
      <c r="B59">
        <f>Skills!B25</f>
        <v/>
      </c>
      <c r="C59">
        <f>Inputs!$B$3&gt;=50</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f>(1-Summary!$B$55)*T59+Summary!$B$55*V59</f>
        <v/>
      </c>
      <c r="P59">
        <f>IF(B79=0,0,O59/B79)</f>
        <v/>
      </c>
      <c r="Q59" t="n">
        <v>0</v>
      </c>
      <c r="R59" t="n">
        <v>0</v>
      </c>
      <c r="S59">
        <f>IFERROR(O59/N59,0)</f>
        <v/>
      </c>
      <c r="T59" t="n">
        <v>0</v>
      </c>
      <c r="V59" t="n">
        <v>0</v>
      </c>
    </row>
    <row r="60">
      <c r="A60">
        <f>Skills!A26</f>
        <v/>
      </c>
      <c r="B60">
        <f>Skills!B26</f>
        <v/>
      </c>
      <c r="C60">
        <f>Inputs!$B$3&gt;=50</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f>(1-Summary!$B$55)*T60+Summary!$B$55*V60</f>
        <v/>
      </c>
      <c r="P60">
        <f>IF(B79=0,0,O60/B79)</f>
        <v/>
      </c>
      <c r="Q60" t="n">
        <v>0</v>
      </c>
      <c r="R60" t="n">
        <v>0</v>
      </c>
      <c r="S60">
        <f>IFERROR(O60/N60,0)</f>
        <v/>
      </c>
      <c r="T60" t="n">
        <v>0</v>
      </c>
      <c r="V60" t="n">
        <v>0</v>
      </c>
    </row>
    <row r="61">
      <c r="A61">
        <f>Skills!A27</f>
        <v/>
      </c>
      <c r="B61">
        <f>Skills!B27</f>
        <v/>
      </c>
      <c r="C61">
        <f>Inputs!$B$3&gt;=38</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f>(1-Summary!$B$55)*T61+Summary!$B$55*V61</f>
        <v/>
      </c>
      <c r="P61">
        <f>IF(B79=0,0,O61/B79)</f>
        <v/>
      </c>
      <c r="Q61" t="n">
        <v>0</v>
      </c>
      <c r="R61" t="n">
        <v>0</v>
      </c>
      <c r="S61">
        <f>IFERROR(O61/N61,0)</f>
        <v/>
      </c>
      <c r="T61" t="n">
        <v>0</v>
      </c>
      <c r="V61" t="n">
        <v>0</v>
      </c>
    </row>
    <row r="62">
      <c r="A62">
        <f>Skills!A28</f>
        <v/>
      </c>
      <c r="B62">
        <f>Skills!B28</f>
        <v/>
      </c>
      <c r="C62">
        <f>Inputs!$B$3&gt;=120</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f>(1-Summary!$B$55)*T62+Summary!$B$55*V62</f>
        <v/>
      </c>
      <c r="P62">
        <f>IF(B79=0,0,O62/B79)</f>
        <v/>
      </c>
      <c r="Q62" t="n">
        <v>0</v>
      </c>
      <c r="R62" t="n">
        <v>0</v>
      </c>
      <c r="S62">
        <f>IFERROR(O62/N62,0)</f>
        <v/>
      </c>
      <c r="T62" t="n">
        <v>0</v>
      </c>
      <c r="V62" t="n">
        <v>0</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f>(1-Summary!$B$55)*T63+Summary!$B$55*V63</f>
        <v/>
      </c>
      <c r="P63">
        <f>IF(B79=0,0,O63/B79)</f>
        <v/>
      </c>
      <c r="Q63" t="n">
        <v>0</v>
      </c>
      <c r="R63" t="n">
        <v>0</v>
      </c>
      <c r="S63">
        <f>IFERROR(O63/N63,0)</f>
        <v/>
      </c>
      <c r="T63" t="n">
        <v>0</v>
      </c>
      <c r="V63" t="n">
        <v>0</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f>(1-Summary!$B$55)*T64+Summary!$B$55*V64</f>
        <v/>
      </c>
      <c r="P64">
        <f>IF(B79=0,0,O64/B79)</f>
        <v/>
      </c>
      <c r="Q64" t="n">
        <v>0</v>
      </c>
      <c r="R64" t="n">
        <v>0</v>
      </c>
      <c r="S64">
        <f>IFERROR(O64/N64,0)</f>
        <v/>
      </c>
      <c r="T64" t="n">
        <v>0</v>
      </c>
      <c r="V64" t="n">
        <v>0</v>
      </c>
    </row>
    <row r="66">
      <c r="A66" t="inlineStr">
        <is>
          <t>Average Buff Multiplier</t>
        </is>
      </c>
      <c r="B66">
        <f>(1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f>
        <v/>
      </c>
    </row>
    <row r="67">
      <c r="A67" t="inlineStr">
        <is>
          <t>Global Crit Rate Bonus %</t>
        </is>
      </c>
      <c r="B67">
        <f>((C54=TRUE)*F54*IF(AND(Inputs!$B$39&lt;&gt;"pvp",Inputs!$B$44&gt;0),(((R54-1)*(Skills!Y20*(1+Inputs!$B$34/100))+MIN((Skills!Y20*(1+Inputs!$B$34/100)),MAX(0,Inputs!$B$44-((R54-1)*Skills!D20))))/Inputs!$B$44),IF(Inputs!$B$39="pvp",MIN((Skills!Y20*(1+Inputs!$B$34/100)),15)/15,(Skills!Y20*(1+Inputs!$B$34/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$39&lt;&gt;"pvp",Inputs!$B$44&gt;0),(((R53-1)*(Skills!Y19*(1+Inputs!$B$34/100))+MIN((Skills!Y19*(1+Inputs!$B$34/100)),MAX(0,Inputs!$B$44-((R53-1)*Skills!D19))))/Inputs!$B$44),IF(Inputs!$B$39="pvp",MIN((Skills!Y19*(1+Inputs!$B$34/100)),15)/15,(Skills!Y19*(1+Inputs!$B$34/100))/Skills!D19)))+((C37=TRUE)*F37*3)</f>
        <v/>
      </c>
    </row>
    <row r="71">
      <c r="A71" t="inlineStr">
        <is>
          <t>Actions Per Second</t>
        </is>
      </c>
      <c r="B71">
        <f>1+MIN(150,150*(1-(1-(Inputs!$B$11+((C56=TRUE)*(F56-Calc!F22)))/150)*(1-B70/150)))/100</f>
        <v/>
      </c>
    </row>
    <row r="72">
      <c r="A72" t="inlineStr">
        <is>
          <t>Skill + Buff Cast Rate</t>
        </is>
      </c>
      <c r="B72">
        <f>IF(AND(Inputs!$B$39&lt;&gt;"pvp",Inputs!$B$44&gt;0),SUMPRODUCT((Skills!E2:E30=TRUE)*(C36:C64=TRUE)*R36:R64*Skills!F2:F30)/Inputs!$B$44,SUMPRODUCT((Skills!E2:E30=TRUE)*(C36:C64=TRUE)*Q36:Q64*Skills!F2:F30))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$39&lt;&gt;"pvp",Inputs!$B$44&gt;0),(((R49-1)*(Skills!Y15*(1+Inputs!$B$34/100))+MIN((Skills!Y15*(1+Inputs!$B$34/100)),MAX(0,Inputs!$B$44-((R49-1)*Skills!D15))))/Inputs!$B$44),IF(Inputs!$B$39="pvp",MIN((Skills!Y15*(1+Inputs!$B$34/100)),15)/15,(Skills!Y15*(1+Inputs!$B$34/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8">
      <c r="A78" t="inlineStr">
        <is>
          <t>Buff-Casting Startup Delay (s, fixed-duration only)</t>
        </is>
      </c>
      <c r="B78">
        <f>IF(AND(Inputs!$B$39&lt;&gt;"pvp",Inputs!$B$44&gt;0),SUMPRODUCT((Skills!Y2:Y30&gt;0)*(Skills!E2:E30=TRUE)*(C36:C64=TRUE))/B71,0)</f>
        <v/>
      </c>
    </row>
    <row r="79">
      <c r="A79" s="5" t="inlineStr">
        <is>
          <t>TOTAL DPS</t>
        </is>
      </c>
      <c r="B79" s="5">
        <f>SUM(O36:O64)</f>
        <v/>
      </c>
    </row>
    <row r="80">
      <c r="A80" t="inlineStr">
        <is>
          <t>Boss-Only Total DPS (this block's swept value)</t>
        </is>
      </c>
      <c r="B80">
        <f>SUM(T36:T64)</f>
        <v/>
      </c>
    </row>
    <row r="81">
      <c r="A81" t="inlineStr">
        <is>
          <t>Normal-Only Total DPS (this block's swept value)</t>
        </is>
      </c>
      <c r="B81">
        <f>SUM(V36:V64)</f>
        <v/>
      </c>
    </row>
    <row r="84">
      <c r="A84" s="5" t="inlineStr">
        <is>
          <t>Stat: LUK %</t>
        </is>
      </c>
    </row>
    <row r="85">
      <c r="A85" s="9" t="inlineStr">
        <is>
          <t>Key</t>
        </is>
      </c>
      <c r="B85" s="9" t="inlineStr">
        <is>
          <t>Name</t>
        </is>
      </c>
      <c r="C85" s="9" t="inlineStr">
        <is>
          <t>Unlocked</t>
        </is>
      </c>
      <c r="D85" s="9" t="inlineStr">
        <is>
          <t>InputLevel</t>
        </is>
      </c>
      <c r="E85" s="9" t="inlineStr">
        <is>
          <t>Factor</t>
        </is>
      </c>
      <c r="F85" s="9" t="inlineStr">
        <is>
          <t>CoefficientPercent</t>
        </is>
      </c>
      <c r="G85" s="9" t="inlineStr">
        <is>
          <t>EffectiveHits</t>
        </is>
      </c>
      <c r="H85" s="9" t="inlineStr">
        <is>
          <t>ProcProbability</t>
        </is>
      </c>
      <c r="I85" s="9" t="inlineStr">
        <is>
          <t>MapleHeroMultiplier</t>
        </is>
      </c>
      <c r="J85" s="9" t="inlineStr">
        <is>
          <t>BaseDamage</t>
        </is>
      </c>
      <c r="K85" s="9" t="inlineStr">
        <is>
          <t>BaseHitDamage</t>
        </is>
      </c>
      <c r="L85" s="9" t="inlineStr">
        <is>
          <t>NonCritAvg</t>
        </is>
      </c>
      <c r="M85" s="9" t="inlineStr">
        <is>
          <t>CritAvg</t>
        </is>
      </c>
      <c r="N85" s="9" t="inlineStr">
        <is>
          <t>ExpectedDamage(perHit)</t>
        </is>
      </c>
      <c r="O85" s="9" t="inlineStr">
        <is>
          <t>DPS</t>
        </is>
      </c>
      <c r="P85" s="9" t="inlineStr">
        <is>
          <t>% of Total</t>
        </is>
      </c>
      <c r="Q85" s="9" t="inlineStr">
        <is>
          <t>InvCooldown</t>
        </is>
      </c>
      <c r="R85" s="9" t="inlineStr">
        <is>
          <t>CastsInFight</t>
        </is>
      </c>
      <c r="S85" s="9" t="inlineStr">
        <is>
          <t>HitRate(perSec)</t>
        </is>
      </c>
      <c r="U85" t="inlineStr">
        <is>
          <t>helpers</t>
        </is>
      </c>
    </row>
    <row r="86">
      <c r="A86">
        <f>Skills!A2</f>
        <v/>
      </c>
      <c r="B86">
        <f>Skills!B2</f>
        <v/>
      </c>
      <c r="C86">
        <f>Inputs!$B$3&gt;=100</f>
        <v/>
      </c>
      <c r="D86" t="inlineStr"/>
      <c r="E86" t="inlineStr"/>
      <c r="F86">
        <f>U88+Skills!O2</f>
        <v/>
      </c>
      <c r="G86">
        <f>Skills!G2*IF(Skills!H2&gt;0,Skills!I2/Skills!H2,1)</f>
        <v/>
      </c>
      <c r="H86">
        <f>1-(1-Skills!J2/100)^Skills!K2</f>
        <v/>
      </c>
      <c r="I86" t="inlineStr">
        <is>
          <t>1</t>
        </is>
      </c>
      <c r="J86">
        <f>((Inputs!$B$6*(1+Inputs!$B$7/100))+(((Inputs!$B$12*(1+(Inputs!$B$13+1)/100))-(Inputs!$B$12*(1+Inputs!$B$13/100)))+0.25*(Inputs!$B$14-Inputs!$B$14))*(1+Inputs!$B$7/100))*(F86/100)</f>
        <v/>
      </c>
      <c r="K86">
        <f>J86*(1+((Inputs!$B$12*(1+(Inputs!$B$13+1)/100))*0.01+Inputs!$B$14*0.0025)/100)*(1+Inputs!$B$15/100)*(1+Inputs!$B$16/100)*(5000/(6000+Inputs!$B$43*(1-Inputs!$B$19/100)))*(1+(Inputs!$B$24+((C114=TRUE)*(F114-Calc!F30)))/100)*(1+(IF(Skills!A2="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86)</f>
        <v/>
      </c>
      <c r="L86">
        <f>K86*(MIN(Inputs!$B$22+((C108=TRUE)*(F108-Calc!F24)),Inputs!$B$23+((C113=TRUE)*(F113-Calc!F29)))/100+(Inputs!$B$23+((C113=TRUE)*(F113-Calc!F29)))/100)/2</f>
        <v/>
      </c>
      <c r="M86">
        <f>L86*(1+(Inputs!$B$10+((C110=TRUE)*(F110-Calc!F26))+B124)/100)</f>
        <v/>
      </c>
      <c r="N86">
        <f>L86*(1-MIN((Inputs!$B$9+((C109=TRUE)*(F109-Calc!F25))+B117),100)/100)+M86*(MIN((Inputs!$B$9+((C109=TRUE)*(F109-Calc!F25))+B117),100)/100)</f>
        <v/>
      </c>
      <c r="O86">
        <f>(1-Summary!$B$55)*T86+Summary!$B$55*V86</f>
        <v/>
      </c>
      <c r="P86">
        <f>IF(B129=0,0,O86/B129)</f>
        <v/>
      </c>
      <c r="Q86" t="n">
        <v>0</v>
      </c>
      <c r="R86" t="n">
        <v>0</v>
      </c>
      <c r="S86">
        <f>IFERROR(O86/N86,0)</f>
        <v/>
      </c>
      <c r="T86">
        <f>IF(C86,(Skills!G2*N86*B123)*IF(Inputs!$B$39="pvp",1,1+(Inputs!$B$20+0+Skills!P2+B118)/100),0)</f>
        <v/>
      </c>
      <c r="U86">
        <f>MAX(0,(Inputs!$B$3-100)*3)+Inputs!$B$28+Inputs!$B$29</f>
        <v/>
      </c>
      <c r="V86">
        <f>IF(C86,(Skills!G2*N86*B123)*IF(Inputs!$B$39="pvp",1,(1+(Inputs!$B$21+Skills!Q2+B118)/100)*(MIN((6+Inputs!$B$33),Inputs!$B$37))),0)</f>
        <v/>
      </c>
    </row>
    <row r="87">
      <c r="A87">
        <f>Skills!A3</f>
        <v/>
      </c>
      <c r="B87">
        <f>Skills!B3</f>
        <v/>
      </c>
      <c r="C87">
        <f>Inputs!$B$3&gt;=35</f>
        <v/>
      </c>
      <c r="D87">
        <f>IF(Skills!C3=1,60+Inputs!$B$25+Inputs!$B$29,IF(Skills!C3=2,90+Inputs!$B$26+Inputs!$B$29,IF(Skills!C3=3,120+Inputs!$B$27+Inputs!$B$29,MAX(0,(Inputs!$B$3-100)*3)+Inputs!$B$28+Inputs!$B$29)))</f>
        <v/>
      </c>
      <c r="E87">
        <f>INDEX(FactorTable!$B$2:$Y$301, MATCH(ROUND(MIN(300,MAX(1,D87)),0), FactorTable!$A$2:$A$301,0), Skills!M3+1)</f>
        <v/>
      </c>
      <c r="F87">
        <f>IF(Skills!N3=TRUE,(Skills!L3/10)*(E87/1000),Skills!L3/10)+Skills!O3</f>
        <v/>
      </c>
      <c r="G87">
        <f>Skills!G3*IF(Skills!H3&gt;0,Skills!I3/Skills!H3,1)</f>
        <v/>
      </c>
      <c r="H87">
        <f>1-(1-Skills!J3/100)^Skills!K3</f>
        <v/>
      </c>
      <c r="I87" t="inlineStr">
        <is>
          <t>1</t>
        </is>
      </c>
      <c r="J87" t="inlineStr"/>
      <c r="K87" t="inlineStr"/>
      <c r="L87" t="inlineStr"/>
      <c r="M87" t="inlineStr"/>
      <c r="N87" t="inlineStr"/>
      <c r="O87">
        <f>(1-Summary!$B$55)*T87+Summary!$B$55*V87</f>
        <v/>
      </c>
      <c r="P87">
        <f>IF(B129=0,0,O87/B129)</f>
        <v/>
      </c>
      <c r="Q87" t="n">
        <v>0</v>
      </c>
      <c r="R87" t="n">
        <v>0</v>
      </c>
      <c r="S87">
        <f>IFERROR(O87/N87,0)</f>
        <v/>
      </c>
      <c r="T87" t="n">
        <v>0</v>
      </c>
      <c r="U87">
        <f>INDEX(FactorTable!$B$2:$Y$301, MATCH(ROUND(MIN(300,MAX(1,U86)),0), FactorTable!$A$2:$A$301,0), 22)</f>
        <v/>
      </c>
      <c r="V87" t="n">
        <v>0</v>
      </c>
    </row>
    <row r="88">
      <c r="A88">
        <f>Skills!A4</f>
        <v/>
      </c>
      <c r="B88">
        <f>Skills!B4</f>
        <v/>
      </c>
      <c r="C88">
        <f>Inputs!$B$3&gt;=66</f>
        <v/>
      </c>
      <c r="D88">
        <f>IF(Skills!C4=1,60+Inputs!$B$25+Inputs!$B$29,IF(Skills!C4=2,90+Inputs!$B$26+Inputs!$B$29,IF(Skills!C4=3,120+Inputs!$B$27+Inputs!$B$29,MAX(0,(Inputs!$B$3-100)*3)+Inputs!$B$28+Inputs!$B$29)))</f>
        <v/>
      </c>
      <c r="E88">
        <f>INDEX(FactorTable!$B$2:$Y$301, MATCH(ROUND(MIN(300,MAX(1,D88)),0), FactorTable!$A$2:$A$301,0), Skills!M4+1)</f>
        <v/>
      </c>
      <c r="F88">
        <f>IF(Skills!N4=TRUE,(Skills!L4/10)*(E88/1000),Skills!L4/10)+Skills!O4</f>
        <v/>
      </c>
      <c r="G88">
        <f>Skills!G4*IF(Skills!H4&gt;0,Skills!I4/Skills!H4,1)</f>
        <v/>
      </c>
      <c r="H88">
        <f>1-(1-Skills!J4/100)^Skills!K4</f>
        <v/>
      </c>
      <c r="I88" t="inlineStr">
        <is>
          <t>1</t>
        </is>
      </c>
      <c r="J88">
        <f>((Inputs!$B$6*(1+Inputs!$B$7/100))+(((Inputs!$B$12*(1+(Inputs!$B$13+1)/100))-(Inputs!$B$12*(1+Inputs!$B$13/100)))+0.25*(Inputs!$B$14-Inputs!$B$14))*(1+Inputs!$B$7/100))*(F88/100)</f>
        <v/>
      </c>
      <c r="K88">
        <f>J88*(1+((Inputs!$B$12*(1+(Inputs!$B$13+1)/100))*0.01+Inputs!$B$14*0.0025)/100)*(1+Inputs!$B$15/100)*(1+Inputs!$B$16/100)*(5000/(6000+Inputs!$B$43*(1-Inputs!$B$19/100)))*(1+(Inputs!$B$24+((C114=TRUE)*(F114-Calc!F30)))/100)*(1+(IF(Skills!A4="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88)</f>
        <v/>
      </c>
      <c r="L88">
        <f>K88*(MIN(Inputs!$B$22+((C108=TRUE)*(F108-Calc!F24)),Inputs!$B$23+((C113=TRUE)*(F113-Calc!F29)))/100+(Inputs!$B$23+((C113=TRUE)*(F113-Calc!F29)))/100)/2</f>
        <v/>
      </c>
      <c r="M88">
        <f>L88*(1+(Inputs!$B$10+((C110=TRUE)*(F110-Calc!F26))+B124)/100)</f>
        <v/>
      </c>
      <c r="N88">
        <f>L88*(1-MIN((Inputs!$B$9+((C109=TRUE)*(F109-Calc!F25))+B117),100)/100)+M88*(MIN((Inputs!$B$9+((C109=TRUE)*(F109-Calc!F25))+B117),100)/100)</f>
        <v/>
      </c>
      <c r="O88">
        <f>(1-Summary!$B$55)*T88+Summary!$B$55*V88</f>
        <v/>
      </c>
      <c r="P88">
        <f>IF(B129=0,0,O88/B129)</f>
        <v/>
      </c>
      <c r="Q88">
        <f>IFERROR(1/IF(Inputs!$B$39="pvp",15,MAX(0.1,Skills!D4-IF(Skills!E4=TRUE,Inputs!$B$32,0))),0)</f>
        <v/>
      </c>
      <c r="R88">
        <f>IF(AND(Inputs!$B$39&lt;&gt;"pvp",Inputs!$B$44&gt;0),IF(MAX(0,Inputs!$B$44-B128)&lt;=0,0,(INT(MAX(0,Inputs!$B$44-B128)/IF(Inputs!$B$39="pvp",15,MAX(0.1,Skills!D4-IF(Skills!E4=TRUE,Inputs!$B$32,0))))+1)),0)</f>
        <v/>
      </c>
      <c r="S88">
        <f>IFERROR(O88/N88,0)</f>
        <v/>
      </c>
      <c r="T88">
        <f>IF(C88,(H88*N88*IF(AND(Inputs!$B$39&lt;&gt;"pvp",Inputs!$B$44&gt;0),((Skills!G4*((R88-1)*IF(Skills!H4&gt;0,Skills!I4/Skills!H4,1)+IF(Skills!H4&gt;0,MIN(Skills!I4,MAX(0,MAX(0,Inputs!$B$44-B128)-((R88-1)*IF(Inputs!$B$39="pvp",15,MAX(0.1,Skills!D4-IF(Skills!E4=TRUE,Inputs!$B$32,0))))))/Skills!H4,1)))/Inputs!$B$44),G88*Q88))*IF(Inputs!$B$39="pvp",1,1+(Inputs!$B$20+0+Skills!P4+B118)/100),0)</f>
        <v/>
      </c>
      <c r="U88">
        <f>290*U87/1000</f>
        <v/>
      </c>
      <c r="V88">
        <f>IF(C88,(H88*N88*IF(AND(Inputs!$B$39&lt;&gt;"pvp",Inputs!$B$44&gt;0),((Skills!G4*((R88-1)*IF(Skills!H4&gt;0,Skills!I4/Skills!H4,1)+IF(Skills!H4&gt;0,MIN(Skills!I4,MAX(0,MAX(0,Inputs!$B$44-B128)-((R88-1)*IF(Inputs!$B$39="pvp",15,MAX(0.1,Skills!D4-IF(Skills!E4=TRUE,Inputs!$B$32,0))))))/Skills!H4,1)))/Inputs!$B$44),G88*Q88))*IF(Inputs!$B$39="pvp",1,(1+(Inputs!$B$21+Skills!Q4+B118)/100)*(MIN(MIN(10,0.5*B121*Skills!D4),Inputs!$B$37))),0)</f>
        <v/>
      </c>
    </row>
    <row r="89">
      <c r="A89">
        <f>Skills!A5</f>
        <v/>
      </c>
      <c r="B89">
        <f>Skills!B5</f>
        <v/>
      </c>
      <c r="C89">
        <f>Inputs!$B$3&gt;=63</f>
        <v/>
      </c>
      <c r="D89">
        <f>IF(Skills!C5=1,60+Inputs!$B$25+Inputs!$B$29,IF(Skills!C5=2,90+Inputs!$B$26+Inputs!$B$29,IF(Skills!C5=3,120+Inputs!$B$27+Inputs!$B$29,MAX(0,(Inputs!$B$3-100)*3)+Inputs!$B$28+Inputs!$B$29)))</f>
        <v/>
      </c>
      <c r="E89">
        <f>INDEX(FactorTable!$B$2:$Y$301, MATCH(ROUND(MIN(300,MAX(1,D89)),0), FactorTable!$A$2:$A$301,0), Skills!M5+1)</f>
        <v/>
      </c>
      <c r="F89">
        <f>IF(Skills!N5=TRUE,(Skills!L5/10)*(E89/1000),Skills!L5/10)+Skills!O5</f>
        <v/>
      </c>
      <c r="G89">
        <f>Skills!G5*IF(Skills!H5&gt;0,Skills!I5/Skills!H5,1)</f>
        <v/>
      </c>
      <c r="H89">
        <f>1-(1-Skills!J5/100)^Skills!K5</f>
        <v/>
      </c>
      <c r="I89" t="inlineStr">
        <is>
          <t>1</t>
        </is>
      </c>
      <c r="J89">
        <f>((Inputs!$B$6*(1+Inputs!$B$7/100))+(((Inputs!$B$12*(1+(Inputs!$B$13+1)/100))-(Inputs!$B$12*(1+Inputs!$B$13/100)))+0.25*(Inputs!$B$14-Inputs!$B$14))*(1+Inputs!$B$7/100))*(F89/100)</f>
        <v/>
      </c>
      <c r="K89">
        <f>J89*(1+((Inputs!$B$12*(1+(Inputs!$B$13+1)/100))*0.01+Inputs!$B$14*0.0025)/100)*(1+Inputs!$B$15/100)*(1+Inputs!$B$16/100)*(5000/(6000+Inputs!$B$43*(1-Inputs!$B$19/100)))*(1+(Inputs!$B$24+((C114=TRUE)*(F114-Calc!F30)))/100)*(1+2.6666666666666665*IF(C102=TRUE,F102,0)/100)*(1+(IF(Skills!A5="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89)</f>
        <v/>
      </c>
      <c r="L89">
        <f>K89*(MIN(Inputs!$B$22+((C108=TRUE)*(F108-Calc!F24)),Inputs!$B$23+((C113=TRUE)*(F113-Calc!F29)))/100+(Inputs!$B$23+((C113=TRUE)*(F113-Calc!F29)))/100)/2</f>
        <v/>
      </c>
      <c r="M89">
        <f>L89*(1+(Inputs!$B$10+((C110=TRUE)*(F110-Calc!F26))+B124)/100)</f>
        <v/>
      </c>
      <c r="N89">
        <f>L89*(1-MIN((Inputs!$B$9+((C109=TRUE)*(F109-Calc!F25))+B117),100)/100)+M89*(MIN((Inputs!$B$9+((C109=TRUE)*(F109-Calc!F25))+B117),100)/100)</f>
        <v/>
      </c>
      <c r="O89">
        <f>(1-Summary!$B$55)*T89+Summary!$B$55*V89</f>
        <v/>
      </c>
      <c r="P89">
        <f>IF(B129=0,0,O89/B129)</f>
        <v/>
      </c>
      <c r="Q89">
        <f>IFERROR(1/IF(Inputs!$B$39="pvp",15,MAX(0.1,Skills!D5-IF(Skills!E5=TRUE,Inputs!$B$32,0))),0)</f>
        <v/>
      </c>
      <c r="R89">
        <f>IF(AND(Inputs!$B$39&lt;&gt;"pvp",Inputs!$B$44&gt;0),IF(MAX(0,Inputs!$B$44-B128)&lt;=0,0,(INT(MAX(0,Inputs!$B$44-B128)/IF(Inputs!$B$39="pvp",15,MAX(0.1,Skills!D5-IF(Skills!E5=TRUE,Inputs!$B$32,0))))+1)),0)</f>
        <v/>
      </c>
      <c r="S89">
        <f>IFERROR(O89/N89,0)</f>
        <v/>
      </c>
      <c r="T89">
        <f>IF(C89,(H89*N89*IF(AND(Inputs!$B$39&lt;&gt;"pvp",Inputs!$B$44&gt;0),((Skills!G5*((R89-1)*IF(Skills!H5&gt;0,Skills!I5/Skills!H5,1)+IF(Skills!H5&gt;0,MIN(Skills!I5,MAX(0,MAX(0,Inputs!$B$44-B128)-((R89-1)*IF(Inputs!$B$39="pvp",15,MAX(0.1,Skills!D5-IF(Skills!E5=TRUE,Inputs!$B$32,0))))))/Skills!H5,1)))/Inputs!$B$44),G89*Q89))*IF(Inputs!$B$39="pvp",1,1+(Inputs!$B$20+0+Skills!P5+B118)/100),0)</f>
        <v/>
      </c>
      <c r="V89">
        <f>IF(C89,(H89*N89*IF(AND(Inputs!$B$39&lt;&gt;"pvp",Inputs!$B$44&gt;0),((Skills!G5*((R89-1)*IF(Skills!H5&gt;0,Skills!I5/Skills!H5,1)+IF(Skills!H5&gt;0,MIN(Skills!I5,MAX(0,MAX(0,Inputs!$B$44-B128)-((R89-1)*IF(Inputs!$B$39="pvp",15,MAX(0.1,Skills!D5-IF(Skills!E5=TRUE,Inputs!$B$32,0))))))/Skills!H5,1)))/Inputs!$B$44),G89*Q89))*IF(Inputs!$B$39="pvp",1,(1+(Inputs!$B$21+Skills!Q5+B118)/100)*(MIN(Skills!W5,Inputs!$B$37))),0)</f>
        <v/>
      </c>
    </row>
    <row r="90">
      <c r="A90">
        <f>Skills!A6</f>
        <v/>
      </c>
      <c r="B90">
        <f>Skills!B6</f>
        <v/>
      </c>
      <c r="C90">
        <f>Inputs!$B$3&gt;=69</f>
        <v/>
      </c>
      <c r="D90">
        <f>IF(Skills!C6=1,60+Inputs!$B$25+Inputs!$B$29,IF(Skills!C6=2,90+Inputs!$B$26+Inputs!$B$29,IF(Skills!C6=3,120+Inputs!$B$27+Inputs!$B$29,MAX(0,(Inputs!$B$3-100)*3)+Inputs!$B$28+Inputs!$B$29)))</f>
        <v/>
      </c>
      <c r="E90">
        <f>INDEX(FactorTable!$B$2:$Y$301, MATCH(ROUND(MIN(300,MAX(1,D90)),0), FactorTable!$A$2:$A$301,0), Skills!M6+1)</f>
        <v/>
      </c>
      <c r="F90">
        <f>IF(Skills!N6=TRUE,(Skills!L6/10)*(E90/1000),Skills!L6/10)+Skills!O6</f>
        <v/>
      </c>
      <c r="G90">
        <f>Skills!G6*IF(Skills!H6&gt;0,Skills!I6/Skills!H6,1)</f>
        <v/>
      </c>
      <c r="H90">
        <f>1-(1-Skills!J6/100)^Skills!K6</f>
        <v/>
      </c>
      <c r="I90" t="inlineStr">
        <is>
          <t>1</t>
        </is>
      </c>
      <c r="J90">
        <f>((Inputs!$B$6*(1+Inputs!$B$7/100))+(((Inputs!$B$12*(1+(Inputs!$B$13+1)/100))-(Inputs!$B$12*(1+Inputs!$B$13/100)))+0.25*(Inputs!$B$14-Inputs!$B$14))*(1+Inputs!$B$7/100))*(F90/100)</f>
        <v/>
      </c>
      <c r="K90">
        <f>J90*(1+((Inputs!$B$12*(1+(Inputs!$B$13+1)/100))*0.01+Inputs!$B$14*0.0025)/100)*(1+Inputs!$B$15/100)*(1+Inputs!$B$16/100)*(5000/(6000+Inputs!$B$43*(1-Inputs!$B$19/100)))*(1+(Inputs!$B$24+((C114=TRUE)*(F114-Calc!F30)))/100)*(1+1.0*IF(C102=TRUE,F102,0)/100)*(1+(IF(Skills!A6="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90)</f>
        <v/>
      </c>
      <c r="L90">
        <f>K90*(MIN(Inputs!$B$22+((C108=TRUE)*(F108-Calc!F24)),Inputs!$B$23+((C113=TRUE)*(F113-Calc!F29)))/100+(Inputs!$B$23+((C113=TRUE)*(F113-Calc!F29)))/100)/2</f>
        <v/>
      </c>
      <c r="M90">
        <f>L90*(1+(Inputs!$B$10+((C110=TRUE)*(F110-Calc!F26))+B124)/100)</f>
        <v/>
      </c>
      <c r="N90">
        <f>L90*(1-MIN((Inputs!$B$9+((C109=TRUE)*(F109-Calc!F25))+B117),100)/100)+M90*(MIN((Inputs!$B$9+((C109=TRUE)*(F109-Calc!F25))+B117),100)/100)</f>
        <v/>
      </c>
      <c r="O90">
        <f>(1-Summary!$B$55)*T90+Summary!$B$55*V90</f>
        <v/>
      </c>
      <c r="P90">
        <f>IF(B129=0,0,O90/B129)</f>
        <v/>
      </c>
      <c r="Q90">
        <f>IFERROR(1/IF(Inputs!$B$39="pvp",15,MAX(0.1,Skills!D6-IF(Skills!E6=TRUE,Inputs!$B$32,0))),0)</f>
        <v/>
      </c>
      <c r="R90">
        <f>IF(AND(Inputs!$B$39&lt;&gt;"pvp",Inputs!$B$44&gt;0),IF(MAX(0,Inputs!$B$44-B128)&lt;=0,0,(INT(MAX(0,Inputs!$B$44-B128)/IF(Inputs!$B$39="pvp",15,MAX(0.1,Skills!D6-IF(Skills!E6=TRUE,Inputs!$B$32,0))))+1)),0)</f>
        <v/>
      </c>
      <c r="S90">
        <f>IFERROR(O90/N90,0)</f>
        <v/>
      </c>
      <c r="T90">
        <f>IF(C90,(H90*N90*IF(AND(Inputs!$B$39&lt;&gt;"pvp",Inputs!$B$44&gt;0),((Skills!G6*((R90-1)*IF(Skills!H6&gt;0,Skills!I6/Skills!H6,1)+IF(Skills!H6&gt;0,MIN(Skills!I6,MAX(0,MAX(0,Inputs!$B$44-B128)-((R90-1)*IF(Inputs!$B$39="pvp",15,MAX(0.1,Skills!D6-IF(Skills!E6=TRUE,Inputs!$B$32,0))))))/Skills!H6,1)))/Inputs!$B$44),G90*Q90))*IF(Inputs!$B$39="pvp",1,1+(Inputs!$B$20+0+Skills!P6+B118)/100),0)</f>
        <v/>
      </c>
      <c r="V90">
        <f>IF(C90,(H90*N90*IF(AND(Inputs!$B$39&lt;&gt;"pvp",Inputs!$B$44&gt;0),((Skills!G6*((R90-1)*IF(Skills!H6&gt;0,Skills!I6/Skills!H6,1)+IF(Skills!H6&gt;0,MIN(Skills!I6,MAX(0,MAX(0,Inputs!$B$44-B128)-((R90-1)*IF(Inputs!$B$39="pvp",15,MAX(0.1,Skills!D6-IF(Skills!E6=TRUE,Inputs!$B$32,0))))))/Skills!H6,1)))/Inputs!$B$44),G90*Q90))*IF(Inputs!$B$39="pvp",1,(1+(Inputs!$B$21+Skills!Q6+B118)/100)*(MIN(Skills!W6,Inputs!$B$37))),0)</f>
        <v/>
      </c>
    </row>
    <row r="91">
      <c r="A91">
        <f>Skills!A7</f>
        <v/>
      </c>
      <c r="B91">
        <f>Skills!B7</f>
        <v/>
      </c>
      <c r="C91">
        <f>Inputs!$B$3&gt;=60</f>
        <v/>
      </c>
      <c r="D91">
        <f>IF(Skills!C7=1,60+Inputs!$B$25+Inputs!$B$29,IF(Skills!C7=2,90+Inputs!$B$26+Inputs!$B$29,IF(Skills!C7=3,120+Inputs!$B$27+Inputs!$B$29,MAX(0,(Inputs!$B$3-100)*3)+Inputs!$B$28+Inputs!$B$29)))</f>
        <v/>
      </c>
      <c r="E91">
        <f>INDEX(FactorTable!$B$2:$Y$301, MATCH(ROUND(MIN(300,MAX(1,D91)),0), FactorTable!$A$2:$A$301,0), Skills!M7+1)</f>
        <v/>
      </c>
      <c r="F91">
        <f>IF(Skills!N7=TRUE,(Skills!L7/10)*(E91/1000),Skills!L7/10)+Skills!O7</f>
        <v/>
      </c>
      <c r="G91">
        <f>Skills!G7*IF(Skills!H7&gt;0,Skills!I7/Skills!H7,1)</f>
        <v/>
      </c>
      <c r="H91">
        <f>1-(1-Skills!J7/100)^Skills!K7</f>
        <v/>
      </c>
      <c r="I91" t="inlineStr">
        <is>
          <t>1</t>
        </is>
      </c>
      <c r="J91" t="inlineStr"/>
      <c r="K91" t="inlineStr"/>
      <c r="L91" t="inlineStr"/>
      <c r="M91" t="inlineStr"/>
      <c r="N91" t="inlineStr"/>
      <c r="O91">
        <f>(1-Summary!$B$55)*T91+Summary!$B$55*V91</f>
        <v/>
      </c>
      <c r="P91">
        <f>IF(B129=0,0,O91/B129)</f>
        <v/>
      </c>
      <c r="Q91" t="n">
        <v>0</v>
      </c>
      <c r="R91" t="n">
        <v>0</v>
      </c>
      <c r="S91">
        <f>IFERROR(O91/N91,0)</f>
        <v/>
      </c>
      <c r="T91" t="n">
        <v>0</v>
      </c>
      <c r="V91" t="n">
        <v>0</v>
      </c>
    </row>
    <row r="92">
      <c r="A92">
        <f>Skills!A8</f>
        <v/>
      </c>
      <c r="B92">
        <f>Skills!B8</f>
        <v/>
      </c>
      <c r="C92">
        <f>Inputs!$B$3&gt;=72</f>
        <v/>
      </c>
      <c r="D92">
        <f>IF(Skills!C8=1,60+Inputs!$B$25+Inputs!$B$29,IF(Skills!C8=2,90+Inputs!$B$26+Inputs!$B$29,IF(Skills!C8=3,120+Inputs!$B$27+Inputs!$B$29,MAX(0,(Inputs!$B$3-100)*3)+Inputs!$B$28+Inputs!$B$29)))</f>
        <v/>
      </c>
      <c r="E92">
        <f>INDEX(FactorTable!$B$2:$Y$301, MATCH(ROUND(MIN(300,MAX(1,D92)),0), FactorTable!$A$2:$A$301,0), Skills!M8+1)</f>
        <v/>
      </c>
      <c r="F92">
        <f>IF(Skills!N8=TRUE,(Skills!L8/10)*(E92/1000),Skills!L8/10)+Skills!O8</f>
        <v/>
      </c>
      <c r="G92">
        <f>Skills!G8*IF(Skills!H8&gt;0,Skills!I8/Skills!H8,1)</f>
        <v/>
      </c>
      <c r="H92">
        <f>1-(1-Skills!J8/100)^Skills!K8</f>
        <v/>
      </c>
      <c r="I92" t="inlineStr">
        <is>
          <t>1</t>
        </is>
      </c>
      <c r="J92">
        <f>((Inputs!$B$6*(1+Inputs!$B$7/100))+(((Inputs!$B$12*(1+(Inputs!$B$13+1)/100))-(Inputs!$B$12*(1+Inputs!$B$13/100)))+0.25*(Inputs!$B$14-Inputs!$B$14))*(1+Inputs!$B$7/100))*(F92/100)</f>
        <v/>
      </c>
      <c r="K92">
        <f>J92*(1+((Inputs!$B$12*(1+(Inputs!$B$13+1)/100))*0.01+Inputs!$B$14*0.0025)/100)*(1+Inputs!$B$15/100)*(1+Inputs!$B$16/100)*(5000/(6000+Inputs!$B$43*(1-Inputs!$B$19/100)))*(1+(Inputs!$B$24+((C114=TRUE)*(F114-Calc!F30)))/100)*(1+3.3333333333333335*IF(C102=TRUE,F102,0)/100)*(1+(IF(Skills!A8="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92)</f>
        <v/>
      </c>
      <c r="L92">
        <f>K92*(MIN(Inputs!$B$22+((C108=TRUE)*(F108-Calc!F24)),Inputs!$B$23+((C113=TRUE)*(F113-Calc!F29)))/100+(Inputs!$B$23+((C113=TRUE)*(F113-Calc!F29)))/100)/2</f>
        <v/>
      </c>
      <c r="M92">
        <f>L92*(1+(Inputs!$B$10+((C110=TRUE)*(F110-Calc!F26))+B124)/100)</f>
        <v/>
      </c>
      <c r="N92">
        <f>L92*(1-MIN((Inputs!$B$9+((C109=TRUE)*(F109-Calc!F25))+B117),100)/100)+M92*(MIN((Inputs!$B$9+((C109=TRUE)*(F109-Calc!F25))+B117),100)/100)</f>
        <v/>
      </c>
      <c r="O92">
        <f>(1-Summary!$B$55)*T92+Summary!$B$55*V92</f>
        <v/>
      </c>
      <c r="P92">
        <f>IF(B129=0,0,O92/B129)</f>
        <v/>
      </c>
      <c r="Q92">
        <f>IFERROR(1/IF(Inputs!$B$39="pvp",15,MAX(0.1,Skills!D8-IF(Skills!E8=TRUE,Inputs!$B$32,0))),0)</f>
        <v/>
      </c>
      <c r="R92">
        <f>IF(AND(Inputs!$B$39&lt;&gt;"pvp",Inputs!$B$44&gt;0),IF(MAX(0,Inputs!$B$44-B128)&lt;=0,0,(INT(MAX(0,Inputs!$B$44-B128)/IF(Inputs!$B$39="pvp",15,MAX(0.1,Skills!D8-IF(Skills!E8=TRUE,Inputs!$B$32,0))))+1)),0)</f>
        <v/>
      </c>
      <c r="S92">
        <f>IFERROR(O92/N92,0)</f>
        <v/>
      </c>
      <c r="T92">
        <f>IF(C92,(H92*N92*IF(AND(Inputs!$B$39&lt;&gt;"pvp",Inputs!$B$44&gt;0),((Skills!G8*((R92-1)*IF(Skills!H8&gt;0,Skills!I8/Skills!H8,1)+IF(Skills!H8&gt;0,MIN(Skills!I8,MAX(0,MAX(0,Inputs!$B$44-B128)-((R92-1)*IF(Inputs!$B$39="pvp",15,MAX(0.1,Skills!D8-IF(Skills!E8=TRUE,Inputs!$B$32,0))))))/Skills!H8,1)))/Inputs!$B$44),G92*Q92))*IF(Inputs!$B$39="pvp",1,1+(Inputs!$B$20+0+Skills!P8+B118)/100),0)</f>
        <v/>
      </c>
      <c r="V92">
        <f>IF(C92,(H92*N92*IF(AND(Inputs!$B$39&lt;&gt;"pvp",Inputs!$B$44&gt;0),((Skills!G8*((R92-1)*IF(Skills!H8&gt;0,Skills!I8/Skills!H8,1)+IF(Skills!H8&gt;0,MIN(Skills!I8,MAX(0,MAX(0,Inputs!$B$44-B128)-((R92-1)*IF(Inputs!$B$39="pvp",15,MAX(0.1,Skills!D8-IF(Skills!E8=TRUE,Inputs!$B$32,0))))))/Skills!H8,1)))/Inputs!$B$44),G92*Q92))*IF(Inputs!$B$39="pvp",1,(1+(Inputs!$B$21+Skills!Q8+B118)/100)*(MIN(Skills!W8,Inputs!$B$37))),0)</f>
        <v/>
      </c>
    </row>
    <row r="93">
      <c r="A93">
        <f>Skills!A9</f>
        <v/>
      </c>
      <c r="B93">
        <f>Skills!B9</f>
        <v/>
      </c>
      <c r="C93">
        <f>Inputs!$B$3&gt;=117</f>
        <v/>
      </c>
      <c r="D93">
        <f>IF(Skills!C9=1,60+Inputs!$B$25+Inputs!$B$29,IF(Skills!C9=2,90+Inputs!$B$26+Inputs!$B$29,IF(Skills!C9=3,120+Inputs!$B$27+Inputs!$B$29,MAX(0,(Inputs!$B$3-100)*3)+Inputs!$B$28+Inputs!$B$29)))</f>
        <v/>
      </c>
      <c r="E93">
        <f>INDEX(FactorTable!$B$2:$Y$301, MATCH(ROUND(MIN(300,MAX(1,D93)),0), FactorTable!$A$2:$A$301,0), Skills!M9+1)</f>
        <v/>
      </c>
      <c r="F93">
        <f>IF(Skills!N9=TRUE,(Skills!L9/10)*(E93/1000),Skills!L9/10)+Skills!O9</f>
        <v/>
      </c>
      <c r="G93">
        <f>Skills!G9*IF(Skills!H9&gt;0,Skills!I9/Skills!H9,1)</f>
        <v/>
      </c>
      <c r="H93">
        <f>1-(1-Skills!J9/100)^Skills!K9</f>
        <v/>
      </c>
      <c r="I93" t="inlineStr">
        <is>
          <t>1</t>
        </is>
      </c>
      <c r="J93">
        <f>((Inputs!$B$6*(1+Inputs!$B$7/100))+(((Inputs!$B$12*(1+(Inputs!$B$13+1)/100))-(Inputs!$B$12*(1+Inputs!$B$13/100)))+0.25*(Inputs!$B$14-Inputs!$B$14))*(1+Inputs!$B$7/100))*(F93/100)</f>
        <v/>
      </c>
      <c r="K93">
        <f>J93*(1+((Inputs!$B$12*(1+(Inputs!$B$13+1)/100))*0.01+Inputs!$B$14*0.0025)/100)*(1+Inputs!$B$15/100)*(1+Inputs!$B$16/100)*(5000/(6000+Inputs!$B$43*(1-Inputs!$B$19/100)))*(1+(Inputs!$B$24+((C114=TRUE)*(F114-Calc!F30)))/100)*(1+(IF(Skills!A9="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93)</f>
        <v/>
      </c>
      <c r="L93">
        <f>K93*(MIN(Inputs!$B$22+((C108=TRUE)*(F108-Calc!F24)),Inputs!$B$23+((C113=TRUE)*(F113-Calc!F29)))/100+(Inputs!$B$23+((C113=TRUE)*(F113-Calc!F29)))/100)/2</f>
        <v/>
      </c>
      <c r="M93">
        <f>L93*(1+(Inputs!$B$10+((C110=TRUE)*(F110-Calc!F26))+B124)/100)</f>
        <v/>
      </c>
      <c r="N93">
        <f>L93*(1-MIN((Inputs!$B$9+((C109=TRUE)*(F109-Calc!F25))+B117),100)/100)+M93*(MIN((Inputs!$B$9+((C109=TRUE)*(F109-Calc!F25))+B117),100)/100)</f>
        <v/>
      </c>
      <c r="O93">
        <f>(1-Summary!$B$55)*T93+Summary!$B$55*V93</f>
        <v/>
      </c>
      <c r="P93">
        <f>IF(B129=0,0,O93/B129)</f>
        <v/>
      </c>
      <c r="Q93" t="n">
        <v>0</v>
      </c>
      <c r="R93" t="n">
        <v>0</v>
      </c>
      <c r="S93" t="n">
        <v>0</v>
      </c>
      <c r="T93">
        <f>IF(C93,(0.2*SUMPRODUCT((Skills!Z2:Z30=TRUE)*(C86:C114=TRUE)*S86:S114)*N93)*IF(Inputs!$B$39="pvp",1,1+(Inputs!$B$20+0+Skills!P9+B118)/100),0)</f>
        <v/>
      </c>
      <c r="V93">
        <f>IF(C93,(0.2*SUMPRODUCT((Skills!Z2:Z30=TRUE)*(C86:C114=TRUE)*S86:S114)*N93)*IF(Inputs!$B$39="pvp",1,(1+(Inputs!$B$21+Skills!Q9+B118)/100)*(MIN(Skills!W9,Inputs!$B$37))),0)</f>
        <v/>
      </c>
    </row>
    <row r="94">
      <c r="A94">
        <f>Skills!A10</f>
        <v/>
      </c>
      <c r="B94">
        <f>Skills!B10</f>
        <v/>
      </c>
      <c r="C94">
        <f>Inputs!$B$3&gt;=74</f>
        <v/>
      </c>
      <c r="D94">
        <f>IF(Skills!C10=1,60+Inputs!$B$25+Inputs!$B$29,IF(Skills!C10=2,90+Inputs!$B$26+Inputs!$B$29,IF(Skills!C10=3,120+Inputs!$B$27+Inputs!$B$29,MAX(0,(Inputs!$B$3-100)*3)+Inputs!$B$28+Inputs!$B$29)))</f>
        <v/>
      </c>
      <c r="E94">
        <f>INDEX(FactorTable!$B$2:$Y$301, MATCH(ROUND(MIN(300,MAX(1,D94)),0), FactorTable!$A$2:$A$301,0), Skills!M10+1)</f>
        <v/>
      </c>
      <c r="F94">
        <f>IF(Skills!N10=TRUE,(Skills!L10/10)*(E94/1000),Skills!L10/10)+Skills!O10</f>
        <v/>
      </c>
      <c r="G94">
        <f>Skills!G10*IF(Skills!H10&gt;0,Skills!I10/Skills!H10,1)</f>
        <v/>
      </c>
      <c r="H94">
        <f>1-(1-Skills!J10/100)^Skills!K10</f>
        <v/>
      </c>
      <c r="I94" t="inlineStr">
        <is>
          <t>1</t>
        </is>
      </c>
      <c r="J94" t="inlineStr"/>
      <c r="K94" t="inlineStr"/>
      <c r="L94" t="inlineStr"/>
      <c r="M94" t="inlineStr"/>
      <c r="N94" t="inlineStr"/>
      <c r="O94">
        <f>(1-Summary!$B$55)*T94+Summary!$B$55*V94</f>
        <v/>
      </c>
      <c r="P94">
        <f>IF(B129=0,0,O94/B129)</f>
        <v/>
      </c>
      <c r="Q94">
        <f>IFERROR(1/IF(Inputs!$B$39="pvp",15,MAX(0.1,Skills!D10-IF(Skills!E10=TRUE,Inputs!$B$32,0))),0)</f>
        <v/>
      </c>
      <c r="R94">
        <f>IF(AND(Inputs!$B$39&lt;&gt;"pvp",Inputs!$B$44&gt;0),IF(Inputs!$B$44&lt;=0,0,(INT(Inputs!$B$44/IF(Inputs!$B$39="pvp",15,MAX(0.1,Skills!D10-IF(Skills!E10=TRUE,Inputs!$B$32,0))))+1)),0)</f>
        <v/>
      </c>
      <c r="S94">
        <f>IFERROR(O94/N94,0)</f>
        <v/>
      </c>
      <c r="T94" t="n">
        <v>0</v>
      </c>
      <c r="V94" t="n">
        <v>0</v>
      </c>
    </row>
    <row r="95">
      <c r="A95">
        <f>Skills!A11</f>
        <v/>
      </c>
      <c r="B95">
        <f>Skills!B11</f>
        <v/>
      </c>
      <c r="C95">
        <f>Inputs!$B$3&gt;=103</f>
        <v/>
      </c>
      <c r="D95">
        <f>IF(Skills!C11=1,60+Inputs!$B$25+Inputs!$B$29,IF(Skills!C11=2,90+Inputs!$B$26+Inputs!$B$29,IF(Skills!C11=3,120+Inputs!$B$27+Inputs!$B$29,MAX(0,(Inputs!$B$3-100)*3)+Inputs!$B$28+Inputs!$B$29)))</f>
        <v/>
      </c>
      <c r="E95">
        <f>INDEX(FactorTable!$B$2:$Y$301, MATCH(ROUND(MIN(300,MAX(1,D95)),0), FactorTable!$A$2:$A$301,0), Skills!M11+1)</f>
        <v/>
      </c>
      <c r="F95">
        <f>(Skills!L11/10)*(E95/1000)+IF(Inputs!$B$3&gt;=134,50,0)+0.5*(30000/10)*(INDEX(FactorTable!$B$2:$Y$301, MATCH(ROUND(MIN(300,MAX(1,D95)),0), FactorTable!$A$2:$A$301,0), 13)/1000)*B127</f>
        <v/>
      </c>
      <c r="G95">
        <f>Skills!G11*IF(Skills!H11&gt;0,Skills!I11/Skills!H11,1)</f>
        <v/>
      </c>
      <c r="H95">
        <f>1-(1-Skills!J11/100)^Skills!K11</f>
        <v/>
      </c>
      <c r="I95" t="inlineStr">
        <is>
          <t>1</t>
        </is>
      </c>
      <c r="J95">
        <f>((Inputs!$B$6*(1+Inputs!$B$7/100))+(((Inputs!$B$12*(1+(Inputs!$B$13+1)/100))-(Inputs!$B$12*(1+Inputs!$B$13/100)))+0.25*(Inputs!$B$14-Inputs!$B$14))*(1+Inputs!$B$7/100))*(F95/100)</f>
        <v/>
      </c>
      <c r="K95">
        <f>J95*(1+((Inputs!$B$12*(1+(Inputs!$B$13+1)/100))*0.01+Inputs!$B$14*0.0025)/100)*(1+Inputs!$B$15/100)*(1+Inputs!$B$16/100)*(5000/(6000+Inputs!$B$43*(1-Inputs!$B$19/100)))*(1+(Inputs!$B$24+((C114=TRUE)*(F114-Calc!F30)))/100)*(1+(IF(Skills!A11="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95)</f>
        <v/>
      </c>
      <c r="L95">
        <f>K95*(MIN(Inputs!$B$22+((C108=TRUE)*(F108-Calc!F24)),Inputs!$B$23+((C113=TRUE)*(F113-Calc!F29)))/100+(Inputs!$B$23+((C113=TRUE)*(F113-Calc!F29)))/100)/2</f>
        <v/>
      </c>
      <c r="M95">
        <f>L95*(1+(Inputs!$B$10+((C110=TRUE)*(F110-Calc!F26))+B124)/100)</f>
        <v/>
      </c>
      <c r="N95">
        <f>L95*(1-MIN((Inputs!$B$9+((C109=TRUE)*(F109-Calc!F25))+B117),100)/100)+M95*(MIN((Inputs!$B$9+((C109=TRUE)*(F109-Calc!F25))+B117),100)/100)</f>
        <v/>
      </c>
      <c r="O95">
        <f>(1-Summary!$B$55)*T95+Summary!$B$55*V95</f>
        <v/>
      </c>
      <c r="P95">
        <f>IF(B129=0,0,O95/B129)</f>
        <v/>
      </c>
      <c r="Q95">
        <f>IFERROR(1/IF(Inputs!$B$39="pvp",15,MAX(0.1,Skills!D11-IF(Skills!E11=TRUE,Inputs!$B$32,0))),0)</f>
        <v/>
      </c>
      <c r="R95">
        <f>IF(AND(Inputs!$B$39&lt;&gt;"pvp",Inputs!$B$44&gt;0),IF(MAX(0,Inputs!$B$44-B128)&lt;=0,0,(INT(MAX(0,Inputs!$B$44-B128)/IF(Inputs!$B$39="pvp",15,MAX(0.1,Skills!D11-IF(Skills!E11=TRUE,Inputs!$B$32,0))))+1)),0)</f>
        <v/>
      </c>
      <c r="S95">
        <f>IFERROR(O95/N95,0)</f>
        <v/>
      </c>
      <c r="T95">
        <f>IF(C95,(H95*N95*IF(AND(Inputs!$B$39&lt;&gt;"pvp",Inputs!$B$44&gt;0),((Skills!G11*((R95-1)*IF(Skills!H11&gt;0,Skills!I11/Skills!H11,1)+IF(Skills!H11&gt;0,MIN(Skills!I11,MAX(0,MAX(0,Inputs!$B$44-B128)-((R95-1)*IF(Inputs!$B$39="pvp",15,MAX(0.1,Skills!D11-IF(Skills!E11=TRUE,Inputs!$B$32,0))))))/Skills!H11,1)))/Inputs!$B$44),G95*Q95))*IF(Inputs!$B$39="pvp",1,1+(Inputs!$B$20+0+Skills!P11+B118)/100),0)</f>
        <v/>
      </c>
      <c r="V95">
        <f>IF(C95,(H95*N95*IF(AND(Inputs!$B$39&lt;&gt;"pvp",Inputs!$B$44&gt;0),((Skills!G11*((R95-1)*IF(Skills!H11&gt;0,Skills!I11/Skills!H11,1)+IF(Skills!H11&gt;0,MIN(Skills!I11,MAX(0,MAX(0,Inputs!$B$44-B128)-((R95-1)*IF(Inputs!$B$39="pvp",15,MAX(0.1,Skills!D11-IF(Skills!E11=TRUE,Inputs!$B$32,0))))))/Skills!H11,1)))/Inputs!$B$44),G95*Q95))*IF(Inputs!$B$39="pvp",1,(1+(Inputs!$B$21+Skills!Q11+B118)/100)*(MIN(Skills!W11,Inputs!$B$37))),0)</f>
        <v/>
      </c>
    </row>
    <row r="96">
      <c r="A96">
        <f>Skills!A12</f>
        <v/>
      </c>
      <c r="B96">
        <f>Skills!B12</f>
        <v/>
      </c>
      <c r="C96">
        <f>Inputs!$B$3&gt;=105</f>
        <v/>
      </c>
      <c r="D96">
        <f>IF(Skills!C12=1,60+Inputs!$B$25+Inputs!$B$29,IF(Skills!C12=2,90+Inputs!$B$26+Inputs!$B$29,IF(Skills!C12=3,120+Inputs!$B$27+Inputs!$B$29,MAX(0,(Inputs!$B$3-100)*3)+Inputs!$B$28+Inputs!$B$29)))</f>
        <v/>
      </c>
      <c r="E96">
        <f>INDEX(FactorTable!$B$2:$Y$301, MATCH(ROUND(MIN(300,MAX(1,D96)),0), FactorTable!$A$2:$A$301,0), Skills!M12+1)</f>
        <v/>
      </c>
      <c r="F96">
        <f>IF(Skills!N12=TRUE,(Skills!L12/10)*(E96/1000),Skills!L12/10)+Skills!O12</f>
        <v/>
      </c>
      <c r="G96">
        <f>Skills!G12*IF(Skills!H12&gt;0,Skills!I12/Skills!H12,1)</f>
        <v/>
      </c>
      <c r="H96">
        <f>1-(1-Skills!J12/100)^Skills!K12</f>
        <v/>
      </c>
      <c r="I96" t="inlineStr">
        <is>
          <t>1</t>
        </is>
      </c>
      <c r="J96">
        <f>((Inputs!$B$6*(1+Inputs!$B$7/100))+(((Inputs!$B$12*(1+(Inputs!$B$13+1)/100))-(Inputs!$B$12*(1+Inputs!$B$13/100)))+0.25*(Inputs!$B$14-Inputs!$B$14))*(1+Inputs!$B$7/100))*(F96/100)</f>
        <v/>
      </c>
      <c r="K96">
        <f>J96*(1+((Inputs!$B$12*(1+(Inputs!$B$13+1)/100))*0.01+Inputs!$B$14*0.0025)/100)*(1+Inputs!$B$15/100)*(1+Inputs!$B$16/100)*(5000/(6000+Inputs!$B$43*(1-Inputs!$B$19/100)))*(1+(Inputs!$B$24+((C114=TRUE)*(F114-Calc!F30)))/100)*(1+(IF(Skills!A12="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96)</f>
        <v/>
      </c>
      <c r="L96">
        <f>K96*(MIN(Inputs!$B$22+((C108=TRUE)*(F108-Calc!F24)),Inputs!$B$23+((C113=TRUE)*(F113-Calc!F29)))/100+(Inputs!$B$23+((C113=TRUE)*(F113-Calc!F29)))/100)/2</f>
        <v/>
      </c>
      <c r="M96">
        <f>L96*(1+(Inputs!$B$10+((C110=TRUE)*(F110-Calc!F26))+B124)/100)</f>
        <v/>
      </c>
      <c r="N96">
        <f>L96*(1-MIN((Inputs!$B$9+((C109=TRUE)*(F109-Calc!F25))+B117),100)/100)+M96*(MIN((Inputs!$B$9+((C109=TRUE)*(F109-Calc!F25))+B117),100)/100)</f>
        <v/>
      </c>
      <c r="O96">
        <f>(1-Summary!$B$55)*T96+Summary!$B$55*V96</f>
        <v/>
      </c>
      <c r="P96">
        <f>IF(B129=0,0,O96/B129)</f>
        <v/>
      </c>
      <c r="Q96">
        <f>IFERROR(1/IF(Inputs!$B$39="pvp",15,MAX(0.1,Skills!D12-IF(Skills!E12=TRUE,Inputs!$B$32,0))),0)</f>
        <v/>
      </c>
      <c r="R96">
        <f>IF(AND(Inputs!$B$39&lt;&gt;"pvp",Inputs!$B$44&gt;0),IF(MAX(0,Inputs!$B$44-B128)&lt;=0,0,(INT(MAX(0,Inputs!$B$44-B128)/IF(Inputs!$B$39="pvp",15,MAX(0.1,Skills!D12-IF(Skills!E12=TRUE,Inputs!$B$32,0))))+1)),0)</f>
        <v/>
      </c>
      <c r="S96">
        <f>IFERROR(O96/N96,0)</f>
        <v/>
      </c>
      <c r="T96">
        <f>IF(C96,(H96*N96*IF(AND(Inputs!$B$39&lt;&gt;"pvp",Inputs!$B$44&gt;0),((Skills!G12*((R96-1)*IF(Skills!H12&gt;0,Skills!I12/Skills!H12,1)+IF(Skills!H12&gt;0,MIN(Skills!I12,MAX(0,MAX(0,Inputs!$B$44-B128)-((R96-1)*IF(Inputs!$B$39="pvp",15,MAX(0.1,Skills!D12-IF(Skills!E12=TRUE,Inputs!$B$32,0))))))/Skills!H12,1)))/Inputs!$B$44),G96*Q96))*IF(Inputs!$B$39="pvp",1,1+(Inputs!$B$20+0+Skills!P12+B118)/100),0)</f>
        <v/>
      </c>
      <c r="V96">
        <f>IF(C96,(H96*N96*IF(AND(Inputs!$B$39&lt;&gt;"pvp",Inputs!$B$44&gt;0),((Skills!G12*((R96-1)*IF(Skills!H12&gt;0,Skills!I12/Skills!H12,1)+IF(Skills!H12&gt;0,MIN(Skills!I12,MAX(0,MAX(0,Inputs!$B$44-B128)-((R96-1)*IF(Inputs!$B$39="pvp",15,MAX(0.1,Skills!D12-IF(Skills!E12=TRUE,Inputs!$B$32,0))))))/Skills!H12,1)))/Inputs!$B$44),G96*Q96))*IF(Inputs!$B$39="pvp",1,(1+(Inputs!$B$21+Skills!Q12+B118)/100)*(MIN(Skills!W12,Inputs!$B$37))),0)</f>
        <v/>
      </c>
    </row>
    <row r="97">
      <c r="A97">
        <f>Skills!A13</f>
        <v/>
      </c>
      <c r="B97">
        <f>Skills!B13</f>
        <v/>
      </c>
      <c r="C97">
        <f>Inputs!$B$3&gt;=105</f>
        <v/>
      </c>
      <c r="D97">
        <f>IF(Skills!C13=1,60+Inputs!$B$25+Inputs!$B$29,IF(Skills!C13=2,90+Inputs!$B$26+Inputs!$B$29,IF(Skills!C13=3,120+Inputs!$B$27+Inputs!$B$29,MAX(0,(Inputs!$B$3-100)*3)+Inputs!$B$28+Inputs!$B$29)))</f>
        <v/>
      </c>
      <c r="E97">
        <f>INDEX(FactorTable!$B$2:$Y$301, MATCH(ROUND(MIN(300,MAX(1,D97)),0), FactorTable!$A$2:$A$301,0), Skills!M13+1)</f>
        <v/>
      </c>
      <c r="F97">
        <f>IF(Skills!N13=TRUE,(Skills!L13/10)*(E97/1000),Skills!L13/10)+Skills!O13</f>
        <v/>
      </c>
      <c r="G97">
        <f>Skills!G13*IF(Skills!H13&gt;0,Skills!I13/Skills!H13,1)</f>
        <v/>
      </c>
      <c r="H97">
        <f>1-(1-Skills!J13/100)^Skills!K13</f>
        <v/>
      </c>
      <c r="I97" t="inlineStr">
        <is>
          <t>1</t>
        </is>
      </c>
      <c r="J97">
        <f>((Inputs!$B$6*(1+Inputs!$B$7/100))+(((Inputs!$B$12*(1+(Inputs!$B$13+1)/100))-(Inputs!$B$12*(1+Inputs!$B$13/100)))+0.25*(Inputs!$B$14-Inputs!$B$14))*(1+Inputs!$B$7/100))*(F97/100)</f>
        <v/>
      </c>
      <c r="K97">
        <f>J97*(1+((Inputs!$B$12*(1+(Inputs!$B$13+1)/100))*0.01+Inputs!$B$14*0.0025)/100)*(1+Inputs!$B$15/100)*(1+Inputs!$B$16/100)*(5000/(6000+Inputs!$B$43*(1-Inputs!$B$19/100)))*(1+(Inputs!$B$24+((C114=TRUE)*(F114-Calc!F30)))/100)*(1+(IF(Skills!A13="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97)</f>
        <v/>
      </c>
      <c r="L97">
        <f>K97*(MIN(Inputs!$B$22+((C108=TRUE)*(F108-Calc!F24)),Inputs!$B$23+((C113=TRUE)*(F113-Calc!F29)))/100+(Inputs!$B$23+((C113=TRUE)*(F113-Calc!F29)))/100)/2</f>
        <v/>
      </c>
      <c r="M97">
        <f>L97*(1+(Inputs!$B$10+((C110=TRUE)*(F110-Calc!F26))+B124)/100)</f>
        <v/>
      </c>
      <c r="N97">
        <f>L97*(1-MIN((Inputs!$B$9+((C109=TRUE)*(F109-Calc!F25))+B117),100)/100)+M97*(MIN((Inputs!$B$9+((C109=TRUE)*(F109-Calc!F25))+B117),100)/100)</f>
        <v/>
      </c>
      <c r="O97">
        <f>(1-Summary!$B$55)*T97+Summary!$B$55*V97</f>
        <v/>
      </c>
      <c r="P97">
        <f>IF(B129=0,0,O97/B129)</f>
        <v/>
      </c>
      <c r="Q97">
        <f>IFERROR(1/IF(Inputs!$B$39="pvp",15,MAX(0.1,Skills!D13-IF(Skills!E13=TRUE,Inputs!$B$32,0))),0)</f>
        <v/>
      </c>
      <c r="R97">
        <f>IF(AND(Inputs!$B$39&lt;&gt;"pvp",Inputs!$B$44&gt;0),IF(MAX(0,Inputs!$B$44-B128)&lt;=0,0,(INT(MAX(0,Inputs!$B$44-B128)/IF(Inputs!$B$39="pvp",15,MAX(0.1,Skills!D13-IF(Skills!E13=TRUE,Inputs!$B$32,0))))+1)),0)</f>
        <v/>
      </c>
      <c r="S97">
        <f>IFERROR(O97/N97,0)</f>
        <v/>
      </c>
      <c r="T97">
        <f>IF(C97,(H97*N97*IF(AND(Inputs!$B$39&lt;&gt;"pvp",Inputs!$B$44&gt;0),((Skills!G13*((R97-1)*IF(Skills!H13&gt;0,Skills!I13/Skills!H13,1)+IF(Skills!H13&gt;0,MIN(Skills!I13,MAX(0,MAX(0,Inputs!$B$44-B128)-((R97-1)*IF(Inputs!$B$39="pvp",15,MAX(0.1,Skills!D13-IF(Skills!E13=TRUE,Inputs!$B$32,0))))))/Skills!H13,1)))/Inputs!$B$44),G97*Q97))*IF(Inputs!$B$39="pvp",1,1+(Inputs!$B$20+0+Skills!P13+B118)/100),0)</f>
        <v/>
      </c>
      <c r="V97">
        <f>IF(C97,(H97*N97*IF(AND(Inputs!$B$39&lt;&gt;"pvp",Inputs!$B$44&gt;0),((Skills!G13*((R97-1)*IF(Skills!H13&gt;0,Skills!I13/Skills!H13,1)+IF(Skills!H13&gt;0,MIN(Skills!I13,MAX(0,MAX(0,Inputs!$B$44-B128)-((R97-1)*IF(Inputs!$B$39="pvp",15,MAX(0.1,Skills!D13-IF(Skills!E13=TRUE,Inputs!$B$32,0))))))/Skills!H13,1)))/Inputs!$B$44),G97*Q97))*IF(Inputs!$B$39="pvp",1,(1+(Inputs!$B$21+Skills!Q13+B118)/100)*(MIN(Skills!W13,Inputs!$B$37))),0)</f>
        <v/>
      </c>
    </row>
    <row r="98">
      <c r="A98">
        <f>Skills!A14</f>
        <v/>
      </c>
      <c r="B98">
        <f>Skills!B14</f>
        <v/>
      </c>
      <c r="C98">
        <f>Inputs!$B$3&gt;=107</f>
        <v/>
      </c>
      <c r="D98">
        <f>IF(Skills!C14=1,60+Inputs!$B$25+Inputs!$B$29,IF(Skills!C14=2,90+Inputs!$B$26+Inputs!$B$29,IF(Skills!C14=3,120+Inputs!$B$27+Inputs!$B$29,MAX(0,(Inputs!$B$3-100)*3)+Inputs!$B$28+Inputs!$B$29)))</f>
        <v/>
      </c>
      <c r="E98">
        <f>INDEX(FactorTable!$B$2:$Y$301, MATCH(ROUND(MIN(300,MAX(1,D98)),0), FactorTable!$A$2:$A$301,0), Skills!M14+1)</f>
        <v/>
      </c>
      <c r="F98">
        <f>IF(Skills!N14=TRUE,(Skills!L14/10)*(E98/1000),Skills!L14/10)+Skills!O14</f>
        <v/>
      </c>
      <c r="G98">
        <f>Skills!G14*IF(Skills!H14&gt;0,Skills!I14/Skills!H14,1)</f>
        <v/>
      </c>
      <c r="H98">
        <f>1-(1-Skills!J14/100)^Skills!K14</f>
        <v/>
      </c>
      <c r="I98" t="inlineStr">
        <is>
          <t>1</t>
        </is>
      </c>
      <c r="J98">
        <f>((Inputs!$B$6*(1+Inputs!$B$7/100))+(((Inputs!$B$12*(1+(Inputs!$B$13+1)/100))-(Inputs!$B$12*(1+Inputs!$B$13/100)))+0.25*(Inputs!$B$14-Inputs!$B$14))*(1+Inputs!$B$7/100))*(F98/100)</f>
        <v/>
      </c>
      <c r="K98">
        <f>J98*(1+((Inputs!$B$12*(1+(Inputs!$B$13+1)/100))*0.01+Inputs!$B$14*0.0025)/100)*(1+Inputs!$B$15/100)*(1+Inputs!$B$16/100)*(5000/(6000+Inputs!$B$43*(1-Inputs!$B$19/100)))*(1+(Inputs!$B$24+((C114=TRUE)*(F114-Calc!F30)))/100)*(1+(IF(Skills!A14="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98)</f>
        <v/>
      </c>
      <c r="L98">
        <f>K98*(MIN(Inputs!$B$22+((C108=TRUE)*(F108-Calc!F24)),Inputs!$B$23+((C113=TRUE)*(F113-Calc!F29)))/100+(Inputs!$B$23+((C113=TRUE)*(F113-Calc!F29)))/100)/2</f>
        <v/>
      </c>
      <c r="M98">
        <f>L98*(1+(Inputs!$B$10+((C110=TRUE)*(F110-Calc!F26))+B124)/100)</f>
        <v/>
      </c>
      <c r="N98">
        <f>L98*(1-MIN((Inputs!$B$9+((C109=TRUE)*(F109-Calc!F25))+B117),100)/100)+M98*(MIN((Inputs!$B$9+((C109=TRUE)*(F109-Calc!F25))+B117),100)/100)</f>
        <v/>
      </c>
      <c r="O98">
        <f>(1-Summary!$B$55)*T98+Summary!$B$55*V98</f>
        <v/>
      </c>
      <c r="P98">
        <f>IF(B129=0,0,O98/B129)</f>
        <v/>
      </c>
      <c r="Q98">
        <f>IFERROR(1/IF(Inputs!$B$39="pvp",15,MAX(0.1,Skills!D14-IF(Skills!E14=TRUE,Inputs!$B$32,0))),0)</f>
        <v/>
      </c>
      <c r="R98">
        <f>IF(AND(Inputs!$B$39&lt;&gt;"pvp",Inputs!$B$44&gt;0),IF(MAX(0,Inputs!$B$44-B128)&lt;=0,0,(INT(MAX(0,Inputs!$B$44-B128)/IF(Inputs!$B$39="pvp",15,MAX(0.1,Skills!D14-IF(Skills!E14=TRUE,Inputs!$B$32,0))))+1)),0)</f>
        <v/>
      </c>
      <c r="S98">
        <f>IFERROR(O98/N98,0)</f>
        <v/>
      </c>
      <c r="T98">
        <f>IF(C98,(H98*N98*IF(AND(Inputs!$B$39&lt;&gt;"pvp",Inputs!$B$44&gt;0),((Skills!G14*((R98-1)*IF(Skills!H14&gt;0,Skills!I14/Skills!H14,1)+IF(Skills!H14&gt;0,MIN(Skills!I14,MAX(0,MAX(0,Inputs!$B$44-B128)-((R98-1)*IF(Inputs!$B$39="pvp",15,MAX(0.1,Skills!D14-IF(Skills!E14=TRUE,Inputs!$B$32,0))))))/Skills!H14,1)))/Inputs!$B$44),G98*Q98))*IF(Inputs!$B$39="pvp",1,1+(Inputs!$B$20+0+Skills!P14+B118)/100),0)</f>
        <v/>
      </c>
      <c r="V98">
        <f>IF(C98,(H98*N98*IF(AND(Inputs!$B$39&lt;&gt;"pvp",Inputs!$B$44&gt;0),((Skills!G14*((R98-1)*IF(Skills!H14&gt;0,Skills!I14/Skills!H14,1)+IF(Skills!H14&gt;0,MIN(Skills!I14,MAX(0,MAX(0,Inputs!$B$44-B128)-((R98-1)*IF(Inputs!$B$39="pvp",15,MAX(0.1,Skills!D14-IF(Skills!E14=TRUE,Inputs!$B$32,0))))))/Skills!H14,1)))/Inputs!$B$44),G98*Q98))*IF(Inputs!$B$39="pvp",1,(1+(Inputs!$B$21+Skills!Q14+B118)/100)*(MIN(MIN(5,0.25*B121*Skills!D4)*Skills!V14,Inputs!$B$37))),0)</f>
        <v/>
      </c>
    </row>
    <row r="99">
      <c r="A99">
        <f>Skills!A15</f>
        <v/>
      </c>
      <c r="B99">
        <f>Skills!B15</f>
        <v/>
      </c>
      <c r="C99">
        <f>Inputs!$B$3&gt;=110</f>
        <v/>
      </c>
      <c r="D99">
        <f>IF(Skills!C15=1,60+Inputs!$B$25+Inputs!$B$29,IF(Skills!C15=2,90+Inputs!$B$26+Inputs!$B$29,IF(Skills!C15=3,120+Inputs!$B$27+Inputs!$B$29,MAX(0,(Inputs!$B$3-100)*3)+Inputs!$B$28+Inputs!$B$29)))</f>
        <v/>
      </c>
      <c r="E99">
        <f>INDEX(FactorTable!$B$2:$Y$301, MATCH(ROUND(MIN(300,MAX(1,D99)),0), FactorTable!$A$2:$A$301,0), Skills!M15+1)</f>
        <v/>
      </c>
      <c r="F99">
        <f>IF(Skills!N15=TRUE,(Skills!L15/10)*(E99/1000),Skills!L15/10)+Skills!O15</f>
        <v/>
      </c>
      <c r="G99">
        <f>Skills!G15*IF(Skills!H15&gt;0,Skills!I15/Skills!H15,1)</f>
        <v/>
      </c>
      <c r="H99">
        <f>1-(1-Skills!J15/100)^Skills!K15</f>
        <v/>
      </c>
      <c r="I99" t="inlineStr">
        <is>
          <t>1</t>
        </is>
      </c>
      <c r="J99" t="inlineStr"/>
      <c r="K99" t="inlineStr"/>
      <c r="L99" t="inlineStr"/>
      <c r="M99" t="inlineStr"/>
      <c r="N99" t="inlineStr"/>
      <c r="O99">
        <f>(1-Summary!$B$55)*T99+Summary!$B$55*V99</f>
        <v/>
      </c>
      <c r="P99">
        <f>IF(B129=0,0,O99/B129)</f>
        <v/>
      </c>
      <c r="Q99">
        <f>IFERROR(1/IF(Inputs!$B$39="pvp",15,MAX(0.1,Skills!D15-IF(Skills!E15=TRUE,Inputs!$B$32,0))),0)</f>
        <v/>
      </c>
      <c r="R99">
        <f>IF(AND(Inputs!$B$39&lt;&gt;"pvp",Inputs!$B$44&gt;0),IF(Inputs!$B$44&lt;=0,0,(INT(Inputs!$B$44/IF(Inputs!$B$39="pvp",15,MAX(0.1,Skills!D15-IF(Skills!E15=TRUE,Inputs!$B$32,0))))+1)),0)</f>
        <v/>
      </c>
      <c r="S99">
        <f>IFERROR(O99/N99,0)</f>
        <v/>
      </c>
      <c r="T99" t="n">
        <v>0</v>
      </c>
      <c r="V99" t="n">
        <v>0</v>
      </c>
    </row>
    <row r="100">
      <c r="A100">
        <f>Skills!A16</f>
        <v/>
      </c>
      <c r="B100">
        <f>Skills!B16</f>
        <v/>
      </c>
      <c r="C100">
        <f>Inputs!$B$3&gt;=115</f>
        <v/>
      </c>
      <c r="D100">
        <f>IF(Skills!C16=1,60+Inputs!$B$25+Inputs!$B$29,IF(Skills!C16=2,90+Inputs!$B$26+Inputs!$B$29,IF(Skills!C16=3,120+Inputs!$B$27+Inputs!$B$29,MAX(0,(Inputs!$B$3-100)*3)+Inputs!$B$28+Inputs!$B$29)))</f>
        <v/>
      </c>
      <c r="E100">
        <f>INDEX(FactorTable!$B$2:$Y$301, MATCH(ROUND(MIN(300,MAX(1,D100)),0), FactorTable!$A$2:$A$301,0), Skills!M16+1)</f>
        <v/>
      </c>
      <c r="F100">
        <f>IF(Skills!N16=TRUE,(Skills!L16/10)*(E100/1000),Skills!L16/10)+Skills!O16</f>
        <v/>
      </c>
      <c r="G100">
        <f>Skills!G16*IF(Skills!H16&gt;0,Skills!I16/Skills!H16,1)</f>
        <v/>
      </c>
      <c r="H100">
        <f>1-(1-Skills!J16/100)^Skills!K16</f>
        <v/>
      </c>
      <c r="I100" t="inlineStr">
        <is>
          <t>1</t>
        </is>
      </c>
      <c r="J100">
        <f>((Inputs!$B$6*(1+Inputs!$B$7/100))+(((Inputs!$B$12*(1+(Inputs!$B$13+1)/100))-(Inputs!$B$12*(1+Inputs!$B$13/100)))+0.25*(Inputs!$B$14-Inputs!$B$14))*(1+Inputs!$B$7/100))*(F100/100)</f>
        <v/>
      </c>
      <c r="K100">
        <f>J100*(1+((Inputs!$B$12*(1+(Inputs!$B$13+1)/100))*0.01+Inputs!$B$14*0.0025)/100)*(1+Inputs!$B$15/100)*(1+Inputs!$B$16/100)*(5000/(6000+Inputs!$B$43*(1-Inputs!$B$19/100)))*(1+(Inputs!$B$24+((C114=TRUE)*(F114-Calc!F30)))/100)*(1+(IF(Skills!A16="CRUEL_STAB",Inputs!$B$17+((C111=TRUE)*(F111-Calc!F27)),Inputs!$B$18+((C112=TRUE)*(F112-Calc!F28))))/100)*(((1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B119*I100)</f>
        <v/>
      </c>
      <c r="L100">
        <f>K100*(MIN(Inputs!$B$22+((C108=TRUE)*(F108-Calc!F24)),Inputs!$B$23+((C113=TRUE)*(F113-Calc!F29)))/100+(Inputs!$B$23+((C113=TRUE)*(F113-Calc!F29)))/100)/2</f>
        <v/>
      </c>
      <c r="M100">
        <f>L100*(1+(Inputs!$B$10+((C110=TRUE)*(F110-Calc!F26))+B124)/100)</f>
        <v/>
      </c>
      <c r="N100">
        <f>L100*(1-MIN((Inputs!$B$9+((C109=TRUE)*(F109-Calc!F25))+B117),100)/100)+M100*(MIN((Inputs!$B$9+((C109=TRUE)*(F109-Calc!F25))+B117),100)/100)</f>
        <v/>
      </c>
      <c r="O100">
        <f>(1-Summary!$B$55)*T100+Summary!$B$55*V100</f>
        <v/>
      </c>
      <c r="P100">
        <f>IF(B129=0,0,O100/B129)</f>
        <v/>
      </c>
      <c r="Q100" t="n">
        <v>0</v>
      </c>
      <c r="R100" t="n">
        <v>0</v>
      </c>
      <c r="S100">
        <f>IFERROR(O100/N100,0)</f>
        <v/>
      </c>
      <c r="T100">
        <f>IF(C100,(Inputs!$B$38*0.2*N100)*IF(Inputs!$B$39="pvp",1,1+(Inputs!$B$20+0+Skills!P16+B118)/100),0)</f>
        <v/>
      </c>
      <c r="V100">
        <f>IF(C100,(Inputs!$B$38*0.2*N100)*IF(Inputs!$B$39="pvp",1,(1+(Inputs!$B$21+Skills!Q16+B118)/100)*(MIN(Skills!W16,Inputs!$B$37))),0)</f>
        <v/>
      </c>
    </row>
    <row r="101">
      <c r="A101">
        <f>Skills!A17</f>
        <v/>
      </c>
      <c r="B101">
        <f>Skills!B17</f>
        <v/>
      </c>
      <c r="C101">
        <f>Inputs!$B$3&gt;=115</f>
        <v/>
      </c>
      <c r="D101">
        <f>IF(Skills!C17=1,60+Inputs!$B$25+Inputs!$B$29,IF(Skills!C17=2,90+Inputs!$B$26+Inputs!$B$29,IF(Skills!C17=3,120+Inputs!$B$27+Inputs!$B$29,MAX(0,(Inputs!$B$3-100)*3)+Inputs!$B$28+Inputs!$B$29)))</f>
        <v/>
      </c>
      <c r="E101">
        <f>INDEX(FactorTable!$B$2:$Y$301, MATCH(ROUND(MIN(300,MAX(1,D101)),0), FactorTable!$A$2:$A$301,0), Skills!M17+1)</f>
        <v/>
      </c>
      <c r="F101">
        <f>IF(Skills!N17=TRUE,(Skills!L17/10)*(E101/1000),Skills!L17/10)+Skills!O17</f>
        <v/>
      </c>
      <c r="G101">
        <f>Skills!G17*IF(Skills!H17&gt;0,Skills!I17/Skills!H17,1)</f>
        <v/>
      </c>
      <c r="H101">
        <f>1-(1-Skills!J17/100)^Skills!K17</f>
        <v/>
      </c>
      <c r="I101" t="inlineStr">
        <is>
          <t>1</t>
        </is>
      </c>
      <c r="J101" t="inlineStr"/>
      <c r="K101" t="inlineStr"/>
      <c r="L101" t="inlineStr"/>
      <c r="M101" t="inlineStr"/>
      <c r="N101" t="inlineStr"/>
      <c r="O101">
        <f>(1-Summary!$B$55)*T101+Summary!$B$55*V101</f>
        <v/>
      </c>
      <c r="P101">
        <f>IF(B129=0,0,O101/B129)</f>
        <v/>
      </c>
      <c r="Q101" t="n">
        <v>0</v>
      </c>
      <c r="R101" t="n">
        <v>0</v>
      </c>
      <c r="S101">
        <f>IFERROR(O101/N101,0)</f>
        <v/>
      </c>
      <c r="T101" t="n">
        <v>0</v>
      </c>
      <c r="V101" t="n">
        <v>0</v>
      </c>
    </row>
    <row r="102">
      <c r="A102">
        <f>Skills!A18</f>
        <v/>
      </c>
      <c r="B102">
        <f>Skills!B18</f>
        <v/>
      </c>
      <c r="C102">
        <f>Inputs!$B$3&gt;=100</f>
        <v/>
      </c>
      <c r="D102">
        <f>IF(Skills!C18=1,60+Inputs!$B$25+Inputs!$B$29,IF(Skills!C18=2,90+Inputs!$B$26+Inputs!$B$29,IF(Skills!C18=3,120+Inputs!$B$27+Inputs!$B$29,MAX(0,(Inputs!$B$3-100)*3)+Inputs!$B$28+Inputs!$B$29)))</f>
        <v/>
      </c>
      <c r="E102">
        <f>INDEX(FactorTable!$B$2:$Y$301, MATCH(ROUND(MIN(300,MAX(1,D102)),0), FactorTable!$A$2:$A$301,0), Skills!M18+1)</f>
        <v/>
      </c>
      <c r="F102">
        <f>IF(Skills!N18=TRUE,(Skills!L18/10)*(E102/1000),Skills!L18/10)+Skills!O18</f>
        <v/>
      </c>
      <c r="G102">
        <f>Skills!G18*IF(Skills!H18&gt;0,Skills!I18/Skills!H18,1)</f>
        <v/>
      </c>
      <c r="H102">
        <f>1-(1-Skills!J18/100)^Skills!K18</f>
        <v/>
      </c>
      <c r="I102" t="inlineStr">
        <is>
          <t>1</t>
        </is>
      </c>
      <c r="J102" t="inlineStr"/>
      <c r="K102" t="inlineStr"/>
      <c r="L102" t="inlineStr"/>
      <c r="M102" t="inlineStr"/>
      <c r="N102" t="inlineStr"/>
      <c r="O102">
        <f>(1-Summary!$B$55)*T102+Summary!$B$55*V102</f>
        <v/>
      </c>
      <c r="P102">
        <f>IF(B129=0,0,O102/B129)</f>
        <v/>
      </c>
      <c r="Q102" t="n">
        <v>0</v>
      </c>
      <c r="R102" t="n">
        <v>0</v>
      </c>
      <c r="S102">
        <f>IFERROR(O102/N102,0)</f>
        <v/>
      </c>
      <c r="T102" t="n">
        <v>0</v>
      </c>
      <c r="V102" t="n">
        <v>0</v>
      </c>
    </row>
    <row r="103">
      <c r="A103">
        <f>Skills!A19</f>
        <v/>
      </c>
      <c r="B103">
        <f>Skills!B19</f>
        <v/>
      </c>
      <c r="C103">
        <f>TRUE</f>
        <v/>
      </c>
      <c r="D103">
        <f>IF(Skills!C19=1,60+Inputs!$B$25+Inputs!$B$29,IF(Skills!C19=2,90+Inputs!$B$26+Inputs!$B$29,IF(Skills!C19=3,120+Inputs!$B$27+Inputs!$B$29,MAX(0,(Inputs!$B$3-100)*3)+Inputs!$B$28+Inputs!$B$29)))</f>
        <v/>
      </c>
      <c r="E103">
        <f>INDEX(FactorTable!$B$2:$Y$301, MATCH(ROUND(MIN(300,MAX(1,D103)),0), FactorTable!$A$2:$A$301,0), Skills!M19+1)</f>
        <v/>
      </c>
      <c r="F103">
        <f>IF(Skills!N19=TRUE,(Skills!L19/10)*(E103/1000),Skills!L19/10)+Skills!O19</f>
        <v/>
      </c>
      <c r="G103">
        <f>Skills!G19*IF(Skills!H19&gt;0,Skills!I19/Skills!H19,1)</f>
        <v/>
      </c>
      <c r="H103">
        <f>1-(1-Skills!J19/100)^Skills!K19</f>
        <v/>
      </c>
      <c r="I103" t="inlineStr">
        <is>
          <t>1</t>
        </is>
      </c>
      <c r="J103" t="inlineStr"/>
      <c r="K103" t="inlineStr"/>
      <c r="L103" t="inlineStr"/>
      <c r="M103" t="inlineStr"/>
      <c r="N103" t="inlineStr"/>
      <c r="O103">
        <f>(1-Summary!$B$55)*T103+Summary!$B$55*V103</f>
        <v/>
      </c>
      <c r="P103">
        <f>IF(B129=0,0,O103/B129)</f>
        <v/>
      </c>
      <c r="Q103">
        <f>IFERROR(1/IF(Inputs!$B$39="pvp",15,MAX(0.1,Skills!D19-IF(Skills!E19=TRUE,Inputs!$B$32,0))),0)</f>
        <v/>
      </c>
      <c r="R103">
        <f>IF(AND(Inputs!$B$39&lt;&gt;"pvp",Inputs!$B$44&gt;0),IF(Inputs!$B$44&lt;=0,0,(INT(Inputs!$B$44/IF(Inputs!$B$39="pvp",15,MAX(0.1,Skills!D19-IF(Skills!E19=TRUE,Inputs!$B$32,0))))+1)),0)</f>
        <v/>
      </c>
      <c r="S103">
        <f>IFERROR(O103/N103,0)</f>
        <v/>
      </c>
      <c r="T103" t="n">
        <v>0</v>
      </c>
      <c r="V103" t="n">
        <v>0</v>
      </c>
    </row>
    <row r="104">
      <c r="A104">
        <f>Skills!A20</f>
        <v/>
      </c>
      <c r="B104">
        <f>Skills!B20</f>
        <v/>
      </c>
      <c r="C104">
        <f>Inputs!$B$3&gt;=15</f>
        <v/>
      </c>
      <c r="D104">
        <f>IF(Skills!C20=1,60+Inputs!$B$25+Inputs!$B$29,IF(Skills!C20=2,90+Inputs!$B$26+Inputs!$B$29,IF(Skills!C20=3,120+Inputs!$B$27+Inputs!$B$29,MAX(0,(Inputs!$B$3-100)*3)+Inputs!$B$28+Inputs!$B$29)))</f>
        <v/>
      </c>
      <c r="E104">
        <f>INDEX(FactorTable!$B$2:$Y$301, MATCH(ROUND(MIN(300,MAX(1,D104)),0), FactorTable!$A$2:$A$301,0), Skills!M20+1)</f>
        <v/>
      </c>
      <c r="F104">
        <f>IF(Skills!N20=TRUE,(Skills!L20/10)*(E104/1000),Skills!L20/10)+Skills!O20</f>
        <v/>
      </c>
      <c r="G104">
        <f>Skills!G20*IF(Skills!H20&gt;0,Skills!I20/Skills!H20,1)</f>
        <v/>
      </c>
      <c r="H104">
        <f>1-(1-Skills!J20/100)^Skills!K20</f>
        <v/>
      </c>
      <c r="I104" t="inlineStr">
        <is>
          <t>1</t>
        </is>
      </c>
      <c r="J104" t="inlineStr"/>
      <c r="K104" t="inlineStr"/>
      <c r="L104" t="inlineStr"/>
      <c r="M104" t="inlineStr"/>
      <c r="N104" t="inlineStr"/>
      <c r="O104">
        <f>(1-Summary!$B$55)*T104+Summary!$B$55*V104</f>
        <v/>
      </c>
      <c r="P104">
        <f>IF(B129=0,0,O104/B129)</f>
        <v/>
      </c>
      <c r="Q104">
        <f>IFERROR(1/IF(Inputs!$B$39="pvp",15,MAX(0.1,Skills!D20-IF(Skills!E20=TRUE,Inputs!$B$32,0))),0)</f>
        <v/>
      </c>
      <c r="R104">
        <f>IF(AND(Inputs!$B$39&lt;&gt;"pvp",Inputs!$B$44&gt;0),IF(Inputs!$B$44&lt;=0,0,(INT(Inputs!$B$44/IF(Inputs!$B$39="pvp",15,MAX(0.1,Skills!D20-IF(Skills!E20=TRUE,Inputs!$B$32,0))))+1)),0)</f>
        <v/>
      </c>
      <c r="S104">
        <f>IFERROR(O104/N104,0)</f>
        <v/>
      </c>
      <c r="T104" t="n">
        <v>0</v>
      </c>
      <c r="V104" t="n">
        <v>0</v>
      </c>
    </row>
    <row r="105">
      <c r="A105">
        <f>Skills!A21</f>
        <v/>
      </c>
      <c r="B105">
        <f>Skills!B21</f>
        <v/>
      </c>
      <c r="C105">
        <f>Inputs!$B$3&gt;=15</f>
        <v/>
      </c>
      <c r="D105">
        <f>IF(Skills!C21=1,60+Inputs!$B$25+Inputs!$B$29,IF(Skills!C21=2,90+Inputs!$B$26+Inputs!$B$29,IF(Skills!C21=3,120+Inputs!$B$27+Inputs!$B$29,MAX(0,(Inputs!$B$3-100)*3)+Inputs!$B$28+Inputs!$B$29)))</f>
        <v/>
      </c>
      <c r="E105">
        <f>INDEX(FactorTable!$B$2:$Y$301, MATCH(ROUND(MIN(300,MAX(1,D105)),0), FactorTable!$A$2:$A$301,0), Skills!M21+1)</f>
        <v/>
      </c>
      <c r="F105">
        <f>IF(Skills!N21=TRUE,(Skills!L21/10)*(E105/1000),Skills!L21/10)+Skills!O21</f>
        <v/>
      </c>
      <c r="G105">
        <f>Skills!G21*IF(Skills!H21&gt;0,Skills!I21/Skills!H21,1)</f>
        <v/>
      </c>
      <c r="H105">
        <f>1-(1-Skills!J21/100)^Skills!K21</f>
        <v/>
      </c>
      <c r="I105" t="inlineStr">
        <is>
          <t>1</t>
        </is>
      </c>
      <c r="J105" t="inlineStr"/>
      <c r="K105" t="inlineStr"/>
      <c r="L105" t="inlineStr"/>
      <c r="M105" t="inlineStr"/>
      <c r="N105" t="inlineStr"/>
      <c r="O105">
        <f>(1-Summary!$B$55)*T105+Summary!$B$55*V105</f>
        <v/>
      </c>
      <c r="P105">
        <f>IF(B129=0,0,O105/B129)</f>
        <v/>
      </c>
      <c r="Q105">
        <f>IFERROR(1/IF(Inputs!$B$39="pvp",15,MAX(0.1,Skills!D21-IF(Skills!E21=TRUE,Inputs!$B$32,0))),0)</f>
        <v/>
      </c>
      <c r="R105">
        <f>IF(AND(Inputs!$B$39&lt;&gt;"pvp",Inputs!$B$44&gt;0),IF(Inputs!$B$44&lt;=0,0,(INT(Inputs!$B$44/IF(Inputs!$B$39="pvp",15,MAX(0.1,Skills!D21-IF(Skills!E21=TRUE,Inputs!$B$32,0))))+1)),0)</f>
        <v/>
      </c>
      <c r="S105">
        <f>IFERROR(O105/N105,0)</f>
        <v/>
      </c>
      <c r="T105" t="n">
        <v>0</v>
      </c>
      <c r="V105" t="n">
        <v>0</v>
      </c>
    </row>
    <row r="106">
      <c r="A106">
        <f>Skills!A22</f>
        <v/>
      </c>
      <c r="B106">
        <f>Skills!B22</f>
        <v/>
      </c>
      <c r="C106">
        <f>Inputs!$B$3&gt;=33</f>
        <v/>
      </c>
      <c r="D106">
        <f>IF(Skills!C22=1,60+Inputs!$B$25+Inputs!$B$29,IF(Skills!C22=2,90+Inputs!$B$26+Inputs!$B$29,IF(Skills!C22=3,120+Inputs!$B$27+Inputs!$B$29,MAX(0,(Inputs!$B$3-100)*3)+Inputs!$B$28+Inputs!$B$29)))</f>
        <v/>
      </c>
      <c r="E106">
        <f>INDEX(FactorTable!$B$2:$Y$301, MATCH(ROUND(MIN(300,MAX(1,D106)),0), FactorTable!$A$2:$A$301,0), Skills!M22+1)</f>
        <v/>
      </c>
      <c r="F106">
        <f>IF(Skills!N22=TRUE,(Skills!L22/10)*(E106/1000),Skills!L22/10)+Skills!O22</f>
        <v/>
      </c>
      <c r="G106">
        <f>Skills!G22*IF(Skills!H22&gt;0,Skills!I22/Skills!H22,1)</f>
        <v/>
      </c>
      <c r="H106">
        <f>1-(1-Skills!J22/100)^Skills!K22</f>
        <v/>
      </c>
      <c r="I106" t="inlineStr">
        <is>
          <t>1</t>
        </is>
      </c>
      <c r="J106" t="inlineStr"/>
      <c r="K106" t="inlineStr"/>
      <c r="L106" t="inlineStr"/>
      <c r="M106" t="inlineStr"/>
      <c r="N106" t="inlineStr"/>
      <c r="O106">
        <f>(1-Summary!$B$55)*T106+Summary!$B$55*V106</f>
        <v/>
      </c>
      <c r="P106">
        <f>IF(B129=0,0,O106/B129)</f>
        <v/>
      </c>
      <c r="Q106" t="n">
        <v>0</v>
      </c>
      <c r="R106" t="n">
        <v>0</v>
      </c>
      <c r="S106">
        <f>IFERROR(O106/N106,0)</f>
        <v/>
      </c>
      <c r="T106" t="n">
        <v>0</v>
      </c>
      <c r="V106" t="n">
        <v>0</v>
      </c>
    </row>
    <row r="107">
      <c r="A107">
        <f>Skills!A23</f>
        <v/>
      </c>
      <c r="B107">
        <f>Skills!B23</f>
        <v/>
      </c>
      <c r="C107">
        <f>Inputs!$B$3&gt;=40</f>
        <v/>
      </c>
      <c r="D107">
        <f>IF(Skills!C23=1,60+Inputs!$B$25+Inputs!$B$29,IF(Skills!C23=2,90+Inputs!$B$26+Inputs!$B$29,IF(Skills!C23=3,120+Inputs!$B$27+Inputs!$B$29,MAX(0,(Inputs!$B$3-100)*3)+Inputs!$B$28+Inputs!$B$29)))</f>
        <v/>
      </c>
      <c r="E107">
        <f>INDEX(FactorTable!$B$2:$Y$301, MATCH(ROUND(MIN(300,MAX(1,D107)),0), FactorTable!$A$2:$A$301,0), Skills!M23+1)</f>
        <v/>
      </c>
      <c r="F107">
        <f>IF(Skills!N23=TRUE,(Skills!L23/10)*(E107/1000),Skills!L23/10)+Skills!O23</f>
        <v/>
      </c>
      <c r="G107">
        <f>Skills!G23*IF(Skills!H23&gt;0,Skills!I23/Skills!H23,1)</f>
        <v/>
      </c>
      <c r="H107">
        <f>1-(1-Skills!J23/100)^Skills!K23</f>
        <v/>
      </c>
      <c r="I107" t="inlineStr">
        <is>
          <t>1</t>
        </is>
      </c>
      <c r="J107" t="inlineStr"/>
      <c r="K107" t="inlineStr"/>
      <c r="L107" t="inlineStr"/>
      <c r="M107" t="inlineStr"/>
      <c r="N107" t="inlineStr"/>
      <c r="O107">
        <f>(1-Summary!$B$55)*T107+Summary!$B$55*V107</f>
        <v/>
      </c>
      <c r="P107">
        <f>IF(B129=0,0,O107/B129)</f>
        <v/>
      </c>
      <c r="Q107" t="n">
        <v>0</v>
      </c>
      <c r="R107" t="n">
        <v>0</v>
      </c>
      <c r="S107">
        <f>IFERROR(O107/N107,0)</f>
        <v/>
      </c>
      <c r="T107" t="n">
        <v>0</v>
      </c>
      <c r="V107" t="n">
        <v>0</v>
      </c>
    </row>
    <row r="108">
      <c r="A108">
        <f>Skills!A24</f>
        <v/>
      </c>
      <c r="B108">
        <f>Skills!B24</f>
        <v/>
      </c>
      <c r="C108">
        <f>Inputs!$B$3&gt;=43</f>
        <v/>
      </c>
      <c r="D108">
        <f>IF(Skills!C24=1,60+Inputs!$B$25+Inputs!$B$29,IF(Skills!C24=2,90+Inputs!$B$26+Inputs!$B$29,IF(Skills!C24=3,120+Inputs!$B$27+Inputs!$B$29,MAX(0,(Inputs!$B$3-100)*3)+Inputs!$B$28+Inputs!$B$29)))</f>
        <v/>
      </c>
      <c r="E108">
        <f>INDEX(FactorTable!$B$2:$Y$301, MATCH(ROUND(MIN(300,MAX(1,D108)),0), FactorTable!$A$2:$A$301,0), Skills!M24+1)</f>
        <v/>
      </c>
      <c r="F108">
        <f>IF(Skills!N24=TRUE,(Skills!L24/10)*(E108/1000),Skills!L24/10)+Skills!O24</f>
        <v/>
      </c>
      <c r="G108">
        <f>Skills!G24*IF(Skills!H24&gt;0,Skills!I24/Skills!H24,1)</f>
        <v/>
      </c>
      <c r="H108">
        <f>1-(1-Skills!J24/100)^Skills!K24</f>
        <v/>
      </c>
      <c r="I108" t="inlineStr">
        <is>
          <t>1</t>
        </is>
      </c>
      <c r="J108" t="inlineStr"/>
      <c r="K108" t="inlineStr"/>
      <c r="L108" t="inlineStr"/>
      <c r="M108" t="inlineStr"/>
      <c r="N108" t="inlineStr"/>
      <c r="O108">
        <f>(1-Summary!$B$55)*T108+Summary!$B$55*V108</f>
        <v/>
      </c>
      <c r="P108">
        <f>IF(B129=0,0,O108/B129)</f>
        <v/>
      </c>
      <c r="Q108" t="n">
        <v>0</v>
      </c>
      <c r="R108" t="n">
        <v>0</v>
      </c>
      <c r="S108">
        <f>IFERROR(O108/N108,0)</f>
        <v/>
      </c>
      <c r="T108" t="n">
        <v>0</v>
      </c>
      <c r="V108" t="n">
        <v>0</v>
      </c>
    </row>
    <row r="109">
      <c r="A109">
        <f>Skills!A25</f>
        <v/>
      </c>
      <c r="B109">
        <f>Skills!B25</f>
        <v/>
      </c>
      <c r="C109">
        <f>Inputs!$B$3&gt;=50</f>
        <v/>
      </c>
      <c r="D109">
        <f>IF(Skills!C25=1,60+Inputs!$B$25+Inputs!$B$29,IF(Skills!C25=2,90+Inputs!$B$26+Inputs!$B$29,IF(Skills!C25=3,120+Inputs!$B$27+Inputs!$B$29,MAX(0,(Inputs!$B$3-100)*3)+Inputs!$B$28+Inputs!$B$29)))</f>
        <v/>
      </c>
      <c r="E109">
        <f>INDEX(FactorTable!$B$2:$Y$301, MATCH(ROUND(MIN(300,MAX(1,D109)),0), FactorTable!$A$2:$A$301,0), Skills!M25+1)</f>
        <v/>
      </c>
      <c r="F109">
        <f>IF(Skills!N25=TRUE,(Skills!L25/10)*(E109/1000),Skills!L25/10)+Skills!O25</f>
        <v/>
      </c>
      <c r="G109">
        <f>Skills!G25*IF(Skills!H25&gt;0,Skills!I25/Skills!H25,1)</f>
        <v/>
      </c>
      <c r="H109">
        <f>1-(1-Skills!J25/100)^Skills!K25</f>
        <v/>
      </c>
      <c r="I109" t="inlineStr">
        <is>
          <t>1</t>
        </is>
      </c>
      <c r="J109" t="inlineStr"/>
      <c r="K109" t="inlineStr"/>
      <c r="L109" t="inlineStr"/>
      <c r="M109" t="inlineStr"/>
      <c r="N109" t="inlineStr"/>
      <c r="O109">
        <f>(1-Summary!$B$55)*T109+Summary!$B$55*V109</f>
        <v/>
      </c>
      <c r="P109">
        <f>IF(B129=0,0,O109/B129)</f>
        <v/>
      </c>
      <c r="Q109" t="n">
        <v>0</v>
      </c>
      <c r="R109" t="n">
        <v>0</v>
      </c>
      <c r="S109">
        <f>IFERROR(O109/N109,0)</f>
        <v/>
      </c>
      <c r="T109" t="n">
        <v>0</v>
      </c>
      <c r="V109" t="n">
        <v>0</v>
      </c>
    </row>
    <row r="110">
      <c r="A110">
        <f>Skills!A26</f>
        <v/>
      </c>
      <c r="B110">
        <f>Skills!B26</f>
        <v/>
      </c>
      <c r="C110">
        <f>Inputs!$B$3&gt;=50</f>
        <v/>
      </c>
      <c r="D110">
        <f>IF(Skills!C26=1,60+Inputs!$B$25+Inputs!$B$29,IF(Skills!C26=2,90+Inputs!$B$26+Inputs!$B$29,IF(Skills!C26=3,120+Inputs!$B$27+Inputs!$B$29,MAX(0,(Inputs!$B$3-100)*3)+Inputs!$B$28+Inputs!$B$29)))</f>
        <v/>
      </c>
      <c r="E110">
        <f>INDEX(FactorTable!$B$2:$Y$301, MATCH(ROUND(MIN(300,MAX(1,D110)),0), FactorTable!$A$2:$A$301,0), Skills!M26+1)</f>
        <v/>
      </c>
      <c r="F110">
        <f>IF(Skills!N26=TRUE,(Skills!L26/10)*(E110/1000),Skills!L26/10)+Skills!O26</f>
        <v/>
      </c>
      <c r="G110">
        <f>Skills!G26*IF(Skills!H26&gt;0,Skills!I26/Skills!H26,1)</f>
        <v/>
      </c>
      <c r="H110">
        <f>1-(1-Skills!J26/100)^Skills!K26</f>
        <v/>
      </c>
      <c r="I110" t="inlineStr">
        <is>
          <t>1</t>
        </is>
      </c>
      <c r="J110" t="inlineStr"/>
      <c r="K110" t="inlineStr"/>
      <c r="L110" t="inlineStr"/>
      <c r="M110" t="inlineStr"/>
      <c r="N110" t="inlineStr"/>
      <c r="O110">
        <f>(1-Summary!$B$55)*T110+Summary!$B$55*V110</f>
        <v/>
      </c>
      <c r="P110">
        <f>IF(B129=0,0,O110/B129)</f>
        <v/>
      </c>
      <c r="Q110" t="n">
        <v>0</v>
      </c>
      <c r="R110" t="n">
        <v>0</v>
      </c>
      <c r="S110">
        <f>IFERROR(O110/N110,0)</f>
        <v/>
      </c>
      <c r="T110" t="n">
        <v>0</v>
      </c>
      <c r="V110" t="n">
        <v>0</v>
      </c>
    </row>
    <row r="111">
      <c r="A111">
        <f>Skills!A27</f>
        <v/>
      </c>
      <c r="B111">
        <f>Skills!B27</f>
        <v/>
      </c>
      <c r="C111">
        <f>Inputs!$B$3&gt;=38</f>
        <v/>
      </c>
      <c r="D111">
        <f>IF(Skills!C27=1,60+Inputs!$B$25+Inputs!$B$29,IF(Skills!C27=2,90+Inputs!$B$26+Inputs!$B$29,IF(Skills!C27=3,120+Inputs!$B$27+Inputs!$B$29,MAX(0,(Inputs!$B$3-100)*3)+Inputs!$B$28+Inputs!$B$29)))</f>
        <v/>
      </c>
      <c r="E111">
        <f>INDEX(FactorTable!$B$2:$Y$301, MATCH(ROUND(MIN(300,MAX(1,D111)),0), FactorTable!$A$2:$A$301,0), Skills!M27+1)</f>
        <v/>
      </c>
      <c r="F111">
        <f>IF(Skills!N27=TRUE,(Skills!L27/10)*(E111/1000),Skills!L27/10)+Skills!O27</f>
        <v/>
      </c>
      <c r="G111">
        <f>Skills!G27*IF(Skills!H27&gt;0,Skills!I27/Skills!H27,1)</f>
        <v/>
      </c>
      <c r="H111">
        <f>1-(1-Skills!J27/100)^Skills!K27</f>
        <v/>
      </c>
      <c r="I111" t="inlineStr">
        <is>
          <t>1</t>
        </is>
      </c>
      <c r="J111" t="inlineStr"/>
      <c r="K111" t="inlineStr"/>
      <c r="L111" t="inlineStr"/>
      <c r="M111" t="inlineStr"/>
      <c r="N111" t="inlineStr"/>
      <c r="O111">
        <f>(1-Summary!$B$55)*T111+Summary!$B$55*V111</f>
        <v/>
      </c>
      <c r="P111">
        <f>IF(B129=0,0,O111/B129)</f>
        <v/>
      </c>
      <c r="Q111" t="n">
        <v>0</v>
      </c>
      <c r="R111" t="n">
        <v>0</v>
      </c>
      <c r="S111">
        <f>IFERROR(O111/N111,0)</f>
        <v/>
      </c>
      <c r="T111" t="n">
        <v>0</v>
      </c>
      <c r="V111" t="n">
        <v>0</v>
      </c>
    </row>
    <row r="112">
      <c r="A112">
        <f>Skills!A28</f>
        <v/>
      </c>
      <c r="B112">
        <f>Skills!B28</f>
        <v/>
      </c>
      <c r="C112">
        <f>Inputs!$B$3&gt;=120</f>
        <v/>
      </c>
      <c r="D112">
        <f>IF(Skills!C28=1,60+Inputs!$B$25+Inputs!$B$29,IF(Skills!C28=2,90+Inputs!$B$26+Inputs!$B$29,IF(Skills!C28=3,120+Inputs!$B$27+Inputs!$B$29,MAX(0,(Inputs!$B$3-100)*3)+Inputs!$B$28+Inputs!$B$29)))</f>
        <v/>
      </c>
      <c r="E112">
        <f>INDEX(FactorTable!$B$2:$Y$301, MATCH(ROUND(MIN(300,MAX(1,D112)),0), FactorTable!$A$2:$A$301,0), Skills!M28+1)</f>
        <v/>
      </c>
      <c r="F112">
        <f>IF(Skills!N28=TRUE,(Skills!L28/10)*(E112/1000),Skills!L28/10)+Skills!O28</f>
        <v/>
      </c>
      <c r="G112">
        <f>Skills!G28*IF(Skills!H28&gt;0,Skills!I28/Skills!H28,1)</f>
        <v/>
      </c>
      <c r="H112">
        <f>1-(1-Skills!J28/100)^Skills!K28</f>
        <v/>
      </c>
      <c r="I112" t="inlineStr">
        <is>
          <t>1</t>
        </is>
      </c>
      <c r="J112" t="inlineStr"/>
      <c r="K112" t="inlineStr"/>
      <c r="L112" t="inlineStr"/>
      <c r="M112" t="inlineStr"/>
      <c r="N112" t="inlineStr"/>
      <c r="O112">
        <f>(1-Summary!$B$55)*T112+Summary!$B$55*V112</f>
        <v/>
      </c>
      <c r="P112">
        <f>IF(B129=0,0,O112/B129)</f>
        <v/>
      </c>
      <c r="Q112" t="n">
        <v>0</v>
      </c>
      <c r="R112" t="n">
        <v>0</v>
      </c>
      <c r="S112">
        <f>IFERROR(O112/N112,0)</f>
        <v/>
      </c>
      <c r="T112" t="n">
        <v>0</v>
      </c>
      <c r="V112" t="n">
        <v>0</v>
      </c>
    </row>
    <row r="113">
      <c r="A113">
        <f>Skills!A29</f>
        <v/>
      </c>
      <c r="B113">
        <f>Skills!B29</f>
        <v/>
      </c>
      <c r="C113">
        <f>Inputs!$B$3&gt;=120</f>
        <v/>
      </c>
      <c r="D113">
        <f>IF(Skills!C29=1,60+Inputs!$B$25+Inputs!$B$29,IF(Skills!C29=2,90+Inputs!$B$26+Inputs!$B$29,IF(Skills!C29=3,120+Inputs!$B$27+Inputs!$B$29,MAX(0,(Inputs!$B$3-100)*3)+Inputs!$B$28+Inputs!$B$29)))</f>
        <v/>
      </c>
      <c r="E113">
        <f>INDEX(FactorTable!$B$2:$Y$301, MATCH(ROUND(MIN(300,MAX(1,D113)),0), FactorTable!$A$2:$A$301,0), Skills!M29+1)</f>
        <v/>
      </c>
      <c r="F113">
        <f>IF(Skills!N29=TRUE,(Skills!L29/10)*(E113/1000),Skills!L29/10)+Skills!O29</f>
        <v/>
      </c>
      <c r="G113">
        <f>Skills!G29*IF(Skills!H29&gt;0,Skills!I29/Skills!H29,1)</f>
        <v/>
      </c>
      <c r="H113">
        <f>1-(1-Skills!J29/100)^Skills!K29</f>
        <v/>
      </c>
      <c r="I113" t="inlineStr">
        <is>
          <t>1</t>
        </is>
      </c>
      <c r="J113" t="inlineStr"/>
      <c r="K113" t="inlineStr"/>
      <c r="L113" t="inlineStr"/>
      <c r="M113" t="inlineStr"/>
      <c r="N113" t="inlineStr"/>
      <c r="O113">
        <f>(1-Summary!$B$55)*T113+Summary!$B$55*V113</f>
        <v/>
      </c>
      <c r="P113">
        <f>IF(B129=0,0,O113/B129)</f>
        <v/>
      </c>
      <c r="Q113" t="n">
        <v>0</v>
      </c>
      <c r="R113" t="n">
        <v>0</v>
      </c>
      <c r="S113">
        <f>IFERROR(O113/N113,0)</f>
        <v/>
      </c>
      <c r="T113" t="n">
        <v>0</v>
      </c>
      <c r="V113" t="n">
        <v>0</v>
      </c>
    </row>
    <row r="114">
      <c r="A114">
        <f>Skills!A30</f>
        <v/>
      </c>
      <c r="B114">
        <f>Skills!B30</f>
        <v/>
      </c>
      <c r="C114">
        <f>Inputs!$B$3&gt;=125</f>
        <v/>
      </c>
      <c r="D114">
        <f>IF(Skills!C30=1,60+Inputs!$B$25+Inputs!$B$29,IF(Skills!C30=2,90+Inputs!$B$26+Inputs!$B$29,IF(Skills!C30=3,120+Inputs!$B$27+Inputs!$B$29,MAX(0,(Inputs!$B$3-100)*3)+Inputs!$B$28+Inputs!$B$29)))</f>
        <v/>
      </c>
      <c r="E114">
        <f>INDEX(FactorTable!$B$2:$Y$301, MATCH(ROUND(MIN(300,MAX(1,D114)),0), FactorTable!$A$2:$A$301,0), Skills!M30+1)</f>
        <v/>
      </c>
      <c r="F114">
        <f>IF(Skills!N30=TRUE,(Skills!L30/10)*(E114/1000),Skills!L30/10)+Skills!O30</f>
        <v/>
      </c>
      <c r="G114">
        <f>Skills!G30*IF(Skills!H30&gt;0,Skills!I30/Skills!H30,1)</f>
        <v/>
      </c>
      <c r="H114">
        <f>1-(1-Skills!J30/100)^Skills!K30</f>
        <v/>
      </c>
      <c r="I114" t="inlineStr">
        <is>
          <t>1</t>
        </is>
      </c>
      <c r="J114" t="inlineStr"/>
      <c r="K114" t="inlineStr"/>
      <c r="L114" t="inlineStr"/>
      <c r="M114" t="inlineStr"/>
      <c r="N114" t="inlineStr"/>
      <c r="O114">
        <f>(1-Summary!$B$55)*T114+Summary!$B$55*V114</f>
        <v/>
      </c>
      <c r="P114">
        <f>IF(B129=0,0,O114/B129)</f>
        <v/>
      </c>
      <c r="Q114" t="n">
        <v>0</v>
      </c>
      <c r="R114" t="n">
        <v>0</v>
      </c>
      <c r="S114">
        <f>IFERROR(O114/N114,0)</f>
        <v/>
      </c>
      <c r="T114" t="n">
        <v>0</v>
      </c>
      <c r="V114" t="n">
        <v>0</v>
      </c>
    </row>
    <row r="116">
      <c r="A116" t="inlineStr">
        <is>
          <t>Average Buff Multiplier</t>
        </is>
      </c>
      <c r="B116">
        <f>(1+(((C105=TRUE)*F105*IF(AND(Inputs!$B$39&lt;&gt;"pvp",Inputs!$B$44&gt;0),(((R105-1)*(Skills!Y21*(1+Inputs!$B$34/100))+MIN((Skills!Y21*(1+Inputs!$B$34/100)),MAX(0,Inputs!$B$44-((R105-1)*Skills!D21))))/Inputs!$B$44),IF(Inputs!$B$39="pvp",MIN((Skills!Y21*(1+Inputs!$B$34/100)),15)/15,(Skills!Y21*(1+Inputs!$B$34/100))/Skills!D21)))+((C107=TRUE)*(F107-Calc!F23))+((C101=TRUE)*(F101-Calc!F17)))/100)*(1+((C94=TRUE)*F94*IF(AND(Inputs!$B$39&lt;&gt;"pvp",Inputs!$B$44&gt;0),(((R94-1)*(Skills!Y10*(1+Inputs!$B$34/100))+MIN((Skills!Y10*(1+Inputs!$B$34/100)),MAX(0,Inputs!$B$44-((R94-1)*Skills!D10))))/Inputs!$B$44),IF(Inputs!$B$39="pvp",MIN((Skills!Y10*(1+Inputs!$B$34/100)),15)/15,(Skills!Y10*(1+Inputs!$B$34/100))/Skills!D10)))/100)*(1+((C99=TRUE)*F99*IF(AND(Inputs!$B$39&lt;&gt;"pvp",Inputs!$B$44&gt;0),(((R99-1)*(Skills!Y15*(1+Inputs!$B$34/100))+MIN((Skills!Y15*(1+Inputs!$B$34/100)),MAX(0,Inputs!$B$44-((R99-1)*Skills!D15))))/Inputs!$B$44),IF(Inputs!$B$39="pvp",MIN((Skills!Y15*(1+Inputs!$B$34/100)),15)/15,(Skills!Y15*(1+Inputs!$B$34/100))/Skills!D15)))/100)</f>
        <v/>
      </c>
    </row>
    <row r="117">
      <c r="A117" t="inlineStr">
        <is>
          <t>Global Crit Rate Bonus %</t>
        </is>
      </c>
      <c r="B117">
        <f>((C104=TRUE)*F104*IF(AND(Inputs!$B$39&lt;&gt;"pvp",Inputs!$B$44&gt;0),(((R104-1)*(Skills!Y20*(1+Inputs!$B$34/100))+MIN((Skills!Y20*(1+Inputs!$B$34/100)),MAX(0,Inputs!$B$44-((R104-1)*Skills!D20))))/Inputs!$B$44),IF(Inputs!$B$39="pvp",MIN((Skills!Y20*(1+Inputs!$B$34/100)),15)/15,(Skills!Y20*(1+Inputs!$B$34/100))/Skills!D20)))</f>
        <v/>
      </c>
    </row>
    <row r="118">
      <c r="A118" t="inlineStr">
        <is>
          <t>Global Monster Damage-Taken Bonus %</t>
        </is>
      </c>
      <c r="B118">
        <f>IF(Inputs!$B$3&gt;=82,15,0)</f>
        <v/>
      </c>
    </row>
    <row r="119">
      <c r="A119" t="inlineStr">
        <is>
          <t>Shadow Partner Average Multiplier</t>
        </is>
      </c>
      <c r="B119">
        <f>1+((C91=TRUE)*F91*(1+3.3333333333333335*IF(C102=TRUE,F102,0)/100)*I91*Skills!J7/100)/100</f>
        <v/>
      </c>
    </row>
    <row r="120">
      <c r="A120" t="inlineStr">
        <is>
          <t>Attack Speed Buff Bonus %</t>
        </is>
      </c>
      <c r="B120">
        <f>((C103=TRUE)*F103*IF(AND(Inputs!$B$39&lt;&gt;"pvp",Inputs!$B$44&gt;0),(((R103-1)*(Skills!Y19*(1+Inputs!$B$34/100))+MIN((Skills!Y19*(1+Inputs!$B$34/100)),MAX(0,Inputs!$B$44-((R103-1)*Skills!D19))))/Inputs!$B$44),IF(Inputs!$B$39="pvp",MIN((Skills!Y19*(1+Inputs!$B$34/100)),15)/15,(Skills!Y19*(1+Inputs!$B$34/100))/Skills!D19)))+((C87=TRUE)*F87*3)</f>
        <v/>
      </c>
    </row>
    <row r="121">
      <c r="A121" t="inlineStr">
        <is>
          <t>Actions Per Second</t>
        </is>
      </c>
      <c r="B121">
        <f>1+MIN(150,150*(1-(1-(Inputs!$B$11+((C106=TRUE)*(F106-Calc!F22)))/150)*(1-B120/150)))/100</f>
        <v/>
      </c>
    </row>
    <row r="122">
      <c r="A122" t="inlineStr">
        <is>
          <t>Skill + Buff Cast Rate</t>
        </is>
      </c>
      <c r="B122">
        <f>IF(AND(Inputs!$B$39&lt;&gt;"pvp",Inputs!$B$44&gt;0),SUMPRODUCT((Skills!E2:E30=TRUE)*(C86:C114=TRUE)*R86:R114*Skills!F2:F30)/Inputs!$B$44,SUMPRODUCT((Skills!E2:E30=TRUE)*(C86:C114=TRUE)*Q86:Q114*Skills!F2:F30))</f>
        <v/>
      </c>
    </row>
    <row r="123">
      <c r="A123" t="inlineStr">
        <is>
          <t>Cruel Stab Casts Per Second</t>
        </is>
      </c>
      <c r="B123">
        <f>MAX(0,B121-B122)</f>
        <v/>
      </c>
    </row>
    <row r="124">
      <c r="A124" t="inlineStr">
        <is>
          <t>Global Critical Damage Bonus % (Smokescreen Mastery Lv.113)</t>
        </is>
      </c>
      <c r="B124">
        <f>IF(Inputs!$B$3&gt;=113,30,0)*IF(AND(Inputs!$B$39&lt;&gt;"pvp",Inputs!$B$44&gt;0),(((R99-1)*(Skills!Y15*(1+Inputs!$B$34/100))+MIN((Skills!Y15*(1+Inputs!$B$34/100)),MAX(0,Inputs!$B$44-((R99-1)*Skills!D15))))/Inputs!$B$44),IF(Inputs!$B$39="pvp",MIN((Skills!Y15*(1+Inputs!$B$34/100)),15)/15,(Skills!Y15*(1+Inputs!$B$34/100))/Skills!D15))</f>
        <v/>
      </c>
    </row>
    <row r="125">
      <c r="A125" t="inlineStr">
        <is>
          <t>Meso Explosion average stack count</t>
        </is>
      </c>
      <c r="B125">
        <f>MIN(10,0.5*B121*Skills!D4)</f>
        <v/>
      </c>
    </row>
    <row r="126">
      <c r="A126" t="inlineStr">
        <is>
          <t>Blood Money average stack count</t>
        </is>
      </c>
      <c r="B126">
        <f>MIN(5,0.25*B121*Skills!D4)</f>
        <v/>
      </c>
    </row>
    <row r="127">
      <c r="A127" t="inlineStr">
        <is>
          <t>Assassinate Murderous Intent Multiplier</t>
        </is>
      </c>
      <c r="B127">
        <f>1+IFERROR(MIN(1,Q98*2/Q95),0)</f>
        <v/>
      </c>
    </row>
    <row r="128">
      <c r="A128" t="inlineStr">
        <is>
          <t>Buff-Casting Startup Delay (s, fixed-duration only)</t>
        </is>
      </c>
      <c r="B128">
        <f>IF(AND(Inputs!$B$39&lt;&gt;"pvp",Inputs!$B$44&gt;0),SUMPRODUCT((Skills!Y2:Y30&gt;0)*(Skills!E2:E30=TRUE)*(C86:C114=TRUE))/B121,0)</f>
        <v/>
      </c>
    </row>
    <row r="129">
      <c r="A129" s="5" t="inlineStr">
        <is>
          <t>TOTAL DPS</t>
        </is>
      </c>
      <c r="B129" s="5">
        <f>SUM(O86:O114)</f>
        <v/>
      </c>
    </row>
    <row r="130">
      <c r="A130" t="inlineStr">
        <is>
          <t>Boss-Only Total DPS (this block's swept value)</t>
        </is>
      </c>
      <c r="B130">
        <f>SUM(T86:T114)</f>
        <v/>
      </c>
    </row>
    <row r="131">
      <c r="A131" t="inlineStr">
        <is>
          <t>Normal-Only Total DPS (this block's swept value)</t>
        </is>
      </c>
      <c r="B131">
        <f>SUM(V86:V114)</f>
        <v/>
      </c>
    </row>
    <row r="134">
      <c r="A134" s="5" t="inlineStr">
        <is>
          <t>Stat: DEX</t>
        </is>
      </c>
    </row>
    <row r="135">
      <c r="A135" s="9" t="inlineStr">
        <is>
          <t>Key</t>
        </is>
      </c>
      <c r="B135" s="9" t="inlineStr">
        <is>
          <t>Name</t>
        </is>
      </c>
      <c r="C135" s="9" t="inlineStr">
        <is>
          <t>Unlocked</t>
        </is>
      </c>
      <c r="D135" s="9" t="inlineStr">
        <is>
          <t>InputLevel</t>
        </is>
      </c>
      <c r="E135" s="9" t="inlineStr">
        <is>
          <t>Factor</t>
        </is>
      </c>
      <c r="F135" s="9" t="inlineStr">
        <is>
          <t>CoefficientPercent</t>
        </is>
      </c>
      <c r="G135" s="9" t="inlineStr">
        <is>
          <t>EffectiveHits</t>
        </is>
      </c>
      <c r="H135" s="9" t="inlineStr">
        <is>
          <t>ProcProbability</t>
        </is>
      </c>
      <c r="I135" s="9" t="inlineStr">
        <is>
          <t>MapleHeroMultiplier</t>
        </is>
      </c>
      <c r="J135" s="9" t="inlineStr">
        <is>
          <t>BaseDamage</t>
        </is>
      </c>
      <c r="K135" s="9" t="inlineStr">
        <is>
          <t>BaseHitDamage</t>
        </is>
      </c>
      <c r="L135" s="9" t="inlineStr">
        <is>
          <t>NonCritAvg</t>
        </is>
      </c>
      <c r="M135" s="9" t="inlineStr">
        <is>
          <t>CritAvg</t>
        </is>
      </c>
      <c r="N135" s="9" t="inlineStr">
        <is>
          <t>ExpectedDamage(perHit)</t>
        </is>
      </c>
      <c r="O135" s="9" t="inlineStr">
        <is>
          <t>DPS</t>
        </is>
      </c>
      <c r="P135" s="9" t="inlineStr">
        <is>
          <t>% of Total</t>
        </is>
      </c>
      <c r="Q135" s="9" t="inlineStr">
        <is>
          <t>InvCooldown</t>
        </is>
      </c>
      <c r="R135" s="9" t="inlineStr">
        <is>
          <t>CastsInFight</t>
        </is>
      </c>
      <c r="S135" s="9" t="inlineStr">
        <is>
          <t>HitRate(perSec)</t>
        </is>
      </c>
      <c r="U135" t="inlineStr">
        <is>
          <t>helpers</t>
        </is>
      </c>
    </row>
    <row r="136">
      <c r="A136">
        <f>Skills!A2</f>
        <v/>
      </c>
      <c r="B136">
        <f>Skills!B2</f>
        <v/>
      </c>
      <c r="C136">
        <f>Inputs!$B$3&gt;=100</f>
        <v/>
      </c>
      <c r="D136" t="inlineStr"/>
      <c r="E136" t="inlineStr"/>
      <c r="F136">
        <f>U138+Skills!O2</f>
        <v/>
      </c>
      <c r="G136">
        <f>Skills!G2*IF(Skills!H2&gt;0,Skills!I2/Skills!H2,1)</f>
        <v/>
      </c>
      <c r="H136">
        <f>1-(1-Skills!J2/100)^Skills!K2</f>
        <v/>
      </c>
      <c r="I136" t="inlineStr">
        <is>
          <t>1</t>
        </is>
      </c>
      <c r="J136">
        <f>((Inputs!$B$6*(1+Inputs!$B$7/100))+(((Inputs!$B$12*(1+Inputs!$B$13/100))-(Inputs!$B$12*(1+Inputs!$B$13/100)))+0.25*((Inputs!$B$14+1)-Inputs!$B$14))*(1+Inputs!$B$7/100))*(F136/100)</f>
        <v/>
      </c>
      <c r="K136">
        <f>J136*(1+((Inputs!$B$12*(1+Inputs!$B$13/100))*0.01+(Inputs!$B$14+1)*0.0025)/100)*(1+Inputs!$B$15/100)*(1+Inputs!$B$16/100)*(5000/(6000+Inputs!$B$43*(1-Inputs!$B$19/100)))*(1+(Inputs!$B$24+((C164=TRUE)*(F164-Calc!F30)))/100)*(1+(IF(Skills!A2="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136)</f>
        <v/>
      </c>
      <c r="L136">
        <f>K136*(MIN(Inputs!$B$22+((C158=TRUE)*(F158-Calc!F24)),Inputs!$B$23+((C163=TRUE)*(F163-Calc!F29)))/100+(Inputs!$B$23+((C163=TRUE)*(F163-Calc!F29)))/100)/2</f>
        <v/>
      </c>
      <c r="M136">
        <f>L136*(1+(Inputs!$B$10+((C160=TRUE)*(F160-Calc!F26))+B174)/100)</f>
        <v/>
      </c>
      <c r="N136">
        <f>L136*(1-MIN((Inputs!$B$9+((C159=TRUE)*(F159-Calc!F25))+B167),100)/100)+M136*(MIN((Inputs!$B$9+((C159=TRUE)*(F159-Calc!F25))+B167),100)/100)</f>
        <v/>
      </c>
      <c r="O136">
        <f>(1-Summary!$B$55)*T136+Summary!$B$55*V136</f>
        <v/>
      </c>
      <c r="P136">
        <f>IF(B179=0,0,O136/B179)</f>
        <v/>
      </c>
      <c r="Q136" t="n">
        <v>0</v>
      </c>
      <c r="R136" t="n">
        <v>0</v>
      </c>
      <c r="S136">
        <f>IFERROR(O136/N136,0)</f>
        <v/>
      </c>
      <c r="T136">
        <f>IF(C136,(Skills!G2*N136*B173)*IF(Inputs!$B$39="pvp",1,1+(Inputs!$B$20+0+Skills!P2+B168)/100),0)</f>
        <v/>
      </c>
      <c r="U136">
        <f>MAX(0,(Inputs!$B$3-100)*3)+Inputs!$B$28+Inputs!$B$29</f>
        <v/>
      </c>
      <c r="V136">
        <f>IF(C136,(Skills!G2*N136*B173)*IF(Inputs!$B$39="pvp",1,(1+(Inputs!$B$21+Skills!Q2+B168)/100)*(MIN((6+Inputs!$B$33),Inputs!$B$37))),0)</f>
        <v/>
      </c>
    </row>
    <row r="137">
      <c r="A137">
        <f>Skills!A3</f>
        <v/>
      </c>
      <c r="B137">
        <f>Skills!B3</f>
        <v/>
      </c>
      <c r="C137">
        <f>Inputs!$B$3&gt;=35</f>
        <v/>
      </c>
      <c r="D137">
        <f>IF(Skills!C3=1,60+Inputs!$B$25+Inputs!$B$29,IF(Skills!C3=2,90+Inputs!$B$26+Inputs!$B$29,IF(Skills!C3=3,120+Inputs!$B$27+Inputs!$B$29,MAX(0,(Inputs!$B$3-100)*3)+Inputs!$B$28+Inputs!$B$29)))</f>
        <v/>
      </c>
      <c r="E137">
        <f>INDEX(FactorTable!$B$2:$Y$301, MATCH(ROUND(MIN(300,MAX(1,D137)),0), FactorTable!$A$2:$A$301,0), Skills!M3+1)</f>
        <v/>
      </c>
      <c r="F137">
        <f>IF(Skills!N3=TRUE,(Skills!L3/10)*(E137/1000),Skills!L3/10)+Skills!O3</f>
        <v/>
      </c>
      <c r="G137">
        <f>Skills!G3*IF(Skills!H3&gt;0,Skills!I3/Skills!H3,1)</f>
        <v/>
      </c>
      <c r="H137">
        <f>1-(1-Skills!J3/100)^Skills!K3</f>
        <v/>
      </c>
      <c r="I137" t="inlineStr">
        <is>
          <t>1</t>
        </is>
      </c>
      <c r="J137" t="inlineStr"/>
      <c r="K137" t="inlineStr"/>
      <c r="L137" t="inlineStr"/>
      <c r="M137" t="inlineStr"/>
      <c r="N137" t="inlineStr"/>
      <c r="O137">
        <f>(1-Summary!$B$55)*T137+Summary!$B$55*V137</f>
        <v/>
      </c>
      <c r="P137">
        <f>IF(B179=0,0,O137/B179)</f>
        <v/>
      </c>
      <c r="Q137" t="n">
        <v>0</v>
      </c>
      <c r="R137" t="n">
        <v>0</v>
      </c>
      <c r="S137">
        <f>IFERROR(O137/N137,0)</f>
        <v/>
      </c>
      <c r="T137" t="n">
        <v>0</v>
      </c>
      <c r="U137">
        <f>INDEX(FactorTable!$B$2:$Y$301, MATCH(ROUND(MIN(300,MAX(1,U136)),0), FactorTable!$A$2:$A$301,0), 22)</f>
        <v/>
      </c>
      <c r="V137" t="n">
        <v>0</v>
      </c>
    </row>
    <row r="138">
      <c r="A138">
        <f>Skills!A4</f>
        <v/>
      </c>
      <c r="B138">
        <f>Skills!B4</f>
        <v/>
      </c>
      <c r="C138">
        <f>Inputs!$B$3&gt;=66</f>
        <v/>
      </c>
      <c r="D138">
        <f>IF(Skills!C4=1,60+Inputs!$B$25+Inputs!$B$29,IF(Skills!C4=2,90+Inputs!$B$26+Inputs!$B$29,IF(Skills!C4=3,120+Inputs!$B$27+Inputs!$B$29,MAX(0,(Inputs!$B$3-100)*3)+Inputs!$B$28+Inputs!$B$29)))</f>
        <v/>
      </c>
      <c r="E138">
        <f>INDEX(FactorTable!$B$2:$Y$301, MATCH(ROUND(MIN(300,MAX(1,D138)),0), FactorTable!$A$2:$A$301,0), Skills!M4+1)</f>
        <v/>
      </c>
      <c r="F138">
        <f>IF(Skills!N4=TRUE,(Skills!L4/10)*(E138/1000),Skills!L4/10)+Skills!O4</f>
        <v/>
      </c>
      <c r="G138">
        <f>Skills!G4*IF(Skills!H4&gt;0,Skills!I4/Skills!H4,1)</f>
        <v/>
      </c>
      <c r="H138">
        <f>1-(1-Skills!J4/100)^Skills!K4</f>
        <v/>
      </c>
      <c r="I138" t="inlineStr">
        <is>
          <t>1</t>
        </is>
      </c>
      <c r="J138">
        <f>((Inputs!$B$6*(1+Inputs!$B$7/100))+(((Inputs!$B$12*(1+Inputs!$B$13/100))-(Inputs!$B$12*(1+Inputs!$B$13/100)))+0.25*((Inputs!$B$14+1)-Inputs!$B$14))*(1+Inputs!$B$7/100))*(F138/100)</f>
        <v/>
      </c>
      <c r="K138">
        <f>J138*(1+((Inputs!$B$12*(1+Inputs!$B$13/100))*0.01+(Inputs!$B$14+1)*0.0025)/100)*(1+Inputs!$B$15/100)*(1+Inputs!$B$16/100)*(5000/(6000+Inputs!$B$43*(1-Inputs!$B$19/100)))*(1+(Inputs!$B$24+((C164=TRUE)*(F164-Calc!F30)))/100)*(1+(IF(Skills!A4="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138)</f>
        <v/>
      </c>
      <c r="L138">
        <f>K138*(MIN(Inputs!$B$22+((C158=TRUE)*(F158-Calc!F24)),Inputs!$B$23+((C163=TRUE)*(F163-Calc!F29)))/100+(Inputs!$B$23+((C163=TRUE)*(F163-Calc!F29)))/100)/2</f>
        <v/>
      </c>
      <c r="M138">
        <f>L138*(1+(Inputs!$B$10+((C160=TRUE)*(F160-Calc!F26))+B174)/100)</f>
        <v/>
      </c>
      <c r="N138">
        <f>L138*(1-MIN((Inputs!$B$9+((C159=TRUE)*(F159-Calc!F25))+B167),100)/100)+M138*(MIN((Inputs!$B$9+((C159=TRUE)*(F159-Calc!F25))+B167),100)/100)</f>
        <v/>
      </c>
      <c r="O138">
        <f>(1-Summary!$B$55)*T138+Summary!$B$55*V138</f>
        <v/>
      </c>
      <c r="P138">
        <f>IF(B179=0,0,O138/B179)</f>
        <v/>
      </c>
      <c r="Q138">
        <f>IFERROR(1/IF(Inputs!$B$39="pvp",15,MAX(0.1,Skills!D4-IF(Skills!E4=TRUE,Inputs!$B$32,0))),0)</f>
        <v/>
      </c>
      <c r="R138">
        <f>IF(AND(Inputs!$B$39&lt;&gt;"pvp",Inputs!$B$44&gt;0),IF(MAX(0,Inputs!$B$44-B178)&lt;=0,0,(INT(MAX(0,Inputs!$B$44-B178)/IF(Inputs!$B$39="pvp",15,MAX(0.1,Skills!D4-IF(Skills!E4=TRUE,Inputs!$B$32,0))))+1)),0)</f>
        <v/>
      </c>
      <c r="S138">
        <f>IFERROR(O138/N138,0)</f>
        <v/>
      </c>
      <c r="T138">
        <f>IF(C138,(H138*N138*IF(AND(Inputs!$B$39&lt;&gt;"pvp",Inputs!$B$44&gt;0),((Skills!G4*((R138-1)*IF(Skills!H4&gt;0,Skills!I4/Skills!H4,1)+IF(Skills!H4&gt;0,MIN(Skills!I4,MAX(0,MAX(0,Inputs!$B$44-B178)-((R138-1)*IF(Inputs!$B$39="pvp",15,MAX(0.1,Skills!D4-IF(Skills!E4=TRUE,Inputs!$B$32,0))))))/Skills!H4,1)))/Inputs!$B$44),G138*Q138))*IF(Inputs!$B$39="pvp",1,1+(Inputs!$B$20+0+Skills!P4+B168)/100),0)</f>
        <v/>
      </c>
      <c r="U138">
        <f>290*U137/1000</f>
        <v/>
      </c>
      <c r="V138">
        <f>IF(C138,(H138*N138*IF(AND(Inputs!$B$39&lt;&gt;"pvp",Inputs!$B$44&gt;0),((Skills!G4*((R138-1)*IF(Skills!H4&gt;0,Skills!I4/Skills!H4,1)+IF(Skills!H4&gt;0,MIN(Skills!I4,MAX(0,MAX(0,Inputs!$B$44-B178)-((R138-1)*IF(Inputs!$B$39="pvp",15,MAX(0.1,Skills!D4-IF(Skills!E4=TRUE,Inputs!$B$32,0))))))/Skills!H4,1)))/Inputs!$B$44),G138*Q138))*IF(Inputs!$B$39="pvp",1,(1+(Inputs!$B$21+Skills!Q4+B168)/100)*(MIN(MIN(10,0.5*B171*Skills!D4),Inputs!$B$37))),0)</f>
        <v/>
      </c>
    </row>
    <row r="139">
      <c r="A139">
        <f>Skills!A5</f>
        <v/>
      </c>
      <c r="B139">
        <f>Skills!B5</f>
        <v/>
      </c>
      <c r="C139">
        <f>Inputs!$B$3&gt;=63</f>
        <v/>
      </c>
      <c r="D139">
        <f>IF(Skills!C5=1,60+Inputs!$B$25+Inputs!$B$29,IF(Skills!C5=2,90+Inputs!$B$26+Inputs!$B$29,IF(Skills!C5=3,120+Inputs!$B$27+Inputs!$B$29,MAX(0,(Inputs!$B$3-100)*3)+Inputs!$B$28+Inputs!$B$29)))</f>
        <v/>
      </c>
      <c r="E139">
        <f>INDEX(FactorTable!$B$2:$Y$301, MATCH(ROUND(MIN(300,MAX(1,D139)),0), FactorTable!$A$2:$A$301,0), Skills!M5+1)</f>
        <v/>
      </c>
      <c r="F139">
        <f>IF(Skills!N5=TRUE,(Skills!L5/10)*(E139/1000),Skills!L5/10)+Skills!O5</f>
        <v/>
      </c>
      <c r="G139">
        <f>Skills!G5*IF(Skills!H5&gt;0,Skills!I5/Skills!H5,1)</f>
        <v/>
      </c>
      <c r="H139">
        <f>1-(1-Skills!J5/100)^Skills!K5</f>
        <v/>
      </c>
      <c r="I139" t="inlineStr">
        <is>
          <t>1</t>
        </is>
      </c>
      <c r="J139">
        <f>((Inputs!$B$6*(1+Inputs!$B$7/100))+(((Inputs!$B$12*(1+Inputs!$B$13/100))-(Inputs!$B$12*(1+Inputs!$B$13/100)))+0.25*((Inputs!$B$14+1)-Inputs!$B$14))*(1+Inputs!$B$7/100))*(F139/100)</f>
        <v/>
      </c>
      <c r="K139">
        <f>J139*(1+((Inputs!$B$12*(1+Inputs!$B$13/100))*0.01+(Inputs!$B$14+1)*0.0025)/100)*(1+Inputs!$B$15/100)*(1+Inputs!$B$16/100)*(5000/(6000+Inputs!$B$43*(1-Inputs!$B$19/100)))*(1+(Inputs!$B$24+((C164=TRUE)*(F164-Calc!F30)))/100)*(1+2.6666666666666665*IF(C152=TRUE,F152,0)/100)*(1+(IF(Skills!A5="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139)</f>
        <v/>
      </c>
      <c r="L139">
        <f>K139*(MIN(Inputs!$B$22+((C158=TRUE)*(F158-Calc!F24)),Inputs!$B$23+((C163=TRUE)*(F163-Calc!F29)))/100+(Inputs!$B$23+((C163=TRUE)*(F163-Calc!F29)))/100)/2</f>
        <v/>
      </c>
      <c r="M139">
        <f>L139*(1+(Inputs!$B$10+((C160=TRUE)*(F160-Calc!F26))+B174)/100)</f>
        <v/>
      </c>
      <c r="N139">
        <f>L139*(1-MIN((Inputs!$B$9+((C159=TRUE)*(F159-Calc!F25))+B167),100)/100)+M139*(MIN((Inputs!$B$9+((C159=TRUE)*(F159-Calc!F25))+B167),100)/100)</f>
        <v/>
      </c>
      <c r="O139">
        <f>(1-Summary!$B$55)*T139+Summary!$B$55*V139</f>
        <v/>
      </c>
      <c r="P139">
        <f>IF(B179=0,0,O139/B179)</f>
        <v/>
      </c>
      <c r="Q139">
        <f>IFERROR(1/IF(Inputs!$B$39="pvp",15,MAX(0.1,Skills!D5-IF(Skills!E5=TRUE,Inputs!$B$32,0))),0)</f>
        <v/>
      </c>
      <c r="R139">
        <f>IF(AND(Inputs!$B$39&lt;&gt;"pvp",Inputs!$B$44&gt;0),IF(MAX(0,Inputs!$B$44-B178)&lt;=0,0,(INT(MAX(0,Inputs!$B$44-B178)/IF(Inputs!$B$39="pvp",15,MAX(0.1,Skills!D5-IF(Skills!E5=TRUE,Inputs!$B$32,0))))+1)),0)</f>
        <v/>
      </c>
      <c r="S139">
        <f>IFERROR(O139/N139,0)</f>
        <v/>
      </c>
      <c r="T139">
        <f>IF(C139,(H139*N139*IF(AND(Inputs!$B$39&lt;&gt;"pvp",Inputs!$B$44&gt;0),((Skills!G5*((R139-1)*IF(Skills!H5&gt;0,Skills!I5/Skills!H5,1)+IF(Skills!H5&gt;0,MIN(Skills!I5,MAX(0,MAX(0,Inputs!$B$44-B178)-((R139-1)*IF(Inputs!$B$39="pvp",15,MAX(0.1,Skills!D5-IF(Skills!E5=TRUE,Inputs!$B$32,0))))))/Skills!H5,1)))/Inputs!$B$44),G139*Q139))*IF(Inputs!$B$39="pvp",1,1+(Inputs!$B$20+0+Skills!P5+B168)/100),0)</f>
        <v/>
      </c>
      <c r="V139">
        <f>IF(C139,(H139*N139*IF(AND(Inputs!$B$39&lt;&gt;"pvp",Inputs!$B$44&gt;0),((Skills!G5*((R139-1)*IF(Skills!H5&gt;0,Skills!I5/Skills!H5,1)+IF(Skills!H5&gt;0,MIN(Skills!I5,MAX(0,MAX(0,Inputs!$B$44-B178)-((R139-1)*IF(Inputs!$B$39="pvp",15,MAX(0.1,Skills!D5-IF(Skills!E5=TRUE,Inputs!$B$32,0))))))/Skills!H5,1)))/Inputs!$B$44),G139*Q139))*IF(Inputs!$B$39="pvp",1,(1+(Inputs!$B$21+Skills!Q5+B168)/100)*(MIN(Skills!W5,Inputs!$B$37))),0)</f>
        <v/>
      </c>
    </row>
    <row r="140">
      <c r="A140">
        <f>Skills!A6</f>
        <v/>
      </c>
      <c r="B140">
        <f>Skills!B6</f>
        <v/>
      </c>
      <c r="C140">
        <f>Inputs!$B$3&gt;=69</f>
        <v/>
      </c>
      <c r="D140">
        <f>IF(Skills!C6=1,60+Inputs!$B$25+Inputs!$B$29,IF(Skills!C6=2,90+Inputs!$B$26+Inputs!$B$29,IF(Skills!C6=3,120+Inputs!$B$27+Inputs!$B$29,MAX(0,(Inputs!$B$3-100)*3)+Inputs!$B$28+Inputs!$B$29)))</f>
        <v/>
      </c>
      <c r="E140">
        <f>INDEX(FactorTable!$B$2:$Y$301, MATCH(ROUND(MIN(300,MAX(1,D140)),0), FactorTable!$A$2:$A$301,0), Skills!M6+1)</f>
        <v/>
      </c>
      <c r="F140">
        <f>IF(Skills!N6=TRUE,(Skills!L6/10)*(E140/1000),Skills!L6/10)+Skills!O6</f>
        <v/>
      </c>
      <c r="G140">
        <f>Skills!G6*IF(Skills!H6&gt;0,Skills!I6/Skills!H6,1)</f>
        <v/>
      </c>
      <c r="H140">
        <f>1-(1-Skills!J6/100)^Skills!K6</f>
        <v/>
      </c>
      <c r="I140" t="inlineStr">
        <is>
          <t>1</t>
        </is>
      </c>
      <c r="J140">
        <f>((Inputs!$B$6*(1+Inputs!$B$7/100))+(((Inputs!$B$12*(1+Inputs!$B$13/100))-(Inputs!$B$12*(1+Inputs!$B$13/100)))+0.25*((Inputs!$B$14+1)-Inputs!$B$14))*(1+Inputs!$B$7/100))*(F140/100)</f>
        <v/>
      </c>
      <c r="K140">
        <f>J140*(1+((Inputs!$B$12*(1+Inputs!$B$13/100))*0.01+(Inputs!$B$14+1)*0.0025)/100)*(1+Inputs!$B$15/100)*(1+Inputs!$B$16/100)*(5000/(6000+Inputs!$B$43*(1-Inputs!$B$19/100)))*(1+(Inputs!$B$24+((C164=TRUE)*(F164-Calc!F30)))/100)*(1+1.0*IF(C152=TRUE,F152,0)/100)*(1+(IF(Skills!A6="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140)</f>
        <v/>
      </c>
      <c r="L140">
        <f>K140*(MIN(Inputs!$B$22+((C158=TRUE)*(F158-Calc!F24)),Inputs!$B$23+((C163=TRUE)*(F163-Calc!F29)))/100+(Inputs!$B$23+((C163=TRUE)*(F163-Calc!F29)))/100)/2</f>
        <v/>
      </c>
      <c r="M140">
        <f>L140*(1+(Inputs!$B$10+((C160=TRUE)*(F160-Calc!F26))+B174)/100)</f>
        <v/>
      </c>
      <c r="N140">
        <f>L140*(1-MIN((Inputs!$B$9+((C159=TRUE)*(F159-Calc!F25))+B167),100)/100)+M140*(MIN((Inputs!$B$9+((C159=TRUE)*(F159-Calc!F25))+B167),100)/100)</f>
        <v/>
      </c>
      <c r="O140">
        <f>(1-Summary!$B$55)*T140+Summary!$B$55*V140</f>
        <v/>
      </c>
      <c r="P140">
        <f>IF(B179=0,0,O140/B179)</f>
        <v/>
      </c>
      <c r="Q140">
        <f>IFERROR(1/IF(Inputs!$B$39="pvp",15,MAX(0.1,Skills!D6-IF(Skills!E6=TRUE,Inputs!$B$32,0))),0)</f>
        <v/>
      </c>
      <c r="R140">
        <f>IF(AND(Inputs!$B$39&lt;&gt;"pvp",Inputs!$B$44&gt;0),IF(MAX(0,Inputs!$B$44-B178)&lt;=0,0,(INT(MAX(0,Inputs!$B$44-B178)/IF(Inputs!$B$39="pvp",15,MAX(0.1,Skills!D6-IF(Skills!E6=TRUE,Inputs!$B$32,0))))+1)),0)</f>
        <v/>
      </c>
      <c r="S140">
        <f>IFERROR(O140/N140,0)</f>
        <v/>
      </c>
      <c r="T140">
        <f>IF(C140,(H140*N140*IF(AND(Inputs!$B$39&lt;&gt;"pvp",Inputs!$B$44&gt;0),((Skills!G6*((R140-1)*IF(Skills!H6&gt;0,Skills!I6/Skills!H6,1)+IF(Skills!H6&gt;0,MIN(Skills!I6,MAX(0,MAX(0,Inputs!$B$44-B178)-((R140-1)*IF(Inputs!$B$39="pvp",15,MAX(0.1,Skills!D6-IF(Skills!E6=TRUE,Inputs!$B$32,0))))))/Skills!H6,1)))/Inputs!$B$44),G140*Q140))*IF(Inputs!$B$39="pvp",1,1+(Inputs!$B$20+0+Skills!P6+B168)/100),0)</f>
        <v/>
      </c>
      <c r="V140">
        <f>IF(C140,(H140*N140*IF(AND(Inputs!$B$39&lt;&gt;"pvp",Inputs!$B$44&gt;0),((Skills!G6*((R140-1)*IF(Skills!H6&gt;0,Skills!I6/Skills!H6,1)+IF(Skills!H6&gt;0,MIN(Skills!I6,MAX(0,MAX(0,Inputs!$B$44-B178)-((R140-1)*IF(Inputs!$B$39="pvp",15,MAX(0.1,Skills!D6-IF(Skills!E6=TRUE,Inputs!$B$32,0))))))/Skills!H6,1)))/Inputs!$B$44),G140*Q140))*IF(Inputs!$B$39="pvp",1,(1+(Inputs!$B$21+Skills!Q6+B168)/100)*(MIN(Skills!W6,Inputs!$B$37))),0)</f>
        <v/>
      </c>
    </row>
    <row r="141">
      <c r="A141">
        <f>Skills!A7</f>
        <v/>
      </c>
      <c r="B141">
        <f>Skills!B7</f>
        <v/>
      </c>
      <c r="C141">
        <f>Inputs!$B$3&gt;=60</f>
        <v/>
      </c>
      <c r="D141">
        <f>IF(Skills!C7=1,60+Inputs!$B$25+Inputs!$B$29,IF(Skills!C7=2,90+Inputs!$B$26+Inputs!$B$29,IF(Skills!C7=3,120+Inputs!$B$27+Inputs!$B$29,MAX(0,(Inputs!$B$3-100)*3)+Inputs!$B$28+Inputs!$B$29)))</f>
        <v/>
      </c>
      <c r="E141">
        <f>INDEX(FactorTable!$B$2:$Y$301, MATCH(ROUND(MIN(300,MAX(1,D141)),0), FactorTable!$A$2:$A$301,0), Skills!M7+1)</f>
        <v/>
      </c>
      <c r="F141">
        <f>IF(Skills!N7=TRUE,(Skills!L7/10)*(E141/1000),Skills!L7/10)+Skills!O7</f>
        <v/>
      </c>
      <c r="G141">
        <f>Skills!G7*IF(Skills!H7&gt;0,Skills!I7/Skills!H7,1)</f>
        <v/>
      </c>
      <c r="H141">
        <f>1-(1-Skills!J7/100)^Skills!K7</f>
        <v/>
      </c>
      <c r="I141" t="inlineStr">
        <is>
          <t>1</t>
        </is>
      </c>
      <c r="J141" t="inlineStr"/>
      <c r="K141" t="inlineStr"/>
      <c r="L141" t="inlineStr"/>
      <c r="M141" t="inlineStr"/>
      <c r="N141" t="inlineStr"/>
      <c r="O141">
        <f>(1-Summary!$B$55)*T141+Summary!$B$55*V141</f>
        <v/>
      </c>
      <c r="P141">
        <f>IF(B179=0,0,O141/B179)</f>
        <v/>
      </c>
      <c r="Q141" t="n">
        <v>0</v>
      </c>
      <c r="R141" t="n">
        <v>0</v>
      </c>
      <c r="S141">
        <f>IFERROR(O141/N141,0)</f>
        <v/>
      </c>
      <c r="T141" t="n">
        <v>0</v>
      </c>
      <c r="V141" t="n">
        <v>0</v>
      </c>
    </row>
    <row r="142">
      <c r="A142">
        <f>Skills!A8</f>
        <v/>
      </c>
      <c r="B142">
        <f>Skills!B8</f>
        <v/>
      </c>
      <c r="C142">
        <f>Inputs!$B$3&gt;=72</f>
        <v/>
      </c>
      <c r="D142">
        <f>IF(Skills!C8=1,60+Inputs!$B$25+Inputs!$B$29,IF(Skills!C8=2,90+Inputs!$B$26+Inputs!$B$29,IF(Skills!C8=3,120+Inputs!$B$27+Inputs!$B$29,MAX(0,(Inputs!$B$3-100)*3)+Inputs!$B$28+Inputs!$B$29)))</f>
        <v/>
      </c>
      <c r="E142">
        <f>INDEX(FactorTable!$B$2:$Y$301, MATCH(ROUND(MIN(300,MAX(1,D142)),0), FactorTable!$A$2:$A$301,0), Skills!M8+1)</f>
        <v/>
      </c>
      <c r="F142">
        <f>IF(Skills!N8=TRUE,(Skills!L8/10)*(E142/1000),Skills!L8/10)+Skills!O8</f>
        <v/>
      </c>
      <c r="G142">
        <f>Skills!G8*IF(Skills!H8&gt;0,Skills!I8/Skills!H8,1)</f>
        <v/>
      </c>
      <c r="H142">
        <f>1-(1-Skills!J8/100)^Skills!K8</f>
        <v/>
      </c>
      <c r="I142" t="inlineStr">
        <is>
          <t>1</t>
        </is>
      </c>
      <c r="J142">
        <f>((Inputs!$B$6*(1+Inputs!$B$7/100))+(((Inputs!$B$12*(1+Inputs!$B$13/100))-(Inputs!$B$12*(1+Inputs!$B$13/100)))+0.25*((Inputs!$B$14+1)-Inputs!$B$14))*(1+Inputs!$B$7/100))*(F142/100)</f>
        <v/>
      </c>
      <c r="K142">
        <f>J142*(1+((Inputs!$B$12*(1+Inputs!$B$13/100))*0.01+(Inputs!$B$14+1)*0.0025)/100)*(1+Inputs!$B$15/100)*(1+Inputs!$B$16/100)*(5000/(6000+Inputs!$B$43*(1-Inputs!$B$19/100)))*(1+(Inputs!$B$24+((C164=TRUE)*(F164-Calc!F30)))/100)*(1+3.3333333333333335*IF(C152=TRUE,F152,0)/100)*(1+(IF(Skills!A8="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142)</f>
        <v/>
      </c>
      <c r="L142">
        <f>K142*(MIN(Inputs!$B$22+((C158=TRUE)*(F158-Calc!F24)),Inputs!$B$23+((C163=TRUE)*(F163-Calc!F29)))/100+(Inputs!$B$23+((C163=TRUE)*(F163-Calc!F29)))/100)/2</f>
        <v/>
      </c>
      <c r="M142">
        <f>L142*(1+(Inputs!$B$10+((C160=TRUE)*(F160-Calc!F26))+B174)/100)</f>
        <v/>
      </c>
      <c r="N142">
        <f>L142*(1-MIN((Inputs!$B$9+((C159=TRUE)*(F159-Calc!F25))+B167),100)/100)+M142*(MIN((Inputs!$B$9+((C159=TRUE)*(F159-Calc!F25))+B167),100)/100)</f>
        <v/>
      </c>
      <c r="O142">
        <f>(1-Summary!$B$55)*T142+Summary!$B$55*V142</f>
        <v/>
      </c>
      <c r="P142">
        <f>IF(B179=0,0,O142/B179)</f>
        <v/>
      </c>
      <c r="Q142">
        <f>IFERROR(1/IF(Inputs!$B$39="pvp",15,MAX(0.1,Skills!D8-IF(Skills!E8=TRUE,Inputs!$B$32,0))),0)</f>
        <v/>
      </c>
      <c r="R142">
        <f>IF(AND(Inputs!$B$39&lt;&gt;"pvp",Inputs!$B$44&gt;0),IF(MAX(0,Inputs!$B$44-B178)&lt;=0,0,(INT(MAX(0,Inputs!$B$44-B178)/IF(Inputs!$B$39="pvp",15,MAX(0.1,Skills!D8-IF(Skills!E8=TRUE,Inputs!$B$32,0))))+1)),0)</f>
        <v/>
      </c>
      <c r="S142">
        <f>IFERROR(O142/N142,0)</f>
        <v/>
      </c>
      <c r="T142">
        <f>IF(C142,(H142*N142*IF(AND(Inputs!$B$39&lt;&gt;"pvp",Inputs!$B$44&gt;0),((Skills!G8*((R142-1)*IF(Skills!H8&gt;0,Skills!I8/Skills!H8,1)+IF(Skills!H8&gt;0,MIN(Skills!I8,MAX(0,MAX(0,Inputs!$B$44-B178)-((R142-1)*IF(Inputs!$B$39="pvp",15,MAX(0.1,Skills!D8-IF(Skills!E8=TRUE,Inputs!$B$32,0))))))/Skills!H8,1)))/Inputs!$B$44),G142*Q142))*IF(Inputs!$B$39="pvp",1,1+(Inputs!$B$20+0+Skills!P8+B168)/100),0)</f>
        <v/>
      </c>
      <c r="V142">
        <f>IF(C142,(H142*N142*IF(AND(Inputs!$B$39&lt;&gt;"pvp",Inputs!$B$44&gt;0),((Skills!G8*((R142-1)*IF(Skills!H8&gt;0,Skills!I8/Skills!H8,1)+IF(Skills!H8&gt;0,MIN(Skills!I8,MAX(0,MAX(0,Inputs!$B$44-B178)-((R142-1)*IF(Inputs!$B$39="pvp",15,MAX(0.1,Skills!D8-IF(Skills!E8=TRUE,Inputs!$B$32,0))))))/Skills!H8,1)))/Inputs!$B$44),G142*Q142))*IF(Inputs!$B$39="pvp",1,(1+(Inputs!$B$21+Skills!Q8+B168)/100)*(MIN(Skills!W8,Inputs!$B$37))),0)</f>
        <v/>
      </c>
    </row>
    <row r="143">
      <c r="A143">
        <f>Skills!A9</f>
        <v/>
      </c>
      <c r="B143">
        <f>Skills!B9</f>
        <v/>
      </c>
      <c r="C143">
        <f>Inputs!$B$3&gt;=117</f>
        <v/>
      </c>
      <c r="D143">
        <f>IF(Skills!C9=1,60+Inputs!$B$25+Inputs!$B$29,IF(Skills!C9=2,90+Inputs!$B$26+Inputs!$B$29,IF(Skills!C9=3,120+Inputs!$B$27+Inputs!$B$29,MAX(0,(Inputs!$B$3-100)*3)+Inputs!$B$28+Inputs!$B$29)))</f>
        <v/>
      </c>
      <c r="E143">
        <f>INDEX(FactorTable!$B$2:$Y$301, MATCH(ROUND(MIN(300,MAX(1,D143)),0), FactorTable!$A$2:$A$301,0), Skills!M9+1)</f>
        <v/>
      </c>
      <c r="F143">
        <f>IF(Skills!N9=TRUE,(Skills!L9/10)*(E143/1000),Skills!L9/10)+Skills!O9</f>
        <v/>
      </c>
      <c r="G143">
        <f>Skills!G9*IF(Skills!H9&gt;0,Skills!I9/Skills!H9,1)</f>
        <v/>
      </c>
      <c r="H143">
        <f>1-(1-Skills!J9/100)^Skills!K9</f>
        <v/>
      </c>
      <c r="I143" t="inlineStr">
        <is>
          <t>1</t>
        </is>
      </c>
      <c r="J143">
        <f>((Inputs!$B$6*(1+Inputs!$B$7/100))+(((Inputs!$B$12*(1+Inputs!$B$13/100))-(Inputs!$B$12*(1+Inputs!$B$13/100)))+0.25*((Inputs!$B$14+1)-Inputs!$B$14))*(1+Inputs!$B$7/100))*(F143/100)</f>
        <v/>
      </c>
      <c r="K143">
        <f>J143*(1+((Inputs!$B$12*(1+Inputs!$B$13/100))*0.01+(Inputs!$B$14+1)*0.0025)/100)*(1+Inputs!$B$15/100)*(1+Inputs!$B$16/100)*(5000/(6000+Inputs!$B$43*(1-Inputs!$B$19/100)))*(1+(Inputs!$B$24+((C164=TRUE)*(F164-Calc!F30)))/100)*(1+(IF(Skills!A9="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143)</f>
        <v/>
      </c>
      <c r="L143">
        <f>K143*(MIN(Inputs!$B$22+((C158=TRUE)*(F158-Calc!F24)),Inputs!$B$23+((C163=TRUE)*(F163-Calc!F29)))/100+(Inputs!$B$23+((C163=TRUE)*(F163-Calc!F29)))/100)/2</f>
        <v/>
      </c>
      <c r="M143">
        <f>L143*(1+(Inputs!$B$10+((C160=TRUE)*(F160-Calc!F26))+B174)/100)</f>
        <v/>
      </c>
      <c r="N143">
        <f>L143*(1-MIN((Inputs!$B$9+((C159=TRUE)*(F159-Calc!F25))+B167),100)/100)+M143*(MIN((Inputs!$B$9+((C159=TRUE)*(F159-Calc!F25))+B167),100)/100)</f>
        <v/>
      </c>
      <c r="O143">
        <f>(1-Summary!$B$55)*T143+Summary!$B$55*V143</f>
        <v/>
      </c>
      <c r="P143">
        <f>IF(B179=0,0,O143/B179)</f>
        <v/>
      </c>
      <c r="Q143" t="n">
        <v>0</v>
      </c>
      <c r="R143" t="n">
        <v>0</v>
      </c>
      <c r="S143" t="n">
        <v>0</v>
      </c>
      <c r="T143">
        <f>IF(C143,(0.2*SUMPRODUCT((Skills!Z2:Z30=TRUE)*(C136:C164=TRUE)*S136:S164)*N143)*IF(Inputs!$B$39="pvp",1,1+(Inputs!$B$20+0+Skills!P9+B168)/100),0)</f>
        <v/>
      </c>
      <c r="V143">
        <f>IF(C143,(0.2*SUMPRODUCT((Skills!Z2:Z30=TRUE)*(C136:C164=TRUE)*S136:S164)*N143)*IF(Inputs!$B$39="pvp",1,(1+(Inputs!$B$21+Skills!Q9+B168)/100)*(MIN(Skills!W9,Inputs!$B$37))),0)</f>
        <v/>
      </c>
    </row>
    <row r="144">
      <c r="A144">
        <f>Skills!A10</f>
        <v/>
      </c>
      <c r="B144">
        <f>Skills!B10</f>
        <v/>
      </c>
      <c r="C144">
        <f>Inputs!$B$3&gt;=74</f>
        <v/>
      </c>
      <c r="D144">
        <f>IF(Skills!C10=1,60+Inputs!$B$25+Inputs!$B$29,IF(Skills!C10=2,90+Inputs!$B$26+Inputs!$B$29,IF(Skills!C10=3,120+Inputs!$B$27+Inputs!$B$29,MAX(0,(Inputs!$B$3-100)*3)+Inputs!$B$28+Inputs!$B$29)))</f>
        <v/>
      </c>
      <c r="E144">
        <f>INDEX(FactorTable!$B$2:$Y$301, MATCH(ROUND(MIN(300,MAX(1,D144)),0), FactorTable!$A$2:$A$301,0), Skills!M10+1)</f>
        <v/>
      </c>
      <c r="F144">
        <f>IF(Skills!N10=TRUE,(Skills!L10/10)*(E144/1000),Skills!L10/10)+Skills!O10</f>
        <v/>
      </c>
      <c r="G144">
        <f>Skills!G10*IF(Skills!H10&gt;0,Skills!I10/Skills!H10,1)</f>
        <v/>
      </c>
      <c r="H144">
        <f>1-(1-Skills!J10/100)^Skills!K10</f>
        <v/>
      </c>
      <c r="I144" t="inlineStr">
        <is>
          <t>1</t>
        </is>
      </c>
      <c r="J144" t="inlineStr"/>
      <c r="K144" t="inlineStr"/>
      <c r="L144" t="inlineStr"/>
      <c r="M144" t="inlineStr"/>
      <c r="N144" t="inlineStr"/>
      <c r="O144">
        <f>(1-Summary!$B$55)*T144+Summary!$B$55*V144</f>
        <v/>
      </c>
      <c r="P144">
        <f>IF(B179=0,0,O144/B179)</f>
        <v/>
      </c>
      <c r="Q144">
        <f>IFERROR(1/IF(Inputs!$B$39="pvp",15,MAX(0.1,Skills!D10-IF(Skills!E10=TRUE,Inputs!$B$32,0))),0)</f>
        <v/>
      </c>
      <c r="R144">
        <f>IF(AND(Inputs!$B$39&lt;&gt;"pvp",Inputs!$B$44&gt;0),IF(Inputs!$B$44&lt;=0,0,(INT(Inputs!$B$44/IF(Inputs!$B$39="pvp",15,MAX(0.1,Skills!D10-IF(Skills!E10=TRUE,Inputs!$B$32,0))))+1)),0)</f>
        <v/>
      </c>
      <c r="S144">
        <f>IFERROR(O144/N144,0)</f>
        <v/>
      </c>
      <c r="T144" t="n">
        <v>0</v>
      </c>
      <c r="V144" t="n">
        <v>0</v>
      </c>
    </row>
    <row r="145">
      <c r="A145">
        <f>Skills!A11</f>
        <v/>
      </c>
      <c r="B145">
        <f>Skills!B11</f>
        <v/>
      </c>
      <c r="C145">
        <f>Inputs!$B$3&gt;=103</f>
        <v/>
      </c>
      <c r="D145">
        <f>IF(Skills!C11=1,60+Inputs!$B$25+Inputs!$B$29,IF(Skills!C11=2,90+Inputs!$B$26+Inputs!$B$29,IF(Skills!C11=3,120+Inputs!$B$27+Inputs!$B$29,MAX(0,(Inputs!$B$3-100)*3)+Inputs!$B$28+Inputs!$B$29)))</f>
        <v/>
      </c>
      <c r="E145">
        <f>INDEX(FactorTable!$B$2:$Y$301, MATCH(ROUND(MIN(300,MAX(1,D145)),0), FactorTable!$A$2:$A$301,0), Skills!M11+1)</f>
        <v/>
      </c>
      <c r="F145">
        <f>(Skills!L11/10)*(E145/1000)+IF(Inputs!$B$3&gt;=134,50,0)+0.5*(30000/10)*(INDEX(FactorTable!$B$2:$Y$301, MATCH(ROUND(MIN(300,MAX(1,D145)),0), FactorTable!$A$2:$A$301,0), 13)/1000)*B177</f>
        <v/>
      </c>
      <c r="G145">
        <f>Skills!G11*IF(Skills!H11&gt;0,Skills!I11/Skills!H11,1)</f>
        <v/>
      </c>
      <c r="H145">
        <f>1-(1-Skills!J11/100)^Skills!K11</f>
        <v/>
      </c>
      <c r="I145" t="inlineStr">
        <is>
          <t>1</t>
        </is>
      </c>
      <c r="J145">
        <f>((Inputs!$B$6*(1+Inputs!$B$7/100))+(((Inputs!$B$12*(1+Inputs!$B$13/100))-(Inputs!$B$12*(1+Inputs!$B$13/100)))+0.25*((Inputs!$B$14+1)-Inputs!$B$14))*(1+Inputs!$B$7/100))*(F145/100)</f>
        <v/>
      </c>
      <c r="K145">
        <f>J145*(1+((Inputs!$B$12*(1+Inputs!$B$13/100))*0.01+(Inputs!$B$14+1)*0.0025)/100)*(1+Inputs!$B$15/100)*(1+Inputs!$B$16/100)*(5000/(6000+Inputs!$B$43*(1-Inputs!$B$19/100)))*(1+(Inputs!$B$24+((C164=TRUE)*(F164-Calc!F30)))/100)*(1+(IF(Skills!A11="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145)</f>
        <v/>
      </c>
      <c r="L145">
        <f>K145*(MIN(Inputs!$B$22+((C158=TRUE)*(F158-Calc!F24)),Inputs!$B$23+((C163=TRUE)*(F163-Calc!F29)))/100+(Inputs!$B$23+((C163=TRUE)*(F163-Calc!F29)))/100)/2</f>
        <v/>
      </c>
      <c r="M145">
        <f>L145*(1+(Inputs!$B$10+((C160=TRUE)*(F160-Calc!F26))+B174)/100)</f>
        <v/>
      </c>
      <c r="N145">
        <f>L145*(1-MIN((Inputs!$B$9+((C159=TRUE)*(F159-Calc!F25))+B167),100)/100)+M145*(MIN((Inputs!$B$9+((C159=TRUE)*(F159-Calc!F25))+B167),100)/100)</f>
        <v/>
      </c>
      <c r="O145">
        <f>(1-Summary!$B$55)*T145+Summary!$B$55*V145</f>
        <v/>
      </c>
      <c r="P145">
        <f>IF(B179=0,0,O145/B179)</f>
        <v/>
      </c>
      <c r="Q145">
        <f>IFERROR(1/IF(Inputs!$B$39="pvp",15,MAX(0.1,Skills!D11-IF(Skills!E11=TRUE,Inputs!$B$32,0))),0)</f>
        <v/>
      </c>
      <c r="R145">
        <f>IF(AND(Inputs!$B$39&lt;&gt;"pvp",Inputs!$B$44&gt;0),IF(MAX(0,Inputs!$B$44-B178)&lt;=0,0,(INT(MAX(0,Inputs!$B$44-B178)/IF(Inputs!$B$39="pvp",15,MAX(0.1,Skills!D11-IF(Skills!E11=TRUE,Inputs!$B$32,0))))+1)),0)</f>
        <v/>
      </c>
      <c r="S145">
        <f>IFERROR(O145/N145,0)</f>
        <v/>
      </c>
      <c r="T145">
        <f>IF(C145,(H145*N145*IF(AND(Inputs!$B$39&lt;&gt;"pvp",Inputs!$B$44&gt;0),((Skills!G11*((R145-1)*IF(Skills!H11&gt;0,Skills!I11/Skills!H11,1)+IF(Skills!H11&gt;0,MIN(Skills!I11,MAX(0,MAX(0,Inputs!$B$44-B178)-((R145-1)*IF(Inputs!$B$39="pvp",15,MAX(0.1,Skills!D11-IF(Skills!E11=TRUE,Inputs!$B$32,0))))))/Skills!H11,1)))/Inputs!$B$44),G145*Q145))*IF(Inputs!$B$39="pvp",1,1+(Inputs!$B$20+0+Skills!P11+B168)/100),0)</f>
        <v/>
      </c>
      <c r="V145">
        <f>IF(C145,(H145*N145*IF(AND(Inputs!$B$39&lt;&gt;"pvp",Inputs!$B$44&gt;0),((Skills!G11*((R145-1)*IF(Skills!H11&gt;0,Skills!I11/Skills!H11,1)+IF(Skills!H11&gt;0,MIN(Skills!I11,MAX(0,MAX(0,Inputs!$B$44-B178)-((R145-1)*IF(Inputs!$B$39="pvp",15,MAX(0.1,Skills!D11-IF(Skills!E11=TRUE,Inputs!$B$32,0))))))/Skills!H11,1)))/Inputs!$B$44),G145*Q145))*IF(Inputs!$B$39="pvp",1,(1+(Inputs!$B$21+Skills!Q11+B168)/100)*(MIN(Skills!W11,Inputs!$B$37))),0)</f>
        <v/>
      </c>
    </row>
    <row r="146">
      <c r="A146">
        <f>Skills!A12</f>
        <v/>
      </c>
      <c r="B146">
        <f>Skills!B12</f>
        <v/>
      </c>
      <c r="C146">
        <f>Inputs!$B$3&gt;=105</f>
        <v/>
      </c>
      <c r="D146">
        <f>IF(Skills!C12=1,60+Inputs!$B$25+Inputs!$B$29,IF(Skills!C12=2,90+Inputs!$B$26+Inputs!$B$29,IF(Skills!C12=3,120+Inputs!$B$27+Inputs!$B$29,MAX(0,(Inputs!$B$3-100)*3)+Inputs!$B$28+Inputs!$B$29)))</f>
        <v/>
      </c>
      <c r="E146">
        <f>INDEX(FactorTable!$B$2:$Y$301, MATCH(ROUND(MIN(300,MAX(1,D146)),0), FactorTable!$A$2:$A$301,0), Skills!M12+1)</f>
        <v/>
      </c>
      <c r="F146">
        <f>IF(Skills!N12=TRUE,(Skills!L12/10)*(E146/1000),Skills!L12/10)+Skills!O12</f>
        <v/>
      </c>
      <c r="G146">
        <f>Skills!G12*IF(Skills!H12&gt;0,Skills!I12/Skills!H12,1)</f>
        <v/>
      </c>
      <c r="H146">
        <f>1-(1-Skills!J12/100)^Skills!K12</f>
        <v/>
      </c>
      <c r="I146" t="inlineStr">
        <is>
          <t>1</t>
        </is>
      </c>
      <c r="J146">
        <f>((Inputs!$B$6*(1+Inputs!$B$7/100))+(((Inputs!$B$12*(1+Inputs!$B$13/100))-(Inputs!$B$12*(1+Inputs!$B$13/100)))+0.25*((Inputs!$B$14+1)-Inputs!$B$14))*(1+Inputs!$B$7/100))*(F146/100)</f>
        <v/>
      </c>
      <c r="K146">
        <f>J146*(1+((Inputs!$B$12*(1+Inputs!$B$13/100))*0.01+(Inputs!$B$14+1)*0.0025)/100)*(1+Inputs!$B$15/100)*(1+Inputs!$B$16/100)*(5000/(6000+Inputs!$B$43*(1-Inputs!$B$19/100)))*(1+(Inputs!$B$24+((C164=TRUE)*(F164-Calc!F30)))/100)*(1+(IF(Skills!A12="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146)</f>
        <v/>
      </c>
      <c r="L146">
        <f>K146*(MIN(Inputs!$B$22+((C158=TRUE)*(F158-Calc!F24)),Inputs!$B$23+((C163=TRUE)*(F163-Calc!F29)))/100+(Inputs!$B$23+((C163=TRUE)*(F163-Calc!F29)))/100)/2</f>
        <v/>
      </c>
      <c r="M146">
        <f>L146*(1+(Inputs!$B$10+((C160=TRUE)*(F160-Calc!F26))+B174)/100)</f>
        <v/>
      </c>
      <c r="N146">
        <f>L146*(1-MIN((Inputs!$B$9+((C159=TRUE)*(F159-Calc!F25))+B167),100)/100)+M146*(MIN((Inputs!$B$9+((C159=TRUE)*(F159-Calc!F25))+B167),100)/100)</f>
        <v/>
      </c>
      <c r="O146">
        <f>(1-Summary!$B$55)*T146+Summary!$B$55*V146</f>
        <v/>
      </c>
      <c r="P146">
        <f>IF(B179=0,0,O146/B179)</f>
        <v/>
      </c>
      <c r="Q146">
        <f>IFERROR(1/IF(Inputs!$B$39="pvp",15,MAX(0.1,Skills!D12-IF(Skills!E12=TRUE,Inputs!$B$32,0))),0)</f>
        <v/>
      </c>
      <c r="R146">
        <f>IF(AND(Inputs!$B$39&lt;&gt;"pvp",Inputs!$B$44&gt;0),IF(MAX(0,Inputs!$B$44-B178)&lt;=0,0,(INT(MAX(0,Inputs!$B$44-B178)/IF(Inputs!$B$39="pvp",15,MAX(0.1,Skills!D12-IF(Skills!E12=TRUE,Inputs!$B$32,0))))+1)),0)</f>
        <v/>
      </c>
      <c r="S146">
        <f>IFERROR(O146/N146,0)</f>
        <v/>
      </c>
      <c r="T146">
        <f>IF(C146,(H146*N146*IF(AND(Inputs!$B$39&lt;&gt;"pvp",Inputs!$B$44&gt;0),((Skills!G12*((R146-1)*IF(Skills!H12&gt;0,Skills!I12/Skills!H12,1)+IF(Skills!H12&gt;0,MIN(Skills!I12,MAX(0,MAX(0,Inputs!$B$44-B178)-((R146-1)*IF(Inputs!$B$39="pvp",15,MAX(0.1,Skills!D12-IF(Skills!E12=TRUE,Inputs!$B$32,0))))))/Skills!H12,1)))/Inputs!$B$44),G146*Q146))*IF(Inputs!$B$39="pvp",1,1+(Inputs!$B$20+0+Skills!P12+B168)/100),0)</f>
        <v/>
      </c>
      <c r="V146">
        <f>IF(C146,(H146*N146*IF(AND(Inputs!$B$39&lt;&gt;"pvp",Inputs!$B$44&gt;0),((Skills!G12*((R146-1)*IF(Skills!H12&gt;0,Skills!I12/Skills!H12,1)+IF(Skills!H12&gt;0,MIN(Skills!I12,MAX(0,MAX(0,Inputs!$B$44-B178)-((R146-1)*IF(Inputs!$B$39="pvp",15,MAX(0.1,Skills!D12-IF(Skills!E12=TRUE,Inputs!$B$32,0))))))/Skills!H12,1)))/Inputs!$B$44),G146*Q146))*IF(Inputs!$B$39="pvp",1,(1+(Inputs!$B$21+Skills!Q12+B168)/100)*(MIN(Skills!W12,Inputs!$B$37))),0)</f>
        <v/>
      </c>
    </row>
    <row r="147">
      <c r="A147">
        <f>Skills!A13</f>
        <v/>
      </c>
      <c r="B147">
        <f>Skills!B13</f>
        <v/>
      </c>
      <c r="C147">
        <f>Inputs!$B$3&gt;=105</f>
        <v/>
      </c>
      <c r="D147">
        <f>IF(Skills!C13=1,60+Inputs!$B$25+Inputs!$B$29,IF(Skills!C13=2,90+Inputs!$B$26+Inputs!$B$29,IF(Skills!C13=3,120+Inputs!$B$27+Inputs!$B$29,MAX(0,(Inputs!$B$3-100)*3)+Inputs!$B$28+Inputs!$B$29)))</f>
        <v/>
      </c>
      <c r="E147">
        <f>INDEX(FactorTable!$B$2:$Y$301, MATCH(ROUND(MIN(300,MAX(1,D147)),0), FactorTable!$A$2:$A$301,0), Skills!M13+1)</f>
        <v/>
      </c>
      <c r="F147">
        <f>IF(Skills!N13=TRUE,(Skills!L13/10)*(E147/1000),Skills!L13/10)+Skills!O13</f>
        <v/>
      </c>
      <c r="G147">
        <f>Skills!G13*IF(Skills!H13&gt;0,Skills!I13/Skills!H13,1)</f>
        <v/>
      </c>
      <c r="H147">
        <f>1-(1-Skills!J13/100)^Skills!K13</f>
        <v/>
      </c>
      <c r="I147" t="inlineStr">
        <is>
          <t>1</t>
        </is>
      </c>
      <c r="J147">
        <f>((Inputs!$B$6*(1+Inputs!$B$7/100))+(((Inputs!$B$12*(1+Inputs!$B$13/100))-(Inputs!$B$12*(1+Inputs!$B$13/100)))+0.25*((Inputs!$B$14+1)-Inputs!$B$14))*(1+Inputs!$B$7/100))*(F147/100)</f>
        <v/>
      </c>
      <c r="K147">
        <f>J147*(1+((Inputs!$B$12*(1+Inputs!$B$13/100))*0.01+(Inputs!$B$14+1)*0.0025)/100)*(1+Inputs!$B$15/100)*(1+Inputs!$B$16/100)*(5000/(6000+Inputs!$B$43*(1-Inputs!$B$19/100)))*(1+(Inputs!$B$24+((C164=TRUE)*(F164-Calc!F30)))/100)*(1+(IF(Skills!A13="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147)</f>
        <v/>
      </c>
      <c r="L147">
        <f>K147*(MIN(Inputs!$B$22+((C158=TRUE)*(F158-Calc!F24)),Inputs!$B$23+((C163=TRUE)*(F163-Calc!F29)))/100+(Inputs!$B$23+((C163=TRUE)*(F163-Calc!F29)))/100)/2</f>
        <v/>
      </c>
      <c r="M147">
        <f>L147*(1+(Inputs!$B$10+((C160=TRUE)*(F160-Calc!F26))+B174)/100)</f>
        <v/>
      </c>
      <c r="N147">
        <f>L147*(1-MIN((Inputs!$B$9+((C159=TRUE)*(F159-Calc!F25))+B167),100)/100)+M147*(MIN((Inputs!$B$9+((C159=TRUE)*(F159-Calc!F25))+B167),100)/100)</f>
        <v/>
      </c>
      <c r="O147">
        <f>(1-Summary!$B$55)*T147+Summary!$B$55*V147</f>
        <v/>
      </c>
      <c r="P147">
        <f>IF(B179=0,0,O147/B179)</f>
        <v/>
      </c>
      <c r="Q147">
        <f>IFERROR(1/IF(Inputs!$B$39="pvp",15,MAX(0.1,Skills!D13-IF(Skills!E13=TRUE,Inputs!$B$32,0))),0)</f>
        <v/>
      </c>
      <c r="R147">
        <f>IF(AND(Inputs!$B$39&lt;&gt;"pvp",Inputs!$B$44&gt;0),IF(MAX(0,Inputs!$B$44-B178)&lt;=0,0,(INT(MAX(0,Inputs!$B$44-B178)/IF(Inputs!$B$39="pvp",15,MAX(0.1,Skills!D13-IF(Skills!E13=TRUE,Inputs!$B$32,0))))+1)),0)</f>
        <v/>
      </c>
      <c r="S147">
        <f>IFERROR(O147/N147,0)</f>
        <v/>
      </c>
      <c r="T147">
        <f>IF(C147,(H147*N147*IF(AND(Inputs!$B$39&lt;&gt;"pvp",Inputs!$B$44&gt;0),((Skills!G13*((R147-1)*IF(Skills!H13&gt;0,Skills!I13/Skills!H13,1)+IF(Skills!H13&gt;0,MIN(Skills!I13,MAX(0,MAX(0,Inputs!$B$44-B178)-((R147-1)*IF(Inputs!$B$39="pvp",15,MAX(0.1,Skills!D13-IF(Skills!E13=TRUE,Inputs!$B$32,0))))))/Skills!H13,1)))/Inputs!$B$44),G147*Q147))*IF(Inputs!$B$39="pvp",1,1+(Inputs!$B$20+0+Skills!P13+B168)/100),0)</f>
        <v/>
      </c>
      <c r="V147">
        <f>IF(C147,(H147*N147*IF(AND(Inputs!$B$39&lt;&gt;"pvp",Inputs!$B$44&gt;0),((Skills!G13*((R147-1)*IF(Skills!H13&gt;0,Skills!I13/Skills!H13,1)+IF(Skills!H13&gt;0,MIN(Skills!I13,MAX(0,MAX(0,Inputs!$B$44-B178)-((R147-1)*IF(Inputs!$B$39="pvp",15,MAX(0.1,Skills!D13-IF(Skills!E13=TRUE,Inputs!$B$32,0))))))/Skills!H13,1)))/Inputs!$B$44),G147*Q147))*IF(Inputs!$B$39="pvp",1,(1+(Inputs!$B$21+Skills!Q13+B168)/100)*(MIN(Skills!W13,Inputs!$B$37))),0)</f>
        <v/>
      </c>
    </row>
    <row r="148">
      <c r="A148">
        <f>Skills!A14</f>
        <v/>
      </c>
      <c r="B148">
        <f>Skills!B14</f>
        <v/>
      </c>
      <c r="C148">
        <f>Inputs!$B$3&gt;=107</f>
        <v/>
      </c>
      <c r="D148">
        <f>IF(Skills!C14=1,60+Inputs!$B$25+Inputs!$B$29,IF(Skills!C14=2,90+Inputs!$B$26+Inputs!$B$29,IF(Skills!C14=3,120+Inputs!$B$27+Inputs!$B$29,MAX(0,(Inputs!$B$3-100)*3)+Inputs!$B$28+Inputs!$B$29)))</f>
        <v/>
      </c>
      <c r="E148">
        <f>INDEX(FactorTable!$B$2:$Y$301, MATCH(ROUND(MIN(300,MAX(1,D148)),0), FactorTable!$A$2:$A$301,0), Skills!M14+1)</f>
        <v/>
      </c>
      <c r="F148">
        <f>IF(Skills!N14=TRUE,(Skills!L14/10)*(E148/1000),Skills!L14/10)+Skills!O14</f>
        <v/>
      </c>
      <c r="G148">
        <f>Skills!G14*IF(Skills!H14&gt;0,Skills!I14/Skills!H14,1)</f>
        <v/>
      </c>
      <c r="H148">
        <f>1-(1-Skills!J14/100)^Skills!K14</f>
        <v/>
      </c>
      <c r="I148" t="inlineStr">
        <is>
          <t>1</t>
        </is>
      </c>
      <c r="J148">
        <f>((Inputs!$B$6*(1+Inputs!$B$7/100))+(((Inputs!$B$12*(1+Inputs!$B$13/100))-(Inputs!$B$12*(1+Inputs!$B$13/100)))+0.25*((Inputs!$B$14+1)-Inputs!$B$14))*(1+Inputs!$B$7/100))*(F148/100)</f>
        <v/>
      </c>
      <c r="K148">
        <f>J148*(1+((Inputs!$B$12*(1+Inputs!$B$13/100))*0.01+(Inputs!$B$14+1)*0.0025)/100)*(1+Inputs!$B$15/100)*(1+Inputs!$B$16/100)*(5000/(6000+Inputs!$B$43*(1-Inputs!$B$19/100)))*(1+(Inputs!$B$24+((C164=TRUE)*(F164-Calc!F30)))/100)*(1+(IF(Skills!A14="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148)</f>
        <v/>
      </c>
      <c r="L148">
        <f>K148*(MIN(Inputs!$B$22+((C158=TRUE)*(F158-Calc!F24)),Inputs!$B$23+((C163=TRUE)*(F163-Calc!F29)))/100+(Inputs!$B$23+((C163=TRUE)*(F163-Calc!F29)))/100)/2</f>
        <v/>
      </c>
      <c r="M148">
        <f>L148*(1+(Inputs!$B$10+((C160=TRUE)*(F160-Calc!F26))+B174)/100)</f>
        <v/>
      </c>
      <c r="N148">
        <f>L148*(1-MIN((Inputs!$B$9+((C159=TRUE)*(F159-Calc!F25))+B167),100)/100)+M148*(MIN((Inputs!$B$9+((C159=TRUE)*(F159-Calc!F25))+B167),100)/100)</f>
        <v/>
      </c>
      <c r="O148">
        <f>(1-Summary!$B$55)*T148+Summary!$B$55*V148</f>
        <v/>
      </c>
      <c r="P148">
        <f>IF(B179=0,0,O148/B179)</f>
        <v/>
      </c>
      <c r="Q148">
        <f>IFERROR(1/IF(Inputs!$B$39="pvp",15,MAX(0.1,Skills!D14-IF(Skills!E14=TRUE,Inputs!$B$32,0))),0)</f>
        <v/>
      </c>
      <c r="R148">
        <f>IF(AND(Inputs!$B$39&lt;&gt;"pvp",Inputs!$B$44&gt;0),IF(MAX(0,Inputs!$B$44-B178)&lt;=0,0,(INT(MAX(0,Inputs!$B$44-B178)/IF(Inputs!$B$39="pvp",15,MAX(0.1,Skills!D14-IF(Skills!E14=TRUE,Inputs!$B$32,0))))+1)),0)</f>
        <v/>
      </c>
      <c r="S148">
        <f>IFERROR(O148/N148,0)</f>
        <v/>
      </c>
      <c r="T148">
        <f>IF(C148,(H148*N148*IF(AND(Inputs!$B$39&lt;&gt;"pvp",Inputs!$B$44&gt;0),((Skills!G14*((R148-1)*IF(Skills!H14&gt;0,Skills!I14/Skills!H14,1)+IF(Skills!H14&gt;0,MIN(Skills!I14,MAX(0,MAX(0,Inputs!$B$44-B178)-((R148-1)*IF(Inputs!$B$39="pvp",15,MAX(0.1,Skills!D14-IF(Skills!E14=TRUE,Inputs!$B$32,0))))))/Skills!H14,1)))/Inputs!$B$44),G148*Q148))*IF(Inputs!$B$39="pvp",1,1+(Inputs!$B$20+0+Skills!P14+B168)/100),0)</f>
        <v/>
      </c>
      <c r="V148">
        <f>IF(C148,(H148*N148*IF(AND(Inputs!$B$39&lt;&gt;"pvp",Inputs!$B$44&gt;0),((Skills!G14*((R148-1)*IF(Skills!H14&gt;0,Skills!I14/Skills!H14,1)+IF(Skills!H14&gt;0,MIN(Skills!I14,MAX(0,MAX(0,Inputs!$B$44-B178)-((R148-1)*IF(Inputs!$B$39="pvp",15,MAX(0.1,Skills!D14-IF(Skills!E14=TRUE,Inputs!$B$32,0))))))/Skills!H14,1)))/Inputs!$B$44),G148*Q148))*IF(Inputs!$B$39="pvp",1,(1+(Inputs!$B$21+Skills!Q14+B168)/100)*(MIN(MIN(5,0.25*B171*Skills!D4)*Skills!V14,Inputs!$B$37))),0)</f>
        <v/>
      </c>
    </row>
    <row r="149">
      <c r="A149">
        <f>Skills!A15</f>
        <v/>
      </c>
      <c r="B149">
        <f>Skills!B15</f>
        <v/>
      </c>
      <c r="C149">
        <f>Inputs!$B$3&gt;=110</f>
        <v/>
      </c>
      <c r="D149">
        <f>IF(Skills!C15=1,60+Inputs!$B$25+Inputs!$B$29,IF(Skills!C15=2,90+Inputs!$B$26+Inputs!$B$29,IF(Skills!C15=3,120+Inputs!$B$27+Inputs!$B$29,MAX(0,(Inputs!$B$3-100)*3)+Inputs!$B$28+Inputs!$B$29)))</f>
        <v/>
      </c>
      <c r="E149">
        <f>INDEX(FactorTable!$B$2:$Y$301, MATCH(ROUND(MIN(300,MAX(1,D149)),0), FactorTable!$A$2:$A$301,0), Skills!M15+1)</f>
        <v/>
      </c>
      <c r="F149">
        <f>IF(Skills!N15=TRUE,(Skills!L15/10)*(E149/1000),Skills!L15/10)+Skills!O15</f>
        <v/>
      </c>
      <c r="G149">
        <f>Skills!G15*IF(Skills!H15&gt;0,Skills!I15/Skills!H15,1)</f>
        <v/>
      </c>
      <c r="H149">
        <f>1-(1-Skills!J15/100)^Skills!K15</f>
        <v/>
      </c>
      <c r="I149" t="inlineStr">
        <is>
          <t>1</t>
        </is>
      </c>
      <c r="J149" t="inlineStr"/>
      <c r="K149" t="inlineStr"/>
      <c r="L149" t="inlineStr"/>
      <c r="M149" t="inlineStr"/>
      <c r="N149" t="inlineStr"/>
      <c r="O149">
        <f>(1-Summary!$B$55)*T149+Summary!$B$55*V149</f>
        <v/>
      </c>
      <c r="P149">
        <f>IF(B179=0,0,O149/B179)</f>
        <v/>
      </c>
      <c r="Q149">
        <f>IFERROR(1/IF(Inputs!$B$39="pvp",15,MAX(0.1,Skills!D15-IF(Skills!E15=TRUE,Inputs!$B$32,0))),0)</f>
        <v/>
      </c>
      <c r="R149">
        <f>IF(AND(Inputs!$B$39&lt;&gt;"pvp",Inputs!$B$44&gt;0),IF(Inputs!$B$44&lt;=0,0,(INT(Inputs!$B$44/IF(Inputs!$B$39="pvp",15,MAX(0.1,Skills!D15-IF(Skills!E15=TRUE,Inputs!$B$32,0))))+1)),0)</f>
        <v/>
      </c>
      <c r="S149">
        <f>IFERROR(O149/N149,0)</f>
        <v/>
      </c>
      <c r="T149" t="n">
        <v>0</v>
      </c>
      <c r="V149" t="n">
        <v>0</v>
      </c>
    </row>
    <row r="150">
      <c r="A150">
        <f>Skills!A16</f>
        <v/>
      </c>
      <c r="B150">
        <f>Skills!B16</f>
        <v/>
      </c>
      <c r="C150">
        <f>Inputs!$B$3&gt;=115</f>
        <v/>
      </c>
      <c r="D150">
        <f>IF(Skills!C16=1,60+Inputs!$B$25+Inputs!$B$29,IF(Skills!C16=2,90+Inputs!$B$26+Inputs!$B$29,IF(Skills!C16=3,120+Inputs!$B$27+Inputs!$B$29,MAX(0,(Inputs!$B$3-100)*3)+Inputs!$B$28+Inputs!$B$29)))</f>
        <v/>
      </c>
      <c r="E150">
        <f>INDEX(FactorTable!$B$2:$Y$301, MATCH(ROUND(MIN(300,MAX(1,D150)),0), FactorTable!$A$2:$A$301,0), Skills!M16+1)</f>
        <v/>
      </c>
      <c r="F150">
        <f>IF(Skills!N16=TRUE,(Skills!L16/10)*(E150/1000),Skills!L16/10)+Skills!O16</f>
        <v/>
      </c>
      <c r="G150">
        <f>Skills!G16*IF(Skills!H16&gt;0,Skills!I16/Skills!H16,1)</f>
        <v/>
      </c>
      <c r="H150">
        <f>1-(1-Skills!J16/100)^Skills!K16</f>
        <v/>
      </c>
      <c r="I150" t="inlineStr">
        <is>
          <t>1</t>
        </is>
      </c>
      <c r="J150">
        <f>((Inputs!$B$6*(1+Inputs!$B$7/100))+(((Inputs!$B$12*(1+Inputs!$B$13/100))-(Inputs!$B$12*(1+Inputs!$B$13/100)))+0.25*((Inputs!$B$14+1)-Inputs!$B$14))*(1+Inputs!$B$7/100))*(F150/100)</f>
        <v/>
      </c>
      <c r="K150">
        <f>J150*(1+((Inputs!$B$12*(1+Inputs!$B$13/100))*0.01+(Inputs!$B$14+1)*0.0025)/100)*(1+Inputs!$B$15/100)*(1+Inputs!$B$16/100)*(5000/(6000+Inputs!$B$43*(1-Inputs!$B$19/100)))*(1+(Inputs!$B$24+((C164=TRUE)*(F164-Calc!F30)))/100)*(1+(IF(Skills!A16="CRUEL_STAB",Inputs!$B$17+((C161=TRUE)*(F161-Calc!F27)),Inputs!$B$18+((C162=TRUE)*(F162-Calc!F28))))/100)*(((1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B169*I150)</f>
        <v/>
      </c>
      <c r="L150">
        <f>K150*(MIN(Inputs!$B$22+((C158=TRUE)*(F158-Calc!F24)),Inputs!$B$23+((C163=TRUE)*(F163-Calc!F29)))/100+(Inputs!$B$23+((C163=TRUE)*(F163-Calc!F29)))/100)/2</f>
        <v/>
      </c>
      <c r="M150">
        <f>L150*(1+(Inputs!$B$10+((C160=TRUE)*(F160-Calc!F26))+B174)/100)</f>
        <v/>
      </c>
      <c r="N150">
        <f>L150*(1-MIN((Inputs!$B$9+((C159=TRUE)*(F159-Calc!F25))+B167),100)/100)+M150*(MIN((Inputs!$B$9+((C159=TRUE)*(F159-Calc!F25))+B167),100)/100)</f>
        <v/>
      </c>
      <c r="O150">
        <f>(1-Summary!$B$55)*T150+Summary!$B$55*V150</f>
        <v/>
      </c>
      <c r="P150">
        <f>IF(B179=0,0,O150/B179)</f>
        <v/>
      </c>
      <c r="Q150" t="n">
        <v>0</v>
      </c>
      <c r="R150" t="n">
        <v>0</v>
      </c>
      <c r="S150">
        <f>IFERROR(O150/N150,0)</f>
        <v/>
      </c>
      <c r="T150">
        <f>IF(C150,(Inputs!$B$38*0.2*N150)*IF(Inputs!$B$39="pvp",1,1+(Inputs!$B$20+0+Skills!P16+B168)/100),0)</f>
        <v/>
      </c>
      <c r="V150">
        <f>IF(C150,(Inputs!$B$38*0.2*N150)*IF(Inputs!$B$39="pvp",1,(1+(Inputs!$B$21+Skills!Q16+B168)/100)*(MIN(Skills!W16,Inputs!$B$37))),0)</f>
        <v/>
      </c>
    </row>
    <row r="151">
      <c r="A151">
        <f>Skills!A17</f>
        <v/>
      </c>
      <c r="B151">
        <f>Skills!B17</f>
        <v/>
      </c>
      <c r="C151">
        <f>Inputs!$B$3&gt;=115</f>
        <v/>
      </c>
      <c r="D151">
        <f>IF(Skills!C17=1,60+Inputs!$B$25+Inputs!$B$29,IF(Skills!C17=2,90+Inputs!$B$26+Inputs!$B$29,IF(Skills!C17=3,120+Inputs!$B$27+Inputs!$B$29,MAX(0,(Inputs!$B$3-100)*3)+Inputs!$B$28+Inputs!$B$29)))</f>
        <v/>
      </c>
      <c r="E151">
        <f>INDEX(FactorTable!$B$2:$Y$301, MATCH(ROUND(MIN(300,MAX(1,D151)),0), FactorTable!$A$2:$A$301,0), Skills!M17+1)</f>
        <v/>
      </c>
      <c r="F151">
        <f>IF(Skills!N17=TRUE,(Skills!L17/10)*(E151/1000),Skills!L17/10)+Skills!O17</f>
        <v/>
      </c>
      <c r="G151">
        <f>Skills!G17*IF(Skills!H17&gt;0,Skills!I17/Skills!H17,1)</f>
        <v/>
      </c>
      <c r="H151">
        <f>1-(1-Skills!J17/100)^Skills!K17</f>
        <v/>
      </c>
      <c r="I151" t="inlineStr">
        <is>
          <t>1</t>
        </is>
      </c>
      <c r="J151" t="inlineStr"/>
      <c r="K151" t="inlineStr"/>
      <c r="L151" t="inlineStr"/>
      <c r="M151" t="inlineStr"/>
      <c r="N151" t="inlineStr"/>
      <c r="O151">
        <f>(1-Summary!$B$55)*T151+Summary!$B$55*V151</f>
        <v/>
      </c>
      <c r="P151">
        <f>IF(B179=0,0,O151/B179)</f>
        <v/>
      </c>
      <c r="Q151" t="n">
        <v>0</v>
      </c>
      <c r="R151" t="n">
        <v>0</v>
      </c>
      <c r="S151">
        <f>IFERROR(O151/N151,0)</f>
        <v/>
      </c>
      <c r="T151" t="n">
        <v>0</v>
      </c>
      <c r="V151" t="n">
        <v>0</v>
      </c>
    </row>
    <row r="152">
      <c r="A152">
        <f>Skills!A18</f>
        <v/>
      </c>
      <c r="B152">
        <f>Skills!B18</f>
        <v/>
      </c>
      <c r="C152">
        <f>Inputs!$B$3&gt;=100</f>
        <v/>
      </c>
      <c r="D152">
        <f>IF(Skills!C18=1,60+Inputs!$B$25+Inputs!$B$29,IF(Skills!C18=2,90+Inputs!$B$26+Inputs!$B$29,IF(Skills!C18=3,120+Inputs!$B$27+Inputs!$B$29,MAX(0,(Inputs!$B$3-100)*3)+Inputs!$B$28+Inputs!$B$29)))</f>
        <v/>
      </c>
      <c r="E152">
        <f>INDEX(FactorTable!$B$2:$Y$301, MATCH(ROUND(MIN(300,MAX(1,D152)),0), FactorTable!$A$2:$A$301,0), Skills!M18+1)</f>
        <v/>
      </c>
      <c r="F152">
        <f>IF(Skills!N18=TRUE,(Skills!L18/10)*(E152/1000),Skills!L18/10)+Skills!O18</f>
        <v/>
      </c>
      <c r="G152">
        <f>Skills!G18*IF(Skills!H18&gt;0,Skills!I18/Skills!H18,1)</f>
        <v/>
      </c>
      <c r="H152">
        <f>1-(1-Skills!J18/100)^Skills!K18</f>
        <v/>
      </c>
      <c r="I152" t="inlineStr">
        <is>
          <t>1</t>
        </is>
      </c>
      <c r="J152" t="inlineStr"/>
      <c r="K152" t="inlineStr"/>
      <c r="L152" t="inlineStr"/>
      <c r="M152" t="inlineStr"/>
      <c r="N152" t="inlineStr"/>
      <c r="O152">
        <f>(1-Summary!$B$55)*T152+Summary!$B$55*V152</f>
        <v/>
      </c>
      <c r="P152">
        <f>IF(B179=0,0,O152/B179)</f>
        <v/>
      </c>
      <c r="Q152" t="n">
        <v>0</v>
      </c>
      <c r="R152" t="n">
        <v>0</v>
      </c>
      <c r="S152">
        <f>IFERROR(O152/N152,0)</f>
        <v/>
      </c>
      <c r="T152" t="n">
        <v>0</v>
      </c>
      <c r="V152" t="n">
        <v>0</v>
      </c>
    </row>
    <row r="153">
      <c r="A153">
        <f>Skills!A19</f>
        <v/>
      </c>
      <c r="B153">
        <f>Skills!B19</f>
        <v/>
      </c>
      <c r="C153">
        <f>TRUE</f>
        <v/>
      </c>
      <c r="D153">
        <f>IF(Skills!C19=1,60+Inputs!$B$25+Inputs!$B$29,IF(Skills!C19=2,90+Inputs!$B$26+Inputs!$B$29,IF(Skills!C19=3,120+Inputs!$B$27+Inputs!$B$29,MAX(0,(Inputs!$B$3-100)*3)+Inputs!$B$28+Inputs!$B$29)))</f>
        <v/>
      </c>
      <c r="E153">
        <f>INDEX(FactorTable!$B$2:$Y$301, MATCH(ROUND(MIN(300,MAX(1,D153)),0), FactorTable!$A$2:$A$301,0), Skills!M19+1)</f>
        <v/>
      </c>
      <c r="F153">
        <f>IF(Skills!N19=TRUE,(Skills!L19/10)*(E153/1000),Skills!L19/10)+Skills!O19</f>
        <v/>
      </c>
      <c r="G153">
        <f>Skills!G19*IF(Skills!H19&gt;0,Skills!I19/Skills!H19,1)</f>
        <v/>
      </c>
      <c r="H153">
        <f>1-(1-Skills!J19/100)^Skills!K19</f>
        <v/>
      </c>
      <c r="I153" t="inlineStr">
        <is>
          <t>1</t>
        </is>
      </c>
      <c r="J153" t="inlineStr"/>
      <c r="K153" t="inlineStr"/>
      <c r="L153" t="inlineStr"/>
      <c r="M153" t="inlineStr"/>
      <c r="N153" t="inlineStr"/>
      <c r="O153">
        <f>(1-Summary!$B$55)*T153+Summary!$B$55*V153</f>
        <v/>
      </c>
      <c r="P153">
        <f>IF(B179=0,0,O153/B179)</f>
        <v/>
      </c>
      <c r="Q153">
        <f>IFERROR(1/IF(Inputs!$B$39="pvp",15,MAX(0.1,Skills!D19-IF(Skills!E19=TRUE,Inputs!$B$32,0))),0)</f>
        <v/>
      </c>
      <c r="R153">
        <f>IF(AND(Inputs!$B$39&lt;&gt;"pvp",Inputs!$B$44&gt;0),IF(Inputs!$B$44&lt;=0,0,(INT(Inputs!$B$44/IF(Inputs!$B$39="pvp",15,MAX(0.1,Skills!D19-IF(Skills!E19=TRUE,Inputs!$B$32,0))))+1)),0)</f>
        <v/>
      </c>
      <c r="S153">
        <f>IFERROR(O153/N153,0)</f>
        <v/>
      </c>
      <c r="T153" t="n">
        <v>0</v>
      </c>
      <c r="V153" t="n">
        <v>0</v>
      </c>
    </row>
    <row r="154">
      <c r="A154">
        <f>Skills!A20</f>
        <v/>
      </c>
      <c r="B154">
        <f>Skills!B20</f>
        <v/>
      </c>
      <c r="C154">
        <f>Inputs!$B$3&gt;=15</f>
        <v/>
      </c>
      <c r="D154">
        <f>IF(Skills!C20=1,60+Inputs!$B$25+Inputs!$B$29,IF(Skills!C20=2,90+Inputs!$B$26+Inputs!$B$29,IF(Skills!C20=3,120+Inputs!$B$27+Inputs!$B$29,MAX(0,(Inputs!$B$3-100)*3)+Inputs!$B$28+Inputs!$B$29)))</f>
        <v/>
      </c>
      <c r="E154">
        <f>INDEX(FactorTable!$B$2:$Y$301, MATCH(ROUND(MIN(300,MAX(1,D154)),0), FactorTable!$A$2:$A$301,0), Skills!M20+1)</f>
        <v/>
      </c>
      <c r="F154">
        <f>IF(Skills!N20=TRUE,(Skills!L20/10)*(E154/1000),Skills!L20/10)+Skills!O20</f>
        <v/>
      </c>
      <c r="G154">
        <f>Skills!G20*IF(Skills!H20&gt;0,Skills!I20/Skills!H20,1)</f>
        <v/>
      </c>
      <c r="H154">
        <f>1-(1-Skills!J20/100)^Skills!K20</f>
        <v/>
      </c>
      <c r="I154" t="inlineStr">
        <is>
          <t>1</t>
        </is>
      </c>
      <c r="J154" t="inlineStr"/>
      <c r="K154" t="inlineStr"/>
      <c r="L154" t="inlineStr"/>
      <c r="M154" t="inlineStr"/>
      <c r="N154" t="inlineStr"/>
      <c r="O154">
        <f>(1-Summary!$B$55)*T154+Summary!$B$55*V154</f>
        <v/>
      </c>
      <c r="P154">
        <f>IF(B179=0,0,O154/B179)</f>
        <v/>
      </c>
      <c r="Q154">
        <f>IFERROR(1/IF(Inputs!$B$39="pvp",15,MAX(0.1,Skills!D20-IF(Skills!E20=TRUE,Inputs!$B$32,0))),0)</f>
        <v/>
      </c>
      <c r="R154">
        <f>IF(AND(Inputs!$B$39&lt;&gt;"pvp",Inputs!$B$44&gt;0),IF(Inputs!$B$44&lt;=0,0,(INT(Inputs!$B$44/IF(Inputs!$B$39="pvp",15,MAX(0.1,Skills!D20-IF(Skills!E20=TRUE,Inputs!$B$32,0))))+1)),0)</f>
        <v/>
      </c>
      <c r="S154">
        <f>IFERROR(O154/N154,0)</f>
        <v/>
      </c>
      <c r="T154" t="n">
        <v>0</v>
      </c>
      <c r="V154" t="n">
        <v>0</v>
      </c>
    </row>
    <row r="155">
      <c r="A155">
        <f>Skills!A21</f>
        <v/>
      </c>
      <c r="B155">
        <f>Skills!B21</f>
        <v/>
      </c>
      <c r="C155">
        <f>Inputs!$B$3&gt;=15</f>
        <v/>
      </c>
      <c r="D155">
        <f>IF(Skills!C21=1,60+Inputs!$B$25+Inputs!$B$29,IF(Skills!C21=2,90+Inputs!$B$26+Inputs!$B$29,IF(Skills!C21=3,120+Inputs!$B$27+Inputs!$B$29,MAX(0,(Inputs!$B$3-100)*3)+Inputs!$B$28+Inputs!$B$29)))</f>
        <v/>
      </c>
      <c r="E155">
        <f>INDEX(FactorTable!$B$2:$Y$301, MATCH(ROUND(MIN(300,MAX(1,D155)),0), FactorTable!$A$2:$A$301,0), Skills!M21+1)</f>
        <v/>
      </c>
      <c r="F155">
        <f>IF(Skills!N21=TRUE,(Skills!L21/10)*(E155/1000),Skills!L21/10)+Skills!O21</f>
        <v/>
      </c>
      <c r="G155">
        <f>Skills!G21*IF(Skills!H21&gt;0,Skills!I21/Skills!H21,1)</f>
        <v/>
      </c>
      <c r="H155">
        <f>1-(1-Skills!J21/100)^Skills!K21</f>
        <v/>
      </c>
      <c r="I155" t="inlineStr">
        <is>
          <t>1</t>
        </is>
      </c>
      <c r="J155" t="inlineStr"/>
      <c r="K155" t="inlineStr"/>
      <c r="L155" t="inlineStr"/>
      <c r="M155" t="inlineStr"/>
      <c r="N155" t="inlineStr"/>
      <c r="O155">
        <f>(1-Summary!$B$55)*T155+Summary!$B$55*V155</f>
        <v/>
      </c>
      <c r="P155">
        <f>IF(B179=0,0,O155/B179)</f>
        <v/>
      </c>
      <c r="Q155">
        <f>IFERROR(1/IF(Inputs!$B$39="pvp",15,MAX(0.1,Skills!D21-IF(Skills!E21=TRUE,Inputs!$B$32,0))),0)</f>
        <v/>
      </c>
      <c r="R155">
        <f>IF(AND(Inputs!$B$39&lt;&gt;"pvp",Inputs!$B$44&gt;0),IF(Inputs!$B$44&lt;=0,0,(INT(Inputs!$B$44/IF(Inputs!$B$39="pvp",15,MAX(0.1,Skills!D21-IF(Skills!E21=TRUE,Inputs!$B$32,0))))+1)),0)</f>
        <v/>
      </c>
      <c r="S155">
        <f>IFERROR(O155/N155,0)</f>
        <v/>
      </c>
      <c r="T155" t="n">
        <v>0</v>
      </c>
      <c r="V155" t="n">
        <v>0</v>
      </c>
    </row>
    <row r="156">
      <c r="A156">
        <f>Skills!A22</f>
        <v/>
      </c>
      <c r="B156">
        <f>Skills!B22</f>
        <v/>
      </c>
      <c r="C156">
        <f>Inputs!$B$3&gt;=33</f>
        <v/>
      </c>
      <c r="D156">
        <f>IF(Skills!C22=1,60+Inputs!$B$25+Inputs!$B$29,IF(Skills!C22=2,90+Inputs!$B$26+Inputs!$B$29,IF(Skills!C22=3,120+Inputs!$B$27+Inputs!$B$29,MAX(0,(Inputs!$B$3-100)*3)+Inputs!$B$28+Inputs!$B$29)))</f>
        <v/>
      </c>
      <c r="E156">
        <f>INDEX(FactorTable!$B$2:$Y$301, MATCH(ROUND(MIN(300,MAX(1,D156)),0), FactorTable!$A$2:$A$301,0), Skills!M22+1)</f>
        <v/>
      </c>
      <c r="F156">
        <f>IF(Skills!N22=TRUE,(Skills!L22/10)*(E156/1000),Skills!L22/10)+Skills!O22</f>
        <v/>
      </c>
      <c r="G156">
        <f>Skills!G22*IF(Skills!H22&gt;0,Skills!I22/Skills!H22,1)</f>
        <v/>
      </c>
      <c r="H156">
        <f>1-(1-Skills!J22/100)^Skills!K22</f>
        <v/>
      </c>
      <c r="I156" t="inlineStr">
        <is>
          <t>1</t>
        </is>
      </c>
      <c r="J156" t="inlineStr"/>
      <c r="K156" t="inlineStr"/>
      <c r="L156" t="inlineStr"/>
      <c r="M156" t="inlineStr"/>
      <c r="N156" t="inlineStr"/>
      <c r="O156">
        <f>(1-Summary!$B$55)*T156+Summary!$B$55*V156</f>
        <v/>
      </c>
      <c r="P156">
        <f>IF(B179=0,0,O156/B179)</f>
        <v/>
      </c>
      <c r="Q156" t="n">
        <v>0</v>
      </c>
      <c r="R156" t="n">
        <v>0</v>
      </c>
      <c r="S156">
        <f>IFERROR(O156/N156,0)</f>
        <v/>
      </c>
      <c r="T156" t="n">
        <v>0</v>
      </c>
      <c r="V156" t="n">
        <v>0</v>
      </c>
    </row>
    <row r="157">
      <c r="A157">
        <f>Skills!A23</f>
        <v/>
      </c>
      <c r="B157">
        <f>Skills!B23</f>
        <v/>
      </c>
      <c r="C157">
        <f>Inputs!$B$3&gt;=40</f>
        <v/>
      </c>
      <c r="D157">
        <f>IF(Skills!C23=1,60+Inputs!$B$25+Inputs!$B$29,IF(Skills!C23=2,90+Inputs!$B$26+Inputs!$B$29,IF(Skills!C23=3,120+Inputs!$B$27+Inputs!$B$29,MAX(0,(Inputs!$B$3-100)*3)+Inputs!$B$28+Inputs!$B$29)))</f>
        <v/>
      </c>
      <c r="E157">
        <f>INDEX(FactorTable!$B$2:$Y$301, MATCH(ROUND(MIN(300,MAX(1,D157)),0), FactorTable!$A$2:$A$301,0), Skills!M23+1)</f>
        <v/>
      </c>
      <c r="F157">
        <f>IF(Skills!N23=TRUE,(Skills!L23/10)*(E157/1000),Skills!L23/10)+Skills!O23</f>
        <v/>
      </c>
      <c r="G157">
        <f>Skills!G23*IF(Skills!H23&gt;0,Skills!I23/Skills!H23,1)</f>
        <v/>
      </c>
      <c r="H157">
        <f>1-(1-Skills!J23/100)^Skills!K23</f>
        <v/>
      </c>
      <c r="I157" t="inlineStr">
        <is>
          <t>1</t>
        </is>
      </c>
      <c r="J157" t="inlineStr"/>
      <c r="K157" t="inlineStr"/>
      <c r="L157" t="inlineStr"/>
      <c r="M157" t="inlineStr"/>
      <c r="N157" t="inlineStr"/>
      <c r="O157">
        <f>(1-Summary!$B$55)*T157+Summary!$B$55*V157</f>
        <v/>
      </c>
      <c r="P157">
        <f>IF(B179=0,0,O157/B179)</f>
        <v/>
      </c>
      <c r="Q157" t="n">
        <v>0</v>
      </c>
      <c r="R157" t="n">
        <v>0</v>
      </c>
      <c r="S157">
        <f>IFERROR(O157/N157,0)</f>
        <v/>
      </c>
      <c r="T157" t="n">
        <v>0</v>
      </c>
      <c r="V157" t="n">
        <v>0</v>
      </c>
    </row>
    <row r="158">
      <c r="A158">
        <f>Skills!A24</f>
        <v/>
      </c>
      <c r="B158">
        <f>Skills!B24</f>
        <v/>
      </c>
      <c r="C158">
        <f>Inputs!$B$3&gt;=43</f>
        <v/>
      </c>
      <c r="D158">
        <f>IF(Skills!C24=1,60+Inputs!$B$25+Inputs!$B$29,IF(Skills!C24=2,90+Inputs!$B$26+Inputs!$B$29,IF(Skills!C24=3,120+Inputs!$B$27+Inputs!$B$29,MAX(0,(Inputs!$B$3-100)*3)+Inputs!$B$28+Inputs!$B$29)))</f>
        <v/>
      </c>
      <c r="E158">
        <f>INDEX(FactorTable!$B$2:$Y$301, MATCH(ROUND(MIN(300,MAX(1,D158)),0), FactorTable!$A$2:$A$301,0), Skills!M24+1)</f>
        <v/>
      </c>
      <c r="F158">
        <f>IF(Skills!N24=TRUE,(Skills!L24/10)*(E158/1000),Skills!L24/10)+Skills!O24</f>
        <v/>
      </c>
      <c r="G158">
        <f>Skills!G24*IF(Skills!H24&gt;0,Skills!I24/Skills!H24,1)</f>
        <v/>
      </c>
      <c r="H158">
        <f>1-(1-Skills!J24/100)^Skills!K24</f>
        <v/>
      </c>
      <c r="I158" t="inlineStr">
        <is>
          <t>1</t>
        </is>
      </c>
      <c r="J158" t="inlineStr"/>
      <c r="K158" t="inlineStr"/>
      <c r="L158" t="inlineStr"/>
      <c r="M158" t="inlineStr"/>
      <c r="N158" t="inlineStr"/>
      <c r="O158">
        <f>(1-Summary!$B$55)*T158+Summary!$B$55*V158</f>
        <v/>
      </c>
      <c r="P158">
        <f>IF(B179=0,0,O158/B179)</f>
        <v/>
      </c>
      <c r="Q158" t="n">
        <v>0</v>
      </c>
      <c r="R158" t="n">
        <v>0</v>
      </c>
      <c r="S158">
        <f>IFERROR(O158/N158,0)</f>
        <v/>
      </c>
      <c r="T158" t="n">
        <v>0</v>
      </c>
      <c r="V158" t="n">
        <v>0</v>
      </c>
    </row>
    <row r="159">
      <c r="A159">
        <f>Skills!A25</f>
        <v/>
      </c>
      <c r="B159">
        <f>Skills!B25</f>
        <v/>
      </c>
      <c r="C159">
        <f>Inputs!$B$3&gt;=50</f>
        <v/>
      </c>
      <c r="D159">
        <f>IF(Skills!C25=1,60+Inputs!$B$25+Inputs!$B$29,IF(Skills!C25=2,90+Inputs!$B$26+Inputs!$B$29,IF(Skills!C25=3,120+Inputs!$B$27+Inputs!$B$29,MAX(0,(Inputs!$B$3-100)*3)+Inputs!$B$28+Inputs!$B$29)))</f>
        <v/>
      </c>
      <c r="E159">
        <f>INDEX(FactorTable!$B$2:$Y$301, MATCH(ROUND(MIN(300,MAX(1,D159)),0), FactorTable!$A$2:$A$301,0), Skills!M25+1)</f>
        <v/>
      </c>
      <c r="F159">
        <f>IF(Skills!N25=TRUE,(Skills!L25/10)*(E159/1000),Skills!L25/10)+Skills!O25</f>
        <v/>
      </c>
      <c r="G159">
        <f>Skills!G25*IF(Skills!H25&gt;0,Skills!I25/Skills!H25,1)</f>
        <v/>
      </c>
      <c r="H159">
        <f>1-(1-Skills!J25/100)^Skills!K25</f>
        <v/>
      </c>
      <c r="I159" t="inlineStr">
        <is>
          <t>1</t>
        </is>
      </c>
      <c r="J159" t="inlineStr"/>
      <c r="K159" t="inlineStr"/>
      <c r="L159" t="inlineStr"/>
      <c r="M159" t="inlineStr"/>
      <c r="N159" t="inlineStr"/>
      <c r="O159">
        <f>(1-Summary!$B$55)*T159+Summary!$B$55*V159</f>
        <v/>
      </c>
      <c r="P159">
        <f>IF(B179=0,0,O159/B179)</f>
        <v/>
      </c>
      <c r="Q159" t="n">
        <v>0</v>
      </c>
      <c r="R159" t="n">
        <v>0</v>
      </c>
      <c r="S159">
        <f>IFERROR(O159/N159,0)</f>
        <v/>
      </c>
      <c r="T159" t="n">
        <v>0</v>
      </c>
      <c r="V159" t="n">
        <v>0</v>
      </c>
    </row>
    <row r="160">
      <c r="A160">
        <f>Skills!A26</f>
        <v/>
      </c>
      <c r="B160">
        <f>Skills!B26</f>
        <v/>
      </c>
      <c r="C160">
        <f>Inputs!$B$3&gt;=50</f>
        <v/>
      </c>
      <c r="D160">
        <f>IF(Skills!C26=1,60+Inputs!$B$25+Inputs!$B$29,IF(Skills!C26=2,90+Inputs!$B$26+Inputs!$B$29,IF(Skills!C26=3,120+Inputs!$B$27+Inputs!$B$29,MAX(0,(Inputs!$B$3-100)*3)+Inputs!$B$28+Inputs!$B$29)))</f>
        <v/>
      </c>
      <c r="E160">
        <f>INDEX(FactorTable!$B$2:$Y$301, MATCH(ROUND(MIN(300,MAX(1,D160)),0), FactorTable!$A$2:$A$301,0), Skills!M26+1)</f>
        <v/>
      </c>
      <c r="F160">
        <f>IF(Skills!N26=TRUE,(Skills!L26/10)*(E160/1000),Skills!L26/10)+Skills!O26</f>
        <v/>
      </c>
      <c r="G160">
        <f>Skills!G26*IF(Skills!H26&gt;0,Skills!I26/Skills!H26,1)</f>
        <v/>
      </c>
      <c r="H160">
        <f>1-(1-Skills!J26/100)^Skills!K26</f>
        <v/>
      </c>
      <c r="I160" t="inlineStr">
        <is>
          <t>1</t>
        </is>
      </c>
      <c r="J160" t="inlineStr"/>
      <c r="K160" t="inlineStr"/>
      <c r="L160" t="inlineStr"/>
      <c r="M160" t="inlineStr"/>
      <c r="N160" t="inlineStr"/>
      <c r="O160">
        <f>(1-Summary!$B$55)*T160+Summary!$B$55*V160</f>
        <v/>
      </c>
      <c r="P160">
        <f>IF(B179=0,0,O160/B179)</f>
        <v/>
      </c>
      <c r="Q160" t="n">
        <v>0</v>
      </c>
      <c r="R160" t="n">
        <v>0</v>
      </c>
      <c r="S160">
        <f>IFERROR(O160/N160,0)</f>
        <v/>
      </c>
      <c r="T160" t="n">
        <v>0</v>
      </c>
      <c r="V160" t="n">
        <v>0</v>
      </c>
    </row>
    <row r="161">
      <c r="A161">
        <f>Skills!A27</f>
        <v/>
      </c>
      <c r="B161">
        <f>Skills!B27</f>
        <v/>
      </c>
      <c r="C161">
        <f>Inputs!$B$3&gt;=38</f>
        <v/>
      </c>
      <c r="D161">
        <f>IF(Skills!C27=1,60+Inputs!$B$25+Inputs!$B$29,IF(Skills!C27=2,90+Inputs!$B$26+Inputs!$B$29,IF(Skills!C27=3,120+Inputs!$B$27+Inputs!$B$29,MAX(0,(Inputs!$B$3-100)*3)+Inputs!$B$28+Inputs!$B$29)))</f>
        <v/>
      </c>
      <c r="E161">
        <f>INDEX(FactorTable!$B$2:$Y$301, MATCH(ROUND(MIN(300,MAX(1,D161)),0), FactorTable!$A$2:$A$301,0), Skills!M27+1)</f>
        <v/>
      </c>
      <c r="F161">
        <f>IF(Skills!N27=TRUE,(Skills!L27/10)*(E161/1000),Skills!L27/10)+Skills!O27</f>
        <v/>
      </c>
      <c r="G161">
        <f>Skills!G27*IF(Skills!H27&gt;0,Skills!I27/Skills!H27,1)</f>
        <v/>
      </c>
      <c r="H161">
        <f>1-(1-Skills!J27/100)^Skills!K27</f>
        <v/>
      </c>
      <c r="I161" t="inlineStr">
        <is>
          <t>1</t>
        </is>
      </c>
      <c r="J161" t="inlineStr"/>
      <c r="K161" t="inlineStr"/>
      <c r="L161" t="inlineStr"/>
      <c r="M161" t="inlineStr"/>
      <c r="N161" t="inlineStr"/>
      <c r="O161">
        <f>(1-Summary!$B$55)*T161+Summary!$B$55*V161</f>
        <v/>
      </c>
      <c r="P161">
        <f>IF(B179=0,0,O161/B179)</f>
        <v/>
      </c>
      <c r="Q161" t="n">
        <v>0</v>
      </c>
      <c r="R161" t="n">
        <v>0</v>
      </c>
      <c r="S161">
        <f>IFERROR(O161/N161,0)</f>
        <v/>
      </c>
      <c r="T161" t="n">
        <v>0</v>
      </c>
      <c r="V161" t="n">
        <v>0</v>
      </c>
    </row>
    <row r="162">
      <c r="A162">
        <f>Skills!A28</f>
        <v/>
      </c>
      <c r="B162">
        <f>Skills!B28</f>
        <v/>
      </c>
      <c r="C162">
        <f>Inputs!$B$3&gt;=120</f>
        <v/>
      </c>
      <c r="D162">
        <f>IF(Skills!C28=1,60+Inputs!$B$25+Inputs!$B$29,IF(Skills!C28=2,90+Inputs!$B$26+Inputs!$B$29,IF(Skills!C28=3,120+Inputs!$B$27+Inputs!$B$29,MAX(0,(Inputs!$B$3-100)*3)+Inputs!$B$28+Inputs!$B$29)))</f>
        <v/>
      </c>
      <c r="E162">
        <f>INDEX(FactorTable!$B$2:$Y$301, MATCH(ROUND(MIN(300,MAX(1,D162)),0), FactorTable!$A$2:$A$301,0), Skills!M28+1)</f>
        <v/>
      </c>
      <c r="F162">
        <f>IF(Skills!N28=TRUE,(Skills!L28/10)*(E162/1000),Skills!L28/10)+Skills!O28</f>
        <v/>
      </c>
      <c r="G162">
        <f>Skills!G28*IF(Skills!H28&gt;0,Skills!I28/Skills!H28,1)</f>
        <v/>
      </c>
      <c r="H162">
        <f>1-(1-Skills!J28/100)^Skills!K28</f>
        <v/>
      </c>
      <c r="I162" t="inlineStr">
        <is>
          <t>1</t>
        </is>
      </c>
      <c r="J162" t="inlineStr"/>
      <c r="K162" t="inlineStr"/>
      <c r="L162" t="inlineStr"/>
      <c r="M162" t="inlineStr"/>
      <c r="N162" t="inlineStr"/>
      <c r="O162">
        <f>(1-Summary!$B$55)*T162+Summary!$B$55*V162</f>
        <v/>
      </c>
      <c r="P162">
        <f>IF(B179=0,0,O162/B179)</f>
        <v/>
      </c>
      <c r="Q162" t="n">
        <v>0</v>
      </c>
      <c r="R162" t="n">
        <v>0</v>
      </c>
      <c r="S162">
        <f>IFERROR(O162/N162,0)</f>
        <v/>
      </c>
      <c r="T162" t="n">
        <v>0</v>
      </c>
      <c r="V162" t="n">
        <v>0</v>
      </c>
    </row>
    <row r="163">
      <c r="A163">
        <f>Skills!A29</f>
        <v/>
      </c>
      <c r="B163">
        <f>Skills!B29</f>
        <v/>
      </c>
      <c r="C163">
        <f>Inputs!$B$3&gt;=120</f>
        <v/>
      </c>
      <c r="D163">
        <f>IF(Skills!C29=1,60+Inputs!$B$25+Inputs!$B$29,IF(Skills!C29=2,90+Inputs!$B$26+Inputs!$B$29,IF(Skills!C29=3,120+Inputs!$B$27+Inputs!$B$29,MAX(0,(Inputs!$B$3-100)*3)+Inputs!$B$28+Inputs!$B$29)))</f>
        <v/>
      </c>
      <c r="E163">
        <f>INDEX(FactorTable!$B$2:$Y$301, MATCH(ROUND(MIN(300,MAX(1,D163)),0), FactorTable!$A$2:$A$301,0), Skills!M29+1)</f>
        <v/>
      </c>
      <c r="F163">
        <f>IF(Skills!N29=TRUE,(Skills!L29/10)*(E163/1000),Skills!L29/10)+Skills!O29</f>
        <v/>
      </c>
      <c r="G163">
        <f>Skills!G29*IF(Skills!H29&gt;0,Skills!I29/Skills!H29,1)</f>
        <v/>
      </c>
      <c r="H163">
        <f>1-(1-Skills!J29/100)^Skills!K29</f>
        <v/>
      </c>
      <c r="I163" t="inlineStr">
        <is>
          <t>1</t>
        </is>
      </c>
      <c r="J163" t="inlineStr"/>
      <c r="K163" t="inlineStr"/>
      <c r="L163" t="inlineStr"/>
      <c r="M163" t="inlineStr"/>
      <c r="N163" t="inlineStr"/>
      <c r="O163">
        <f>(1-Summary!$B$55)*T163+Summary!$B$55*V163</f>
        <v/>
      </c>
      <c r="P163">
        <f>IF(B179=0,0,O163/B179)</f>
        <v/>
      </c>
      <c r="Q163" t="n">
        <v>0</v>
      </c>
      <c r="R163" t="n">
        <v>0</v>
      </c>
      <c r="S163">
        <f>IFERROR(O163/N163,0)</f>
        <v/>
      </c>
      <c r="T163" t="n">
        <v>0</v>
      </c>
      <c r="V163" t="n">
        <v>0</v>
      </c>
    </row>
    <row r="164">
      <c r="A164">
        <f>Skills!A30</f>
        <v/>
      </c>
      <c r="B164">
        <f>Skills!B30</f>
        <v/>
      </c>
      <c r="C164">
        <f>Inputs!$B$3&gt;=125</f>
        <v/>
      </c>
      <c r="D164">
        <f>IF(Skills!C30=1,60+Inputs!$B$25+Inputs!$B$29,IF(Skills!C30=2,90+Inputs!$B$26+Inputs!$B$29,IF(Skills!C30=3,120+Inputs!$B$27+Inputs!$B$29,MAX(0,(Inputs!$B$3-100)*3)+Inputs!$B$28+Inputs!$B$29)))</f>
        <v/>
      </c>
      <c r="E164">
        <f>INDEX(FactorTable!$B$2:$Y$301, MATCH(ROUND(MIN(300,MAX(1,D164)),0), FactorTable!$A$2:$A$301,0), Skills!M30+1)</f>
        <v/>
      </c>
      <c r="F164">
        <f>IF(Skills!N30=TRUE,(Skills!L30/10)*(E164/1000),Skills!L30/10)+Skills!O30</f>
        <v/>
      </c>
      <c r="G164">
        <f>Skills!G30*IF(Skills!H30&gt;0,Skills!I30/Skills!H30,1)</f>
        <v/>
      </c>
      <c r="H164">
        <f>1-(1-Skills!J30/100)^Skills!K30</f>
        <v/>
      </c>
      <c r="I164" t="inlineStr">
        <is>
          <t>1</t>
        </is>
      </c>
      <c r="J164" t="inlineStr"/>
      <c r="K164" t="inlineStr"/>
      <c r="L164" t="inlineStr"/>
      <c r="M164" t="inlineStr"/>
      <c r="N164" t="inlineStr"/>
      <c r="O164">
        <f>(1-Summary!$B$55)*T164+Summary!$B$55*V164</f>
        <v/>
      </c>
      <c r="P164">
        <f>IF(B179=0,0,O164/B179)</f>
        <v/>
      </c>
      <c r="Q164" t="n">
        <v>0</v>
      </c>
      <c r="R164" t="n">
        <v>0</v>
      </c>
      <c r="S164">
        <f>IFERROR(O164/N164,0)</f>
        <v/>
      </c>
      <c r="T164" t="n">
        <v>0</v>
      </c>
      <c r="V164" t="n">
        <v>0</v>
      </c>
    </row>
    <row r="166">
      <c r="A166" t="inlineStr">
        <is>
          <t>Average Buff Multiplier</t>
        </is>
      </c>
      <c r="B166">
        <f>(1+(((C155=TRUE)*F155*IF(AND(Inputs!$B$39&lt;&gt;"pvp",Inputs!$B$44&gt;0),(((R155-1)*(Skills!Y21*(1+Inputs!$B$34/100))+MIN((Skills!Y21*(1+Inputs!$B$34/100)),MAX(0,Inputs!$B$44-((R155-1)*Skills!D21))))/Inputs!$B$44),IF(Inputs!$B$39="pvp",MIN((Skills!Y21*(1+Inputs!$B$34/100)),15)/15,(Skills!Y21*(1+Inputs!$B$34/100))/Skills!D21)))+((C157=TRUE)*(F157-Calc!F23))+((C151=TRUE)*(F151-Calc!F17)))/100)*(1+((C144=TRUE)*F144*IF(AND(Inputs!$B$39&lt;&gt;"pvp",Inputs!$B$44&gt;0),(((R144-1)*(Skills!Y10*(1+Inputs!$B$34/100))+MIN((Skills!Y10*(1+Inputs!$B$34/100)),MAX(0,Inputs!$B$44-((R144-1)*Skills!D10))))/Inputs!$B$44),IF(Inputs!$B$39="pvp",MIN((Skills!Y10*(1+Inputs!$B$34/100)),15)/15,(Skills!Y10*(1+Inputs!$B$34/100))/Skills!D10)))/100)*(1+((C149=TRUE)*F149*IF(AND(Inputs!$B$39&lt;&gt;"pvp",Inputs!$B$44&gt;0),(((R149-1)*(Skills!Y15*(1+Inputs!$B$34/100))+MIN((Skills!Y15*(1+Inputs!$B$34/100)),MAX(0,Inputs!$B$44-((R149-1)*Skills!D15))))/Inputs!$B$44),IF(Inputs!$B$39="pvp",MIN((Skills!Y15*(1+Inputs!$B$34/100)),15)/15,(Skills!Y15*(1+Inputs!$B$34/100))/Skills!D15)))/100)</f>
        <v/>
      </c>
    </row>
    <row r="167">
      <c r="A167" t="inlineStr">
        <is>
          <t>Global Crit Rate Bonus %</t>
        </is>
      </c>
      <c r="B167">
        <f>((C154=TRUE)*F154*IF(AND(Inputs!$B$39&lt;&gt;"pvp",Inputs!$B$44&gt;0),(((R154-1)*(Skills!Y20*(1+Inputs!$B$34/100))+MIN((Skills!Y20*(1+Inputs!$B$34/100)),MAX(0,Inputs!$B$44-((R154-1)*Skills!D20))))/Inputs!$B$44),IF(Inputs!$B$39="pvp",MIN((Skills!Y20*(1+Inputs!$B$34/100)),15)/15,(Skills!Y20*(1+Inputs!$B$34/100))/Skills!D20)))</f>
        <v/>
      </c>
    </row>
    <row r="168">
      <c r="A168" t="inlineStr">
        <is>
          <t>Global Monster Damage-Taken Bonus %</t>
        </is>
      </c>
      <c r="B168">
        <f>IF(Inputs!$B$3&gt;=82,15,0)</f>
        <v/>
      </c>
    </row>
    <row r="169">
      <c r="A169" t="inlineStr">
        <is>
          <t>Shadow Partner Average Multiplier</t>
        </is>
      </c>
      <c r="B169">
        <f>1+((C141=TRUE)*F141*(1+3.3333333333333335*IF(C152=TRUE,F152,0)/100)*I141*Skills!J7/100)/100</f>
        <v/>
      </c>
    </row>
    <row r="170">
      <c r="A170" t="inlineStr">
        <is>
          <t>Attack Speed Buff Bonus %</t>
        </is>
      </c>
      <c r="B170">
        <f>((C153=TRUE)*F153*IF(AND(Inputs!$B$39&lt;&gt;"pvp",Inputs!$B$44&gt;0),(((R153-1)*(Skills!Y19*(1+Inputs!$B$34/100))+MIN((Skills!Y19*(1+Inputs!$B$34/100)),MAX(0,Inputs!$B$44-((R153-1)*Skills!D19))))/Inputs!$B$44),IF(Inputs!$B$39="pvp",MIN((Skills!Y19*(1+Inputs!$B$34/100)),15)/15,(Skills!Y19*(1+Inputs!$B$34/100))/Skills!D19)))+((C137=TRUE)*F137*3)</f>
        <v/>
      </c>
    </row>
    <row r="171">
      <c r="A171" t="inlineStr">
        <is>
          <t>Actions Per Second</t>
        </is>
      </c>
      <c r="B171">
        <f>1+MIN(150,150*(1-(1-(Inputs!$B$11+((C156=TRUE)*(F156-Calc!F22)))/150)*(1-B170/150)))/100</f>
        <v/>
      </c>
    </row>
    <row r="172">
      <c r="A172" t="inlineStr">
        <is>
          <t>Skill + Buff Cast Rate</t>
        </is>
      </c>
      <c r="B172">
        <f>IF(AND(Inputs!$B$39&lt;&gt;"pvp",Inputs!$B$44&gt;0),SUMPRODUCT((Skills!E2:E30=TRUE)*(C136:C164=TRUE)*R136:R164*Skills!F2:F30)/Inputs!$B$44,SUMPRODUCT((Skills!E2:E30=TRUE)*(C136:C164=TRUE)*Q136:Q164*Skills!F2:F30))</f>
        <v/>
      </c>
    </row>
    <row r="173">
      <c r="A173" t="inlineStr">
        <is>
          <t>Cruel Stab Casts Per Second</t>
        </is>
      </c>
      <c r="B173">
        <f>MAX(0,B171-B172)</f>
        <v/>
      </c>
    </row>
    <row r="174">
      <c r="A174" t="inlineStr">
        <is>
          <t>Global Critical Damage Bonus % (Smokescreen Mastery Lv.113)</t>
        </is>
      </c>
      <c r="B174">
        <f>IF(Inputs!$B$3&gt;=113,30,0)*IF(AND(Inputs!$B$39&lt;&gt;"pvp",Inputs!$B$44&gt;0),(((R149-1)*(Skills!Y15*(1+Inputs!$B$34/100))+MIN((Skills!Y15*(1+Inputs!$B$34/100)),MAX(0,Inputs!$B$44-((R149-1)*Skills!D15))))/Inputs!$B$44),IF(Inputs!$B$39="pvp",MIN((Skills!Y15*(1+Inputs!$B$34/100)),15)/15,(Skills!Y15*(1+Inputs!$B$34/100))/Skills!D15))</f>
        <v/>
      </c>
    </row>
    <row r="175">
      <c r="A175" t="inlineStr">
        <is>
          <t>Meso Explosion average stack count</t>
        </is>
      </c>
      <c r="B175">
        <f>MIN(10,0.5*B171*Skills!D4)</f>
        <v/>
      </c>
    </row>
    <row r="176">
      <c r="A176" t="inlineStr">
        <is>
          <t>Blood Money average stack count</t>
        </is>
      </c>
      <c r="B176">
        <f>MIN(5,0.25*B171*Skills!D4)</f>
        <v/>
      </c>
    </row>
    <row r="177">
      <c r="A177" t="inlineStr">
        <is>
          <t>Assassinate Murderous Intent Multiplier</t>
        </is>
      </c>
      <c r="B177">
        <f>1+IFERROR(MIN(1,Q148*2/Q145),0)</f>
        <v/>
      </c>
    </row>
    <row r="178">
      <c r="A178" t="inlineStr">
        <is>
          <t>Buff-Casting Startup Delay (s, fixed-duration only)</t>
        </is>
      </c>
      <c r="B178">
        <f>IF(AND(Inputs!$B$39&lt;&gt;"pvp",Inputs!$B$44&gt;0),SUMPRODUCT((Skills!Y2:Y30&gt;0)*(Skills!E2:E30=TRUE)*(C136:C164=TRUE))/B171,0)</f>
        <v/>
      </c>
    </row>
    <row r="179">
      <c r="A179" s="5" t="inlineStr">
        <is>
          <t>TOTAL DPS</t>
        </is>
      </c>
      <c r="B179" s="5">
        <f>SUM(O136:O164)</f>
        <v/>
      </c>
    </row>
    <row r="180">
      <c r="A180" t="inlineStr">
        <is>
          <t>Boss-Only Total DPS (this block's swept value)</t>
        </is>
      </c>
      <c r="B180">
        <f>SUM(T136:T164)</f>
        <v/>
      </c>
    </row>
    <row r="181">
      <c r="A181" t="inlineStr">
        <is>
          <t>Normal-Only Total DPS (this block's swept value)</t>
        </is>
      </c>
      <c r="B181">
        <f>SUM(V136:V164)</f>
        <v/>
      </c>
    </row>
    <row r="184">
      <c r="A184" s="5" t="inlineStr">
        <is>
          <t>Stat: DAMAGE %</t>
        </is>
      </c>
    </row>
    <row r="185">
      <c r="A185" s="9" t="inlineStr">
        <is>
          <t>Key</t>
        </is>
      </c>
      <c r="B185" s="9" t="inlineStr">
        <is>
          <t>Name</t>
        </is>
      </c>
      <c r="C185" s="9" t="inlineStr">
        <is>
          <t>Unlocked</t>
        </is>
      </c>
      <c r="D185" s="9" t="inlineStr">
        <is>
          <t>InputLevel</t>
        </is>
      </c>
      <c r="E185" s="9" t="inlineStr">
        <is>
          <t>Factor</t>
        </is>
      </c>
      <c r="F185" s="9" t="inlineStr">
        <is>
          <t>CoefficientPercent</t>
        </is>
      </c>
      <c r="G185" s="9" t="inlineStr">
        <is>
          <t>EffectiveHits</t>
        </is>
      </c>
      <c r="H185" s="9" t="inlineStr">
        <is>
          <t>ProcProbability</t>
        </is>
      </c>
      <c r="I185" s="9" t="inlineStr">
        <is>
          <t>MapleHeroMultiplier</t>
        </is>
      </c>
      <c r="J185" s="9" t="inlineStr">
        <is>
          <t>BaseDamage</t>
        </is>
      </c>
      <c r="K185" s="9" t="inlineStr">
        <is>
          <t>BaseHitDamage</t>
        </is>
      </c>
      <c r="L185" s="9" t="inlineStr">
        <is>
          <t>NonCritAvg</t>
        </is>
      </c>
      <c r="M185" s="9" t="inlineStr">
        <is>
          <t>CritAvg</t>
        </is>
      </c>
      <c r="N185" s="9" t="inlineStr">
        <is>
          <t>ExpectedDamage(perHit)</t>
        </is>
      </c>
      <c r="O185" s="9" t="inlineStr">
        <is>
          <t>DPS</t>
        </is>
      </c>
      <c r="P185" s="9" t="inlineStr">
        <is>
          <t>% of Total</t>
        </is>
      </c>
      <c r="Q185" s="9" t="inlineStr">
        <is>
          <t>InvCooldown</t>
        </is>
      </c>
      <c r="R185" s="9" t="inlineStr">
        <is>
          <t>CastsInFight</t>
        </is>
      </c>
      <c r="S185" s="9" t="inlineStr">
        <is>
          <t>HitRate(perSec)</t>
        </is>
      </c>
      <c r="U185" t="inlineStr">
        <is>
          <t>helpers</t>
        </is>
      </c>
    </row>
    <row r="186">
      <c r="A186">
        <f>Skills!A2</f>
        <v/>
      </c>
      <c r="B186">
        <f>Skills!B2</f>
        <v/>
      </c>
      <c r="C186">
        <f>Inputs!$B$3&gt;=100</f>
        <v/>
      </c>
      <c r="D186" t="inlineStr"/>
      <c r="E186" t="inlineStr"/>
      <c r="F186">
        <f>U188+Skills!O2</f>
        <v/>
      </c>
      <c r="G186">
        <f>Skills!G2*IF(Skills!H2&gt;0,Skills!I2/Skills!H2,1)</f>
        <v/>
      </c>
      <c r="H186">
        <f>1-(1-Skills!J2/100)^Skills!K2</f>
        <v/>
      </c>
      <c r="I186" t="inlineStr">
        <is>
          <t>1</t>
        </is>
      </c>
      <c r="J186">
        <f>((Inputs!$B$6*(1+Inputs!$B$7/100))+(((Inputs!$B$12*(1+Inputs!$B$13/100))-(Inputs!$B$12*(1+Inputs!$B$13/100)))+0.25*(Inputs!$B$14-Inputs!$B$14))*(1+Inputs!$B$7/100))*(F186/100)</f>
        <v/>
      </c>
      <c r="K186">
        <f>J186*(1+((Inputs!$B$12*(1+Inputs!$B$13/100))*0.01+Inputs!$B$14*0.0025)/100)*(1+(Inputs!$B$15+1)/100)*(1+Inputs!$B$16/100)*(5000/(6000+Inputs!$B$43*(1-Inputs!$B$19/100)))*(1+(Inputs!$B$24+((C214=TRUE)*(F214-Calc!F30)))/100)*(1+(IF(Skills!A2="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186)</f>
        <v/>
      </c>
      <c r="L186">
        <f>K186*(MIN(Inputs!$B$22+((C208=TRUE)*(F208-Calc!F24)),Inputs!$B$23+((C213=TRUE)*(F213-Calc!F29)))/100+(Inputs!$B$23+((C213=TRUE)*(F213-Calc!F29)))/100)/2</f>
        <v/>
      </c>
      <c r="M186">
        <f>L186*(1+(Inputs!$B$10+((C210=TRUE)*(F210-Calc!F26))+B224)/100)</f>
        <v/>
      </c>
      <c r="N186">
        <f>L186*(1-MIN((Inputs!$B$9+((C209=TRUE)*(F209-Calc!F25))+B217),100)/100)+M186*(MIN((Inputs!$B$9+((C209=TRUE)*(F209-Calc!F25))+B217),100)/100)</f>
        <v/>
      </c>
      <c r="O186">
        <f>(1-Summary!$B$55)*T186+Summary!$B$55*V186</f>
        <v/>
      </c>
      <c r="P186">
        <f>IF(B229=0,0,O186/B229)</f>
        <v/>
      </c>
      <c r="Q186" t="n">
        <v>0</v>
      </c>
      <c r="R186" t="n">
        <v>0</v>
      </c>
      <c r="S186">
        <f>IFERROR(O186/N186,0)</f>
        <v/>
      </c>
      <c r="T186">
        <f>IF(C186,(Skills!G2*N186*B223)*IF(Inputs!$B$39="pvp",1,1+(Inputs!$B$20+0+Skills!P2+B218)/100),0)</f>
        <v/>
      </c>
      <c r="U186">
        <f>MAX(0,(Inputs!$B$3-100)*3)+Inputs!$B$28+Inputs!$B$29</f>
        <v/>
      </c>
      <c r="V186">
        <f>IF(C186,(Skills!G2*N186*B223)*IF(Inputs!$B$39="pvp",1,(1+(Inputs!$B$21+Skills!Q2+B218)/100)*(MIN((6+Inputs!$B$33),Inputs!$B$37))),0)</f>
        <v/>
      </c>
    </row>
    <row r="187">
      <c r="A187">
        <f>Skills!A3</f>
        <v/>
      </c>
      <c r="B187">
        <f>Skills!B3</f>
        <v/>
      </c>
      <c r="C187">
        <f>Inputs!$B$3&gt;=35</f>
        <v/>
      </c>
      <c r="D187">
        <f>IF(Skills!C3=1,60+Inputs!$B$25+Inputs!$B$29,IF(Skills!C3=2,90+Inputs!$B$26+Inputs!$B$29,IF(Skills!C3=3,120+Inputs!$B$27+Inputs!$B$29,MAX(0,(Inputs!$B$3-100)*3)+Inputs!$B$28+Inputs!$B$29)))</f>
        <v/>
      </c>
      <c r="E187">
        <f>INDEX(FactorTable!$B$2:$Y$301, MATCH(ROUND(MIN(300,MAX(1,D187)),0), FactorTable!$A$2:$A$301,0), Skills!M3+1)</f>
        <v/>
      </c>
      <c r="F187">
        <f>IF(Skills!N3=TRUE,(Skills!L3/10)*(E187/1000),Skills!L3/10)+Skills!O3</f>
        <v/>
      </c>
      <c r="G187">
        <f>Skills!G3*IF(Skills!H3&gt;0,Skills!I3/Skills!H3,1)</f>
        <v/>
      </c>
      <c r="H187">
        <f>1-(1-Skills!J3/100)^Skills!K3</f>
        <v/>
      </c>
      <c r="I187" t="inlineStr">
        <is>
          <t>1</t>
        </is>
      </c>
      <c r="J187" t="inlineStr"/>
      <c r="K187" t="inlineStr"/>
      <c r="L187" t="inlineStr"/>
      <c r="M187" t="inlineStr"/>
      <c r="N187" t="inlineStr"/>
      <c r="O187">
        <f>(1-Summary!$B$55)*T187+Summary!$B$55*V187</f>
        <v/>
      </c>
      <c r="P187">
        <f>IF(B229=0,0,O187/B229)</f>
        <v/>
      </c>
      <c r="Q187" t="n">
        <v>0</v>
      </c>
      <c r="R187" t="n">
        <v>0</v>
      </c>
      <c r="S187">
        <f>IFERROR(O187/N187,0)</f>
        <v/>
      </c>
      <c r="T187" t="n">
        <v>0</v>
      </c>
      <c r="U187">
        <f>INDEX(FactorTable!$B$2:$Y$301, MATCH(ROUND(MIN(300,MAX(1,U186)),0), FactorTable!$A$2:$A$301,0), 22)</f>
        <v/>
      </c>
      <c r="V187" t="n">
        <v>0</v>
      </c>
    </row>
    <row r="188">
      <c r="A188">
        <f>Skills!A4</f>
        <v/>
      </c>
      <c r="B188">
        <f>Skills!B4</f>
        <v/>
      </c>
      <c r="C188">
        <f>Inputs!$B$3&gt;=66</f>
        <v/>
      </c>
      <c r="D188">
        <f>IF(Skills!C4=1,60+Inputs!$B$25+Inputs!$B$29,IF(Skills!C4=2,90+Inputs!$B$26+Inputs!$B$29,IF(Skills!C4=3,120+Inputs!$B$27+Inputs!$B$29,MAX(0,(Inputs!$B$3-100)*3)+Inputs!$B$28+Inputs!$B$29)))</f>
        <v/>
      </c>
      <c r="E188">
        <f>INDEX(FactorTable!$B$2:$Y$301, MATCH(ROUND(MIN(300,MAX(1,D188)),0), FactorTable!$A$2:$A$301,0), Skills!M4+1)</f>
        <v/>
      </c>
      <c r="F188">
        <f>IF(Skills!N4=TRUE,(Skills!L4/10)*(E188/1000),Skills!L4/10)+Skills!O4</f>
        <v/>
      </c>
      <c r="G188">
        <f>Skills!G4*IF(Skills!H4&gt;0,Skills!I4/Skills!H4,1)</f>
        <v/>
      </c>
      <c r="H188">
        <f>1-(1-Skills!J4/100)^Skills!K4</f>
        <v/>
      </c>
      <c r="I188" t="inlineStr">
        <is>
          <t>1</t>
        </is>
      </c>
      <c r="J188">
        <f>((Inputs!$B$6*(1+Inputs!$B$7/100))+(((Inputs!$B$12*(1+Inputs!$B$13/100))-(Inputs!$B$12*(1+Inputs!$B$13/100)))+0.25*(Inputs!$B$14-Inputs!$B$14))*(1+Inputs!$B$7/100))*(F188/100)</f>
        <v/>
      </c>
      <c r="K188">
        <f>J188*(1+((Inputs!$B$12*(1+Inputs!$B$13/100))*0.01+Inputs!$B$14*0.0025)/100)*(1+(Inputs!$B$15+1)/100)*(1+Inputs!$B$16/100)*(5000/(6000+Inputs!$B$43*(1-Inputs!$B$19/100)))*(1+(Inputs!$B$24+((C214=TRUE)*(F214-Calc!F30)))/100)*(1+(IF(Skills!A4="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188)</f>
        <v/>
      </c>
      <c r="L188">
        <f>K188*(MIN(Inputs!$B$22+((C208=TRUE)*(F208-Calc!F24)),Inputs!$B$23+((C213=TRUE)*(F213-Calc!F29)))/100+(Inputs!$B$23+((C213=TRUE)*(F213-Calc!F29)))/100)/2</f>
        <v/>
      </c>
      <c r="M188">
        <f>L188*(1+(Inputs!$B$10+((C210=TRUE)*(F210-Calc!F26))+B224)/100)</f>
        <v/>
      </c>
      <c r="N188">
        <f>L188*(1-MIN((Inputs!$B$9+((C209=TRUE)*(F209-Calc!F25))+B217),100)/100)+M188*(MIN((Inputs!$B$9+((C209=TRUE)*(F209-Calc!F25))+B217),100)/100)</f>
        <v/>
      </c>
      <c r="O188">
        <f>(1-Summary!$B$55)*T188+Summary!$B$55*V188</f>
        <v/>
      </c>
      <c r="P188">
        <f>IF(B229=0,0,O188/B229)</f>
        <v/>
      </c>
      <c r="Q188">
        <f>IFERROR(1/IF(Inputs!$B$39="pvp",15,MAX(0.1,Skills!D4-IF(Skills!E4=TRUE,Inputs!$B$32,0))),0)</f>
        <v/>
      </c>
      <c r="R188">
        <f>IF(AND(Inputs!$B$39&lt;&gt;"pvp",Inputs!$B$44&gt;0),IF(MAX(0,Inputs!$B$44-B228)&lt;=0,0,(INT(MAX(0,Inputs!$B$44-B228)/IF(Inputs!$B$39="pvp",15,MAX(0.1,Skills!D4-IF(Skills!E4=TRUE,Inputs!$B$32,0))))+1)),0)</f>
        <v/>
      </c>
      <c r="S188">
        <f>IFERROR(O188/N188,0)</f>
        <v/>
      </c>
      <c r="T188">
        <f>IF(C188,(H188*N188*IF(AND(Inputs!$B$39&lt;&gt;"pvp",Inputs!$B$44&gt;0),((Skills!G4*((R188-1)*IF(Skills!H4&gt;0,Skills!I4/Skills!H4,1)+IF(Skills!H4&gt;0,MIN(Skills!I4,MAX(0,MAX(0,Inputs!$B$44-B228)-((R188-1)*IF(Inputs!$B$39="pvp",15,MAX(0.1,Skills!D4-IF(Skills!E4=TRUE,Inputs!$B$32,0))))))/Skills!H4,1)))/Inputs!$B$44),G188*Q188))*IF(Inputs!$B$39="pvp",1,1+(Inputs!$B$20+0+Skills!P4+B218)/100),0)</f>
        <v/>
      </c>
      <c r="U188">
        <f>290*U187/1000</f>
        <v/>
      </c>
      <c r="V188">
        <f>IF(C188,(H188*N188*IF(AND(Inputs!$B$39&lt;&gt;"pvp",Inputs!$B$44&gt;0),((Skills!G4*((R188-1)*IF(Skills!H4&gt;0,Skills!I4/Skills!H4,1)+IF(Skills!H4&gt;0,MIN(Skills!I4,MAX(0,MAX(0,Inputs!$B$44-B228)-((R188-1)*IF(Inputs!$B$39="pvp",15,MAX(0.1,Skills!D4-IF(Skills!E4=TRUE,Inputs!$B$32,0))))))/Skills!H4,1)))/Inputs!$B$44),G188*Q188))*IF(Inputs!$B$39="pvp",1,(1+(Inputs!$B$21+Skills!Q4+B218)/100)*(MIN(MIN(10,0.5*B221*Skills!D4),Inputs!$B$37))),0)</f>
        <v/>
      </c>
    </row>
    <row r="189">
      <c r="A189">
        <f>Skills!A5</f>
        <v/>
      </c>
      <c r="B189">
        <f>Skills!B5</f>
        <v/>
      </c>
      <c r="C189">
        <f>Inputs!$B$3&gt;=63</f>
        <v/>
      </c>
      <c r="D189">
        <f>IF(Skills!C5=1,60+Inputs!$B$25+Inputs!$B$29,IF(Skills!C5=2,90+Inputs!$B$26+Inputs!$B$29,IF(Skills!C5=3,120+Inputs!$B$27+Inputs!$B$29,MAX(0,(Inputs!$B$3-100)*3)+Inputs!$B$28+Inputs!$B$29)))</f>
        <v/>
      </c>
      <c r="E189">
        <f>INDEX(FactorTable!$B$2:$Y$301, MATCH(ROUND(MIN(300,MAX(1,D189)),0), FactorTable!$A$2:$A$301,0), Skills!M5+1)</f>
        <v/>
      </c>
      <c r="F189">
        <f>IF(Skills!N5=TRUE,(Skills!L5/10)*(E189/1000),Skills!L5/10)+Skills!O5</f>
        <v/>
      </c>
      <c r="G189">
        <f>Skills!G5*IF(Skills!H5&gt;0,Skills!I5/Skills!H5,1)</f>
        <v/>
      </c>
      <c r="H189">
        <f>1-(1-Skills!J5/100)^Skills!K5</f>
        <v/>
      </c>
      <c r="I189" t="inlineStr">
        <is>
          <t>1</t>
        </is>
      </c>
      <c r="J189">
        <f>((Inputs!$B$6*(1+Inputs!$B$7/100))+(((Inputs!$B$12*(1+Inputs!$B$13/100))-(Inputs!$B$12*(1+Inputs!$B$13/100)))+0.25*(Inputs!$B$14-Inputs!$B$14))*(1+Inputs!$B$7/100))*(F189/100)</f>
        <v/>
      </c>
      <c r="K189">
        <f>J189*(1+((Inputs!$B$12*(1+Inputs!$B$13/100))*0.01+Inputs!$B$14*0.0025)/100)*(1+(Inputs!$B$15+1)/100)*(1+Inputs!$B$16/100)*(5000/(6000+Inputs!$B$43*(1-Inputs!$B$19/100)))*(1+(Inputs!$B$24+((C214=TRUE)*(F214-Calc!F30)))/100)*(1+2.6666666666666665*IF(C202=TRUE,F202,0)/100)*(1+(IF(Skills!A5="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189)</f>
        <v/>
      </c>
      <c r="L189">
        <f>K189*(MIN(Inputs!$B$22+((C208=TRUE)*(F208-Calc!F24)),Inputs!$B$23+((C213=TRUE)*(F213-Calc!F29)))/100+(Inputs!$B$23+((C213=TRUE)*(F213-Calc!F29)))/100)/2</f>
        <v/>
      </c>
      <c r="M189">
        <f>L189*(1+(Inputs!$B$10+((C210=TRUE)*(F210-Calc!F26))+B224)/100)</f>
        <v/>
      </c>
      <c r="N189">
        <f>L189*(1-MIN((Inputs!$B$9+((C209=TRUE)*(F209-Calc!F25))+B217),100)/100)+M189*(MIN((Inputs!$B$9+((C209=TRUE)*(F209-Calc!F25))+B217),100)/100)</f>
        <v/>
      </c>
      <c r="O189">
        <f>(1-Summary!$B$55)*T189+Summary!$B$55*V189</f>
        <v/>
      </c>
      <c r="P189">
        <f>IF(B229=0,0,O189/B229)</f>
        <v/>
      </c>
      <c r="Q189">
        <f>IFERROR(1/IF(Inputs!$B$39="pvp",15,MAX(0.1,Skills!D5-IF(Skills!E5=TRUE,Inputs!$B$32,0))),0)</f>
        <v/>
      </c>
      <c r="R189">
        <f>IF(AND(Inputs!$B$39&lt;&gt;"pvp",Inputs!$B$44&gt;0),IF(MAX(0,Inputs!$B$44-B228)&lt;=0,0,(INT(MAX(0,Inputs!$B$44-B228)/IF(Inputs!$B$39="pvp",15,MAX(0.1,Skills!D5-IF(Skills!E5=TRUE,Inputs!$B$32,0))))+1)),0)</f>
        <v/>
      </c>
      <c r="S189">
        <f>IFERROR(O189/N189,0)</f>
        <v/>
      </c>
      <c r="T189">
        <f>IF(C189,(H189*N189*IF(AND(Inputs!$B$39&lt;&gt;"pvp",Inputs!$B$44&gt;0),((Skills!G5*((R189-1)*IF(Skills!H5&gt;0,Skills!I5/Skills!H5,1)+IF(Skills!H5&gt;0,MIN(Skills!I5,MAX(0,MAX(0,Inputs!$B$44-B228)-((R189-1)*IF(Inputs!$B$39="pvp",15,MAX(0.1,Skills!D5-IF(Skills!E5=TRUE,Inputs!$B$32,0))))))/Skills!H5,1)))/Inputs!$B$44),G189*Q189))*IF(Inputs!$B$39="pvp",1,1+(Inputs!$B$20+0+Skills!P5+B218)/100),0)</f>
        <v/>
      </c>
      <c r="V189">
        <f>IF(C189,(H189*N189*IF(AND(Inputs!$B$39&lt;&gt;"pvp",Inputs!$B$44&gt;0),((Skills!G5*((R189-1)*IF(Skills!H5&gt;0,Skills!I5/Skills!H5,1)+IF(Skills!H5&gt;0,MIN(Skills!I5,MAX(0,MAX(0,Inputs!$B$44-B228)-((R189-1)*IF(Inputs!$B$39="pvp",15,MAX(0.1,Skills!D5-IF(Skills!E5=TRUE,Inputs!$B$32,0))))))/Skills!H5,1)))/Inputs!$B$44),G189*Q189))*IF(Inputs!$B$39="pvp",1,(1+(Inputs!$B$21+Skills!Q5+B218)/100)*(MIN(Skills!W5,Inputs!$B$37))),0)</f>
        <v/>
      </c>
    </row>
    <row r="190">
      <c r="A190">
        <f>Skills!A6</f>
        <v/>
      </c>
      <c r="B190">
        <f>Skills!B6</f>
        <v/>
      </c>
      <c r="C190">
        <f>Inputs!$B$3&gt;=69</f>
        <v/>
      </c>
      <c r="D190">
        <f>IF(Skills!C6=1,60+Inputs!$B$25+Inputs!$B$29,IF(Skills!C6=2,90+Inputs!$B$26+Inputs!$B$29,IF(Skills!C6=3,120+Inputs!$B$27+Inputs!$B$29,MAX(0,(Inputs!$B$3-100)*3)+Inputs!$B$28+Inputs!$B$29)))</f>
        <v/>
      </c>
      <c r="E190">
        <f>INDEX(FactorTable!$B$2:$Y$301, MATCH(ROUND(MIN(300,MAX(1,D190)),0), FactorTable!$A$2:$A$301,0), Skills!M6+1)</f>
        <v/>
      </c>
      <c r="F190">
        <f>IF(Skills!N6=TRUE,(Skills!L6/10)*(E190/1000),Skills!L6/10)+Skills!O6</f>
        <v/>
      </c>
      <c r="G190">
        <f>Skills!G6*IF(Skills!H6&gt;0,Skills!I6/Skills!H6,1)</f>
        <v/>
      </c>
      <c r="H190">
        <f>1-(1-Skills!J6/100)^Skills!K6</f>
        <v/>
      </c>
      <c r="I190" t="inlineStr">
        <is>
          <t>1</t>
        </is>
      </c>
      <c r="J190">
        <f>((Inputs!$B$6*(1+Inputs!$B$7/100))+(((Inputs!$B$12*(1+Inputs!$B$13/100))-(Inputs!$B$12*(1+Inputs!$B$13/100)))+0.25*(Inputs!$B$14-Inputs!$B$14))*(1+Inputs!$B$7/100))*(F190/100)</f>
        <v/>
      </c>
      <c r="K190">
        <f>J190*(1+((Inputs!$B$12*(1+Inputs!$B$13/100))*0.01+Inputs!$B$14*0.0025)/100)*(1+(Inputs!$B$15+1)/100)*(1+Inputs!$B$16/100)*(5000/(6000+Inputs!$B$43*(1-Inputs!$B$19/100)))*(1+(Inputs!$B$24+((C214=TRUE)*(F214-Calc!F30)))/100)*(1+1.0*IF(C202=TRUE,F202,0)/100)*(1+(IF(Skills!A6="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190)</f>
        <v/>
      </c>
      <c r="L190">
        <f>K190*(MIN(Inputs!$B$22+((C208=TRUE)*(F208-Calc!F24)),Inputs!$B$23+((C213=TRUE)*(F213-Calc!F29)))/100+(Inputs!$B$23+((C213=TRUE)*(F213-Calc!F29)))/100)/2</f>
        <v/>
      </c>
      <c r="M190">
        <f>L190*(1+(Inputs!$B$10+((C210=TRUE)*(F210-Calc!F26))+B224)/100)</f>
        <v/>
      </c>
      <c r="N190">
        <f>L190*(1-MIN((Inputs!$B$9+((C209=TRUE)*(F209-Calc!F25))+B217),100)/100)+M190*(MIN((Inputs!$B$9+((C209=TRUE)*(F209-Calc!F25))+B217),100)/100)</f>
        <v/>
      </c>
      <c r="O190">
        <f>(1-Summary!$B$55)*T190+Summary!$B$55*V190</f>
        <v/>
      </c>
      <c r="P190">
        <f>IF(B229=0,0,O190/B229)</f>
        <v/>
      </c>
      <c r="Q190">
        <f>IFERROR(1/IF(Inputs!$B$39="pvp",15,MAX(0.1,Skills!D6-IF(Skills!E6=TRUE,Inputs!$B$32,0))),0)</f>
        <v/>
      </c>
      <c r="R190">
        <f>IF(AND(Inputs!$B$39&lt;&gt;"pvp",Inputs!$B$44&gt;0),IF(MAX(0,Inputs!$B$44-B228)&lt;=0,0,(INT(MAX(0,Inputs!$B$44-B228)/IF(Inputs!$B$39="pvp",15,MAX(0.1,Skills!D6-IF(Skills!E6=TRUE,Inputs!$B$32,0))))+1)),0)</f>
        <v/>
      </c>
      <c r="S190">
        <f>IFERROR(O190/N190,0)</f>
        <v/>
      </c>
      <c r="T190">
        <f>IF(C190,(H190*N190*IF(AND(Inputs!$B$39&lt;&gt;"pvp",Inputs!$B$44&gt;0),((Skills!G6*((R190-1)*IF(Skills!H6&gt;0,Skills!I6/Skills!H6,1)+IF(Skills!H6&gt;0,MIN(Skills!I6,MAX(0,MAX(0,Inputs!$B$44-B228)-((R190-1)*IF(Inputs!$B$39="pvp",15,MAX(0.1,Skills!D6-IF(Skills!E6=TRUE,Inputs!$B$32,0))))))/Skills!H6,1)))/Inputs!$B$44),G190*Q190))*IF(Inputs!$B$39="pvp",1,1+(Inputs!$B$20+0+Skills!P6+B218)/100),0)</f>
        <v/>
      </c>
      <c r="V190">
        <f>IF(C190,(H190*N190*IF(AND(Inputs!$B$39&lt;&gt;"pvp",Inputs!$B$44&gt;0),((Skills!G6*((R190-1)*IF(Skills!H6&gt;0,Skills!I6/Skills!H6,1)+IF(Skills!H6&gt;0,MIN(Skills!I6,MAX(0,MAX(0,Inputs!$B$44-B228)-((R190-1)*IF(Inputs!$B$39="pvp",15,MAX(0.1,Skills!D6-IF(Skills!E6=TRUE,Inputs!$B$32,0))))))/Skills!H6,1)))/Inputs!$B$44),G190*Q190))*IF(Inputs!$B$39="pvp",1,(1+(Inputs!$B$21+Skills!Q6+B218)/100)*(MIN(Skills!W6,Inputs!$B$37))),0)</f>
        <v/>
      </c>
    </row>
    <row r="191">
      <c r="A191">
        <f>Skills!A7</f>
        <v/>
      </c>
      <c r="B191">
        <f>Skills!B7</f>
        <v/>
      </c>
      <c r="C191">
        <f>Inputs!$B$3&gt;=60</f>
        <v/>
      </c>
      <c r="D191">
        <f>IF(Skills!C7=1,60+Inputs!$B$25+Inputs!$B$29,IF(Skills!C7=2,90+Inputs!$B$26+Inputs!$B$29,IF(Skills!C7=3,120+Inputs!$B$27+Inputs!$B$29,MAX(0,(Inputs!$B$3-100)*3)+Inputs!$B$28+Inputs!$B$29)))</f>
        <v/>
      </c>
      <c r="E191">
        <f>INDEX(FactorTable!$B$2:$Y$301, MATCH(ROUND(MIN(300,MAX(1,D191)),0), FactorTable!$A$2:$A$301,0), Skills!M7+1)</f>
        <v/>
      </c>
      <c r="F191">
        <f>IF(Skills!N7=TRUE,(Skills!L7/10)*(E191/1000),Skills!L7/10)+Skills!O7</f>
        <v/>
      </c>
      <c r="G191">
        <f>Skills!G7*IF(Skills!H7&gt;0,Skills!I7/Skills!H7,1)</f>
        <v/>
      </c>
      <c r="H191">
        <f>1-(1-Skills!J7/100)^Skills!K7</f>
        <v/>
      </c>
      <c r="I191" t="inlineStr">
        <is>
          <t>1</t>
        </is>
      </c>
      <c r="J191" t="inlineStr"/>
      <c r="K191" t="inlineStr"/>
      <c r="L191" t="inlineStr"/>
      <c r="M191" t="inlineStr"/>
      <c r="N191" t="inlineStr"/>
      <c r="O191">
        <f>(1-Summary!$B$55)*T191+Summary!$B$55*V191</f>
        <v/>
      </c>
      <c r="P191">
        <f>IF(B229=0,0,O191/B229)</f>
        <v/>
      </c>
      <c r="Q191" t="n">
        <v>0</v>
      </c>
      <c r="R191" t="n">
        <v>0</v>
      </c>
      <c r="S191">
        <f>IFERROR(O191/N191,0)</f>
        <v/>
      </c>
      <c r="T191" t="n">
        <v>0</v>
      </c>
      <c r="V191" t="n">
        <v>0</v>
      </c>
    </row>
    <row r="192">
      <c r="A192">
        <f>Skills!A8</f>
        <v/>
      </c>
      <c r="B192">
        <f>Skills!B8</f>
        <v/>
      </c>
      <c r="C192">
        <f>Inputs!$B$3&gt;=72</f>
        <v/>
      </c>
      <c r="D192">
        <f>IF(Skills!C8=1,60+Inputs!$B$25+Inputs!$B$29,IF(Skills!C8=2,90+Inputs!$B$26+Inputs!$B$29,IF(Skills!C8=3,120+Inputs!$B$27+Inputs!$B$29,MAX(0,(Inputs!$B$3-100)*3)+Inputs!$B$28+Inputs!$B$29)))</f>
        <v/>
      </c>
      <c r="E192">
        <f>INDEX(FactorTable!$B$2:$Y$301, MATCH(ROUND(MIN(300,MAX(1,D192)),0), FactorTable!$A$2:$A$301,0), Skills!M8+1)</f>
        <v/>
      </c>
      <c r="F192">
        <f>IF(Skills!N8=TRUE,(Skills!L8/10)*(E192/1000),Skills!L8/10)+Skills!O8</f>
        <v/>
      </c>
      <c r="G192">
        <f>Skills!G8*IF(Skills!H8&gt;0,Skills!I8/Skills!H8,1)</f>
        <v/>
      </c>
      <c r="H192">
        <f>1-(1-Skills!J8/100)^Skills!K8</f>
        <v/>
      </c>
      <c r="I192" t="inlineStr">
        <is>
          <t>1</t>
        </is>
      </c>
      <c r="J192">
        <f>((Inputs!$B$6*(1+Inputs!$B$7/100))+(((Inputs!$B$12*(1+Inputs!$B$13/100))-(Inputs!$B$12*(1+Inputs!$B$13/100)))+0.25*(Inputs!$B$14-Inputs!$B$14))*(1+Inputs!$B$7/100))*(F192/100)</f>
        <v/>
      </c>
      <c r="K192">
        <f>J192*(1+((Inputs!$B$12*(1+Inputs!$B$13/100))*0.01+Inputs!$B$14*0.0025)/100)*(1+(Inputs!$B$15+1)/100)*(1+Inputs!$B$16/100)*(5000/(6000+Inputs!$B$43*(1-Inputs!$B$19/100)))*(1+(Inputs!$B$24+((C214=TRUE)*(F214-Calc!F30)))/100)*(1+3.3333333333333335*IF(C202=TRUE,F202,0)/100)*(1+(IF(Skills!A8="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192)</f>
        <v/>
      </c>
      <c r="L192">
        <f>K192*(MIN(Inputs!$B$22+((C208=TRUE)*(F208-Calc!F24)),Inputs!$B$23+((C213=TRUE)*(F213-Calc!F29)))/100+(Inputs!$B$23+((C213=TRUE)*(F213-Calc!F29)))/100)/2</f>
        <v/>
      </c>
      <c r="M192">
        <f>L192*(1+(Inputs!$B$10+((C210=TRUE)*(F210-Calc!F26))+B224)/100)</f>
        <v/>
      </c>
      <c r="N192">
        <f>L192*(1-MIN((Inputs!$B$9+((C209=TRUE)*(F209-Calc!F25))+B217),100)/100)+M192*(MIN((Inputs!$B$9+((C209=TRUE)*(F209-Calc!F25))+B217),100)/100)</f>
        <v/>
      </c>
      <c r="O192">
        <f>(1-Summary!$B$55)*T192+Summary!$B$55*V192</f>
        <v/>
      </c>
      <c r="P192">
        <f>IF(B229=0,0,O192/B229)</f>
        <v/>
      </c>
      <c r="Q192">
        <f>IFERROR(1/IF(Inputs!$B$39="pvp",15,MAX(0.1,Skills!D8-IF(Skills!E8=TRUE,Inputs!$B$32,0))),0)</f>
        <v/>
      </c>
      <c r="R192">
        <f>IF(AND(Inputs!$B$39&lt;&gt;"pvp",Inputs!$B$44&gt;0),IF(MAX(0,Inputs!$B$44-B228)&lt;=0,0,(INT(MAX(0,Inputs!$B$44-B228)/IF(Inputs!$B$39="pvp",15,MAX(0.1,Skills!D8-IF(Skills!E8=TRUE,Inputs!$B$32,0))))+1)),0)</f>
        <v/>
      </c>
      <c r="S192">
        <f>IFERROR(O192/N192,0)</f>
        <v/>
      </c>
      <c r="T192">
        <f>IF(C192,(H192*N192*IF(AND(Inputs!$B$39&lt;&gt;"pvp",Inputs!$B$44&gt;0),((Skills!G8*((R192-1)*IF(Skills!H8&gt;0,Skills!I8/Skills!H8,1)+IF(Skills!H8&gt;0,MIN(Skills!I8,MAX(0,MAX(0,Inputs!$B$44-B228)-((R192-1)*IF(Inputs!$B$39="pvp",15,MAX(0.1,Skills!D8-IF(Skills!E8=TRUE,Inputs!$B$32,0))))))/Skills!H8,1)))/Inputs!$B$44),G192*Q192))*IF(Inputs!$B$39="pvp",1,1+(Inputs!$B$20+0+Skills!P8+B218)/100),0)</f>
        <v/>
      </c>
      <c r="V192">
        <f>IF(C192,(H192*N192*IF(AND(Inputs!$B$39&lt;&gt;"pvp",Inputs!$B$44&gt;0),((Skills!G8*((R192-1)*IF(Skills!H8&gt;0,Skills!I8/Skills!H8,1)+IF(Skills!H8&gt;0,MIN(Skills!I8,MAX(0,MAX(0,Inputs!$B$44-B228)-((R192-1)*IF(Inputs!$B$39="pvp",15,MAX(0.1,Skills!D8-IF(Skills!E8=TRUE,Inputs!$B$32,0))))))/Skills!H8,1)))/Inputs!$B$44),G192*Q192))*IF(Inputs!$B$39="pvp",1,(1+(Inputs!$B$21+Skills!Q8+B218)/100)*(MIN(Skills!W8,Inputs!$B$37))),0)</f>
        <v/>
      </c>
    </row>
    <row r="193">
      <c r="A193">
        <f>Skills!A9</f>
        <v/>
      </c>
      <c r="B193">
        <f>Skills!B9</f>
        <v/>
      </c>
      <c r="C193">
        <f>Inputs!$B$3&gt;=117</f>
        <v/>
      </c>
      <c r="D193">
        <f>IF(Skills!C9=1,60+Inputs!$B$25+Inputs!$B$29,IF(Skills!C9=2,90+Inputs!$B$26+Inputs!$B$29,IF(Skills!C9=3,120+Inputs!$B$27+Inputs!$B$29,MAX(0,(Inputs!$B$3-100)*3)+Inputs!$B$28+Inputs!$B$29)))</f>
        <v/>
      </c>
      <c r="E193">
        <f>INDEX(FactorTable!$B$2:$Y$301, MATCH(ROUND(MIN(300,MAX(1,D193)),0), FactorTable!$A$2:$A$301,0), Skills!M9+1)</f>
        <v/>
      </c>
      <c r="F193">
        <f>IF(Skills!N9=TRUE,(Skills!L9/10)*(E193/1000),Skills!L9/10)+Skills!O9</f>
        <v/>
      </c>
      <c r="G193">
        <f>Skills!G9*IF(Skills!H9&gt;0,Skills!I9/Skills!H9,1)</f>
        <v/>
      </c>
      <c r="H193">
        <f>1-(1-Skills!J9/100)^Skills!K9</f>
        <v/>
      </c>
      <c r="I193" t="inlineStr">
        <is>
          <t>1</t>
        </is>
      </c>
      <c r="J193">
        <f>((Inputs!$B$6*(1+Inputs!$B$7/100))+(((Inputs!$B$12*(1+Inputs!$B$13/100))-(Inputs!$B$12*(1+Inputs!$B$13/100)))+0.25*(Inputs!$B$14-Inputs!$B$14))*(1+Inputs!$B$7/100))*(F193/100)</f>
        <v/>
      </c>
      <c r="K193">
        <f>J193*(1+((Inputs!$B$12*(1+Inputs!$B$13/100))*0.01+Inputs!$B$14*0.0025)/100)*(1+(Inputs!$B$15+1)/100)*(1+Inputs!$B$16/100)*(5000/(6000+Inputs!$B$43*(1-Inputs!$B$19/100)))*(1+(Inputs!$B$24+((C214=TRUE)*(F214-Calc!F30)))/100)*(1+(IF(Skills!A9="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193)</f>
        <v/>
      </c>
      <c r="L193">
        <f>K193*(MIN(Inputs!$B$22+((C208=TRUE)*(F208-Calc!F24)),Inputs!$B$23+((C213=TRUE)*(F213-Calc!F29)))/100+(Inputs!$B$23+((C213=TRUE)*(F213-Calc!F29)))/100)/2</f>
        <v/>
      </c>
      <c r="M193">
        <f>L193*(1+(Inputs!$B$10+((C210=TRUE)*(F210-Calc!F26))+B224)/100)</f>
        <v/>
      </c>
      <c r="N193">
        <f>L193*(1-MIN((Inputs!$B$9+((C209=TRUE)*(F209-Calc!F25))+B217),100)/100)+M193*(MIN((Inputs!$B$9+((C209=TRUE)*(F209-Calc!F25))+B217),100)/100)</f>
        <v/>
      </c>
      <c r="O193">
        <f>(1-Summary!$B$55)*T193+Summary!$B$55*V193</f>
        <v/>
      </c>
      <c r="P193">
        <f>IF(B229=0,0,O193/B229)</f>
        <v/>
      </c>
      <c r="Q193" t="n">
        <v>0</v>
      </c>
      <c r="R193" t="n">
        <v>0</v>
      </c>
      <c r="S193" t="n">
        <v>0</v>
      </c>
      <c r="T193">
        <f>IF(C193,(0.2*SUMPRODUCT((Skills!Z2:Z30=TRUE)*(C186:C214=TRUE)*S186:S214)*N193)*IF(Inputs!$B$39="pvp",1,1+(Inputs!$B$20+0+Skills!P9+B218)/100),0)</f>
        <v/>
      </c>
      <c r="V193">
        <f>IF(C193,(0.2*SUMPRODUCT((Skills!Z2:Z30=TRUE)*(C186:C214=TRUE)*S186:S214)*N193)*IF(Inputs!$B$39="pvp",1,(1+(Inputs!$B$21+Skills!Q9+B218)/100)*(MIN(Skills!W9,Inputs!$B$37))),0)</f>
        <v/>
      </c>
    </row>
    <row r="194">
      <c r="A194">
        <f>Skills!A10</f>
        <v/>
      </c>
      <c r="B194">
        <f>Skills!B10</f>
        <v/>
      </c>
      <c r="C194">
        <f>Inputs!$B$3&gt;=74</f>
        <v/>
      </c>
      <c r="D194">
        <f>IF(Skills!C10=1,60+Inputs!$B$25+Inputs!$B$29,IF(Skills!C10=2,90+Inputs!$B$26+Inputs!$B$29,IF(Skills!C10=3,120+Inputs!$B$27+Inputs!$B$29,MAX(0,(Inputs!$B$3-100)*3)+Inputs!$B$28+Inputs!$B$29)))</f>
        <v/>
      </c>
      <c r="E194">
        <f>INDEX(FactorTable!$B$2:$Y$301, MATCH(ROUND(MIN(300,MAX(1,D194)),0), FactorTable!$A$2:$A$301,0), Skills!M10+1)</f>
        <v/>
      </c>
      <c r="F194">
        <f>IF(Skills!N10=TRUE,(Skills!L10/10)*(E194/1000),Skills!L10/10)+Skills!O10</f>
        <v/>
      </c>
      <c r="G194">
        <f>Skills!G10*IF(Skills!H10&gt;0,Skills!I10/Skills!H10,1)</f>
        <v/>
      </c>
      <c r="H194">
        <f>1-(1-Skills!J10/100)^Skills!K10</f>
        <v/>
      </c>
      <c r="I194" t="inlineStr">
        <is>
          <t>1</t>
        </is>
      </c>
      <c r="J194" t="inlineStr"/>
      <c r="K194" t="inlineStr"/>
      <c r="L194" t="inlineStr"/>
      <c r="M194" t="inlineStr"/>
      <c r="N194" t="inlineStr"/>
      <c r="O194">
        <f>(1-Summary!$B$55)*T194+Summary!$B$55*V194</f>
        <v/>
      </c>
      <c r="P194">
        <f>IF(B229=0,0,O194/B229)</f>
        <v/>
      </c>
      <c r="Q194">
        <f>IFERROR(1/IF(Inputs!$B$39="pvp",15,MAX(0.1,Skills!D10-IF(Skills!E10=TRUE,Inputs!$B$32,0))),0)</f>
        <v/>
      </c>
      <c r="R194">
        <f>IF(AND(Inputs!$B$39&lt;&gt;"pvp",Inputs!$B$44&gt;0),IF(Inputs!$B$44&lt;=0,0,(INT(Inputs!$B$44/IF(Inputs!$B$39="pvp",15,MAX(0.1,Skills!D10-IF(Skills!E10=TRUE,Inputs!$B$32,0))))+1)),0)</f>
        <v/>
      </c>
      <c r="S194">
        <f>IFERROR(O194/N194,0)</f>
        <v/>
      </c>
      <c r="T194" t="n">
        <v>0</v>
      </c>
      <c r="V194" t="n">
        <v>0</v>
      </c>
    </row>
    <row r="195">
      <c r="A195">
        <f>Skills!A11</f>
        <v/>
      </c>
      <c r="B195">
        <f>Skills!B11</f>
        <v/>
      </c>
      <c r="C195">
        <f>Inputs!$B$3&gt;=103</f>
        <v/>
      </c>
      <c r="D195">
        <f>IF(Skills!C11=1,60+Inputs!$B$25+Inputs!$B$29,IF(Skills!C11=2,90+Inputs!$B$26+Inputs!$B$29,IF(Skills!C11=3,120+Inputs!$B$27+Inputs!$B$29,MAX(0,(Inputs!$B$3-100)*3)+Inputs!$B$28+Inputs!$B$29)))</f>
        <v/>
      </c>
      <c r="E195">
        <f>INDEX(FactorTable!$B$2:$Y$301, MATCH(ROUND(MIN(300,MAX(1,D195)),0), FactorTable!$A$2:$A$301,0), Skills!M11+1)</f>
        <v/>
      </c>
      <c r="F195">
        <f>(Skills!L11/10)*(E195/1000)+IF(Inputs!$B$3&gt;=134,50,0)+0.5*(30000/10)*(INDEX(FactorTable!$B$2:$Y$301, MATCH(ROUND(MIN(300,MAX(1,D195)),0), FactorTable!$A$2:$A$301,0), 13)/1000)*B227</f>
        <v/>
      </c>
      <c r="G195">
        <f>Skills!G11*IF(Skills!H11&gt;0,Skills!I11/Skills!H11,1)</f>
        <v/>
      </c>
      <c r="H195">
        <f>1-(1-Skills!J11/100)^Skills!K11</f>
        <v/>
      </c>
      <c r="I195" t="inlineStr">
        <is>
          <t>1</t>
        </is>
      </c>
      <c r="J195">
        <f>((Inputs!$B$6*(1+Inputs!$B$7/100))+(((Inputs!$B$12*(1+Inputs!$B$13/100))-(Inputs!$B$12*(1+Inputs!$B$13/100)))+0.25*(Inputs!$B$14-Inputs!$B$14))*(1+Inputs!$B$7/100))*(F195/100)</f>
        <v/>
      </c>
      <c r="K195">
        <f>J195*(1+((Inputs!$B$12*(1+Inputs!$B$13/100))*0.01+Inputs!$B$14*0.0025)/100)*(1+(Inputs!$B$15+1)/100)*(1+Inputs!$B$16/100)*(5000/(6000+Inputs!$B$43*(1-Inputs!$B$19/100)))*(1+(Inputs!$B$24+((C214=TRUE)*(F214-Calc!F30)))/100)*(1+(IF(Skills!A11="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195)</f>
        <v/>
      </c>
      <c r="L195">
        <f>K195*(MIN(Inputs!$B$22+((C208=TRUE)*(F208-Calc!F24)),Inputs!$B$23+((C213=TRUE)*(F213-Calc!F29)))/100+(Inputs!$B$23+((C213=TRUE)*(F213-Calc!F29)))/100)/2</f>
        <v/>
      </c>
      <c r="M195">
        <f>L195*(1+(Inputs!$B$10+((C210=TRUE)*(F210-Calc!F26))+B224)/100)</f>
        <v/>
      </c>
      <c r="N195">
        <f>L195*(1-MIN((Inputs!$B$9+((C209=TRUE)*(F209-Calc!F25))+B217),100)/100)+M195*(MIN((Inputs!$B$9+((C209=TRUE)*(F209-Calc!F25))+B217),100)/100)</f>
        <v/>
      </c>
      <c r="O195">
        <f>(1-Summary!$B$55)*T195+Summary!$B$55*V195</f>
        <v/>
      </c>
      <c r="P195">
        <f>IF(B229=0,0,O195/B229)</f>
        <v/>
      </c>
      <c r="Q195">
        <f>IFERROR(1/IF(Inputs!$B$39="pvp",15,MAX(0.1,Skills!D11-IF(Skills!E11=TRUE,Inputs!$B$32,0))),0)</f>
        <v/>
      </c>
      <c r="R195">
        <f>IF(AND(Inputs!$B$39&lt;&gt;"pvp",Inputs!$B$44&gt;0),IF(MAX(0,Inputs!$B$44-B228)&lt;=0,0,(INT(MAX(0,Inputs!$B$44-B228)/IF(Inputs!$B$39="pvp",15,MAX(0.1,Skills!D11-IF(Skills!E11=TRUE,Inputs!$B$32,0))))+1)),0)</f>
        <v/>
      </c>
      <c r="S195">
        <f>IFERROR(O195/N195,0)</f>
        <v/>
      </c>
      <c r="T195">
        <f>IF(C195,(H195*N195*IF(AND(Inputs!$B$39&lt;&gt;"pvp",Inputs!$B$44&gt;0),((Skills!G11*((R195-1)*IF(Skills!H11&gt;0,Skills!I11/Skills!H11,1)+IF(Skills!H11&gt;0,MIN(Skills!I11,MAX(0,MAX(0,Inputs!$B$44-B228)-((R195-1)*IF(Inputs!$B$39="pvp",15,MAX(0.1,Skills!D11-IF(Skills!E11=TRUE,Inputs!$B$32,0))))))/Skills!H11,1)))/Inputs!$B$44),G195*Q195))*IF(Inputs!$B$39="pvp",1,1+(Inputs!$B$20+0+Skills!P11+B218)/100),0)</f>
        <v/>
      </c>
      <c r="V195">
        <f>IF(C195,(H195*N195*IF(AND(Inputs!$B$39&lt;&gt;"pvp",Inputs!$B$44&gt;0),((Skills!G11*((R195-1)*IF(Skills!H11&gt;0,Skills!I11/Skills!H11,1)+IF(Skills!H11&gt;0,MIN(Skills!I11,MAX(0,MAX(0,Inputs!$B$44-B228)-((R195-1)*IF(Inputs!$B$39="pvp",15,MAX(0.1,Skills!D11-IF(Skills!E11=TRUE,Inputs!$B$32,0))))))/Skills!H11,1)))/Inputs!$B$44),G195*Q195))*IF(Inputs!$B$39="pvp",1,(1+(Inputs!$B$21+Skills!Q11+B218)/100)*(MIN(Skills!W11,Inputs!$B$37))),0)</f>
        <v/>
      </c>
    </row>
    <row r="196">
      <c r="A196">
        <f>Skills!A12</f>
        <v/>
      </c>
      <c r="B196">
        <f>Skills!B12</f>
        <v/>
      </c>
      <c r="C196">
        <f>Inputs!$B$3&gt;=105</f>
        <v/>
      </c>
      <c r="D196">
        <f>IF(Skills!C12=1,60+Inputs!$B$25+Inputs!$B$29,IF(Skills!C12=2,90+Inputs!$B$26+Inputs!$B$29,IF(Skills!C12=3,120+Inputs!$B$27+Inputs!$B$29,MAX(0,(Inputs!$B$3-100)*3)+Inputs!$B$28+Inputs!$B$29)))</f>
        <v/>
      </c>
      <c r="E196">
        <f>INDEX(FactorTable!$B$2:$Y$301, MATCH(ROUND(MIN(300,MAX(1,D196)),0), FactorTable!$A$2:$A$301,0), Skills!M12+1)</f>
        <v/>
      </c>
      <c r="F196">
        <f>IF(Skills!N12=TRUE,(Skills!L12/10)*(E196/1000),Skills!L12/10)+Skills!O12</f>
        <v/>
      </c>
      <c r="G196">
        <f>Skills!G12*IF(Skills!H12&gt;0,Skills!I12/Skills!H12,1)</f>
        <v/>
      </c>
      <c r="H196">
        <f>1-(1-Skills!J12/100)^Skills!K12</f>
        <v/>
      </c>
      <c r="I196" t="inlineStr">
        <is>
          <t>1</t>
        </is>
      </c>
      <c r="J196">
        <f>((Inputs!$B$6*(1+Inputs!$B$7/100))+(((Inputs!$B$12*(1+Inputs!$B$13/100))-(Inputs!$B$12*(1+Inputs!$B$13/100)))+0.25*(Inputs!$B$14-Inputs!$B$14))*(1+Inputs!$B$7/100))*(F196/100)</f>
        <v/>
      </c>
      <c r="K196">
        <f>J196*(1+((Inputs!$B$12*(1+Inputs!$B$13/100))*0.01+Inputs!$B$14*0.0025)/100)*(1+(Inputs!$B$15+1)/100)*(1+Inputs!$B$16/100)*(5000/(6000+Inputs!$B$43*(1-Inputs!$B$19/100)))*(1+(Inputs!$B$24+((C214=TRUE)*(F214-Calc!F30)))/100)*(1+(IF(Skills!A12="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196)</f>
        <v/>
      </c>
      <c r="L196">
        <f>K196*(MIN(Inputs!$B$22+((C208=TRUE)*(F208-Calc!F24)),Inputs!$B$23+((C213=TRUE)*(F213-Calc!F29)))/100+(Inputs!$B$23+((C213=TRUE)*(F213-Calc!F29)))/100)/2</f>
        <v/>
      </c>
      <c r="M196">
        <f>L196*(1+(Inputs!$B$10+((C210=TRUE)*(F210-Calc!F26))+B224)/100)</f>
        <v/>
      </c>
      <c r="N196">
        <f>L196*(1-MIN((Inputs!$B$9+((C209=TRUE)*(F209-Calc!F25))+B217),100)/100)+M196*(MIN((Inputs!$B$9+((C209=TRUE)*(F209-Calc!F25))+B217),100)/100)</f>
        <v/>
      </c>
      <c r="O196">
        <f>(1-Summary!$B$55)*T196+Summary!$B$55*V196</f>
        <v/>
      </c>
      <c r="P196">
        <f>IF(B229=0,0,O196/B229)</f>
        <v/>
      </c>
      <c r="Q196">
        <f>IFERROR(1/IF(Inputs!$B$39="pvp",15,MAX(0.1,Skills!D12-IF(Skills!E12=TRUE,Inputs!$B$32,0))),0)</f>
        <v/>
      </c>
      <c r="R196">
        <f>IF(AND(Inputs!$B$39&lt;&gt;"pvp",Inputs!$B$44&gt;0),IF(MAX(0,Inputs!$B$44-B228)&lt;=0,0,(INT(MAX(0,Inputs!$B$44-B228)/IF(Inputs!$B$39="pvp",15,MAX(0.1,Skills!D12-IF(Skills!E12=TRUE,Inputs!$B$32,0))))+1)),0)</f>
        <v/>
      </c>
      <c r="S196">
        <f>IFERROR(O196/N196,0)</f>
        <v/>
      </c>
      <c r="T196">
        <f>IF(C196,(H196*N196*IF(AND(Inputs!$B$39&lt;&gt;"pvp",Inputs!$B$44&gt;0),((Skills!G12*((R196-1)*IF(Skills!H12&gt;0,Skills!I12/Skills!H12,1)+IF(Skills!H12&gt;0,MIN(Skills!I12,MAX(0,MAX(0,Inputs!$B$44-B228)-((R196-1)*IF(Inputs!$B$39="pvp",15,MAX(0.1,Skills!D12-IF(Skills!E12=TRUE,Inputs!$B$32,0))))))/Skills!H12,1)))/Inputs!$B$44),G196*Q196))*IF(Inputs!$B$39="pvp",1,1+(Inputs!$B$20+0+Skills!P12+B218)/100),0)</f>
        <v/>
      </c>
      <c r="V196">
        <f>IF(C196,(H196*N196*IF(AND(Inputs!$B$39&lt;&gt;"pvp",Inputs!$B$44&gt;0),((Skills!G12*((R196-1)*IF(Skills!H12&gt;0,Skills!I12/Skills!H12,1)+IF(Skills!H12&gt;0,MIN(Skills!I12,MAX(0,MAX(0,Inputs!$B$44-B228)-((R196-1)*IF(Inputs!$B$39="pvp",15,MAX(0.1,Skills!D12-IF(Skills!E12=TRUE,Inputs!$B$32,0))))))/Skills!H12,1)))/Inputs!$B$44),G196*Q196))*IF(Inputs!$B$39="pvp",1,(1+(Inputs!$B$21+Skills!Q12+B218)/100)*(MIN(Skills!W12,Inputs!$B$37))),0)</f>
        <v/>
      </c>
    </row>
    <row r="197">
      <c r="A197">
        <f>Skills!A13</f>
        <v/>
      </c>
      <c r="B197">
        <f>Skills!B13</f>
        <v/>
      </c>
      <c r="C197">
        <f>Inputs!$B$3&gt;=105</f>
        <v/>
      </c>
      <c r="D197">
        <f>IF(Skills!C13=1,60+Inputs!$B$25+Inputs!$B$29,IF(Skills!C13=2,90+Inputs!$B$26+Inputs!$B$29,IF(Skills!C13=3,120+Inputs!$B$27+Inputs!$B$29,MAX(0,(Inputs!$B$3-100)*3)+Inputs!$B$28+Inputs!$B$29)))</f>
        <v/>
      </c>
      <c r="E197">
        <f>INDEX(FactorTable!$B$2:$Y$301, MATCH(ROUND(MIN(300,MAX(1,D197)),0), FactorTable!$A$2:$A$301,0), Skills!M13+1)</f>
        <v/>
      </c>
      <c r="F197">
        <f>IF(Skills!N13=TRUE,(Skills!L13/10)*(E197/1000),Skills!L13/10)+Skills!O13</f>
        <v/>
      </c>
      <c r="G197">
        <f>Skills!G13*IF(Skills!H13&gt;0,Skills!I13/Skills!H13,1)</f>
        <v/>
      </c>
      <c r="H197">
        <f>1-(1-Skills!J13/100)^Skills!K13</f>
        <v/>
      </c>
      <c r="I197" t="inlineStr">
        <is>
          <t>1</t>
        </is>
      </c>
      <c r="J197">
        <f>((Inputs!$B$6*(1+Inputs!$B$7/100))+(((Inputs!$B$12*(1+Inputs!$B$13/100))-(Inputs!$B$12*(1+Inputs!$B$13/100)))+0.25*(Inputs!$B$14-Inputs!$B$14))*(1+Inputs!$B$7/100))*(F197/100)</f>
        <v/>
      </c>
      <c r="K197">
        <f>J197*(1+((Inputs!$B$12*(1+Inputs!$B$13/100))*0.01+Inputs!$B$14*0.0025)/100)*(1+(Inputs!$B$15+1)/100)*(1+Inputs!$B$16/100)*(5000/(6000+Inputs!$B$43*(1-Inputs!$B$19/100)))*(1+(Inputs!$B$24+((C214=TRUE)*(F214-Calc!F30)))/100)*(1+(IF(Skills!A13="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197)</f>
        <v/>
      </c>
      <c r="L197">
        <f>K197*(MIN(Inputs!$B$22+((C208=TRUE)*(F208-Calc!F24)),Inputs!$B$23+((C213=TRUE)*(F213-Calc!F29)))/100+(Inputs!$B$23+((C213=TRUE)*(F213-Calc!F29)))/100)/2</f>
        <v/>
      </c>
      <c r="M197">
        <f>L197*(1+(Inputs!$B$10+((C210=TRUE)*(F210-Calc!F26))+B224)/100)</f>
        <v/>
      </c>
      <c r="N197">
        <f>L197*(1-MIN((Inputs!$B$9+((C209=TRUE)*(F209-Calc!F25))+B217),100)/100)+M197*(MIN((Inputs!$B$9+((C209=TRUE)*(F209-Calc!F25))+B217),100)/100)</f>
        <v/>
      </c>
      <c r="O197">
        <f>(1-Summary!$B$55)*T197+Summary!$B$55*V197</f>
        <v/>
      </c>
      <c r="P197">
        <f>IF(B229=0,0,O197/B229)</f>
        <v/>
      </c>
      <c r="Q197">
        <f>IFERROR(1/IF(Inputs!$B$39="pvp",15,MAX(0.1,Skills!D13-IF(Skills!E13=TRUE,Inputs!$B$32,0))),0)</f>
        <v/>
      </c>
      <c r="R197">
        <f>IF(AND(Inputs!$B$39&lt;&gt;"pvp",Inputs!$B$44&gt;0),IF(MAX(0,Inputs!$B$44-B228)&lt;=0,0,(INT(MAX(0,Inputs!$B$44-B228)/IF(Inputs!$B$39="pvp",15,MAX(0.1,Skills!D13-IF(Skills!E13=TRUE,Inputs!$B$32,0))))+1)),0)</f>
        <v/>
      </c>
      <c r="S197">
        <f>IFERROR(O197/N197,0)</f>
        <v/>
      </c>
      <c r="T197">
        <f>IF(C197,(H197*N197*IF(AND(Inputs!$B$39&lt;&gt;"pvp",Inputs!$B$44&gt;0),((Skills!G13*((R197-1)*IF(Skills!H13&gt;0,Skills!I13/Skills!H13,1)+IF(Skills!H13&gt;0,MIN(Skills!I13,MAX(0,MAX(0,Inputs!$B$44-B228)-((R197-1)*IF(Inputs!$B$39="pvp",15,MAX(0.1,Skills!D13-IF(Skills!E13=TRUE,Inputs!$B$32,0))))))/Skills!H13,1)))/Inputs!$B$44),G197*Q197))*IF(Inputs!$B$39="pvp",1,1+(Inputs!$B$20+0+Skills!P13+B218)/100),0)</f>
        <v/>
      </c>
      <c r="V197">
        <f>IF(C197,(H197*N197*IF(AND(Inputs!$B$39&lt;&gt;"pvp",Inputs!$B$44&gt;0),((Skills!G13*((R197-1)*IF(Skills!H13&gt;0,Skills!I13/Skills!H13,1)+IF(Skills!H13&gt;0,MIN(Skills!I13,MAX(0,MAX(0,Inputs!$B$44-B228)-((R197-1)*IF(Inputs!$B$39="pvp",15,MAX(0.1,Skills!D13-IF(Skills!E13=TRUE,Inputs!$B$32,0))))))/Skills!H13,1)))/Inputs!$B$44),G197*Q197))*IF(Inputs!$B$39="pvp",1,(1+(Inputs!$B$21+Skills!Q13+B218)/100)*(MIN(Skills!W13,Inputs!$B$37))),0)</f>
        <v/>
      </c>
    </row>
    <row r="198">
      <c r="A198">
        <f>Skills!A14</f>
        <v/>
      </c>
      <c r="B198">
        <f>Skills!B14</f>
        <v/>
      </c>
      <c r="C198">
        <f>Inputs!$B$3&gt;=107</f>
        <v/>
      </c>
      <c r="D198">
        <f>IF(Skills!C14=1,60+Inputs!$B$25+Inputs!$B$29,IF(Skills!C14=2,90+Inputs!$B$26+Inputs!$B$29,IF(Skills!C14=3,120+Inputs!$B$27+Inputs!$B$29,MAX(0,(Inputs!$B$3-100)*3)+Inputs!$B$28+Inputs!$B$29)))</f>
        <v/>
      </c>
      <c r="E198">
        <f>INDEX(FactorTable!$B$2:$Y$301, MATCH(ROUND(MIN(300,MAX(1,D198)),0), FactorTable!$A$2:$A$301,0), Skills!M14+1)</f>
        <v/>
      </c>
      <c r="F198">
        <f>IF(Skills!N14=TRUE,(Skills!L14/10)*(E198/1000),Skills!L14/10)+Skills!O14</f>
        <v/>
      </c>
      <c r="G198">
        <f>Skills!G14*IF(Skills!H14&gt;0,Skills!I14/Skills!H14,1)</f>
        <v/>
      </c>
      <c r="H198">
        <f>1-(1-Skills!J14/100)^Skills!K14</f>
        <v/>
      </c>
      <c r="I198" t="inlineStr">
        <is>
          <t>1</t>
        </is>
      </c>
      <c r="J198">
        <f>((Inputs!$B$6*(1+Inputs!$B$7/100))+(((Inputs!$B$12*(1+Inputs!$B$13/100))-(Inputs!$B$12*(1+Inputs!$B$13/100)))+0.25*(Inputs!$B$14-Inputs!$B$14))*(1+Inputs!$B$7/100))*(F198/100)</f>
        <v/>
      </c>
      <c r="K198">
        <f>J198*(1+((Inputs!$B$12*(1+Inputs!$B$13/100))*0.01+Inputs!$B$14*0.0025)/100)*(1+(Inputs!$B$15+1)/100)*(1+Inputs!$B$16/100)*(5000/(6000+Inputs!$B$43*(1-Inputs!$B$19/100)))*(1+(Inputs!$B$24+((C214=TRUE)*(F214-Calc!F30)))/100)*(1+(IF(Skills!A14="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198)</f>
        <v/>
      </c>
      <c r="L198">
        <f>K198*(MIN(Inputs!$B$22+((C208=TRUE)*(F208-Calc!F24)),Inputs!$B$23+((C213=TRUE)*(F213-Calc!F29)))/100+(Inputs!$B$23+((C213=TRUE)*(F213-Calc!F29)))/100)/2</f>
        <v/>
      </c>
      <c r="M198">
        <f>L198*(1+(Inputs!$B$10+((C210=TRUE)*(F210-Calc!F26))+B224)/100)</f>
        <v/>
      </c>
      <c r="N198">
        <f>L198*(1-MIN((Inputs!$B$9+((C209=TRUE)*(F209-Calc!F25))+B217),100)/100)+M198*(MIN((Inputs!$B$9+((C209=TRUE)*(F209-Calc!F25))+B217),100)/100)</f>
        <v/>
      </c>
      <c r="O198">
        <f>(1-Summary!$B$55)*T198+Summary!$B$55*V198</f>
        <v/>
      </c>
      <c r="P198">
        <f>IF(B229=0,0,O198/B229)</f>
        <v/>
      </c>
      <c r="Q198">
        <f>IFERROR(1/IF(Inputs!$B$39="pvp",15,MAX(0.1,Skills!D14-IF(Skills!E14=TRUE,Inputs!$B$32,0))),0)</f>
        <v/>
      </c>
      <c r="R198">
        <f>IF(AND(Inputs!$B$39&lt;&gt;"pvp",Inputs!$B$44&gt;0),IF(MAX(0,Inputs!$B$44-B228)&lt;=0,0,(INT(MAX(0,Inputs!$B$44-B228)/IF(Inputs!$B$39="pvp",15,MAX(0.1,Skills!D14-IF(Skills!E14=TRUE,Inputs!$B$32,0))))+1)),0)</f>
        <v/>
      </c>
      <c r="S198">
        <f>IFERROR(O198/N198,0)</f>
        <v/>
      </c>
      <c r="T198">
        <f>IF(C198,(H198*N198*IF(AND(Inputs!$B$39&lt;&gt;"pvp",Inputs!$B$44&gt;0),((Skills!G14*((R198-1)*IF(Skills!H14&gt;0,Skills!I14/Skills!H14,1)+IF(Skills!H14&gt;0,MIN(Skills!I14,MAX(0,MAX(0,Inputs!$B$44-B228)-((R198-1)*IF(Inputs!$B$39="pvp",15,MAX(0.1,Skills!D14-IF(Skills!E14=TRUE,Inputs!$B$32,0))))))/Skills!H14,1)))/Inputs!$B$44),G198*Q198))*IF(Inputs!$B$39="pvp",1,1+(Inputs!$B$20+0+Skills!P14+B218)/100),0)</f>
        <v/>
      </c>
      <c r="V198">
        <f>IF(C198,(H198*N198*IF(AND(Inputs!$B$39&lt;&gt;"pvp",Inputs!$B$44&gt;0),((Skills!G14*((R198-1)*IF(Skills!H14&gt;0,Skills!I14/Skills!H14,1)+IF(Skills!H14&gt;0,MIN(Skills!I14,MAX(0,MAX(0,Inputs!$B$44-B228)-((R198-1)*IF(Inputs!$B$39="pvp",15,MAX(0.1,Skills!D14-IF(Skills!E14=TRUE,Inputs!$B$32,0))))))/Skills!H14,1)))/Inputs!$B$44),G198*Q198))*IF(Inputs!$B$39="pvp",1,(1+(Inputs!$B$21+Skills!Q14+B218)/100)*(MIN(MIN(5,0.25*B221*Skills!D4)*Skills!V14,Inputs!$B$37))),0)</f>
        <v/>
      </c>
    </row>
    <row r="199">
      <c r="A199">
        <f>Skills!A15</f>
        <v/>
      </c>
      <c r="B199">
        <f>Skills!B15</f>
        <v/>
      </c>
      <c r="C199">
        <f>Inputs!$B$3&gt;=110</f>
        <v/>
      </c>
      <c r="D199">
        <f>IF(Skills!C15=1,60+Inputs!$B$25+Inputs!$B$29,IF(Skills!C15=2,90+Inputs!$B$26+Inputs!$B$29,IF(Skills!C15=3,120+Inputs!$B$27+Inputs!$B$29,MAX(0,(Inputs!$B$3-100)*3)+Inputs!$B$28+Inputs!$B$29)))</f>
        <v/>
      </c>
      <c r="E199">
        <f>INDEX(FactorTable!$B$2:$Y$301, MATCH(ROUND(MIN(300,MAX(1,D199)),0), FactorTable!$A$2:$A$301,0), Skills!M15+1)</f>
        <v/>
      </c>
      <c r="F199">
        <f>IF(Skills!N15=TRUE,(Skills!L15/10)*(E199/1000),Skills!L15/10)+Skills!O15</f>
        <v/>
      </c>
      <c r="G199">
        <f>Skills!G15*IF(Skills!H15&gt;0,Skills!I15/Skills!H15,1)</f>
        <v/>
      </c>
      <c r="H199">
        <f>1-(1-Skills!J15/100)^Skills!K15</f>
        <v/>
      </c>
      <c r="I199" t="inlineStr">
        <is>
          <t>1</t>
        </is>
      </c>
      <c r="J199" t="inlineStr"/>
      <c r="K199" t="inlineStr"/>
      <c r="L199" t="inlineStr"/>
      <c r="M199" t="inlineStr"/>
      <c r="N199" t="inlineStr"/>
      <c r="O199">
        <f>(1-Summary!$B$55)*T199+Summary!$B$55*V199</f>
        <v/>
      </c>
      <c r="P199">
        <f>IF(B229=0,0,O199/B229)</f>
        <v/>
      </c>
      <c r="Q199">
        <f>IFERROR(1/IF(Inputs!$B$39="pvp",15,MAX(0.1,Skills!D15-IF(Skills!E15=TRUE,Inputs!$B$32,0))),0)</f>
        <v/>
      </c>
      <c r="R199">
        <f>IF(AND(Inputs!$B$39&lt;&gt;"pvp",Inputs!$B$44&gt;0),IF(Inputs!$B$44&lt;=0,0,(INT(Inputs!$B$44/IF(Inputs!$B$39="pvp",15,MAX(0.1,Skills!D15-IF(Skills!E15=TRUE,Inputs!$B$32,0))))+1)),0)</f>
        <v/>
      </c>
      <c r="S199">
        <f>IFERROR(O199/N199,0)</f>
        <v/>
      </c>
      <c r="T199" t="n">
        <v>0</v>
      </c>
      <c r="V199" t="n">
        <v>0</v>
      </c>
    </row>
    <row r="200">
      <c r="A200">
        <f>Skills!A16</f>
        <v/>
      </c>
      <c r="B200">
        <f>Skills!B16</f>
        <v/>
      </c>
      <c r="C200">
        <f>Inputs!$B$3&gt;=115</f>
        <v/>
      </c>
      <c r="D200">
        <f>IF(Skills!C16=1,60+Inputs!$B$25+Inputs!$B$29,IF(Skills!C16=2,90+Inputs!$B$26+Inputs!$B$29,IF(Skills!C16=3,120+Inputs!$B$27+Inputs!$B$29,MAX(0,(Inputs!$B$3-100)*3)+Inputs!$B$28+Inputs!$B$29)))</f>
        <v/>
      </c>
      <c r="E200">
        <f>INDEX(FactorTable!$B$2:$Y$301, MATCH(ROUND(MIN(300,MAX(1,D200)),0), FactorTable!$A$2:$A$301,0), Skills!M16+1)</f>
        <v/>
      </c>
      <c r="F200">
        <f>IF(Skills!N16=TRUE,(Skills!L16/10)*(E200/1000),Skills!L16/10)+Skills!O16</f>
        <v/>
      </c>
      <c r="G200">
        <f>Skills!G16*IF(Skills!H16&gt;0,Skills!I16/Skills!H16,1)</f>
        <v/>
      </c>
      <c r="H200">
        <f>1-(1-Skills!J16/100)^Skills!K16</f>
        <v/>
      </c>
      <c r="I200" t="inlineStr">
        <is>
          <t>1</t>
        </is>
      </c>
      <c r="J200">
        <f>((Inputs!$B$6*(1+Inputs!$B$7/100))+(((Inputs!$B$12*(1+Inputs!$B$13/100))-(Inputs!$B$12*(1+Inputs!$B$13/100)))+0.25*(Inputs!$B$14-Inputs!$B$14))*(1+Inputs!$B$7/100))*(F200/100)</f>
        <v/>
      </c>
      <c r="K200">
        <f>J200*(1+((Inputs!$B$12*(1+Inputs!$B$13/100))*0.01+Inputs!$B$14*0.0025)/100)*(1+(Inputs!$B$15+1)/100)*(1+Inputs!$B$16/100)*(5000/(6000+Inputs!$B$43*(1-Inputs!$B$19/100)))*(1+(Inputs!$B$24+((C214=TRUE)*(F214-Calc!F30)))/100)*(1+(IF(Skills!A16="CRUEL_STAB",Inputs!$B$17+((C211=TRUE)*(F211-Calc!F27)),Inputs!$B$18+((C212=TRUE)*(F212-Calc!F28))))/100)*(((1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B219*I200)</f>
        <v/>
      </c>
      <c r="L200">
        <f>K200*(MIN(Inputs!$B$22+((C208=TRUE)*(F208-Calc!F24)),Inputs!$B$23+((C213=TRUE)*(F213-Calc!F29)))/100+(Inputs!$B$23+((C213=TRUE)*(F213-Calc!F29)))/100)/2</f>
        <v/>
      </c>
      <c r="M200">
        <f>L200*(1+(Inputs!$B$10+((C210=TRUE)*(F210-Calc!F26))+B224)/100)</f>
        <v/>
      </c>
      <c r="N200">
        <f>L200*(1-MIN((Inputs!$B$9+((C209=TRUE)*(F209-Calc!F25))+B217),100)/100)+M200*(MIN((Inputs!$B$9+((C209=TRUE)*(F209-Calc!F25))+B217),100)/100)</f>
        <v/>
      </c>
      <c r="O200">
        <f>(1-Summary!$B$55)*T200+Summary!$B$55*V200</f>
        <v/>
      </c>
      <c r="P200">
        <f>IF(B229=0,0,O200/B229)</f>
        <v/>
      </c>
      <c r="Q200" t="n">
        <v>0</v>
      </c>
      <c r="R200" t="n">
        <v>0</v>
      </c>
      <c r="S200">
        <f>IFERROR(O200/N200,0)</f>
        <v/>
      </c>
      <c r="T200">
        <f>IF(C200,(Inputs!$B$38*0.2*N200)*IF(Inputs!$B$39="pvp",1,1+(Inputs!$B$20+0+Skills!P16+B218)/100),0)</f>
        <v/>
      </c>
      <c r="V200">
        <f>IF(C200,(Inputs!$B$38*0.2*N200)*IF(Inputs!$B$39="pvp",1,(1+(Inputs!$B$21+Skills!Q16+B218)/100)*(MIN(Skills!W16,Inputs!$B$37))),0)</f>
        <v/>
      </c>
    </row>
    <row r="201">
      <c r="A201">
        <f>Skills!A17</f>
        <v/>
      </c>
      <c r="B201">
        <f>Skills!B17</f>
        <v/>
      </c>
      <c r="C201">
        <f>Inputs!$B$3&gt;=115</f>
        <v/>
      </c>
      <c r="D201">
        <f>IF(Skills!C17=1,60+Inputs!$B$25+Inputs!$B$29,IF(Skills!C17=2,90+Inputs!$B$26+Inputs!$B$29,IF(Skills!C17=3,120+Inputs!$B$27+Inputs!$B$29,MAX(0,(Inputs!$B$3-100)*3)+Inputs!$B$28+Inputs!$B$29)))</f>
        <v/>
      </c>
      <c r="E201">
        <f>INDEX(FactorTable!$B$2:$Y$301, MATCH(ROUND(MIN(300,MAX(1,D201)),0), FactorTable!$A$2:$A$301,0), Skills!M17+1)</f>
        <v/>
      </c>
      <c r="F201">
        <f>IF(Skills!N17=TRUE,(Skills!L17/10)*(E201/1000),Skills!L17/10)+Skills!O17</f>
        <v/>
      </c>
      <c r="G201">
        <f>Skills!G17*IF(Skills!H17&gt;0,Skills!I17/Skills!H17,1)</f>
        <v/>
      </c>
      <c r="H201">
        <f>1-(1-Skills!J17/100)^Skills!K17</f>
        <v/>
      </c>
      <c r="I201" t="inlineStr">
        <is>
          <t>1</t>
        </is>
      </c>
      <c r="J201" t="inlineStr"/>
      <c r="K201" t="inlineStr"/>
      <c r="L201" t="inlineStr"/>
      <c r="M201" t="inlineStr"/>
      <c r="N201" t="inlineStr"/>
      <c r="O201">
        <f>(1-Summary!$B$55)*T201+Summary!$B$55*V201</f>
        <v/>
      </c>
      <c r="P201">
        <f>IF(B229=0,0,O201/B229)</f>
        <v/>
      </c>
      <c r="Q201" t="n">
        <v>0</v>
      </c>
      <c r="R201" t="n">
        <v>0</v>
      </c>
      <c r="S201">
        <f>IFERROR(O201/N201,0)</f>
        <v/>
      </c>
      <c r="T201" t="n">
        <v>0</v>
      </c>
      <c r="V201" t="n">
        <v>0</v>
      </c>
    </row>
    <row r="202">
      <c r="A202">
        <f>Skills!A18</f>
        <v/>
      </c>
      <c r="B202">
        <f>Skills!B18</f>
        <v/>
      </c>
      <c r="C202">
        <f>Inputs!$B$3&gt;=100</f>
        <v/>
      </c>
      <c r="D202">
        <f>IF(Skills!C18=1,60+Inputs!$B$25+Inputs!$B$29,IF(Skills!C18=2,90+Inputs!$B$26+Inputs!$B$29,IF(Skills!C18=3,120+Inputs!$B$27+Inputs!$B$29,MAX(0,(Inputs!$B$3-100)*3)+Inputs!$B$28+Inputs!$B$29)))</f>
        <v/>
      </c>
      <c r="E202">
        <f>INDEX(FactorTable!$B$2:$Y$301, MATCH(ROUND(MIN(300,MAX(1,D202)),0), FactorTable!$A$2:$A$301,0), Skills!M18+1)</f>
        <v/>
      </c>
      <c r="F202">
        <f>IF(Skills!N18=TRUE,(Skills!L18/10)*(E202/1000),Skills!L18/10)+Skills!O18</f>
        <v/>
      </c>
      <c r="G202">
        <f>Skills!G18*IF(Skills!H18&gt;0,Skills!I18/Skills!H18,1)</f>
        <v/>
      </c>
      <c r="H202">
        <f>1-(1-Skills!J18/100)^Skills!K18</f>
        <v/>
      </c>
      <c r="I202" t="inlineStr">
        <is>
          <t>1</t>
        </is>
      </c>
      <c r="J202" t="inlineStr"/>
      <c r="K202" t="inlineStr"/>
      <c r="L202" t="inlineStr"/>
      <c r="M202" t="inlineStr"/>
      <c r="N202" t="inlineStr"/>
      <c r="O202">
        <f>(1-Summary!$B$55)*T202+Summary!$B$55*V202</f>
        <v/>
      </c>
      <c r="P202">
        <f>IF(B229=0,0,O202/B229)</f>
        <v/>
      </c>
      <c r="Q202" t="n">
        <v>0</v>
      </c>
      <c r="R202" t="n">
        <v>0</v>
      </c>
      <c r="S202">
        <f>IFERROR(O202/N202,0)</f>
        <v/>
      </c>
      <c r="T202" t="n">
        <v>0</v>
      </c>
      <c r="V202" t="n">
        <v>0</v>
      </c>
    </row>
    <row r="203">
      <c r="A203">
        <f>Skills!A19</f>
        <v/>
      </c>
      <c r="B203">
        <f>Skills!B19</f>
        <v/>
      </c>
      <c r="C203">
        <f>TRUE</f>
        <v/>
      </c>
      <c r="D203">
        <f>IF(Skills!C19=1,60+Inputs!$B$25+Inputs!$B$29,IF(Skills!C19=2,90+Inputs!$B$26+Inputs!$B$29,IF(Skills!C19=3,120+Inputs!$B$27+Inputs!$B$29,MAX(0,(Inputs!$B$3-100)*3)+Inputs!$B$28+Inputs!$B$29)))</f>
        <v/>
      </c>
      <c r="E203">
        <f>INDEX(FactorTable!$B$2:$Y$301, MATCH(ROUND(MIN(300,MAX(1,D203)),0), FactorTable!$A$2:$A$301,0), Skills!M19+1)</f>
        <v/>
      </c>
      <c r="F203">
        <f>IF(Skills!N19=TRUE,(Skills!L19/10)*(E203/1000),Skills!L19/10)+Skills!O19</f>
        <v/>
      </c>
      <c r="G203">
        <f>Skills!G19*IF(Skills!H19&gt;0,Skills!I19/Skills!H19,1)</f>
        <v/>
      </c>
      <c r="H203">
        <f>1-(1-Skills!J19/100)^Skills!K19</f>
        <v/>
      </c>
      <c r="I203" t="inlineStr">
        <is>
          <t>1</t>
        </is>
      </c>
      <c r="J203" t="inlineStr"/>
      <c r="K203" t="inlineStr"/>
      <c r="L203" t="inlineStr"/>
      <c r="M203" t="inlineStr"/>
      <c r="N203" t="inlineStr"/>
      <c r="O203">
        <f>(1-Summary!$B$55)*T203+Summary!$B$55*V203</f>
        <v/>
      </c>
      <c r="P203">
        <f>IF(B229=0,0,O203/B229)</f>
        <v/>
      </c>
      <c r="Q203">
        <f>IFERROR(1/IF(Inputs!$B$39="pvp",15,MAX(0.1,Skills!D19-IF(Skills!E19=TRUE,Inputs!$B$32,0))),0)</f>
        <v/>
      </c>
      <c r="R203">
        <f>IF(AND(Inputs!$B$39&lt;&gt;"pvp",Inputs!$B$44&gt;0),IF(Inputs!$B$44&lt;=0,0,(INT(Inputs!$B$44/IF(Inputs!$B$39="pvp",15,MAX(0.1,Skills!D19-IF(Skills!E19=TRUE,Inputs!$B$32,0))))+1)),0)</f>
        <v/>
      </c>
      <c r="S203">
        <f>IFERROR(O203/N203,0)</f>
        <v/>
      </c>
      <c r="T203" t="n">
        <v>0</v>
      </c>
      <c r="V203" t="n">
        <v>0</v>
      </c>
    </row>
    <row r="204">
      <c r="A204">
        <f>Skills!A20</f>
        <v/>
      </c>
      <c r="B204">
        <f>Skills!B20</f>
        <v/>
      </c>
      <c r="C204">
        <f>Inputs!$B$3&gt;=15</f>
        <v/>
      </c>
      <c r="D204">
        <f>IF(Skills!C20=1,60+Inputs!$B$25+Inputs!$B$29,IF(Skills!C20=2,90+Inputs!$B$26+Inputs!$B$29,IF(Skills!C20=3,120+Inputs!$B$27+Inputs!$B$29,MAX(0,(Inputs!$B$3-100)*3)+Inputs!$B$28+Inputs!$B$29)))</f>
        <v/>
      </c>
      <c r="E204">
        <f>INDEX(FactorTable!$B$2:$Y$301, MATCH(ROUND(MIN(300,MAX(1,D204)),0), FactorTable!$A$2:$A$301,0), Skills!M20+1)</f>
        <v/>
      </c>
      <c r="F204">
        <f>IF(Skills!N20=TRUE,(Skills!L20/10)*(E204/1000),Skills!L20/10)+Skills!O20</f>
        <v/>
      </c>
      <c r="G204">
        <f>Skills!G20*IF(Skills!H20&gt;0,Skills!I20/Skills!H20,1)</f>
        <v/>
      </c>
      <c r="H204">
        <f>1-(1-Skills!J20/100)^Skills!K20</f>
        <v/>
      </c>
      <c r="I204" t="inlineStr">
        <is>
          <t>1</t>
        </is>
      </c>
      <c r="J204" t="inlineStr"/>
      <c r="K204" t="inlineStr"/>
      <c r="L204" t="inlineStr"/>
      <c r="M204" t="inlineStr"/>
      <c r="N204" t="inlineStr"/>
      <c r="O204">
        <f>(1-Summary!$B$55)*T204+Summary!$B$55*V204</f>
        <v/>
      </c>
      <c r="P204">
        <f>IF(B229=0,0,O204/B229)</f>
        <v/>
      </c>
      <c r="Q204">
        <f>IFERROR(1/IF(Inputs!$B$39="pvp",15,MAX(0.1,Skills!D20-IF(Skills!E20=TRUE,Inputs!$B$32,0))),0)</f>
        <v/>
      </c>
      <c r="R204">
        <f>IF(AND(Inputs!$B$39&lt;&gt;"pvp",Inputs!$B$44&gt;0),IF(Inputs!$B$44&lt;=0,0,(INT(Inputs!$B$44/IF(Inputs!$B$39="pvp",15,MAX(0.1,Skills!D20-IF(Skills!E20=TRUE,Inputs!$B$32,0))))+1)),0)</f>
        <v/>
      </c>
      <c r="S204">
        <f>IFERROR(O204/N204,0)</f>
        <v/>
      </c>
      <c r="T204" t="n">
        <v>0</v>
      </c>
      <c r="V204" t="n">
        <v>0</v>
      </c>
    </row>
    <row r="205">
      <c r="A205">
        <f>Skills!A21</f>
        <v/>
      </c>
      <c r="B205">
        <f>Skills!B21</f>
        <v/>
      </c>
      <c r="C205">
        <f>Inputs!$B$3&gt;=15</f>
        <v/>
      </c>
      <c r="D205">
        <f>IF(Skills!C21=1,60+Inputs!$B$25+Inputs!$B$29,IF(Skills!C21=2,90+Inputs!$B$26+Inputs!$B$29,IF(Skills!C21=3,120+Inputs!$B$27+Inputs!$B$29,MAX(0,(Inputs!$B$3-100)*3)+Inputs!$B$28+Inputs!$B$29)))</f>
        <v/>
      </c>
      <c r="E205">
        <f>INDEX(FactorTable!$B$2:$Y$301, MATCH(ROUND(MIN(300,MAX(1,D205)),0), FactorTable!$A$2:$A$301,0), Skills!M21+1)</f>
        <v/>
      </c>
      <c r="F205">
        <f>IF(Skills!N21=TRUE,(Skills!L21/10)*(E205/1000),Skills!L21/10)+Skills!O21</f>
        <v/>
      </c>
      <c r="G205">
        <f>Skills!G21*IF(Skills!H21&gt;0,Skills!I21/Skills!H21,1)</f>
        <v/>
      </c>
      <c r="H205">
        <f>1-(1-Skills!J21/100)^Skills!K21</f>
        <v/>
      </c>
      <c r="I205" t="inlineStr">
        <is>
          <t>1</t>
        </is>
      </c>
      <c r="J205" t="inlineStr"/>
      <c r="K205" t="inlineStr"/>
      <c r="L205" t="inlineStr"/>
      <c r="M205" t="inlineStr"/>
      <c r="N205" t="inlineStr"/>
      <c r="O205">
        <f>(1-Summary!$B$55)*T205+Summary!$B$55*V205</f>
        <v/>
      </c>
      <c r="P205">
        <f>IF(B229=0,0,O205/B229)</f>
        <v/>
      </c>
      <c r="Q205">
        <f>IFERROR(1/IF(Inputs!$B$39="pvp",15,MAX(0.1,Skills!D21-IF(Skills!E21=TRUE,Inputs!$B$32,0))),0)</f>
        <v/>
      </c>
      <c r="R205">
        <f>IF(AND(Inputs!$B$39&lt;&gt;"pvp",Inputs!$B$44&gt;0),IF(Inputs!$B$44&lt;=0,0,(INT(Inputs!$B$44/IF(Inputs!$B$39="pvp",15,MAX(0.1,Skills!D21-IF(Skills!E21=TRUE,Inputs!$B$32,0))))+1)),0)</f>
        <v/>
      </c>
      <c r="S205">
        <f>IFERROR(O205/N205,0)</f>
        <v/>
      </c>
      <c r="T205" t="n">
        <v>0</v>
      </c>
      <c r="V205" t="n">
        <v>0</v>
      </c>
    </row>
    <row r="206">
      <c r="A206">
        <f>Skills!A22</f>
        <v/>
      </c>
      <c r="B206">
        <f>Skills!B22</f>
        <v/>
      </c>
      <c r="C206">
        <f>Inputs!$B$3&gt;=33</f>
        <v/>
      </c>
      <c r="D206">
        <f>IF(Skills!C22=1,60+Inputs!$B$25+Inputs!$B$29,IF(Skills!C22=2,90+Inputs!$B$26+Inputs!$B$29,IF(Skills!C22=3,120+Inputs!$B$27+Inputs!$B$29,MAX(0,(Inputs!$B$3-100)*3)+Inputs!$B$28+Inputs!$B$29)))</f>
        <v/>
      </c>
      <c r="E206">
        <f>INDEX(FactorTable!$B$2:$Y$301, MATCH(ROUND(MIN(300,MAX(1,D206)),0), FactorTable!$A$2:$A$301,0), Skills!M22+1)</f>
        <v/>
      </c>
      <c r="F206">
        <f>IF(Skills!N22=TRUE,(Skills!L22/10)*(E206/1000),Skills!L22/10)+Skills!O22</f>
        <v/>
      </c>
      <c r="G206">
        <f>Skills!G22*IF(Skills!H22&gt;0,Skills!I22/Skills!H22,1)</f>
        <v/>
      </c>
      <c r="H206">
        <f>1-(1-Skills!J22/100)^Skills!K22</f>
        <v/>
      </c>
      <c r="I206" t="inlineStr">
        <is>
          <t>1</t>
        </is>
      </c>
      <c r="J206" t="inlineStr"/>
      <c r="K206" t="inlineStr"/>
      <c r="L206" t="inlineStr"/>
      <c r="M206" t="inlineStr"/>
      <c r="N206" t="inlineStr"/>
      <c r="O206">
        <f>(1-Summary!$B$55)*T206+Summary!$B$55*V206</f>
        <v/>
      </c>
      <c r="P206">
        <f>IF(B229=0,0,O206/B229)</f>
        <v/>
      </c>
      <c r="Q206" t="n">
        <v>0</v>
      </c>
      <c r="R206" t="n">
        <v>0</v>
      </c>
      <c r="S206">
        <f>IFERROR(O206/N206,0)</f>
        <v/>
      </c>
      <c r="T206" t="n">
        <v>0</v>
      </c>
      <c r="V206" t="n">
        <v>0</v>
      </c>
    </row>
    <row r="207">
      <c r="A207">
        <f>Skills!A23</f>
        <v/>
      </c>
      <c r="B207">
        <f>Skills!B23</f>
        <v/>
      </c>
      <c r="C207">
        <f>Inputs!$B$3&gt;=40</f>
        <v/>
      </c>
      <c r="D207">
        <f>IF(Skills!C23=1,60+Inputs!$B$25+Inputs!$B$29,IF(Skills!C23=2,90+Inputs!$B$26+Inputs!$B$29,IF(Skills!C23=3,120+Inputs!$B$27+Inputs!$B$29,MAX(0,(Inputs!$B$3-100)*3)+Inputs!$B$28+Inputs!$B$29)))</f>
        <v/>
      </c>
      <c r="E207">
        <f>INDEX(FactorTable!$B$2:$Y$301, MATCH(ROUND(MIN(300,MAX(1,D207)),0), FactorTable!$A$2:$A$301,0), Skills!M23+1)</f>
        <v/>
      </c>
      <c r="F207">
        <f>IF(Skills!N23=TRUE,(Skills!L23/10)*(E207/1000),Skills!L23/10)+Skills!O23</f>
        <v/>
      </c>
      <c r="G207">
        <f>Skills!G23*IF(Skills!H23&gt;0,Skills!I23/Skills!H23,1)</f>
        <v/>
      </c>
      <c r="H207">
        <f>1-(1-Skills!J23/100)^Skills!K23</f>
        <v/>
      </c>
      <c r="I207" t="inlineStr">
        <is>
          <t>1</t>
        </is>
      </c>
      <c r="J207" t="inlineStr"/>
      <c r="K207" t="inlineStr"/>
      <c r="L207" t="inlineStr"/>
      <c r="M207" t="inlineStr"/>
      <c r="N207" t="inlineStr"/>
      <c r="O207">
        <f>(1-Summary!$B$55)*T207+Summary!$B$55*V207</f>
        <v/>
      </c>
      <c r="P207">
        <f>IF(B229=0,0,O207/B229)</f>
        <v/>
      </c>
      <c r="Q207" t="n">
        <v>0</v>
      </c>
      <c r="R207" t="n">
        <v>0</v>
      </c>
      <c r="S207">
        <f>IFERROR(O207/N207,0)</f>
        <v/>
      </c>
      <c r="T207" t="n">
        <v>0</v>
      </c>
      <c r="V207" t="n">
        <v>0</v>
      </c>
    </row>
    <row r="208">
      <c r="A208">
        <f>Skills!A24</f>
        <v/>
      </c>
      <c r="B208">
        <f>Skills!B24</f>
        <v/>
      </c>
      <c r="C208">
        <f>Inputs!$B$3&gt;=43</f>
        <v/>
      </c>
      <c r="D208">
        <f>IF(Skills!C24=1,60+Inputs!$B$25+Inputs!$B$29,IF(Skills!C24=2,90+Inputs!$B$26+Inputs!$B$29,IF(Skills!C24=3,120+Inputs!$B$27+Inputs!$B$29,MAX(0,(Inputs!$B$3-100)*3)+Inputs!$B$28+Inputs!$B$29)))</f>
        <v/>
      </c>
      <c r="E208">
        <f>INDEX(FactorTable!$B$2:$Y$301, MATCH(ROUND(MIN(300,MAX(1,D208)),0), FactorTable!$A$2:$A$301,0), Skills!M24+1)</f>
        <v/>
      </c>
      <c r="F208">
        <f>IF(Skills!N24=TRUE,(Skills!L24/10)*(E208/1000),Skills!L24/10)+Skills!O24</f>
        <v/>
      </c>
      <c r="G208">
        <f>Skills!G24*IF(Skills!H24&gt;0,Skills!I24/Skills!H24,1)</f>
        <v/>
      </c>
      <c r="H208">
        <f>1-(1-Skills!J24/100)^Skills!K24</f>
        <v/>
      </c>
      <c r="I208" t="inlineStr">
        <is>
          <t>1</t>
        </is>
      </c>
      <c r="J208" t="inlineStr"/>
      <c r="K208" t="inlineStr"/>
      <c r="L208" t="inlineStr"/>
      <c r="M208" t="inlineStr"/>
      <c r="N208" t="inlineStr"/>
      <c r="O208">
        <f>(1-Summary!$B$55)*T208+Summary!$B$55*V208</f>
        <v/>
      </c>
      <c r="P208">
        <f>IF(B229=0,0,O208/B229)</f>
        <v/>
      </c>
      <c r="Q208" t="n">
        <v>0</v>
      </c>
      <c r="R208" t="n">
        <v>0</v>
      </c>
      <c r="S208">
        <f>IFERROR(O208/N208,0)</f>
        <v/>
      </c>
      <c r="T208" t="n">
        <v>0</v>
      </c>
      <c r="V208" t="n">
        <v>0</v>
      </c>
    </row>
    <row r="209">
      <c r="A209">
        <f>Skills!A25</f>
        <v/>
      </c>
      <c r="B209">
        <f>Skills!B25</f>
        <v/>
      </c>
      <c r="C209">
        <f>Inputs!$B$3&gt;=50</f>
        <v/>
      </c>
      <c r="D209">
        <f>IF(Skills!C25=1,60+Inputs!$B$25+Inputs!$B$29,IF(Skills!C25=2,90+Inputs!$B$26+Inputs!$B$29,IF(Skills!C25=3,120+Inputs!$B$27+Inputs!$B$29,MAX(0,(Inputs!$B$3-100)*3)+Inputs!$B$28+Inputs!$B$29)))</f>
        <v/>
      </c>
      <c r="E209">
        <f>INDEX(FactorTable!$B$2:$Y$301, MATCH(ROUND(MIN(300,MAX(1,D209)),0), FactorTable!$A$2:$A$301,0), Skills!M25+1)</f>
        <v/>
      </c>
      <c r="F209">
        <f>IF(Skills!N25=TRUE,(Skills!L25/10)*(E209/1000),Skills!L25/10)+Skills!O25</f>
        <v/>
      </c>
      <c r="G209">
        <f>Skills!G25*IF(Skills!H25&gt;0,Skills!I25/Skills!H25,1)</f>
        <v/>
      </c>
      <c r="H209">
        <f>1-(1-Skills!J25/100)^Skills!K25</f>
        <v/>
      </c>
      <c r="I209" t="inlineStr">
        <is>
          <t>1</t>
        </is>
      </c>
      <c r="J209" t="inlineStr"/>
      <c r="K209" t="inlineStr"/>
      <c r="L209" t="inlineStr"/>
      <c r="M209" t="inlineStr"/>
      <c r="N209" t="inlineStr"/>
      <c r="O209">
        <f>(1-Summary!$B$55)*T209+Summary!$B$55*V209</f>
        <v/>
      </c>
      <c r="P209">
        <f>IF(B229=0,0,O209/B229)</f>
        <v/>
      </c>
      <c r="Q209" t="n">
        <v>0</v>
      </c>
      <c r="R209" t="n">
        <v>0</v>
      </c>
      <c r="S209">
        <f>IFERROR(O209/N209,0)</f>
        <v/>
      </c>
      <c r="T209" t="n">
        <v>0</v>
      </c>
      <c r="V209" t="n">
        <v>0</v>
      </c>
    </row>
    <row r="210">
      <c r="A210">
        <f>Skills!A26</f>
        <v/>
      </c>
      <c r="B210">
        <f>Skills!B26</f>
        <v/>
      </c>
      <c r="C210">
        <f>Inputs!$B$3&gt;=50</f>
        <v/>
      </c>
      <c r="D210">
        <f>IF(Skills!C26=1,60+Inputs!$B$25+Inputs!$B$29,IF(Skills!C26=2,90+Inputs!$B$26+Inputs!$B$29,IF(Skills!C26=3,120+Inputs!$B$27+Inputs!$B$29,MAX(0,(Inputs!$B$3-100)*3)+Inputs!$B$28+Inputs!$B$29)))</f>
        <v/>
      </c>
      <c r="E210">
        <f>INDEX(FactorTable!$B$2:$Y$301, MATCH(ROUND(MIN(300,MAX(1,D210)),0), FactorTable!$A$2:$A$301,0), Skills!M26+1)</f>
        <v/>
      </c>
      <c r="F210">
        <f>IF(Skills!N26=TRUE,(Skills!L26/10)*(E210/1000),Skills!L26/10)+Skills!O26</f>
        <v/>
      </c>
      <c r="G210">
        <f>Skills!G26*IF(Skills!H26&gt;0,Skills!I26/Skills!H26,1)</f>
        <v/>
      </c>
      <c r="H210">
        <f>1-(1-Skills!J26/100)^Skills!K26</f>
        <v/>
      </c>
      <c r="I210" t="inlineStr">
        <is>
          <t>1</t>
        </is>
      </c>
      <c r="J210" t="inlineStr"/>
      <c r="K210" t="inlineStr"/>
      <c r="L210" t="inlineStr"/>
      <c r="M210" t="inlineStr"/>
      <c r="N210" t="inlineStr"/>
      <c r="O210">
        <f>(1-Summary!$B$55)*T210+Summary!$B$55*V210</f>
        <v/>
      </c>
      <c r="P210">
        <f>IF(B229=0,0,O210/B229)</f>
        <v/>
      </c>
      <c r="Q210" t="n">
        <v>0</v>
      </c>
      <c r="R210" t="n">
        <v>0</v>
      </c>
      <c r="S210">
        <f>IFERROR(O210/N210,0)</f>
        <v/>
      </c>
      <c r="T210" t="n">
        <v>0</v>
      </c>
      <c r="V210" t="n">
        <v>0</v>
      </c>
    </row>
    <row r="211">
      <c r="A211">
        <f>Skills!A27</f>
        <v/>
      </c>
      <c r="B211">
        <f>Skills!B27</f>
        <v/>
      </c>
      <c r="C211">
        <f>Inputs!$B$3&gt;=38</f>
        <v/>
      </c>
      <c r="D211">
        <f>IF(Skills!C27=1,60+Inputs!$B$25+Inputs!$B$29,IF(Skills!C27=2,90+Inputs!$B$26+Inputs!$B$29,IF(Skills!C27=3,120+Inputs!$B$27+Inputs!$B$29,MAX(0,(Inputs!$B$3-100)*3)+Inputs!$B$28+Inputs!$B$29)))</f>
        <v/>
      </c>
      <c r="E211">
        <f>INDEX(FactorTable!$B$2:$Y$301, MATCH(ROUND(MIN(300,MAX(1,D211)),0), FactorTable!$A$2:$A$301,0), Skills!M27+1)</f>
        <v/>
      </c>
      <c r="F211">
        <f>IF(Skills!N27=TRUE,(Skills!L27/10)*(E211/1000),Skills!L27/10)+Skills!O27</f>
        <v/>
      </c>
      <c r="G211">
        <f>Skills!G27*IF(Skills!H27&gt;0,Skills!I27/Skills!H27,1)</f>
        <v/>
      </c>
      <c r="H211">
        <f>1-(1-Skills!J27/100)^Skills!K27</f>
        <v/>
      </c>
      <c r="I211" t="inlineStr">
        <is>
          <t>1</t>
        </is>
      </c>
      <c r="J211" t="inlineStr"/>
      <c r="K211" t="inlineStr"/>
      <c r="L211" t="inlineStr"/>
      <c r="M211" t="inlineStr"/>
      <c r="N211" t="inlineStr"/>
      <c r="O211">
        <f>(1-Summary!$B$55)*T211+Summary!$B$55*V211</f>
        <v/>
      </c>
      <c r="P211">
        <f>IF(B229=0,0,O211/B229)</f>
        <v/>
      </c>
      <c r="Q211" t="n">
        <v>0</v>
      </c>
      <c r="R211" t="n">
        <v>0</v>
      </c>
      <c r="S211">
        <f>IFERROR(O211/N211,0)</f>
        <v/>
      </c>
      <c r="T211" t="n">
        <v>0</v>
      </c>
      <c r="V211" t="n">
        <v>0</v>
      </c>
    </row>
    <row r="212">
      <c r="A212">
        <f>Skills!A28</f>
        <v/>
      </c>
      <c r="B212">
        <f>Skills!B28</f>
        <v/>
      </c>
      <c r="C212">
        <f>Inputs!$B$3&gt;=120</f>
        <v/>
      </c>
      <c r="D212">
        <f>IF(Skills!C28=1,60+Inputs!$B$25+Inputs!$B$29,IF(Skills!C28=2,90+Inputs!$B$26+Inputs!$B$29,IF(Skills!C28=3,120+Inputs!$B$27+Inputs!$B$29,MAX(0,(Inputs!$B$3-100)*3)+Inputs!$B$28+Inputs!$B$29)))</f>
        <v/>
      </c>
      <c r="E212">
        <f>INDEX(FactorTable!$B$2:$Y$301, MATCH(ROUND(MIN(300,MAX(1,D212)),0), FactorTable!$A$2:$A$301,0), Skills!M28+1)</f>
        <v/>
      </c>
      <c r="F212">
        <f>IF(Skills!N28=TRUE,(Skills!L28/10)*(E212/1000),Skills!L28/10)+Skills!O28</f>
        <v/>
      </c>
      <c r="G212">
        <f>Skills!G28*IF(Skills!H28&gt;0,Skills!I28/Skills!H28,1)</f>
        <v/>
      </c>
      <c r="H212">
        <f>1-(1-Skills!J28/100)^Skills!K28</f>
        <v/>
      </c>
      <c r="I212" t="inlineStr">
        <is>
          <t>1</t>
        </is>
      </c>
      <c r="J212" t="inlineStr"/>
      <c r="K212" t="inlineStr"/>
      <c r="L212" t="inlineStr"/>
      <c r="M212" t="inlineStr"/>
      <c r="N212" t="inlineStr"/>
      <c r="O212">
        <f>(1-Summary!$B$55)*T212+Summary!$B$55*V212</f>
        <v/>
      </c>
      <c r="P212">
        <f>IF(B229=0,0,O212/B229)</f>
        <v/>
      </c>
      <c r="Q212" t="n">
        <v>0</v>
      </c>
      <c r="R212" t="n">
        <v>0</v>
      </c>
      <c r="S212">
        <f>IFERROR(O212/N212,0)</f>
        <v/>
      </c>
      <c r="T212" t="n">
        <v>0</v>
      </c>
      <c r="V212" t="n">
        <v>0</v>
      </c>
    </row>
    <row r="213">
      <c r="A213">
        <f>Skills!A29</f>
        <v/>
      </c>
      <c r="B213">
        <f>Skills!B29</f>
        <v/>
      </c>
      <c r="C213">
        <f>Inputs!$B$3&gt;=120</f>
        <v/>
      </c>
      <c r="D213">
        <f>IF(Skills!C29=1,60+Inputs!$B$25+Inputs!$B$29,IF(Skills!C29=2,90+Inputs!$B$26+Inputs!$B$29,IF(Skills!C29=3,120+Inputs!$B$27+Inputs!$B$29,MAX(0,(Inputs!$B$3-100)*3)+Inputs!$B$28+Inputs!$B$29)))</f>
        <v/>
      </c>
      <c r="E213">
        <f>INDEX(FactorTable!$B$2:$Y$301, MATCH(ROUND(MIN(300,MAX(1,D213)),0), FactorTable!$A$2:$A$301,0), Skills!M29+1)</f>
        <v/>
      </c>
      <c r="F213">
        <f>IF(Skills!N29=TRUE,(Skills!L29/10)*(E213/1000),Skills!L29/10)+Skills!O29</f>
        <v/>
      </c>
      <c r="G213">
        <f>Skills!G29*IF(Skills!H29&gt;0,Skills!I29/Skills!H29,1)</f>
        <v/>
      </c>
      <c r="H213">
        <f>1-(1-Skills!J29/100)^Skills!K29</f>
        <v/>
      </c>
      <c r="I213" t="inlineStr">
        <is>
          <t>1</t>
        </is>
      </c>
      <c r="J213" t="inlineStr"/>
      <c r="K213" t="inlineStr"/>
      <c r="L213" t="inlineStr"/>
      <c r="M213" t="inlineStr"/>
      <c r="N213" t="inlineStr"/>
      <c r="O213">
        <f>(1-Summary!$B$55)*T213+Summary!$B$55*V213</f>
        <v/>
      </c>
      <c r="P213">
        <f>IF(B229=0,0,O213/B229)</f>
        <v/>
      </c>
      <c r="Q213" t="n">
        <v>0</v>
      </c>
      <c r="R213" t="n">
        <v>0</v>
      </c>
      <c r="S213">
        <f>IFERROR(O213/N213,0)</f>
        <v/>
      </c>
      <c r="T213" t="n">
        <v>0</v>
      </c>
      <c r="V213" t="n">
        <v>0</v>
      </c>
    </row>
    <row r="214">
      <c r="A214">
        <f>Skills!A30</f>
        <v/>
      </c>
      <c r="B214">
        <f>Skills!B30</f>
        <v/>
      </c>
      <c r="C214">
        <f>Inputs!$B$3&gt;=125</f>
        <v/>
      </c>
      <c r="D214">
        <f>IF(Skills!C30=1,60+Inputs!$B$25+Inputs!$B$29,IF(Skills!C30=2,90+Inputs!$B$26+Inputs!$B$29,IF(Skills!C30=3,120+Inputs!$B$27+Inputs!$B$29,MAX(0,(Inputs!$B$3-100)*3)+Inputs!$B$28+Inputs!$B$29)))</f>
        <v/>
      </c>
      <c r="E214">
        <f>INDEX(FactorTable!$B$2:$Y$301, MATCH(ROUND(MIN(300,MAX(1,D214)),0), FactorTable!$A$2:$A$301,0), Skills!M30+1)</f>
        <v/>
      </c>
      <c r="F214">
        <f>IF(Skills!N30=TRUE,(Skills!L30/10)*(E214/1000),Skills!L30/10)+Skills!O30</f>
        <v/>
      </c>
      <c r="G214">
        <f>Skills!G30*IF(Skills!H30&gt;0,Skills!I30/Skills!H30,1)</f>
        <v/>
      </c>
      <c r="H214">
        <f>1-(1-Skills!J30/100)^Skills!K30</f>
        <v/>
      </c>
      <c r="I214" t="inlineStr">
        <is>
          <t>1</t>
        </is>
      </c>
      <c r="J214" t="inlineStr"/>
      <c r="K214" t="inlineStr"/>
      <c r="L214" t="inlineStr"/>
      <c r="M214" t="inlineStr"/>
      <c r="N214" t="inlineStr"/>
      <c r="O214">
        <f>(1-Summary!$B$55)*T214+Summary!$B$55*V214</f>
        <v/>
      </c>
      <c r="P214">
        <f>IF(B229=0,0,O214/B229)</f>
        <v/>
      </c>
      <c r="Q214" t="n">
        <v>0</v>
      </c>
      <c r="R214" t="n">
        <v>0</v>
      </c>
      <c r="S214">
        <f>IFERROR(O214/N214,0)</f>
        <v/>
      </c>
      <c r="T214" t="n">
        <v>0</v>
      </c>
      <c r="V214" t="n">
        <v>0</v>
      </c>
    </row>
    <row r="216">
      <c r="A216" t="inlineStr">
        <is>
          <t>Average Buff Multiplier</t>
        </is>
      </c>
      <c r="B216">
        <f>(1+(((C205=TRUE)*F205*IF(AND(Inputs!$B$39&lt;&gt;"pvp",Inputs!$B$44&gt;0),(((R205-1)*(Skills!Y21*(1+Inputs!$B$34/100))+MIN((Skills!Y21*(1+Inputs!$B$34/100)),MAX(0,Inputs!$B$44-((R205-1)*Skills!D21))))/Inputs!$B$44),IF(Inputs!$B$39="pvp",MIN((Skills!Y21*(1+Inputs!$B$34/100)),15)/15,(Skills!Y21*(1+Inputs!$B$34/100))/Skills!D21)))+((C207=TRUE)*(F207-Calc!F23))+((C201=TRUE)*(F201-Calc!F17)))/100)*(1+((C194=TRUE)*F194*IF(AND(Inputs!$B$39&lt;&gt;"pvp",Inputs!$B$44&gt;0),(((R194-1)*(Skills!Y10*(1+Inputs!$B$34/100))+MIN((Skills!Y10*(1+Inputs!$B$34/100)),MAX(0,Inputs!$B$44-((R194-1)*Skills!D10))))/Inputs!$B$44),IF(Inputs!$B$39="pvp",MIN((Skills!Y10*(1+Inputs!$B$34/100)),15)/15,(Skills!Y10*(1+Inputs!$B$34/100))/Skills!D10)))/100)*(1+((C199=TRUE)*F199*IF(AND(Inputs!$B$39&lt;&gt;"pvp",Inputs!$B$44&gt;0),(((R199-1)*(Skills!Y15*(1+Inputs!$B$34/100))+MIN((Skills!Y15*(1+Inputs!$B$34/100)),MAX(0,Inputs!$B$44-((R199-1)*Skills!D15))))/Inputs!$B$44),IF(Inputs!$B$39="pvp",MIN((Skills!Y15*(1+Inputs!$B$34/100)),15)/15,(Skills!Y15*(1+Inputs!$B$34/100))/Skills!D15)))/100)</f>
        <v/>
      </c>
    </row>
    <row r="217">
      <c r="A217" t="inlineStr">
        <is>
          <t>Global Crit Rate Bonus %</t>
        </is>
      </c>
      <c r="B217">
        <f>((C204=TRUE)*F204*IF(AND(Inputs!$B$39&lt;&gt;"pvp",Inputs!$B$44&gt;0),(((R204-1)*(Skills!Y20*(1+Inputs!$B$34/100))+MIN((Skills!Y20*(1+Inputs!$B$34/100)),MAX(0,Inputs!$B$44-((R204-1)*Skills!D20))))/Inputs!$B$44),IF(Inputs!$B$39="pvp",MIN((Skills!Y20*(1+Inputs!$B$34/100)),15)/15,(Skills!Y20*(1+Inputs!$B$34/100))/Skills!D20)))</f>
        <v/>
      </c>
    </row>
    <row r="218">
      <c r="A218" t="inlineStr">
        <is>
          <t>Global Monster Damage-Taken Bonus %</t>
        </is>
      </c>
      <c r="B218">
        <f>IF(Inputs!$B$3&gt;=82,15,0)</f>
        <v/>
      </c>
    </row>
    <row r="219">
      <c r="A219" t="inlineStr">
        <is>
          <t>Shadow Partner Average Multiplier</t>
        </is>
      </c>
      <c r="B219">
        <f>1+((C191=TRUE)*F191*(1+3.3333333333333335*IF(C202=TRUE,F202,0)/100)*I191*Skills!J7/100)/100</f>
        <v/>
      </c>
    </row>
    <row r="220">
      <c r="A220" t="inlineStr">
        <is>
          <t>Attack Speed Buff Bonus %</t>
        </is>
      </c>
      <c r="B220">
        <f>((C203=TRUE)*F203*IF(AND(Inputs!$B$39&lt;&gt;"pvp",Inputs!$B$44&gt;0),(((R203-1)*(Skills!Y19*(1+Inputs!$B$34/100))+MIN((Skills!Y19*(1+Inputs!$B$34/100)),MAX(0,Inputs!$B$44-((R203-1)*Skills!D19))))/Inputs!$B$44),IF(Inputs!$B$39="pvp",MIN((Skills!Y19*(1+Inputs!$B$34/100)),15)/15,(Skills!Y19*(1+Inputs!$B$34/100))/Skills!D19)))+((C187=TRUE)*F187*3)</f>
        <v/>
      </c>
    </row>
    <row r="221">
      <c r="A221" t="inlineStr">
        <is>
          <t>Actions Per Second</t>
        </is>
      </c>
      <c r="B221">
        <f>1+MIN(150,150*(1-(1-(Inputs!$B$11+((C206=TRUE)*(F206-Calc!F22)))/150)*(1-B220/150)))/100</f>
        <v/>
      </c>
    </row>
    <row r="222">
      <c r="A222" t="inlineStr">
        <is>
          <t>Skill + Buff Cast Rate</t>
        </is>
      </c>
      <c r="B222">
        <f>IF(AND(Inputs!$B$39&lt;&gt;"pvp",Inputs!$B$44&gt;0),SUMPRODUCT((Skills!E2:E30=TRUE)*(C186:C214=TRUE)*R186:R214*Skills!F2:F30)/Inputs!$B$44,SUMPRODUCT((Skills!E2:E30=TRUE)*(C186:C214=TRUE)*Q186:Q214*Skills!F2:F30))</f>
        <v/>
      </c>
    </row>
    <row r="223">
      <c r="A223" t="inlineStr">
        <is>
          <t>Cruel Stab Casts Per Second</t>
        </is>
      </c>
      <c r="B223">
        <f>MAX(0,B221-B222)</f>
        <v/>
      </c>
    </row>
    <row r="224">
      <c r="A224" t="inlineStr">
        <is>
          <t>Global Critical Damage Bonus % (Smokescreen Mastery Lv.113)</t>
        </is>
      </c>
      <c r="B224">
        <f>IF(Inputs!$B$3&gt;=113,30,0)*IF(AND(Inputs!$B$39&lt;&gt;"pvp",Inputs!$B$44&gt;0),(((R199-1)*(Skills!Y15*(1+Inputs!$B$34/100))+MIN((Skills!Y15*(1+Inputs!$B$34/100)),MAX(0,Inputs!$B$44-((R199-1)*Skills!D15))))/Inputs!$B$44),IF(Inputs!$B$39="pvp",MIN((Skills!Y15*(1+Inputs!$B$34/100)),15)/15,(Skills!Y15*(1+Inputs!$B$34/100))/Skills!D15))</f>
        <v/>
      </c>
    </row>
    <row r="225">
      <c r="A225" t="inlineStr">
        <is>
          <t>Meso Explosion average stack count</t>
        </is>
      </c>
      <c r="B225">
        <f>MIN(10,0.5*B221*Skills!D4)</f>
        <v/>
      </c>
    </row>
    <row r="226">
      <c r="A226" t="inlineStr">
        <is>
          <t>Blood Money average stack count</t>
        </is>
      </c>
      <c r="B226">
        <f>MIN(5,0.25*B221*Skills!D4)</f>
        <v/>
      </c>
    </row>
    <row r="227">
      <c r="A227" t="inlineStr">
        <is>
          <t>Assassinate Murderous Intent Multiplier</t>
        </is>
      </c>
      <c r="B227">
        <f>1+IFERROR(MIN(1,Q198*2/Q195),0)</f>
        <v/>
      </c>
    </row>
    <row r="228">
      <c r="A228" t="inlineStr">
        <is>
          <t>Buff-Casting Startup Delay (s, fixed-duration only)</t>
        </is>
      </c>
      <c r="B228">
        <f>IF(AND(Inputs!$B$39&lt;&gt;"pvp",Inputs!$B$44&gt;0),SUMPRODUCT((Skills!Y2:Y30&gt;0)*(Skills!E2:E30=TRUE)*(C186:C214=TRUE))/B221,0)</f>
        <v/>
      </c>
    </row>
    <row r="229">
      <c r="A229" s="5" t="inlineStr">
        <is>
          <t>TOTAL DPS</t>
        </is>
      </c>
      <c r="B229" s="5">
        <f>SUM(O186:O214)</f>
        <v/>
      </c>
    </row>
    <row r="230">
      <c r="A230" t="inlineStr">
        <is>
          <t>Boss-Only Total DPS (this block's swept value)</t>
        </is>
      </c>
      <c r="B230">
        <f>SUM(T186:T214)</f>
        <v/>
      </c>
    </row>
    <row r="231">
      <c r="A231" t="inlineStr">
        <is>
          <t>Normal-Only Total DPS (this block's swept value)</t>
        </is>
      </c>
      <c r="B231">
        <f>SUM(V186:V214)</f>
        <v/>
      </c>
    </row>
    <row r="234">
      <c r="A234" s="5" t="inlineStr">
        <is>
          <t>Stat: DAMAGE_AMP %</t>
        </is>
      </c>
    </row>
    <row r="235">
      <c r="A235" s="9" t="inlineStr">
        <is>
          <t>Key</t>
        </is>
      </c>
      <c r="B235" s="9" t="inlineStr">
        <is>
          <t>Name</t>
        </is>
      </c>
      <c r="C235" s="9" t="inlineStr">
        <is>
          <t>Unlocked</t>
        </is>
      </c>
      <c r="D235" s="9" t="inlineStr">
        <is>
          <t>InputLevel</t>
        </is>
      </c>
      <c r="E235" s="9" t="inlineStr">
        <is>
          <t>Factor</t>
        </is>
      </c>
      <c r="F235" s="9" t="inlineStr">
        <is>
          <t>CoefficientPercent</t>
        </is>
      </c>
      <c r="G235" s="9" t="inlineStr">
        <is>
          <t>EffectiveHits</t>
        </is>
      </c>
      <c r="H235" s="9" t="inlineStr">
        <is>
          <t>ProcProbability</t>
        </is>
      </c>
      <c r="I235" s="9" t="inlineStr">
        <is>
          <t>MapleHeroMultiplier</t>
        </is>
      </c>
      <c r="J235" s="9" t="inlineStr">
        <is>
          <t>BaseDamage</t>
        </is>
      </c>
      <c r="K235" s="9" t="inlineStr">
        <is>
          <t>BaseHitDamage</t>
        </is>
      </c>
      <c r="L235" s="9" t="inlineStr">
        <is>
          <t>NonCritAvg</t>
        </is>
      </c>
      <c r="M235" s="9" t="inlineStr">
        <is>
          <t>CritAvg</t>
        </is>
      </c>
      <c r="N235" s="9" t="inlineStr">
        <is>
          <t>ExpectedDamage(perHit)</t>
        </is>
      </c>
      <c r="O235" s="9" t="inlineStr">
        <is>
          <t>DPS</t>
        </is>
      </c>
      <c r="P235" s="9" t="inlineStr">
        <is>
          <t>% of Total</t>
        </is>
      </c>
      <c r="Q235" s="9" t="inlineStr">
        <is>
          <t>InvCooldown</t>
        </is>
      </c>
      <c r="R235" s="9" t="inlineStr">
        <is>
          <t>CastsInFight</t>
        </is>
      </c>
      <c r="S235" s="9" t="inlineStr">
        <is>
          <t>HitRate(perSec)</t>
        </is>
      </c>
      <c r="U235" t="inlineStr">
        <is>
          <t>helpers</t>
        </is>
      </c>
    </row>
    <row r="236">
      <c r="A236">
        <f>Skills!A2</f>
        <v/>
      </c>
      <c r="B236">
        <f>Skills!B2</f>
        <v/>
      </c>
      <c r="C236">
        <f>Inputs!$B$3&gt;=100</f>
        <v/>
      </c>
      <c r="D236" t="inlineStr"/>
      <c r="E236" t="inlineStr"/>
      <c r="F236">
        <f>U238+Skills!O2</f>
        <v/>
      </c>
      <c r="G236">
        <f>Skills!G2*IF(Skills!H2&gt;0,Skills!I2/Skills!H2,1)</f>
        <v/>
      </c>
      <c r="H236">
        <f>1-(1-Skills!J2/100)^Skills!K2</f>
        <v/>
      </c>
      <c r="I236" t="inlineStr">
        <is>
          <t>1</t>
        </is>
      </c>
      <c r="J236">
        <f>((Inputs!$B$6*(1+Inputs!$B$7/100))+(((Inputs!$B$12*(1+Inputs!$B$13/100))-(Inputs!$B$12*(1+Inputs!$B$13/100)))+0.25*(Inputs!$B$14-Inputs!$B$14))*(1+Inputs!$B$7/100))*(F236/100)</f>
        <v/>
      </c>
      <c r="K236">
        <f>J236*(1+((Inputs!$B$12*(1+Inputs!$B$13/100))*0.01+Inputs!$B$14*0.0025)/100)*(1+Inputs!$B$15/100)*(1+(Inputs!$B$16+1)/100)*(5000/(6000+Inputs!$B$43*(1-Inputs!$B$19/100)))*(1+(Inputs!$B$24+((C264=TRUE)*(F264-Calc!F30)))/100)*(1+(IF(Skills!A2="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236)</f>
        <v/>
      </c>
      <c r="L236">
        <f>K236*(MIN(Inputs!$B$22+((C258=TRUE)*(F258-Calc!F24)),Inputs!$B$23+((C263=TRUE)*(F263-Calc!F29)))/100+(Inputs!$B$23+((C263=TRUE)*(F263-Calc!F29)))/100)/2</f>
        <v/>
      </c>
      <c r="M236">
        <f>L236*(1+(Inputs!$B$10+((C260=TRUE)*(F260-Calc!F26))+B274)/100)</f>
        <v/>
      </c>
      <c r="N236">
        <f>L236*(1-MIN((Inputs!$B$9+((C259=TRUE)*(F259-Calc!F25))+B267),100)/100)+M236*(MIN((Inputs!$B$9+((C259=TRUE)*(F259-Calc!F25))+B267),100)/100)</f>
        <v/>
      </c>
      <c r="O236">
        <f>(1-Summary!$B$55)*T236+Summary!$B$55*V236</f>
        <v/>
      </c>
      <c r="P236">
        <f>IF(B279=0,0,O236/B279)</f>
        <v/>
      </c>
      <c r="Q236" t="n">
        <v>0</v>
      </c>
      <c r="R236" t="n">
        <v>0</v>
      </c>
      <c r="S236">
        <f>IFERROR(O236/N236,0)</f>
        <v/>
      </c>
      <c r="T236">
        <f>IF(C236,(Skills!G2*N236*B273)*IF(Inputs!$B$39="pvp",1,1+(Inputs!$B$20+0+Skills!P2+B268)/100),0)</f>
        <v/>
      </c>
      <c r="U236">
        <f>MAX(0,(Inputs!$B$3-100)*3)+Inputs!$B$28+Inputs!$B$29</f>
        <v/>
      </c>
      <c r="V236">
        <f>IF(C236,(Skills!G2*N236*B273)*IF(Inputs!$B$39="pvp",1,(1+(Inputs!$B$21+Skills!Q2+B268)/100)*(MIN((6+Inputs!$B$33),Inputs!$B$37))),0)</f>
        <v/>
      </c>
    </row>
    <row r="237">
      <c r="A237">
        <f>Skills!A3</f>
        <v/>
      </c>
      <c r="B237">
        <f>Skills!B3</f>
        <v/>
      </c>
      <c r="C237">
        <f>Inputs!$B$3&gt;=35</f>
        <v/>
      </c>
      <c r="D237">
        <f>IF(Skills!C3=1,60+Inputs!$B$25+Inputs!$B$29,IF(Skills!C3=2,90+Inputs!$B$26+Inputs!$B$29,IF(Skills!C3=3,120+Inputs!$B$27+Inputs!$B$29,MAX(0,(Inputs!$B$3-100)*3)+Inputs!$B$28+Inputs!$B$29)))</f>
        <v/>
      </c>
      <c r="E237">
        <f>INDEX(FactorTable!$B$2:$Y$301, MATCH(ROUND(MIN(300,MAX(1,D237)),0), FactorTable!$A$2:$A$301,0), Skills!M3+1)</f>
        <v/>
      </c>
      <c r="F237">
        <f>IF(Skills!N3=TRUE,(Skills!L3/10)*(E237/1000),Skills!L3/10)+Skills!O3</f>
        <v/>
      </c>
      <c r="G237">
        <f>Skills!G3*IF(Skills!H3&gt;0,Skills!I3/Skills!H3,1)</f>
        <v/>
      </c>
      <c r="H237">
        <f>1-(1-Skills!J3/100)^Skills!K3</f>
        <v/>
      </c>
      <c r="I237" t="inlineStr">
        <is>
          <t>1</t>
        </is>
      </c>
      <c r="J237" t="inlineStr"/>
      <c r="K237" t="inlineStr"/>
      <c r="L237" t="inlineStr"/>
      <c r="M237" t="inlineStr"/>
      <c r="N237" t="inlineStr"/>
      <c r="O237">
        <f>(1-Summary!$B$55)*T237+Summary!$B$55*V237</f>
        <v/>
      </c>
      <c r="P237">
        <f>IF(B279=0,0,O237/B279)</f>
        <v/>
      </c>
      <c r="Q237" t="n">
        <v>0</v>
      </c>
      <c r="R237" t="n">
        <v>0</v>
      </c>
      <c r="S237">
        <f>IFERROR(O237/N237,0)</f>
        <v/>
      </c>
      <c r="T237" t="n">
        <v>0</v>
      </c>
      <c r="U237">
        <f>INDEX(FactorTable!$B$2:$Y$301, MATCH(ROUND(MIN(300,MAX(1,U236)),0), FactorTable!$A$2:$A$301,0), 22)</f>
        <v/>
      </c>
      <c r="V237" t="n">
        <v>0</v>
      </c>
    </row>
    <row r="238">
      <c r="A238">
        <f>Skills!A4</f>
        <v/>
      </c>
      <c r="B238">
        <f>Skills!B4</f>
        <v/>
      </c>
      <c r="C238">
        <f>Inputs!$B$3&gt;=66</f>
        <v/>
      </c>
      <c r="D238">
        <f>IF(Skills!C4=1,60+Inputs!$B$25+Inputs!$B$29,IF(Skills!C4=2,90+Inputs!$B$26+Inputs!$B$29,IF(Skills!C4=3,120+Inputs!$B$27+Inputs!$B$29,MAX(0,(Inputs!$B$3-100)*3)+Inputs!$B$28+Inputs!$B$29)))</f>
        <v/>
      </c>
      <c r="E238">
        <f>INDEX(FactorTable!$B$2:$Y$301, MATCH(ROUND(MIN(300,MAX(1,D238)),0), FactorTable!$A$2:$A$301,0), Skills!M4+1)</f>
        <v/>
      </c>
      <c r="F238">
        <f>IF(Skills!N4=TRUE,(Skills!L4/10)*(E238/1000),Skills!L4/10)+Skills!O4</f>
        <v/>
      </c>
      <c r="G238">
        <f>Skills!G4*IF(Skills!H4&gt;0,Skills!I4/Skills!H4,1)</f>
        <v/>
      </c>
      <c r="H238">
        <f>1-(1-Skills!J4/100)^Skills!K4</f>
        <v/>
      </c>
      <c r="I238" t="inlineStr">
        <is>
          <t>1</t>
        </is>
      </c>
      <c r="J238">
        <f>((Inputs!$B$6*(1+Inputs!$B$7/100))+(((Inputs!$B$12*(1+Inputs!$B$13/100))-(Inputs!$B$12*(1+Inputs!$B$13/100)))+0.25*(Inputs!$B$14-Inputs!$B$14))*(1+Inputs!$B$7/100))*(F238/100)</f>
        <v/>
      </c>
      <c r="K238">
        <f>J238*(1+((Inputs!$B$12*(1+Inputs!$B$13/100))*0.01+Inputs!$B$14*0.0025)/100)*(1+Inputs!$B$15/100)*(1+(Inputs!$B$16+1)/100)*(5000/(6000+Inputs!$B$43*(1-Inputs!$B$19/100)))*(1+(Inputs!$B$24+((C264=TRUE)*(F264-Calc!F30)))/100)*(1+(IF(Skills!A4="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238)</f>
        <v/>
      </c>
      <c r="L238">
        <f>K238*(MIN(Inputs!$B$22+((C258=TRUE)*(F258-Calc!F24)),Inputs!$B$23+((C263=TRUE)*(F263-Calc!F29)))/100+(Inputs!$B$23+((C263=TRUE)*(F263-Calc!F29)))/100)/2</f>
        <v/>
      </c>
      <c r="M238">
        <f>L238*(1+(Inputs!$B$10+((C260=TRUE)*(F260-Calc!F26))+B274)/100)</f>
        <v/>
      </c>
      <c r="N238">
        <f>L238*(1-MIN((Inputs!$B$9+((C259=TRUE)*(F259-Calc!F25))+B267),100)/100)+M238*(MIN((Inputs!$B$9+((C259=TRUE)*(F259-Calc!F25))+B267),100)/100)</f>
        <v/>
      </c>
      <c r="O238">
        <f>(1-Summary!$B$55)*T238+Summary!$B$55*V238</f>
        <v/>
      </c>
      <c r="P238">
        <f>IF(B279=0,0,O238/B279)</f>
        <v/>
      </c>
      <c r="Q238">
        <f>IFERROR(1/IF(Inputs!$B$39="pvp",15,MAX(0.1,Skills!D4-IF(Skills!E4=TRUE,Inputs!$B$32,0))),0)</f>
        <v/>
      </c>
      <c r="R238">
        <f>IF(AND(Inputs!$B$39&lt;&gt;"pvp",Inputs!$B$44&gt;0),IF(MAX(0,Inputs!$B$44-B278)&lt;=0,0,(INT(MAX(0,Inputs!$B$44-B278)/IF(Inputs!$B$39="pvp",15,MAX(0.1,Skills!D4-IF(Skills!E4=TRUE,Inputs!$B$32,0))))+1)),0)</f>
        <v/>
      </c>
      <c r="S238">
        <f>IFERROR(O238/N238,0)</f>
        <v/>
      </c>
      <c r="T238">
        <f>IF(C238,(H238*N238*IF(AND(Inputs!$B$39&lt;&gt;"pvp",Inputs!$B$44&gt;0),((Skills!G4*((R238-1)*IF(Skills!H4&gt;0,Skills!I4/Skills!H4,1)+IF(Skills!H4&gt;0,MIN(Skills!I4,MAX(0,MAX(0,Inputs!$B$44-B278)-((R238-1)*IF(Inputs!$B$39="pvp",15,MAX(0.1,Skills!D4-IF(Skills!E4=TRUE,Inputs!$B$32,0))))))/Skills!H4,1)))/Inputs!$B$44),G238*Q238))*IF(Inputs!$B$39="pvp",1,1+(Inputs!$B$20+0+Skills!P4+B268)/100),0)</f>
        <v/>
      </c>
      <c r="U238">
        <f>290*U237/1000</f>
        <v/>
      </c>
      <c r="V238">
        <f>IF(C238,(H238*N238*IF(AND(Inputs!$B$39&lt;&gt;"pvp",Inputs!$B$44&gt;0),((Skills!G4*((R238-1)*IF(Skills!H4&gt;0,Skills!I4/Skills!H4,1)+IF(Skills!H4&gt;0,MIN(Skills!I4,MAX(0,MAX(0,Inputs!$B$44-B278)-((R238-1)*IF(Inputs!$B$39="pvp",15,MAX(0.1,Skills!D4-IF(Skills!E4=TRUE,Inputs!$B$32,0))))))/Skills!H4,1)))/Inputs!$B$44),G238*Q238))*IF(Inputs!$B$39="pvp",1,(1+(Inputs!$B$21+Skills!Q4+B268)/100)*(MIN(MIN(10,0.5*B271*Skills!D4),Inputs!$B$37))),0)</f>
        <v/>
      </c>
    </row>
    <row r="239">
      <c r="A239">
        <f>Skills!A5</f>
        <v/>
      </c>
      <c r="B239">
        <f>Skills!B5</f>
        <v/>
      </c>
      <c r="C239">
        <f>Inputs!$B$3&gt;=63</f>
        <v/>
      </c>
      <c r="D239">
        <f>IF(Skills!C5=1,60+Inputs!$B$25+Inputs!$B$29,IF(Skills!C5=2,90+Inputs!$B$26+Inputs!$B$29,IF(Skills!C5=3,120+Inputs!$B$27+Inputs!$B$29,MAX(0,(Inputs!$B$3-100)*3)+Inputs!$B$28+Inputs!$B$29)))</f>
        <v/>
      </c>
      <c r="E239">
        <f>INDEX(FactorTable!$B$2:$Y$301, MATCH(ROUND(MIN(300,MAX(1,D239)),0), FactorTable!$A$2:$A$301,0), Skills!M5+1)</f>
        <v/>
      </c>
      <c r="F239">
        <f>IF(Skills!N5=TRUE,(Skills!L5/10)*(E239/1000),Skills!L5/10)+Skills!O5</f>
        <v/>
      </c>
      <c r="G239">
        <f>Skills!G5*IF(Skills!H5&gt;0,Skills!I5/Skills!H5,1)</f>
        <v/>
      </c>
      <c r="H239">
        <f>1-(1-Skills!J5/100)^Skills!K5</f>
        <v/>
      </c>
      <c r="I239" t="inlineStr">
        <is>
          <t>1</t>
        </is>
      </c>
      <c r="J239">
        <f>((Inputs!$B$6*(1+Inputs!$B$7/100))+(((Inputs!$B$12*(1+Inputs!$B$13/100))-(Inputs!$B$12*(1+Inputs!$B$13/100)))+0.25*(Inputs!$B$14-Inputs!$B$14))*(1+Inputs!$B$7/100))*(F239/100)</f>
        <v/>
      </c>
      <c r="K239">
        <f>J239*(1+((Inputs!$B$12*(1+Inputs!$B$13/100))*0.01+Inputs!$B$14*0.0025)/100)*(1+Inputs!$B$15/100)*(1+(Inputs!$B$16+1)/100)*(5000/(6000+Inputs!$B$43*(1-Inputs!$B$19/100)))*(1+(Inputs!$B$24+((C264=TRUE)*(F264-Calc!F30)))/100)*(1+2.6666666666666665*IF(C252=TRUE,F252,0)/100)*(1+(IF(Skills!A5="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239)</f>
        <v/>
      </c>
      <c r="L239">
        <f>K239*(MIN(Inputs!$B$22+((C258=TRUE)*(F258-Calc!F24)),Inputs!$B$23+((C263=TRUE)*(F263-Calc!F29)))/100+(Inputs!$B$23+((C263=TRUE)*(F263-Calc!F29)))/100)/2</f>
        <v/>
      </c>
      <c r="M239">
        <f>L239*(1+(Inputs!$B$10+((C260=TRUE)*(F260-Calc!F26))+B274)/100)</f>
        <v/>
      </c>
      <c r="N239">
        <f>L239*(1-MIN((Inputs!$B$9+((C259=TRUE)*(F259-Calc!F25))+B267),100)/100)+M239*(MIN((Inputs!$B$9+((C259=TRUE)*(F259-Calc!F25))+B267),100)/100)</f>
        <v/>
      </c>
      <c r="O239">
        <f>(1-Summary!$B$55)*T239+Summary!$B$55*V239</f>
        <v/>
      </c>
      <c r="P239">
        <f>IF(B279=0,0,O239/B279)</f>
        <v/>
      </c>
      <c r="Q239">
        <f>IFERROR(1/IF(Inputs!$B$39="pvp",15,MAX(0.1,Skills!D5-IF(Skills!E5=TRUE,Inputs!$B$32,0))),0)</f>
        <v/>
      </c>
      <c r="R239">
        <f>IF(AND(Inputs!$B$39&lt;&gt;"pvp",Inputs!$B$44&gt;0),IF(MAX(0,Inputs!$B$44-B278)&lt;=0,0,(INT(MAX(0,Inputs!$B$44-B278)/IF(Inputs!$B$39="pvp",15,MAX(0.1,Skills!D5-IF(Skills!E5=TRUE,Inputs!$B$32,0))))+1)),0)</f>
        <v/>
      </c>
      <c r="S239">
        <f>IFERROR(O239/N239,0)</f>
        <v/>
      </c>
      <c r="T239">
        <f>IF(C239,(H239*N239*IF(AND(Inputs!$B$39&lt;&gt;"pvp",Inputs!$B$44&gt;0),((Skills!G5*((R239-1)*IF(Skills!H5&gt;0,Skills!I5/Skills!H5,1)+IF(Skills!H5&gt;0,MIN(Skills!I5,MAX(0,MAX(0,Inputs!$B$44-B278)-((R239-1)*IF(Inputs!$B$39="pvp",15,MAX(0.1,Skills!D5-IF(Skills!E5=TRUE,Inputs!$B$32,0))))))/Skills!H5,1)))/Inputs!$B$44),G239*Q239))*IF(Inputs!$B$39="pvp",1,1+(Inputs!$B$20+0+Skills!P5+B268)/100),0)</f>
        <v/>
      </c>
      <c r="V239">
        <f>IF(C239,(H239*N239*IF(AND(Inputs!$B$39&lt;&gt;"pvp",Inputs!$B$44&gt;0),((Skills!G5*((R239-1)*IF(Skills!H5&gt;0,Skills!I5/Skills!H5,1)+IF(Skills!H5&gt;0,MIN(Skills!I5,MAX(0,MAX(0,Inputs!$B$44-B278)-((R239-1)*IF(Inputs!$B$39="pvp",15,MAX(0.1,Skills!D5-IF(Skills!E5=TRUE,Inputs!$B$32,0))))))/Skills!H5,1)))/Inputs!$B$44),G239*Q239))*IF(Inputs!$B$39="pvp",1,(1+(Inputs!$B$21+Skills!Q5+B268)/100)*(MIN(Skills!W5,Inputs!$B$37))),0)</f>
        <v/>
      </c>
    </row>
    <row r="240">
      <c r="A240">
        <f>Skills!A6</f>
        <v/>
      </c>
      <c r="B240">
        <f>Skills!B6</f>
        <v/>
      </c>
      <c r="C240">
        <f>Inputs!$B$3&gt;=69</f>
        <v/>
      </c>
      <c r="D240">
        <f>IF(Skills!C6=1,60+Inputs!$B$25+Inputs!$B$29,IF(Skills!C6=2,90+Inputs!$B$26+Inputs!$B$29,IF(Skills!C6=3,120+Inputs!$B$27+Inputs!$B$29,MAX(0,(Inputs!$B$3-100)*3)+Inputs!$B$28+Inputs!$B$29)))</f>
        <v/>
      </c>
      <c r="E240">
        <f>INDEX(FactorTable!$B$2:$Y$301, MATCH(ROUND(MIN(300,MAX(1,D240)),0), FactorTable!$A$2:$A$301,0), Skills!M6+1)</f>
        <v/>
      </c>
      <c r="F240">
        <f>IF(Skills!N6=TRUE,(Skills!L6/10)*(E240/1000),Skills!L6/10)+Skills!O6</f>
        <v/>
      </c>
      <c r="G240">
        <f>Skills!G6*IF(Skills!H6&gt;0,Skills!I6/Skills!H6,1)</f>
        <v/>
      </c>
      <c r="H240">
        <f>1-(1-Skills!J6/100)^Skills!K6</f>
        <v/>
      </c>
      <c r="I240" t="inlineStr">
        <is>
          <t>1</t>
        </is>
      </c>
      <c r="J240">
        <f>((Inputs!$B$6*(1+Inputs!$B$7/100))+(((Inputs!$B$12*(1+Inputs!$B$13/100))-(Inputs!$B$12*(1+Inputs!$B$13/100)))+0.25*(Inputs!$B$14-Inputs!$B$14))*(1+Inputs!$B$7/100))*(F240/100)</f>
        <v/>
      </c>
      <c r="K240">
        <f>J240*(1+((Inputs!$B$12*(1+Inputs!$B$13/100))*0.01+Inputs!$B$14*0.0025)/100)*(1+Inputs!$B$15/100)*(1+(Inputs!$B$16+1)/100)*(5000/(6000+Inputs!$B$43*(1-Inputs!$B$19/100)))*(1+(Inputs!$B$24+((C264=TRUE)*(F264-Calc!F30)))/100)*(1+1.0*IF(C252=TRUE,F252,0)/100)*(1+(IF(Skills!A6="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240)</f>
        <v/>
      </c>
      <c r="L240">
        <f>K240*(MIN(Inputs!$B$22+((C258=TRUE)*(F258-Calc!F24)),Inputs!$B$23+((C263=TRUE)*(F263-Calc!F29)))/100+(Inputs!$B$23+((C263=TRUE)*(F263-Calc!F29)))/100)/2</f>
        <v/>
      </c>
      <c r="M240">
        <f>L240*(1+(Inputs!$B$10+((C260=TRUE)*(F260-Calc!F26))+B274)/100)</f>
        <v/>
      </c>
      <c r="N240">
        <f>L240*(1-MIN((Inputs!$B$9+((C259=TRUE)*(F259-Calc!F25))+B267),100)/100)+M240*(MIN((Inputs!$B$9+((C259=TRUE)*(F259-Calc!F25))+B267),100)/100)</f>
        <v/>
      </c>
      <c r="O240">
        <f>(1-Summary!$B$55)*T240+Summary!$B$55*V240</f>
        <v/>
      </c>
      <c r="P240">
        <f>IF(B279=0,0,O240/B279)</f>
        <v/>
      </c>
      <c r="Q240">
        <f>IFERROR(1/IF(Inputs!$B$39="pvp",15,MAX(0.1,Skills!D6-IF(Skills!E6=TRUE,Inputs!$B$32,0))),0)</f>
        <v/>
      </c>
      <c r="R240">
        <f>IF(AND(Inputs!$B$39&lt;&gt;"pvp",Inputs!$B$44&gt;0),IF(MAX(0,Inputs!$B$44-B278)&lt;=0,0,(INT(MAX(0,Inputs!$B$44-B278)/IF(Inputs!$B$39="pvp",15,MAX(0.1,Skills!D6-IF(Skills!E6=TRUE,Inputs!$B$32,0))))+1)),0)</f>
        <v/>
      </c>
      <c r="S240">
        <f>IFERROR(O240/N240,0)</f>
        <v/>
      </c>
      <c r="T240">
        <f>IF(C240,(H240*N240*IF(AND(Inputs!$B$39&lt;&gt;"pvp",Inputs!$B$44&gt;0),((Skills!G6*((R240-1)*IF(Skills!H6&gt;0,Skills!I6/Skills!H6,1)+IF(Skills!H6&gt;0,MIN(Skills!I6,MAX(0,MAX(0,Inputs!$B$44-B278)-((R240-1)*IF(Inputs!$B$39="pvp",15,MAX(0.1,Skills!D6-IF(Skills!E6=TRUE,Inputs!$B$32,0))))))/Skills!H6,1)))/Inputs!$B$44),G240*Q240))*IF(Inputs!$B$39="pvp",1,1+(Inputs!$B$20+0+Skills!P6+B268)/100),0)</f>
        <v/>
      </c>
      <c r="V240">
        <f>IF(C240,(H240*N240*IF(AND(Inputs!$B$39&lt;&gt;"pvp",Inputs!$B$44&gt;0),((Skills!G6*((R240-1)*IF(Skills!H6&gt;0,Skills!I6/Skills!H6,1)+IF(Skills!H6&gt;0,MIN(Skills!I6,MAX(0,MAX(0,Inputs!$B$44-B278)-((R240-1)*IF(Inputs!$B$39="pvp",15,MAX(0.1,Skills!D6-IF(Skills!E6=TRUE,Inputs!$B$32,0))))))/Skills!H6,1)))/Inputs!$B$44),G240*Q240))*IF(Inputs!$B$39="pvp",1,(1+(Inputs!$B$21+Skills!Q6+B268)/100)*(MIN(Skills!W6,Inputs!$B$37))),0)</f>
        <v/>
      </c>
    </row>
    <row r="241">
      <c r="A241">
        <f>Skills!A7</f>
        <v/>
      </c>
      <c r="B241">
        <f>Skills!B7</f>
        <v/>
      </c>
      <c r="C241">
        <f>Inputs!$B$3&gt;=60</f>
        <v/>
      </c>
      <c r="D241">
        <f>IF(Skills!C7=1,60+Inputs!$B$25+Inputs!$B$29,IF(Skills!C7=2,90+Inputs!$B$26+Inputs!$B$29,IF(Skills!C7=3,120+Inputs!$B$27+Inputs!$B$29,MAX(0,(Inputs!$B$3-100)*3)+Inputs!$B$28+Inputs!$B$29)))</f>
        <v/>
      </c>
      <c r="E241">
        <f>INDEX(FactorTable!$B$2:$Y$301, MATCH(ROUND(MIN(300,MAX(1,D241)),0), FactorTable!$A$2:$A$301,0), Skills!M7+1)</f>
        <v/>
      </c>
      <c r="F241">
        <f>IF(Skills!N7=TRUE,(Skills!L7/10)*(E241/1000),Skills!L7/10)+Skills!O7</f>
        <v/>
      </c>
      <c r="G241">
        <f>Skills!G7*IF(Skills!H7&gt;0,Skills!I7/Skills!H7,1)</f>
        <v/>
      </c>
      <c r="H241">
        <f>1-(1-Skills!J7/100)^Skills!K7</f>
        <v/>
      </c>
      <c r="I241" t="inlineStr">
        <is>
          <t>1</t>
        </is>
      </c>
      <c r="J241" t="inlineStr"/>
      <c r="K241" t="inlineStr"/>
      <c r="L241" t="inlineStr"/>
      <c r="M241" t="inlineStr"/>
      <c r="N241" t="inlineStr"/>
      <c r="O241">
        <f>(1-Summary!$B$55)*T241+Summary!$B$55*V241</f>
        <v/>
      </c>
      <c r="P241">
        <f>IF(B279=0,0,O241/B279)</f>
        <v/>
      </c>
      <c r="Q241" t="n">
        <v>0</v>
      </c>
      <c r="R241" t="n">
        <v>0</v>
      </c>
      <c r="S241">
        <f>IFERROR(O241/N241,0)</f>
        <v/>
      </c>
      <c r="T241" t="n">
        <v>0</v>
      </c>
      <c r="V241" t="n">
        <v>0</v>
      </c>
    </row>
    <row r="242">
      <c r="A242">
        <f>Skills!A8</f>
        <v/>
      </c>
      <c r="B242">
        <f>Skills!B8</f>
        <v/>
      </c>
      <c r="C242">
        <f>Inputs!$B$3&gt;=72</f>
        <v/>
      </c>
      <c r="D242">
        <f>IF(Skills!C8=1,60+Inputs!$B$25+Inputs!$B$29,IF(Skills!C8=2,90+Inputs!$B$26+Inputs!$B$29,IF(Skills!C8=3,120+Inputs!$B$27+Inputs!$B$29,MAX(0,(Inputs!$B$3-100)*3)+Inputs!$B$28+Inputs!$B$29)))</f>
        <v/>
      </c>
      <c r="E242">
        <f>INDEX(FactorTable!$B$2:$Y$301, MATCH(ROUND(MIN(300,MAX(1,D242)),0), FactorTable!$A$2:$A$301,0), Skills!M8+1)</f>
        <v/>
      </c>
      <c r="F242">
        <f>IF(Skills!N8=TRUE,(Skills!L8/10)*(E242/1000),Skills!L8/10)+Skills!O8</f>
        <v/>
      </c>
      <c r="G242">
        <f>Skills!G8*IF(Skills!H8&gt;0,Skills!I8/Skills!H8,1)</f>
        <v/>
      </c>
      <c r="H242">
        <f>1-(1-Skills!J8/100)^Skills!K8</f>
        <v/>
      </c>
      <c r="I242" t="inlineStr">
        <is>
          <t>1</t>
        </is>
      </c>
      <c r="J242">
        <f>((Inputs!$B$6*(1+Inputs!$B$7/100))+(((Inputs!$B$12*(1+Inputs!$B$13/100))-(Inputs!$B$12*(1+Inputs!$B$13/100)))+0.25*(Inputs!$B$14-Inputs!$B$14))*(1+Inputs!$B$7/100))*(F242/100)</f>
        <v/>
      </c>
      <c r="K242">
        <f>J242*(1+((Inputs!$B$12*(1+Inputs!$B$13/100))*0.01+Inputs!$B$14*0.0025)/100)*(1+Inputs!$B$15/100)*(1+(Inputs!$B$16+1)/100)*(5000/(6000+Inputs!$B$43*(1-Inputs!$B$19/100)))*(1+(Inputs!$B$24+((C264=TRUE)*(F264-Calc!F30)))/100)*(1+3.3333333333333335*IF(C252=TRUE,F252,0)/100)*(1+(IF(Skills!A8="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242)</f>
        <v/>
      </c>
      <c r="L242">
        <f>K242*(MIN(Inputs!$B$22+((C258=TRUE)*(F258-Calc!F24)),Inputs!$B$23+((C263=TRUE)*(F263-Calc!F29)))/100+(Inputs!$B$23+((C263=TRUE)*(F263-Calc!F29)))/100)/2</f>
        <v/>
      </c>
      <c r="M242">
        <f>L242*(1+(Inputs!$B$10+((C260=TRUE)*(F260-Calc!F26))+B274)/100)</f>
        <v/>
      </c>
      <c r="N242">
        <f>L242*(1-MIN((Inputs!$B$9+((C259=TRUE)*(F259-Calc!F25))+B267),100)/100)+M242*(MIN((Inputs!$B$9+((C259=TRUE)*(F259-Calc!F25))+B267),100)/100)</f>
        <v/>
      </c>
      <c r="O242">
        <f>(1-Summary!$B$55)*T242+Summary!$B$55*V242</f>
        <v/>
      </c>
      <c r="P242">
        <f>IF(B279=0,0,O242/B279)</f>
        <v/>
      </c>
      <c r="Q242">
        <f>IFERROR(1/IF(Inputs!$B$39="pvp",15,MAX(0.1,Skills!D8-IF(Skills!E8=TRUE,Inputs!$B$32,0))),0)</f>
        <v/>
      </c>
      <c r="R242">
        <f>IF(AND(Inputs!$B$39&lt;&gt;"pvp",Inputs!$B$44&gt;0),IF(MAX(0,Inputs!$B$44-B278)&lt;=0,0,(INT(MAX(0,Inputs!$B$44-B278)/IF(Inputs!$B$39="pvp",15,MAX(0.1,Skills!D8-IF(Skills!E8=TRUE,Inputs!$B$32,0))))+1)),0)</f>
        <v/>
      </c>
      <c r="S242">
        <f>IFERROR(O242/N242,0)</f>
        <v/>
      </c>
      <c r="T242">
        <f>IF(C242,(H242*N242*IF(AND(Inputs!$B$39&lt;&gt;"pvp",Inputs!$B$44&gt;0),((Skills!G8*((R242-1)*IF(Skills!H8&gt;0,Skills!I8/Skills!H8,1)+IF(Skills!H8&gt;0,MIN(Skills!I8,MAX(0,MAX(0,Inputs!$B$44-B278)-((R242-1)*IF(Inputs!$B$39="pvp",15,MAX(0.1,Skills!D8-IF(Skills!E8=TRUE,Inputs!$B$32,0))))))/Skills!H8,1)))/Inputs!$B$44),G242*Q242))*IF(Inputs!$B$39="pvp",1,1+(Inputs!$B$20+0+Skills!P8+B268)/100),0)</f>
        <v/>
      </c>
      <c r="V242">
        <f>IF(C242,(H242*N242*IF(AND(Inputs!$B$39&lt;&gt;"pvp",Inputs!$B$44&gt;0),((Skills!G8*((R242-1)*IF(Skills!H8&gt;0,Skills!I8/Skills!H8,1)+IF(Skills!H8&gt;0,MIN(Skills!I8,MAX(0,MAX(0,Inputs!$B$44-B278)-((R242-1)*IF(Inputs!$B$39="pvp",15,MAX(0.1,Skills!D8-IF(Skills!E8=TRUE,Inputs!$B$32,0))))))/Skills!H8,1)))/Inputs!$B$44),G242*Q242))*IF(Inputs!$B$39="pvp",1,(1+(Inputs!$B$21+Skills!Q8+B268)/100)*(MIN(Skills!W8,Inputs!$B$37))),0)</f>
        <v/>
      </c>
    </row>
    <row r="243">
      <c r="A243">
        <f>Skills!A9</f>
        <v/>
      </c>
      <c r="B243">
        <f>Skills!B9</f>
        <v/>
      </c>
      <c r="C243">
        <f>Inputs!$B$3&gt;=117</f>
        <v/>
      </c>
      <c r="D243">
        <f>IF(Skills!C9=1,60+Inputs!$B$25+Inputs!$B$29,IF(Skills!C9=2,90+Inputs!$B$26+Inputs!$B$29,IF(Skills!C9=3,120+Inputs!$B$27+Inputs!$B$29,MAX(0,(Inputs!$B$3-100)*3)+Inputs!$B$28+Inputs!$B$29)))</f>
        <v/>
      </c>
      <c r="E243">
        <f>INDEX(FactorTable!$B$2:$Y$301, MATCH(ROUND(MIN(300,MAX(1,D243)),0), FactorTable!$A$2:$A$301,0), Skills!M9+1)</f>
        <v/>
      </c>
      <c r="F243">
        <f>IF(Skills!N9=TRUE,(Skills!L9/10)*(E243/1000),Skills!L9/10)+Skills!O9</f>
        <v/>
      </c>
      <c r="G243">
        <f>Skills!G9*IF(Skills!H9&gt;0,Skills!I9/Skills!H9,1)</f>
        <v/>
      </c>
      <c r="H243">
        <f>1-(1-Skills!J9/100)^Skills!K9</f>
        <v/>
      </c>
      <c r="I243" t="inlineStr">
        <is>
          <t>1</t>
        </is>
      </c>
      <c r="J243">
        <f>((Inputs!$B$6*(1+Inputs!$B$7/100))+(((Inputs!$B$12*(1+Inputs!$B$13/100))-(Inputs!$B$12*(1+Inputs!$B$13/100)))+0.25*(Inputs!$B$14-Inputs!$B$14))*(1+Inputs!$B$7/100))*(F243/100)</f>
        <v/>
      </c>
      <c r="K243">
        <f>J243*(1+((Inputs!$B$12*(1+Inputs!$B$13/100))*0.01+Inputs!$B$14*0.0025)/100)*(1+Inputs!$B$15/100)*(1+(Inputs!$B$16+1)/100)*(5000/(6000+Inputs!$B$43*(1-Inputs!$B$19/100)))*(1+(Inputs!$B$24+((C264=TRUE)*(F264-Calc!F30)))/100)*(1+(IF(Skills!A9="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243)</f>
        <v/>
      </c>
      <c r="L243">
        <f>K243*(MIN(Inputs!$B$22+((C258=TRUE)*(F258-Calc!F24)),Inputs!$B$23+((C263=TRUE)*(F263-Calc!F29)))/100+(Inputs!$B$23+((C263=TRUE)*(F263-Calc!F29)))/100)/2</f>
        <v/>
      </c>
      <c r="M243">
        <f>L243*(1+(Inputs!$B$10+((C260=TRUE)*(F260-Calc!F26))+B274)/100)</f>
        <v/>
      </c>
      <c r="N243">
        <f>L243*(1-MIN((Inputs!$B$9+((C259=TRUE)*(F259-Calc!F25))+B267),100)/100)+M243*(MIN((Inputs!$B$9+((C259=TRUE)*(F259-Calc!F25))+B267),100)/100)</f>
        <v/>
      </c>
      <c r="O243">
        <f>(1-Summary!$B$55)*T243+Summary!$B$55*V243</f>
        <v/>
      </c>
      <c r="P243">
        <f>IF(B279=0,0,O243/B279)</f>
        <v/>
      </c>
      <c r="Q243" t="n">
        <v>0</v>
      </c>
      <c r="R243" t="n">
        <v>0</v>
      </c>
      <c r="S243" t="n">
        <v>0</v>
      </c>
      <c r="T243">
        <f>IF(C243,(0.2*SUMPRODUCT((Skills!Z2:Z30=TRUE)*(C236:C264=TRUE)*S236:S264)*N243)*IF(Inputs!$B$39="pvp",1,1+(Inputs!$B$20+0+Skills!P9+B268)/100),0)</f>
        <v/>
      </c>
      <c r="V243">
        <f>IF(C243,(0.2*SUMPRODUCT((Skills!Z2:Z30=TRUE)*(C236:C264=TRUE)*S236:S264)*N243)*IF(Inputs!$B$39="pvp",1,(1+(Inputs!$B$21+Skills!Q9+B268)/100)*(MIN(Skills!W9,Inputs!$B$37))),0)</f>
        <v/>
      </c>
    </row>
    <row r="244">
      <c r="A244">
        <f>Skills!A10</f>
        <v/>
      </c>
      <c r="B244">
        <f>Skills!B10</f>
        <v/>
      </c>
      <c r="C244">
        <f>Inputs!$B$3&gt;=74</f>
        <v/>
      </c>
      <c r="D244">
        <f>IF(Skills!C10=1,60+Inputs!$B$25+Inputs!$B$29,IF(Skills!C10=2,90+Inputs!$B$26+Inputs!$B$29,IF(Skills!C10=3,120+Inputs!$B$27+Inputs!$B$29,MAX(0,(Inputs!$B$3-100)*3)+Inputs!$B$28+Inputs!$B$29)))</f>
        <v/>
      </c>
      <c r="E244">
        <f>INDEX(FactorTable!$B$2:$Y$301, MATCH(ROUND(MIN(300,MAX(1,D244)),0), FactorTable!$A$2:$A$301,0), Skills!M10+1)</f>
        <v/>
      </c>
      <c r="F244">
        <f>IF(Skills!N10=TRUE,(Skills!L10/10)*(E244/1000),Skills!L10/10)+Skills!O10</f>
        <v/>
      </c>
      <c r="G244">
        <f>Skills!G10*IF(Skills!H10&gt;0,Skills!I10/Skills!H10,1)</f>
        <v/>
      </c>
      <c r="H244">
        <f>1-(1-Skills!J10/100)^Skills!K10</f>
        <v/>
      </c>
      <c r="I244" t="inlineStr">
        <is>
          <t>1</t>
        </is>
      </c>
      <c r="J244" t="inlineStr"/>
      <c r="K244" t="inlineStr"/>
      <c r="L244" t="inlineStr"/>
      <c r="M244" t="inlineStr"/>
      <c r="N244" t="inlineStr"/>
      <c r="O244">
        <f>(1-Summary!$B$55)*T244+Summary!$B$55*V244</f>
        <v/>
      </c>
      <c r="P244">
        <f>IF(B279=0,0,O244/B279)</f>
        <v/>
      </c>
      <c r="Q244">
        <f>IFERROR(1/IF(Inputs!$B$39="pvp",15,MAX(0.1,Skills!D10-IF(Skills!E10=TRUE,Inputs!$B$32,0))),0)</f>
        <v/>
      </c>
      <c r="R244">
        <f>IF(AND(Inputs!$B$39&lt;&gt;"pvp",Inputs!$B$44&gt;0),IF(Inputs!$B$44&lt;=0,0,(INT(Inputs!$B$44/IF(Inputs!$B$39="pvp",15,MAX(0.1,Skills!D10-IF(Skills!E10=TRUE,Inputs!$B$32,0))))+1)),0)</f>
        <v/>
      </c>
      <c r="S244">
        <f>IFERROR(O244/N244,0)</f>
        <v/>
      </c>
      <c r="T244" t="n">
        <v>0</v>
      </c>
      <c r="V244" t="n">
        <v>0</v>
      </c>
    </row>
    <row r="245">
      <c r="A245">
        <f>Skills!A11</f>
        <v/>
      </c>
      <c r="B245">
        <f>Skills!B11</f>
        <v/>
      </c>
      <c r="C245">
        <f>Inputs!$B$3&gt;=103</f>
        <v/>
      </c>
      <c r="D245">
        <f>IF(Skills!C11=1,60+Inputs!$B$25+Inputs!$B$29,IF(Skills!C11=2,90+Inputs!$B$26+Inputs!$B$29,IF(Skills!C11=3,120+Inputs!$B$27+Inputs!$B$29,MAX(0,(Inputs!$B$3-100)*3)+Inputs!$B$28+Inputs!$B$29)))</f>
        <v/>
      </c>
      <c r="E245">
        <f>INDEX(FactorTable!$B$2:$Y$301, MATCH(ROUND(MIN(300,MAX(1,D245)),0), FactorTable!$A$2:$A$301,0), Skills!M11+1)</f>
        <v/>
      </c>
      <c r="F245">
        <f>(Skills!L11/10)*(E245/1000)+IF(Inputs!$B$3&gt;=134,50,0)+0.5*(30000/10)*(INDEX(FactorTable!$B$2:$Y$301, MATCH(ROUND(MIN(300,MAX(1,D245)),0), FactorTable!$A$2:$A$301,0), 13)/1000)*B277</f>
        <v/>
      </c>
      <c r="G245">
        <f>Skills!G11*IF(Skills!H11&gt;0,Skills!I11/Skills!H11,1)</f>
        <v/>
      </c>
      <c r="H245">
        <f>1-(1-Skills!J11/100)^Skills!K11</f>
        <v/>
      </c>
      <c r="I245" t="inlineStr">
        <is>
          <t>1</t>
        </is>
      </c>
      <c r="J245">
        <f>((Inputs!$B$6*(1+Inputs!$B$7/100))+(((Inputs!$B$12*(1+Inputs!$B$13/100))-(Inputs!$B$12*(1+Inputs!$B$13/100)))+0.25*(Inputs!$B$14-Inputs!$B$14))*(1+Inputs!$B$7/100))*(F245/100)</f>
        <v/>
      </c>
      <c r="K245">
        <f>J245*(1+((Inputs!$B$12*(1+Inputs!$B$13/100))*0.01+Inputs!$B$14*0.0025)/100)*(1+Inputs!$B$15/100)*(1+(Inputs!$B$16+1)/100)*(5000/(6000+Inputs!$B$43*(1-Inputs!$B$19/100)))*(1+(Inputs!$B$24+((C264=TRUE)*(F264-Calc!F30)))/100)*(1+(IF(Skills!A11="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245)</f>
        <v/>
      </c>
      <c r="L245">
        <f>K245*(MIN(Inputs!$B$22+((C258=TRUE)*(F258-Calc!F24)),Inputs!$B$23+((C263=TRUE)*(F263-Calc!F29)))/100+(Inputs!$B$23+((C263=TRUE)*(F263-Calc!F29)))/100)/2</f>
        <v/>
      </c>
      <c r="M245">
        <f>L245*(1+(Inputs!$B$10+((C260=TRUE)*(F260-Calc!F26))+B274)/100)</f>
        <v/>
      </c>
      <c r="N245">
        <f>L245*(1-MIN((Inputs!$B$9+((C259=TRUE)*(F259-Calc!F25))+B267),100)/100)+M245*(MIN((Inputs!$B$9+((C259=TRUE)*(F259-Calc!F25))+B267),100)/100)</f>
        <v/>
      </c>
      <c r="O245">
        <f>(1-Summary!$B$55)*T245+Summary!$B$55*V245</f>
        <v/>
      </c>
      <c r="P245">
        <f>IF(B279=0,0,O245/B279)</f>
        <v/>
      </c>
      <c r="Q245">
        <f>IFERROR(1/IF(Inputs!$B$39="pvp",15,MAX(0.1,Skills!D11-IF(Skills!E11=TRUE,Inputs!$B$32,0))),0)</f>
        <v/>
      </c>
      <c r="R245">
        <f>IF(AND(Inputs!$B$39&lt;&gt;"pvp",Inputs!$B$44&gt;0),IF(MAX(0,Inputs!$B$44-B278)&lt;=0,0,(INT(MAX(0,Inputs!$B$44-B278)/IF(Inputs!$B$39="pvp",15,MAX(0.1,Skills!D11-IF(Skills!E11=TRUE,Inputs!$B$32,0))))+1)),0)</f>
        <v/>
      </c>
      <c r="S245">
        <f>IFERROR(O245/N245,0)</f>
        <v/>
      </c>
      <c r="T245">
        <f>IF(C245,(H245*N245*IF(AND(Inputs!$B$39&lt;&gt;"pvp",Inputs!$B$44&gt;0),((Skills!G11*((R245-1)*IF(Skills!H11&gt;0,Skills!I11/Skills!H11,1)+IF(Skills!H11&gt;0,MIN(Skills!I11,MAX(0,MAX(0,Inputs!$B$44-B278)-((R245-1)*IF(Inputs!$B$39="pvp",15,MAX(0.1,Skills!D11-IF(Skills!E11=TRUE,Inputs!$B$32,0))))))/Skills!H11,1)))/Inputs!$B$44),G245*Q245))*IF(Inputs!$B$39="pvp",1,1+(Inputs!$B$20+0+Skills!P11+B268)/100),0)</f>
        <v/>
      </c>
      <c r="V245">
        <f>IF(C245,(H245*N245*IF(AND(Inputs!$B$39&lt;&gt;"pvp",Inputs!$B$44&gt;0),((Skills!G11*((R245-1)*IF(Skills!H11&gt;0,Skills!I11/Skills!H11,1)+IF(Skills!H11&gt;0,MIN(Skills!I11,MAX(0,MAX(0,Inputs!$B$44-B278)-((R245-1)*IF(Inputs!$B$39="pvp",15,MAX(0.1,Skills!D11-IF(Skills!E11=TRUE,Inputs!$B$32,0))))))/Skills!H11,1)))/Inputs!$B$44),G245*Q245))*IF(Inputs!$B$39="pvp",1,(1+(Inputs!$B$21+Skills!Q11+B268)/100)*(MIN(Skills!W11,Inputs!$B$37))),0)</f>
        <v/>
      </c>
    </row>
    <row r="246">
      <c r="A246">
        <f>Skills!A12</f>
        <v/>
      </c>
      <c r="B246">
        <f>Skills!B12</f>
        <v/>
      </c>
      <c r="C246">
        <f>Inputs!$B$3&gt;=105</f>
        <v/>
      </c>
      <c r="D246">
        <f>IF(Skills!C12=1,60+Inputs!$B$25+Inputs!$B$29,IF(Skills!C12=2,90+Inputs!$B$26+Inputs!$B$29,IF(Skills!C12=3,120+Inputs!$B$27+Inputs!$B$29,MAX(0,(Inputs!$B$3-100)*3)+Inputs!$B$28+Inputs!$B$29)))</f>
        <v/>
      </c>
      <c r="E246">
        <f>INDEX(FactorTable!$B$2:$Y$301, MATCH(ROUND(MIN(300,MAX(1,D246)),0), FactorTable!$A$2:$A$301,0), Skills!M12+1)</f>
        <v/>
      </c>
      <c r="F246">
        <f>IF(Skills!N12=TRUE,(Skills!L12/10)*(E246/1000),Skills!L12/10)+Skills!O12</f>
        <v/>
      </c>
      <c r="G246">
        <f>Skills!G12*IF(Skills!H12&gt;0,Skills!I12/Skills!H12,1)</f>
        <v/>
      </c>
      <c r="H246">
        <f>1-(1-Skills!J12/100)^Skills!K12</f>
        <v/>
      </c>
      <c r="I246" t="inlineStr">
        <is>
          <t>1</t>
        </is>
      </c>
      <c r="J246">
        <f>((Inputs!$B$6*(1+Inputs!$B$7/100))+(((Inputs!$B$12*(1+Inputs!$B$13/100))-(Inputs!$B$12*(1+Inputs!$B$13/100)))+0.25*(Inputs!$B$14-Inputs!$B$14))*(1+Inputs!$B$7/100))*(F246/100)</f>
        <v/>
      </c>
      <c r="K246">
        <f>J246*(1+((Inputs!$B$12*(1+Inputs!$B$13/100))*0.01+Inputs!$B$14*0.0025)/100)*(1+Inputs!$B$15/100)*(1+(Inputs!$B$16+1)/100)*(5000/(6000+Inputs!$B$43*(1-Inputs!$B$19/100)))*(1+(Inputs!$B$24+((C264=TRUE)*(F264-Calc!F30)))/100)*(1+(IF(Skills!A12="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246)</f>
        <v/>
      </c>
      <c r="L246">
        <f>K246*(MIN(Inputs!$B$22+((C258=TRUE)*(F258-Calc!F24)),Inputs!$B$23+((C263=TRUE)*(F263-Calc!F29)))/100+(Inputs!$B$23+((C263=TRUE)*(F263-Calc!F29)))/100)/2</f>
        <v/>
      </c>
      <c r="M246">
        <f>L246*(1+(Inputs!$B$10+((C260=TRUE)*(F260-Calc!F26))+B274)/100)</f>
        <v/>
      </c>
      <c r="N246">
        <f>L246*(1-MIN((Inputs!$B$9+((C259=TRUE)*(F259-Calc!F25))+B267),100)/100)+M246*(MIN((Inputs!$B$9+((C259=TRUE)*(F259-Calc!F25))+B267),100)/100)</f>
        <v/>
      </c>
      <c r="O246">
        <f>(1-Summary!$B$55)*T246+Summary!$B$55*V246</f>
        <v/>
      </c>
      <c r="P246">
        <f>IF(B279=0,0,O246/B279)</f>
        <v/>
      </c>
      <c r="Q246">
        <f>IFERROR(1/IF(Inputs!$B$39="pvp",15,MAX(0.1,Skills!D12-IF(Skills!E12=TRUE,Inputs!$B$32,0))),0)</f>
        <v/>
      </c>
      <c r="R246">
        <f>IF(AND(Inputs!$B$39&lt;&gt;"pvp",Inputs!$B$44&gt;0),IF(MAX(0,Inputs!$B$44-B278)&lt;=0,0,(INT(MAX(0,Inputs!$B$44-B278)/IF(Inputs!$B$39="pvp",15,MAX(0.1,Skills!D12-IF(Skills!E12=TRUE,Inputs!$B$32,0))))+1)),0)</f>
        <v/>
      </c>
      <c r="S246">
        <f>IFERROR(O246/N246,0)</f>
        <v/>
      </c>
      <c r="T246">
        <f>IF(C246,(H246*N246*IF(AND(Inputs!$B$39&lt;&gt;"pvp",Inputs!$B$44&gt;0),((Skills!G12*((R246-1)*IF(Skills!H12&gt;0,Skills!I12/Skills!H12,1)+IF(Skills!H12&gt;0,MIN(Skills!I12,MAX(0,MAX(0,Inputs!$B$44-B278)-((R246-1)*IF(Inputs!$B$39="pvp",15,MAX(0.1,Skills!D12-IF(Skills!E12=TRUE,Inputs!$B$32,0))))))/Skills!H12,1)))/Inputs!$B$44),G246*Q246))*IF(Inputs!$B$39="pvp",1,1+(Inputs!$B$20+0+Skills!P12+B268)/100),0)</f>
        <v/>
      </c>
      <c r="V246">
        <f>IF(C246,(H246*N246*IF(AND(Inputs!$B$39&lt;&gt;"pvp",Inputs!$B$44&gt;0),((Skills!G12*((R246-1)*IF(Skills!H12&gt;0,Skills!I12/Skills!H12,1)+IF(Skills!H12&gt;0,MIN(Skills!I12,MAX(0,MAX(0,Inputs!$B$44-B278)-((R246-1)*IF(Inputs!$B$39="pvp",15,MAX(0.1,Skills!D12-IF(Skills!E12=TRUE,Inputs!$B$32,0))))))/Skills!H12,1)))/Inputs!$B$44),G246*Q246))*IF(Inputs!$B$39="pvp",1,(1+(Inputs!$B$21+Skills!Q12+B268)/100)*(MIN(Skills!W12,Inputs!$B$37))),0)</f>
        <v/>
      </c>
    </row>
    <row r="247">
      <c r="A247">
        <f>Skills!A13</f>
        <v/>
      </c>
      <c r="B247">
        <f>Skills!B13</f>
        <v/>
      </c>
      <c r="C247">
        <f>Inputs!$B$3&gt;=105</f>
        <v/>
      </c>
      <c r="D247">
        <f>IF(Skills!C13=1,60+Inputs!$B$25+Inputs!$B$29,IF(Skills!C13=2,90+Inputs!$B$26+Inputs!$B$29,IF(Skills!C13=3,120+Inputs!$B$27+Inputs!$B$29,MAX(0,(Inputs!$B$3-100)*3)+Inputs!$B$28+Inputs!$B$29)))</f>
        <v/>
      </c>
      <c r="E247">
        <f>INDEX(FactorTable!$B$2:$Y$301, MATCH(ROUND(MIN(300,MAX(1,D247)),0), FactorTable!$A$2:$A$301,0), Skills!M13+1)</f>
        <v/>
      </c>
      <c r="F247">
        <f>IF(Skills!N13=TRUE,(Skills!L13/10)*(E247/1000),Skills!L13/10)+Skills!O13</f>
        <v/>
      </c>
      <c r="G247">
        <f>Skills!G13*IF(Skills!H13&gt;0,Skills!I13/Skills!H13,1)</f>
        <v/>
      </c>
      <c r="H247">
        <f>1-(1-Skills!J13/100)^Skills!K13</f>
        <v/>
      </c>
      <c r="I247" t="inlineStr">
        <is>
          <t>1</t>
        </is>
      </c>
      <c r="J247">
        <f>((Inputs!$B$6*(1+Inputs!$B$7/100))+(((Inputs!$B$12*(1+Inputs!$B$13/100))-(Inputs!$B$12*(1+Inputs!$B$13/100)))+0.25*(Inputs!$B$14-Inputs!$B$14))*(1+Inputs!$B$7/100))*(F247/100)</f>
        <v/>
      </c>
      <c r="K247">
        <f>J247*(1+((Inputs!$B$12*(1+Inputs!$B$13/100))*0.01+Inputs!$B$14*0.0025)/100)*(1+Inputs!$B$15/100)*(1+(Inputs!$B$16+1)/100)*(5000/(6000+Inputs!$B$43*(1-Inputs!$B$19/100)))*(1+(Inputs!$B$24+((C264=TRUE)*(F264-Calc!F30)))/100)*(1+(IF(Skills!A13="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247)</f>
        <v/>
      </c>
      <c r="L247">
        <f>K247*(MIN(Inputs!$B$22+((C258=TRUE)*(F258-Calc!F24)),Inputs!$B$23+((C263=TRUE)*(F263-Calc!F29)))/100+(Inputs!$B$23+((C263=TRUE)*(F263-Calc!F29)))/100)/2</f>
        <v/>
      </c>
      <c r="M247">
        <f>L247*(1+(Inputs!$B$10+((C260=TRUE)*(F260-Calc!F26))+B274)/100)</f>
        <v/>
      </c>
      <c r="N247">
        <f>L247*(1-MIN((Inputs!$B$9+((C259=TRUE)*(F259-Calc!F25))+B267),100)/100)+M247*(MIN((Inputs!$B$9+((C259=TRUE)*(F259-Calc!F25))+B267),100)/100)</f>
        <v/>
      </c>
      <c r="O247">
        <f>(1-Summary!$B$55)*T247+Summary!$B$55*V247</f>
        <v/>
      </c>
      <c r="P247">
        <f>IF(B279=0,0,O247/B279)</f>
        <v/>
      </c>
      <c r="Q247">
        <f>IFERROR(1/IF(Inputs!$B$39="pvp",15,MAX(0.1,Skills!D13-IF(Skills!E13=TRUE,Inputs!$B$32,0))),0)</f>
        <v/>
      </c>
      <c r="R247">
        <f>IF(AND(Inputs!$B$39&lt;&gt;"pvp",Inputs!$B$44&gt;0),IF(MAX(0,Inputs!$B$44-B278)&lt;=0,0,(INT(MAX(0,Inputs!$B$44-B278)/IF(Inputs!$B$39="pvp",15,MAX(0.1,Skills!D13-IF(Skills!E13=TRUE,Inputs!$B$32,0))))+1)),0)</f>
        <v/>
      </c>
      <c r="S247">
        <f>IFERROR(O247/N247,0)</f>
        <v/>
      </c>
      <c r="T247">
        <f>IF(C247,(H247*N247*IF(AND(Inputs!$B$39&lt;&gt;"pvp",Inputs!$B$44&gt;0),((Skills!G13*((R247-1)*IF(Skills!H13&gt;0,Skills!I13/Skills!H13,1)+IF(Skills!H13&gt;0,MIN(Skills!I13,MAX(0,MAX(0,Inputs!$B$44-B278)-((R247-1)*IF(Inputs!$B$39="pvp",15,MAX(0.1,Skills!D13-IF(Skills!E13=TRUE,Inputs!$B$32,0))))))/Skills!H13,1)))/Inputs!$B$44),G247*Q247))*IF(Inputs!$B$39="pvp",1,1+(Inputs!$B$20+0+Skills!P13+B268)/100),0)</f>
        <v/>
      </c>
      <c r="V247">
        <f>IF(C247,(H247*N247*IF(AND(Inputs!$B$39&lt;&gt;"pvp",Inputs!$B$44&gt;0),((Skills!G13*((R247-1)*IF(Skills!H13&gt;0,Skills!I13/Skills!H13,1)+IF(Skills!H13&gt;0,MIN(Skills!I13,MAX(0,MAX(0,Inputs!$B$44-B278)-((R247-1)*IF(Inputs!$B$39="pvp",15,MAX(0.1,Skills!D13-IF(Skills!E13=TRUE,Inputs!$B$32,0))))))/Skills!H13,1)))/Inputs!$B$44),G247*Q247))*IF(Inputs!$B$39="pvp",1,(1+(Inputs!$B$21+Skills!Q13+B268)/100)*(MIN(Skills!W13,Inputs!$B$37))),0)</f>
        <v/>
      </c>
    </row>
    <row r="248">
      <c r="A248">
        <f>Skills!A14</f>
        <v/>
      </c>
      <c r="B248">
        <f>Skills!B14</f>
        <v/>
      </c>
      <c r="C248">
        <f>Inputs!$B$3&gt;=107</f>
        <v/>
      </c>
      <c r="D248">
        <f>IF(Skills!C14=1,60+Inputs!$B$25+Inputs!$B$29,IF(Skills!C14=2,90+Inputs!$B$26+Inputs!$B$29,IF(Skills!C14=3,120+Inputs!$B$27+Inputs!$B$29,MAX(0,(Inputs!$B$3-100)*3)+Inputs!$B$28+Inputs!$B$29)))</f>
        <v/>
      </c>
      <c r="E248">
        <f>INDEX(FactorTable!$B$2:$Y$301, MATCH(ROUND(MIN(300,MAX(1,D248)),0), FactorTable!$A$2:$A$301,0), Skills!M14+1)</f>
        <v/>
      </c>
      <c r="F248">
        <f>IF(Skills!N14=TRUE,(Skills!L14/10)*(E248/1000),Skills!L14/10)+Skills!O14</f>
        <v/>
      </c>
      <c r="G248">
        <f>Skills!G14*IF(Skills!H14&gt;0,Skills!I14/Skills!H14,1)</f>
        <v/>
      </c>
      <c r="H248">
        <f>1-(1-Skills!J14/100)^Skills!K14</f>
        <v/>
      </c>
      <c r="I248" t="inlineStr">
        <is>
          <t>1</t>
        </is>
      </c>
      <c r="J248">
        <f>((Inputs!$B$6*(1+Inputs!$B$7/100))+(((Inputs!$B$12*(1+Inputs!$B$13/100))-(Inputs!$B$12*(1+Inputs!$B$13/100)))+0.25*(Inputs!$B$14-Inputs!$B$14))*(1+Inputs!$B$7/100))*(F248/100)</f>
        <v/>
      </c>
      <c r="K248">
        <f>J248*(1+((Inputs!$B$12*(1+Inputs!$B$13/100))*0.01+Inputs!$B$14*0.0025)/100)*(1+Inputs!$B$15/100)*(1+(Inputs!$B$16+1)/100)*(5000/(6000+Inputs!$B$43*(1-Inputs!$B$19/100)))*(1+(Inputs!$B$24+((C264=TRUE)*(F264-Calc!F30)))/100)*(1+(IF(Skills!A14="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248)</f>
        <v/>
      </c>
      <c r="L248">
        <f>K248*(MIN(Inputs!$B$22+((C258=TRUE)*(F258-Calc!F24)),Inputs!$B$23+((C263=TRUE)*(F263-Calc!F29)))/100+(Inputs!$B$23+((C263=TRUE)*(F263-Calc!F29)))/100)/2</f>
        <v/>
      </c>
      <c r="M248">
        <f>L248*(1+(Inputs!$B$10+((C260=TRUE)*(F260-Calc!F26))+B274)/100)</f>
        <v/>
      </c>
      <c r="N248">
        <f>L248*(1-MIN((Inputs!$B$9+((C259=TRUE)*(F259-Calc!F25))+B267),100)/100)+M248*(MIN((Inputs!$B$9+((C259=TRUE)*(F259-Calc!F25))+B267),100)/100)</f>
        <v/>
      </c>
      <c r="O248">
        <f>(1-Summary!$B$55)*T248+Summary!$B$55*V248</f>
        <v/>
      </c>
      <c r="P248">
        <f>IF(B279=0,0,O248/B279)</f>
        <v/>
      </c>
      <c r="Q248">
        <f>IFERROR(1/IF(Inputs!$B$39="pvp",15,MAX(0.1,Skills!D14-IF(Skills!E14=TRUE,Inputs!$B$32,0))),0)</f>
        <v/>
      </c>
      <c r="R248">
        <f>IF(AND(Inputs!$B$39&lt;&gt;"pvp",Inputs!$B$44&gt;0),IF(MAX(0,Inputs!$B$44-B278)&lt;=0,0,(INT(MAX(0,Inputs!$B$44-B278)/IF(Inputs!$B$39="pvp",15,MAX(0.1,Skills!D14-IF(Skills!E14=TRUE,Inputs!$B$32,0))))+1)),0)</f>
        <v/>
      </c>
      <c r="S248">
        <f>IFERROR(O248/N248,0)</f>
        <v/>
      </c>
      <c r="T248">
        <f>IF(C248,(H248*N248*IF(AND(Inputs!$B$39&lt;&gt;"pvp",Inputs!$B$44&gt;0),((Skills!G14*((R248-1)*IF(Skills!H14&gt;0,Skills!I14/Skills!H14,1)+IF(Skills!H14&gt;0,MIN(Skills!I14,MAX(0,MAX(0,Inputs!$B$44-B278)-((R248-1)*IF(Inputs!$B$39="pvp",15,MAX(0.1,Skills!D14-IF(Skills!E14=TRUE,Inputs!$B$32,0))))))/Skills!H14,1)))/Inputs!$B$44),G248*Q248))*IF(Inputs!$B$39="pvp",1,1+(Inputs!$B$20+0+Skills!P14+B268)/100),0)</f>
        <v/>
      </c>
      <c r="V248">
        <f>IF(C248,(H248*N248*IF(AND(Inputs!$B$39&lt;&gt;"pvp",Inputs!$B$44&gt;0),((Skills!G14*((R248-1)*IF(Skills!H14&gt;0,Skills!I14/Skills!H14,1)+IF(Skills!H14&gt;0,MIN(Skills!I14,MAX(0,MAX(0,Inputs!$B$44-B278)-((R248-1)*IF(Inputs!$B$39="pvp",15,MAX(0.1,Skills!D14-IF(Skills!E14=TRUE,Inputs!$B$32,0))))))/Skills!H14,1)))/Inputs!$B$44),G248*Q248))*IF(Inputs!$B$39="pvp",1,(1+(Inputs!$B$21+Skills!Q14+B268)/100)*(MIN(MIN(5,0.25*B271*Skills!D4)*Skills!V14,Inputs!$B$37))),0)</f>
        <v/>
      </c>
    </row>
    <row r="249">
      <c r="A249">
        <f>Skills!A15</f>
        <v/>
      </c>
      <c r="B249">
        <f>Skills!B15</f>
        <v/>
      </c>
      <c r="C249">
        <f>Inputs!$B$3&gt;=110</f>
        <v/>
      </c>
      <c r="D249">
        <f>IF(Skills!C15=1,60+Inputs!$B$25+Inputs!$B$29,IF(Skills!C15=2,90+Inputs!$B$26+Inputs!$B$29,IF(Skills!C15=3,120+Inputs!$B$27+Inputs!$B$29,MAX(0,(Inputs!$B$3-100)*3)+Inputs!$B$28+Inputs!$B$29)))</f>
        <v/>
      </c>
      <c r="E249">
        <f>INDEX(FactorTable!$B$2:$Y$301, MATCH(ROUND(MIN(300,MAX(1,D249)),0), FactorTable!$A$2:$A$301,0), Skills!M15+1)</f>
        <v/>
      </c>
      <c r="F249">
        <f>IF(Skills!N15=TRUE,(Skills!L15/10)*(E249/1000),Skills!L15/10)+Skills!O15</f>
        <v/>
      </c>
      <c r="G249">
        <f>Skills!G15*IF(Skills!H15&gt;0,Skills!I15/Skills!H15,1)</f>
        <v/>
      </c>
      <c r="H249">
        <f>1-(1-Skills!J15/100)^Skills!K15</f>
        <v/>
      </c>
      <c r="I249" t="inlineStr">
        <is>
          <t>1</t>
        </is>
      </c>
      <c r="J249" t="inlineStr"/>
      <c r="K249" t="inlineStr"/>
      <c r="L249" t="inlineStr"/>
      <c r="M249" t="inlineStr"/>
      <c r="N249" t="inlineStr"/>
      <c r="O249">
        <f>(1-Summary!$B$55)*T249+Summary!$B$55*V249</f>
        <v/>
      </c>
      <c r="P249">
        <f>IF(B279=0,0,O249/B279)</f>
        <v/>
      </c>
      <c r="Q249">
        <f>IFERROR(1/IF(Inputs!$B$39="pvp",15,MAX(0.1,Skills!D15-IF(Skills!E15=TRUE,Inputs!$B$32,0))),0)</f>
        <v/>
      </c>
      <c r="R249">
        <f>IF(AND(Inputs!$B$39&lt;&gt;"pvp",Inputs!$B$44&gt;0),IF(Inputs!$B$44&lt;=0,0,(INT(Inputs!$B$44/IF(Inputs!$B$39="pvp",15,MAX(0.1,Skills!D15-IF(Skills!E15=TRUE,Inputs!$B$32,0))))+1)),0)</f>
        <v/>
      </c>
      <c r="S249">
        <f>IFERROR(O249/N249,0)</f>
        <v/>
      </c>
      <c r="T249" t="n">
        <v>0</v>
      </c>
      <c r="V249" t="n">
        <v>0</v>
      </c>
    </row>
    <row r="250">
      <c r="A250">
        <f>Skills!A16</f>
        <v/>
      </c>
      <c r="B250">
        <f>Skills!B16</f>
        <v/>
      </c>
      <c r="C250">
        <f>Inputs!$B$3&gt;=115</f>
        <v/>
      </c>
      <c r="D250">
        <f>IF(Skills!C16=1,60+Inputs!$B$25+Inputs!$B$29,IF(Skills!C16=2,90+Inputs!$B$26+Inputs!$B$29,IF(Skills!C16=3,120+Inputs!$B$27+Inputs!$B$29,MAX(0,(Inputs!$B$3-100)*3)+Inputs!$B$28+Inputs!$B$29)))</f>
        <v/>
      </c>
      <c r="E250">
        <f>INDEX(FactorTable!$B$2:$Y$301, MATCH(ROUND(MIN(300,MAX(1,D250)),0), FactorTable!$A$2:$A$301,0), Skills!M16+1)</f>
        <v/>
      </c>
      <c r="F250">
        <f>IF(Skills!N16=TRUE,(Skills!L16/10)*(E250/1000),Skills!L16/10)+Skills!O16</f>
        <v/>
      </c>
      <c r="G250">
        <f>Skills!G16*IF(Skills!H16&gt;0,Skills!I16/Skills!H16,1)</f>
        <v/>
      </c>
      <c r="H250">
        <f>1-(1-Skills!J16/100)^Skills!K16</f>
        <v/>
      </c>
      <c r="I250" t="inlineStr">
        <is>
          <t>1</t>
        </is>
      </c>
      <c r="J250">
        <f>((Inputs!$B$6*(1+Inputs!$B$7/100))+(((Inputs!$B$12*(1+Inputs!$B$13/100))-(Inputs!$B$12*(1+Inputs!$B$13/100)))+0.25*(Inputs!$B$14-Inputs!$B$14))*(1+Inputs!$B$7/100))*(F250/100)</f>
        <v/>
      </c>
      <c r="K250">
        <f>J250*(1+((Inputs!$B$12*(1+Inputs!$B$13/100))*0.01+Inputs!$B$14*0.0025)/100)*(1+Inputs!$B$15/100)*(1+(Inputs!$B$16+1)/100)*(5000/(6000+Inputs!$B$43*(1-Inputs!$B$19/100)))*(1+(Inputs!$B$24+((C264=TRUE)*(F264-Calc!F30)))/100)*(1+(IF(Skills!A16="CRUEL_STAB",Inputs!$B$17+((C261=TRUE)*(F261-Calc!F27)),Inputs!$B$18+((C262=TRUE)*(F262-Calc!F28))))/100)*(((1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B269*I250)</f>
        <v/>
      </c>
      <c r="L250">
        <f>K250*(MIN(Inputs!$B$22+((C258=TRUE)*(F258-Calc!F24)),Inputs!$B$23+((C263=TRUE)*(F263-Calc!F29)))/100+(Inputs!$B$23+((C263=TRUE)*(F263-Calc!F29)))/100)/2</f>
        <v/>
      </c>
      <c r="M250">
        <f>L250*(1+(Inputs!$B$10+((C260=TRUE)*(F260-Calc!F26))+B274)/100)</f>
        <v/>
      </c>
      <c r="N250">
        <f>L250*(1-MIN((Inputs!$B$9+((C259=TRUE)*(F259-Calc!F25))+B267),100)/100)+M250*(MIN((Inputs!$B$9+((C259=TRUE)*(F259-Calc!F25))+B267),100)/100)</f>
        <v/>
      </c>
      <c r="O250">
        <f>(1-Summary!$B$55)*T250+Summary!$B$55*V250</f>
        <v/>
      </c>
      <c r="P250">
        <f>IF(B279=0,0,O250/B279)</f>
        <v/>
      </c>
      <c r="Q250" t="n">
        <v>0</v>
      </c>
      <c r="R250" t="n">
        <v>0</v>
      </c>
      <c r="S250">
        <f>IFERROR(O250/N250,0)</f>
        <v/>
      </c>
      <c r="T250">
        <f>IF(C250,(Inputs!$B$38*0.2*N250)*IF(Inputs!$B$39="pvp",1,1+(Inputs!$B$20+0+Skills!P16+B268)/100),0)</f>
        <v/>
      </c>
      <c r="V250">
        <f>IF(C250,(Inputs!$B$38*0.2*N250)*IF(Inputs!$B$39="pvp",1,(1+(Inputs!$B$21+Skills!Q16+B268)/100)*(MIN(Skills!W16,Inputs!$B$37))),0)</f>
        <v/>
      </c>
    </row>
    <row r="251">
      <c r="A251">
        <f>Skills!A17</f>
        <v/>
      </c>
      <c r="B251">
        <f>Skills!B17</f>
        <v/>
      </c>
      <c r="C251">
        <f>Inputs!$B$3&gt;=115</f>
        <v/>
      </c>
      <c r="D251">
        <f>IF(Skills!C17=1,60+Inputs!$B$25+Inputs!$B$29,IF(Skills!C17=2,90+Inputs!$B$26+Inputs!$B$29,IF(Skills!C17=3,120+Inputs!$B$27+Inputs!$B$29,MAX(0,(Inputs!$B$3-100)*3)+Inputs!$B$28+Inputs!$B$29)))</f>
        <v/>
      </c>
      <c r="E251">
        <f>INDEX(FactorTable!$B$2:$Y$301, MATCH(ROUND(MIN(300,MAX(1,D251)),0), FactorTable!$A$2:$A$301,0), Skills!M17+1)</f>
        <v/>
      </c>
      <c r="F251">
        <f>IF(Skills!N17=TRUE,(Skills!L17/10)*(E251/1000),Skills!L17/10)+Skills!O17</f>
        <v/>
      </c>
      <c r="G251">
        <f>Skills!G17*IF(Skills!H17&gt;0,Skills!I17/Skills!H17,1)</f>
        <v/>
      </c>
      <c r="H251">
        <f>1-(1-Skills!J17/100)^Skills!K17</f>
        <v/>
      </c>
      <c r="I251" t="inlineStr">
        <is>
          <t>1</t>
        </is>
      </c>
      <c r="J251" t="inlineStr"/>
      <c r="K251" t="inlineStr"/>
      <c r="L251" t="inlineStr"/>
      <c r="M251" t="inlineStr"/>
      <c r="N251" t="inlineStr"/>
      <c r="O251">
        <f>(1-Summary!$B$55)*T251+Summary!$B$55*V251</f>
        <v/>
      </c>
      <c r="P251">
        <f>IF(B279=0,0,O251/B279)</f>
        <v/>
      </c>
      <c r="Q251" t="n">
        <v>0</v>
      </c>
      <c r="R251" t="n">
        <v>0</v>
      </c>
      <c r="S251">
        <f>IFERROR(O251/N251,0)</f>
        <v/>
      </c>
      <c r="T251" t="n">
        <v>0</v>
      </c>
      <c r="V251" t="n">
        <v>0</v>
      </c>
    </row>
    <row r="252">
      <c r="A252">
        <f>Skills!A18</f>
        <v/>
      </c>
      <c r="B252">
        <f>Skills!B18</f>
        <v/>
      </c>
      <c r="C252">
        <f>Inputs!$B$3&gt;=100</f>
        <v/>
      </c>
      <c r="D252">
        <f>IF(Skills!C18=1,60+Inputs!$B$25+Inputs!$B$29,IF(Skills!C18=2,90+Inputs!$B$26+Inputs!$B$29,IF(Skills!C18=3,120+Inputs!$B$27+Inputs!$B$29,MAX(0,(Inputs!$B$3-100)*3)+Inputs!$B$28+Inputs!$B$29)))</f>
        <v/>
      </c>
      <c r="E252">
        <f>INDEX(FactorTable!$B$2:$Y$301, MATCH(ROUND(MIN(300,MAX(1,D252)),0), FactorTable!$A$2:$A$301,0), Skills!M18+1)</f>
        <v/>
      </c>
      <c r="F252">
        <f>IF(Skills!N18=TRUE,(Skills!L18/10)*(E252/1000),Skills!L18/10)+Skills!O18</f>
        <v/>
      </c>
      <c r="G252">
        <f>Skills!G18*IF(Skills!H18&gt;0,Skills!I18/Skills!H18,1)</f>
        <v/>
      </c>
      <c r="H252">
        <f>1-(1-Skills!J18/100)^Skills!K18</f>
        <v/>
      </c>
      <c r="I252" t="inlineStr">
        <is>
          <t>1</t>
        </is>
      </c>
      <c r="J252" t="inlineStr"/>
      <c r="K252" t="inlineStr"/>
      <c r="L252" t="inlineStr"/>
      <c r="M252" t="inlineStr"/>
      <c r="N252" t="inlineStr"/>
      <c r="O252">
        <f>(1-Summary!$B$55)*T252+Summary!$B$55*V252</f>
        <v/>
      </c>
      <c r="P252">
        <f>IF(B279=0,0,O252/B279)</f>
        <v/>
      </c>
      <c r="Q252" t="n">
        <v>0</v>
      </c>
      <c r="R252" t="n">
        <v>0</v>
      </c>
      <c r="S252">
        <f>IFERROR(O252/N252,0)</f>
        <v/>
      </c>
      <c r="T252" t="n">
        <v>0</v>
      </c>
      <c r="V252" t="n">
        <v>0</v>
      </c>
    </row>
    <row r="253">
      <c r="A253">
        <f>Skills!A19</f>
        <v/>
      </c>
      <c r="B253">
        <f>Skills!B19</f>
        <v/>
      </c>
      <c r="C253">
        <f>TRUE</f>
        <v/>
      </c>
      <c r="D253">
        <f>IF(Skills!C19=1,60+Inputs!$B$25+Inputs!$B$29,IF(Skills!C19=2,90+Inputs!$B$26+Inputs!$B$29,IF(Skills!C19=3,120+Inputs!$B$27+Inputs!$B$29,MAX(0,(Inputs!$B$3-100)*3)+Inputs!$B$28+Inputs!$B$29)))</f>
        <v/>
      </c>
      <c r="E253">
        <f>INDEX(FactorTable!$B$2:$Y$301, MATCH(ROUND(MIN(300,MAX(1,D253)),0), FactorTable!$A$2:$A$301,0), Skills!M19+1)</f>
        <v/>
      </c>
      <c r="F253">
        <f>IF(Skills!N19=TRUE,(Skills!L19/10)*(E253/1000),Skills!L19/10)+Skills!O19</f>
        <v/>
      </c>
      <c r="G253">
        <f>Skills!G19*IF(Skills!H19&gt;0,Skills!I19/Skills!H19,1)</f>
        <v/>
      </c>
      <c r="H253">
        <f>1-(1-Skills!J19/100)^Skills!K19</f>
        <v/>
      </c>
      <c r="I253" t="inlineStr">
        <is>
          <t>1</t>
        </is>
      </c>
      <c r="J253" t="inlineStr"/>
      <c r="K253" t="inlineStr"/>
      <c r="L253" t="inlineStr"/>
      <c r="M253" t="inlineStr"/>
      <c r="N253" t="inlineStr"/>
      <c r="O253">
        <f>(1-Summary!$B$55)*T253+Summary!$B$55*V253</f>
        <v/>
      </c>
      <c r="P253">
        <f>IF(B279=0,0,O253/B279)</f>
        <v/>
      </c>
      <c r="Q253">
        <f>IFERROR(1/IF(Inputs!$B$39="pvp",15,MAX(0.1,Skills!D19-IF(Skills!E19=TRUE,Inputs!$B$32,0))),0)</f>
        <v/>
      </c>
      <c r="R253">
        <f>IF(AND(Inputs!$B$39&lt;&gt;"pvp",Inputs!$B$44&gt;0),IF(Inputs!$B$44&lt;=0,0,(INT(Inputs!$B$44/IF(Inputs!$B$39="pvp",15,MAX(0.1,Skills!D19-IF(Skills!E19=TRUE,Inputs!$B$32,0))))+1)),0)</f>
        <v/>
      </c>
      <c r="S253">
        <f>IFERROR(O253/N253,0)</f>
        <v/>
      </c>
      <c r="T253" t="n">
        <v>0</v>
      </c>
      <c r="V253" t="n">
        <v>0</v>
      </c>
    </row>
    <row r="254">
      <c r="A254">
        <f>Skills!A20</f>
        <v/>
      </c>
      <c r="B254">
        <f>Skills!B20</f>
        <v/>
      </c>
      <c r="C254">
        <f>Inputs!$B$3&gt;=15</f>
        <v/>
      </c>
      <c r="D254">
        <f>IF(Skills!C20=1,60+Inputs!$B$25+Inputs!$B$29,IF(Skills!C20=2,90+Inputs!$B$26+Inputs!$B$29,IF(Skills!C20=3,120+Inputs!$B$27+Inputs!$B$29,MAX(0,(Inputs!$B$3-100)*3)+Inputs!$B$28+Inputs!$B$29)))</f>
        <v/>
      </c>
      <c r="E254">
        <f>INDEX(FactorTable!$B$2:$Y$301, MATCH(ROUND(MIN(300,MAX(1,D254)),0), FactorTable!$A$2:$A$301,0), Skills!M20+1)</f>
        <v/>
      </c>
      <c r="F254">
        <f>IF(Skills!N20=TRUE,(Skills!L20/10)*(E254/1000),Skills!L20/10)+Skills!O20</f>
        <v/>
      </c>
      <c r="G254">
        <f>Skills!G20*IF(Skills!H20&gt;0,Skills!I20/Skills!H20,1)</f>
        <v/>
      </c>
      <c r="H254">
        <f>1-(1-Skills!J20/100)^Skills!K20</f>
        <v/>
      </c>
      <c r="I254" t="inlineStr">
        <is>
          <t>1</t>
        </is>
      </c>
      <c r="J254" t="inlineStr"/>
      <c r="K254" t="inlineStr"/>
      <c r="L254" t="inlineStr"/>
      <c r="M254" t="inlineStr"/>
      <c r="N254" t="inlineStr"/>
      <c r="O254">
        <f>(1-Summary!$B$55)*T254+Summary!$B$55*V254</f>
        <v/>
      </c>
      <c r="P254">
        <f>IF(B279=0,0,O254/B279)</f>
        <v/>
      </c>
      <c r="Q254">
        <f>IFERROR(1/IF(Inputs!$B$39="pvp",15,MAX(0.1,Skills!D20-IF(Skills!E20=TRUE,Inputs!$B$32,0))),0)</f>
        <v/>
      </c>
      <c r="R254">
        <f>IF(AND(Inputs!$B$39&lt;&gt;"pvp",Inputs!$B$44&gt;0),IF(Inputs!$B$44&lt;=0,0,(INT(Inputs!$B$44/IF(Inputs!$B$39="pvp",15,MAX(0.1,Skills!D20-IF(Skills!E20=TRUE,Inputs!$B$32,0))))+1)),0)</f>
        <v/>
      </c>
      <c r="S254">
        <f>IFERROR(O254/N254,0)</f>
        <v/>
      </c>
      <c r="T254" t="n">
        <v>0</v>
      </c>
      <c r="V254" t="n">
        <v>0</v>
      </c>
    </row>
    <row r="255">
      <c r="A255">
        <f>Skills!A21</f>
        <v/>
      </c>
      <c r="B255">
        <f>Skills!B21</f>
        <v/>
      </c>
      <c r="C255">
        <f>Inputs!$B$3&gt;=15</f>
        <v/>
      </c>
      <c r="D255">
        <f>IF(Skills!C21=1,60+Inputs!$B$25+Inputs!$B$29,IF(Skills!C21=2,90+Inputs!$B$26+Inputs!$B$29,IF(Skills!C21=3,120+Inputs!$B$27+Inputs!$B$29,MAX(0,(Inputs!$B$3-100)*3)+Inputs!$B$28+Inputs!$B$29)))</f>
        <v/>
      </c>
      <c r="E255">
        <f>INDEX(FactorTable!$B$2:$Y$301, MATCH(ROUND(MIN(300,MAX(1,D255)),0), FactorTable!$A$2:$A$301,0), Skills!M21+1)</f>
        <v/>
      </c>
      <c r="F255">
        <f>IF(Skills!N21=TRUE,(Skills!L21/10)*(E255/1000),Skills!L21/10)+Skills!O21</f>
        <v/>
      </c>
      <c r="G255">
        <f>Skills!G21*IF(Skills!H21&gt;0,Skills!I21/Skills!H21,1)</f>
        <v/>
      </c>
      <c r="H255">
        <f>1-(1-Skills!J21/100)^Skills!K21</f>
        <v/>
      </c>
      <c r="I255" t="inlineStr">
        <is>
          <t>1</t>
        </is>
      </c>
      <c r="J255" t="inlineStr"/>
      <c r="K255" t="inlineStr"/>
      <c r="L255" t="inlineStr"/>
      <c r="M255" t="inlineStr"/>
      <c r="N255" t="inlineStr"/>
      <c r="O255">
        <f>(1-Summary!$B$55)*T255+Summary!$B$55*V255</f>
        <v/>
      </c>
      <c r="P255">
        <f>IF(B279=0,0,O255/B279)</f>
        <v/>
      </c>
      <c r="Q255">
        <f>IFERROR(1/IF(Inputs!$B$39="pvp",15,MAX(0.1,Skills!D21-IF(Skills!E21=TRUE,Inputs!$B$32,0))),0)</f>
        <v/>
      </c>
      <c r="R255">
        <f>IF(AND(Inputs!$B$39&lt;&gt;"pvp",Inputs!$B$44&gt;0),IF(Inputs!$B$44&lt;=0,0,(INT(Inputs!$B$44/IF(Inputs!$B$39="pvp",15,MAX(0.1,Skills!D21-IF(Skills!E21=TRUE,Inputs!$B$32,0))))+1)),0)</f>
        <v/>
      </c>
      <c r="S255">
        <f>IFERROR(O255/N255,0)</f>
        <v/>
      </c>
      <c r="T255" t="n">
        <v>0</v>
      </c>
      <c r="V255" t="n">
        <v>0</v>
      </c>
    </row>
    <row r="256">
      <c r="A256">
        <f>Skills!A22</f>
        <v/>
      </c>
      <c r="B256">
        <f>Skills!B22</f>
        <v/>
      </c>
      <c r="C256">
        <f>Inputs!$B$3&gt;=33</f>
        <v/>
      </c>
      <c r="D256">
        <f>IF(Skills!C22=1,60+Inputs!$B$25+Inputs!$B$29,IF(Skills!C22=2,90+Inputs!$B$26+Inputs!$B$29,IF(Skills!C22=3,120+Inputs!$B$27+Inputs!$B$29,MAX(0,(Inputs!$B$3-100)*3)+Inputs!$B$28+Inputs!$B$29)))</f>
        <v/>
      </c>
      <c r="E256">
        <f>INDEX(FactorTable!$B$2:$Y$301, MATCH(ROUND(MIN(300,MAX(1,D256)),0), FactorTable!$A$2:$A$301,0), Skills!M22+1)</f>
        <v/>
      </c>
      <c r="F256">
        <f>IF(Skills!N22=TRUE,(Skills!L22/10)*(E256/1000),Skills!L22/10)+Skills!O22</f>
        <v/>
      </c>
      <c r="G256">
        <f>Skills!G22*IF(Skills!H22&gt;0,Skills!I22/Skills!H22,1)</f>
        <v/>
      </c>
      <c r="H256">
        <f>1-(1-Skills!J22/100)^Skills!K22</f>
        <v/>
      </c>
      <c r="I256" t="inlineStr">
        <is>
          <t>1</t>
        </is>
      </c>
      <c r="J256" t="inlineStr"/>
      <c r="K256" t="inlineStr"/>
      <c r="L256" t="inlineStr"/>
      <c r="M256" t="inlineStr"/>
      <c r="N256" t="inlineStr"/>
      <c r="O256">
        <f>(1-Summary!$B$55)*T256+Summary!$B$55*V256</f>
        <v/>
      </c>
      <c r="P256">
        <f>IF(B279=0,0,O256/B279)</f>
        <v/>
      </c>
      <c r="Q256" t="n">
        <v>0</v>
      </c>
      <c r="R256" t="n">
        <v>0</v>
      </c>
      <c r="S256">
        <f>IFERROR(O256/N256,0)</f>
        <v/>
      </c>
      <c r="T256" t="n">
        <v>0</v>
      </c>
      <c r="V256" t="n">
        <v>0</v>
      </c>
    </row>
    <row r="257">
      <c r="A257">
        <f>Skills!A23</f>
        <v/>
      </c>
      <c r="B257">
        <f>Skills!B23</f>
        <v/>
      </c>
      <c r="C257">
        <f>Inputs!$B$3&gt;=40</f>
        <v/>
      </c>
      <c r="D257">
        <f>IF(Skills!C23=1,60+Inputs!$B$25+Inputs!$B$29,IF(Skills!C23=2,90+Inputs!$B$26+Inputs!$B$29,IF(Skills!C23=3,120+Inputs!$B$27+Inputs!$B$29,MAX(0,(Inputs!$B$3-100)*3)+Inputs!$B$28+Inputs!$B$29)))</f>
        <v/>
      </c>
      <c r="E257">
        <f>INDEX(FactorTable!$B$2:$Y$301, MATCH(ROUND(MIN(300,MAX(1,D257)),0), FactorTable!$A$2:$A$301,0), Skills!M23+1)</f>
        <v/>
      </c>
      <c r="F257">
        <f>IF(Skills!N23=TRUE,(Skills!L23/10)*(E257/1000),Skills!L23/10)+Skills!O23</f>
        <v/>
      </c>
      <c r="G257">
        <f>Skills!G23*IF(Skills!H23&gt;0,Skills!I23/Skills!H23,1)</f>
        <v/>
      </c>
      <c r="H257">
        <f>1-(1-Skills!J23/100)^Skills!K23</f>
        <v/>
      </c>
      <c r="I257" t="inlineStr">
        <is>
          <t>1</t>
        </is>
      </c>
      <c r="J257" t="inlineStr"/>
      <c r="K257" t="inlineStr"/>
      <c r="L257" t="inlineStr"/>
      <c r="M257" t="inlineStr"/>
      <c r="N257" t="inlineStr"/>
      <c r="O257">
        <f>(1-Summary!$B$55)*T257+Summary!$B$55*V257</f>
        <v/>
      </c>
      <c r="P257">
        <f>IF(B279=0,0,O257/B279)</f>
        <v/>
      </c>
      <c r="Q257" t="n">
        <v>0</v>
      </c>
      <c r="R257" t="n">
        <v>0</v>
      </c>
      <c r="S257">
        <f>IFERROR(O257/N257,0)</f>
        <v/>
      </c>
      <c r="T257" t="n">
        <v>0</v>
      </c>
      <c r="V257" t="n">
        <v>0</v>
      </c>
    </row>
    <row r="258">
      <c r="A258">
        <f>Skills!A24</f>
        <v/>
      </c>
      <c r="B258">
        <f>Skills!B24</f>
        <v/>
      </c>
      <c r="C258">
        <f>Inputs!$B$3&gt;=43</f>
        <v/>
      </c>
      <c r="D258">
        <f>IF(Skills!C24=1,60+Inputs!$B$25+Inputs!$B$29,IF(Skills!C24=2,90+Inputs!$B$26+Inputs!$B$29,IF(Skills!C24=3,120+Inputs!$B$27+Inputs!$B$29,MAX(0,(Inputs!$B$3-100)*3)+Inputs!$B$28+Inputs!$B$29)))</f>
        <v/>
      </c>
      <c r="E258">
        <f>INDEX(FactorTable!$B$2:$Y$301, MATCH(ROUND(MIN(300,MAX(1,D258)),0), FactorTable!$A$2:$A$301,0), Skills!M24+1)</f>
        <v/>
      </c>
      <c r="F258">
        <f>IF(Skills!N24=TRUE,(Skills!L24/10)*(E258/1000),Skills!L24/10)+Skills!O24</f>
        <v/>
      </c>
      <c r="G258">
        <f>Skills!G24*IF(Skills!H24&gt;0,Skills!I24/Skills!H24,1)</f>
        <v/>
      </c>
      <c r="H258">
        <f>1-(1-Skills!J24/100)^Skills!K24</f>
        <v/>
      </c>
      <c r="I258" t="inlineStr">
        <is>
          <t>1</t>
        </is>
      </c>
      <c r="J258" t="inlineStr"/>
      <c r="K258" t="inlineStr"/>
      <c r="L258" t="inlineStr"/>
      <c r="M258" t="inlineStr"/>
      <c r="N258" t="inlineStr"/>
      <c r="O258">
        <f>(1-Summary!$B$55)*T258+Summary!$B$55*V258</f>
        <v/>
      </c>
      <c r="P258">
        <f>IF(B279=0,0,O258/B279)</f>
        <v/>
      </c>
      <c r="Q258" t="n">
        <v>0</v>
      </c>
      <c r="R258" t="n">
        <v>0</v>
      </c>
      <c r="S258">
        <f>IFERROR(O258/N258,0)</f>
        <v/>
      </c>
      <c r="T258" t="n">
        <v>0</v>
      </c>
      <c r="V258" t="n">
        <v>0</v>
      </c>
    </row>
    <row r="259">
      <c r="A259">
        <f>Skills!A25</f>
        <v/>
      </c>
      <c r="B259">
        <f>Skills!B25</f>
        <v/>
      </c>
      <c r="C259">
        <f>Inputs!$B$3&gt;=50</f>
        <v/>
      </c>
      <c r="D259">
        <f>IF(Skills!C25=1,60+Inputs!$B$25+Inputs!$B$29,IF(Skills!C25=2,90+Inputs!$B$26+Inputs!$B$29,IF(Skills!C25=3,120+Inputs!$B$27+Inputs!$B$29,MAX(0,(Inputs!$B$3-100)*3)+Inputs!$B$28+Inputs!$B$29)))</f>
        <v/>
      </c>
      <c r="E259">
        <f>INDEX(FactorTable!$B$2:$Y$301, MATCH(ROUND(MIN(300,MAX(1,D259)),0), FactorTable!$A$2:$A$301,0), Skills!M25+1)</f>
        <v/>
      </c>
      <c r="F259">
        <f>IF(Skills!N25=TRUE,(Skills!L25/10)*(E259/1000),Skills!L25/10)+Skills!O25</f>
        <v/>
      </c>
      <c r="G259">
        <f>Skills!G25*IF(Skills!H25&gt;0,Skills!I25/Skills!H25,1)</f>
        <v/>
      </c>
      <c r="H259">
        <f>1-(1-Skills!J25/100)^Skills!K25</f>
        <v/>
      </c>
      <c r="I259" t="inlineStr">
        <is>
          <t>1</t>
        </is>
      </c>
      <c r="J259" t="inlineStr"/>
      <c r="K259" t="inlineStr"/>
      <c r="L259" t="inlineStr"/>
      <c r="M259" t="inlineStr"/>
      <c r="N259" t="inlineStr"/>
      <c r="O259">
        <f>(1-Summary!$B$55)*T259+Summary!$B$55*V259</f>
        <v/>
      </c>
      <c r="P259">
        <f>IF(B279=0,0,O259/B279)</f>
        <v/>
      </c>
      <c r="Q259" t="n">
        <v>0</v>
      </c>
      <c r="R259" t="n">
        <v>0</v>
      </c>
      <c r="S259">
        <f>IFERROR(O259/N259,0)</f>
        <v/>
      </c>
      <c r="T259" t="n">
        <v>0</v>
      </c>
      <c r="V259" t="n">
        <v>0</v>
      </c>
    </row>
    <row r="260">
      <c r="A260">
        <f>Skills!A26</f>
        <v/>
      </c>
      <c r="B260">
        <f>Skills!B26</f>
        <v/>
      </c>
      <c r="C260">
        <f>Inputs!$B$3&gt;=50</f>
        <v/>
      </c>
      <c r="D260">
        <f>IF(Skills!C26=1,60+Inputs!$B$25+Inputs!$B$29,IF(Skills!C26=2,90+Inputs!$B$26+Inputs!$B$29,IF(Skills!C26=3,120+Inputs!$B$27+Inputs!$B$29,MAX(0,(Inputs!$B$3-100)*3)+Inputs!$B$28+Inputs!$B$29)))</f>
        <v/>
      </c>
      <c r="E260">
        <f>INDEX(FactorTable!$B$2:$Y$301, MATCH(ROUND(MIN(300,MAX(1,D260)),0), FactorTable!$A$2:$A$301,0), Skills!M26+1)</f>
        <v/>
      </c>
      <c r="F260">
        <f>IF(Skills!N26=TRUE,(Skills!L26/10)*(E260/1000),Skills!L26/10)+Skills!O26</f>
        <v/>
      </c>
      <c r="G260">
        <f>Skills!G26*IF(Skills!H26&gt;0,Skills!I26/Skills!H26,1)</f>
        <v/>
      </c>
      <c r="H260">
        <f>1-(1-Skills!J26/100)^Skills!K26</f>
        <v/>
      </c>
      <c r="I260" t="inlineStr">
        <is>
          <t>1</t>
        </is>
      </c>
      <c r="J260" t="inlineStr"/>
      <c r="K260" t="inlineStr"/>
      <c r="L260" t="inlineStr"/>
      <c r="M260" t="inlineStr"/>
      <c r="N260" t="inlineStr"/>
      <c r="O260">
        <f>(1-Summary!$B$55)*T260+Summary!$B$55*V260</f>
        <v/>
      </c>
      <c r="P260">
        <f>IF(B279=0,0,O260/B279)</f>
        <v/>
      </c>
      <c r="Q260" t="n">
        <v>0</v>
      </c>
      <c r="R260" t="n">
        <v>0</v>
      </c>
      <c r="S260">
        <f>IFERROR(O260/N260,0)</f>
        <v/>
      </c>
      <c r="T260" t="n">
        <v>0</v>
      </c>
      <c r="V260" t="n">
        <v>0</v>
      </c>
    </row>
    <row r="261">
      <c r="A261">
        <f>Skills!A27</f>
        <v/>
      </c>
      <c r="B261">
        <f>Skills!B27</f>
        <v/>
      </c>
      <c r="C261">
        <f>Inputs!$B$3&gt;=38</f>
        <v/>
      </c>
      <c r="D261">
        <f>IF(Skills!C27=1,60+Inputs!$B$25+Inputs!$B$29,IF(Skills!C27=2,90+Inputs!$B$26+Inputs!$B$29,IF(Skills!C27=3,120+Inputs!$B$27+Inputs!$B$29,MAX(0,(Inputs!$B$3-100)*3)+Inputs!$B$28+Inputs!$B$29)))</f>
        <v/>
      </c>
      <c r="E261">
        <f>INDEX(FactorTable!$B$2:$Y$301, MATCH(ROUND(MIN(300,MAX(1,D261)),0), FactorTable!$A$2:$A$301,0), Skills!M27+1)</f>
        <v/>
      </c>
      <c r="F261">
        <f>IF(Skills!N27=TRUE,(Skills!L27/10)*(E261/1000),Skills!L27/10)+Skills!O27</f>
        <v/>
      </c>
      <c r="G261">
        <f>Skills!G27*IF(Skills!H27&gt;0,Skills!I27/Skills!H27,1)</f>
        <v/>
      </c>
      <c r="H261">
        <f>1-(1-Skills!J27/100)^Skills!K27</f>
        <v/>
      </c>
      <c r="I261" t="inlineStr">
        <is>
          <t>1</t>
        </is>
      </c>
      <c r="J261" t="inlineStr"/>
      <c r="K261" t="inlineStr"/>
      <c r="L261" t="inlineStr"/>
      <c r="M261" t="inlineStr"/>
      <c r="N261" t="inlineStr"/>
      <c r="O261">
        <f>(1-Summary!$B$55)*T261+Summary!$B$55*V261</f>
        <v/>
      </c>
      <c r="P261">
        <f>IF(B279=0,0,O261/B279)</f>
        <v/>
      </c>
      <c r="Q261" t="n">
        <v>0</v>
      </c>
      <c r="R261" t="n">
        <v>0</v>
      </c>
      <c r="S261">
        <f>IFERROR(O261/N261,0)</f>
        <v/>
      </c>
      <c r="T261" t="n">
        <v>0</v>
      </c>
      <c r="V261" t="n">
        <v>0</v>
      </c>
    </row>
    <row r="262">
      <c r="A262">
        <f>Skills!A28</f>
        <v/>
      </c>
      <c r="B262">
        <f>Skills!B28</f>
        <v/>
      </c>
      <c r="C262">
        <f>Inputs!$B$3&gt;=120</f>
        <v/>
      </c>
      <c r="D262">
        <f>IF(Skills!C28=1,60+Inputs!$B$25+Inputs!$B$29,IF(Skills!C28=2,90+Inputs!$B$26+Inputs!$B$29,IF(Skills!C28=3,120+Inputs!$B$27+Inputs!$B$29,MAX(0,(Inputs!$B$3-100)*3)+Inputs!$B$28+Inputs!$B$29)))</f>
        <v/>
      </c>
      <c r="E262">
        <f>INDEX(FactorTable!$B$2:$Y$301, MATCH(ROUND(MIN(300,MAX(1,D262)),0), FactorTable!$A$2:$A$301,0), Skills!M28+1)</f>
        <v/>
      </c>
      <c r="F262">
        <f>IF(Skills!N28=TRUE,(Skills!L28/10)*(E262/1000),Skills!L28/10)+Skills!O28</f>
        <v/>
      </c>
      <c r="G262">
        <f>Skills!G28*IF(Skills!H28&gt;0,Skills!I28/Skills!H28,1)</f>
        <v/>
      </c>
      <c r="H262">
        <f>1-(1-Skills!J28/100)^Skills!K28</f>
        <v/>
      </c>
      <c r="I262" t="inlineStr">
        <is>
          <t>1</t>
        </is>
      </c>
      <c r="J262" t="inlineStr"/>
      <c r="K262" t="inlineStr"/>
      <c r="L262" t="inlineStr"/>
      <c r="M262" t="inlineStr"/>
      <c r="N262" t="inlineStr"/>
      <c r="O262">
        <f>(1-Summary!$B$55)*T262+Summary!$B$55*V262</f>
        <v/>
      </c>
      <c r="P262">
        <f>IF(B279=0,0,O262/B279)</f>
        <v/>
      </c>
      <c r="Q262" t="n">
        <v>0</v>
      </c>
      <c r="R262" t="n">
        <v>0</v>
      </c>
      <c r="S262">
        <f>IFERROR(O262/N262,0)</f>
        <v/>
      </c>
      <c r="T262" t="n">
        <v>0</v>
      </c>
      <c r="V262" t="n">
        <v>0</v>
      </c>
    </row>
    <row r="263">
      <c r="A263">
        <f>Skills!A29</f>
        <v/>
      </c>
      <c r="B263">
        <f>Skills!B29</f>
        <v/>
      </c>
      <c r="C263">
        <f>Inputs!$B$3&gt;=120</f>
        <v/>
      </c>
      <c r="D263">
        <f>IF(Skills!C29=1,60+Inputs!$B$25+Inputs!$B$29,IF(Skills!C29=2,90+Inputs!$B$26+Inputs!$B$29,IF(Skills!C29=3,120+Inputs!$B$27+Inputs!$B$29,MAX(0,(Inputs!$B$3-100)*3)+Inputs!$B$28+Inputs!$B$29)))</f>
        <v/>
      </c>
      <c r="E263">
        <f>INDEX(FactorTable!$B$2:$Y$301, MATCH(ROUND(MIN(300,MAX(1,D263)),0), FactorTable!$A$2:$A$301,0), Skills!M29+1)</f>
        <v/>
      </c>
      <c r="F263">
        <f>IF(Skills!N29=TRUE,(Skills!L29/10)*(E263/1000),Skills!L29/10)+Skills!O29</f>
        <v/>
      </c>
      <c r="G263">
        <f>Skills!G29*IF(Skills!H29&gt;0,Skills!I29/Skills!H29,1)</f>
        <v/>
      </c>
      <c r="H263">
        <f>1-(1-Skills!J29/100)^Skills!K29</f>
        <v/>
      </c>
      <c r="I263" t="inlineStr">
        <is>
          <t>1</t>
        </is>
      </c>
      <c r="J263" t="inlineStr"/>
      <c r="K263" t="inlineStr"/>
      <c r="L263" t="inlineStr"/>
      <c r="M263" t="inlineStr"/>
      <c r="N263" t="inlineStr"/>
      <c r="O263">
        <f>(1-Summary!$B$55)*T263+Summary!$B$55*V263</f>
        <v/>
      </c>
      <c r="P263">
        <f>IF(B279=0,0,O263/B279)</f>
        <v/>
      </c>
      <c r="Q263" t="n">
        <v>0</v>
      </c>
      <c r="R263" t="n">
        <v>0</v>
      </c>
      <c r="S263">
        <f>IFERROR(O263/N263,0)</f>
        <v/>
      </c>
      <c r="T263" t="n">
        <v>0</v>
      </c>
      <c r="V263" t="n">
        <v>0</v>
      </c>
    </row>
    <row r="264">
      <c r="A264">
        <f>Skills!A30</f>
        <v/>
      </c>
      <c r="B264">
        <f>Skills!B30</f>
        <v/>
      </c>
      <c r="C264">
        <f>Inputs!$B$3&gt;=125</f>
        <v/>
      </c>
      <c r="D264">
        <f>IF(Skills!C30=1,60+Inputs!$B$25+Inputs!$B$29,IF(Skills!C30=2,90+Inputs!$B$26+Inputs!$B$29,IF(Skills!C30=3,120+Inputs!$B$27+Inputs!$B$29,MAX(0,(Inputs!$B$3-100)*3)+Inputs!$B$28+Inputs!$B$29)))</f>
        <v/>
      </c>
      <c r="E264">
        <f>INDEX(FactorTable!$B$2:$Y$301, MATCH(ROUND(MIN(300,MAX(1,D264)),0), FactorTable!$A$2:$A$301,0), Skills!M30+1)</f>
        <v/>
      </c>
      <c r="F264">
        <f>IF(Skills!N30=TRUE,(Skills!L30/10)*(E264/1000),Skills!L30/10)+Skills!O30</f>
        <v/>
      </c>
      <c r="G264">
        <f>Skills!G30*IF(Skills!H30&gt;0,Skills!I30/Skills!H30,1)</f>
        <v/>
      </c>
      <c r="H264">
        <f>1-(1-Skills!J30/100)^Skills!K30</f>
        <v/>
      </c>
      <c r="I264" t="inlineStr">
        <is>
          <t>1</t>
        </is>
      </c>
      <c r="J264" t="inlineStr"/>
      <c r="K264" t="inlineStr"/>
      <c r="L264" t="inlineStr"/>
      <c r="M264" t="inlineStr"/>
      <c r="N264" t="inlineStr"/>
      <c r="O264">
        <f>(1-Summary!$B$55)*T264+Summary!$B$55*V264</f>
        <v/>
      </c>
      <c r="P264">
        <f>IF(B279=0,0,O264/B279)</f>
        <v/>
      </c>
      <c r="Q264" t="n">
        <v>0</v>
      </c>
      <c r="R264" t="n">
        <v>0</v>
      </c>
      <c r="S264">
        <f>IFERROR(O264/N264,0)</f>
        <v/>
      </c>
      <c r="T264" t="n">
        <v>0</v>
      </c>
      <c r="V264" t="n">
        <v>0</v>
      </c>
    </row>
    <row r="266">
      <c r="A266" t="inlineStr">
        <is>
          <t>Average Buff Multiplier</t>
        </is>
      </c>
      <c r="B266">
        <f>(1+(((C255=TRUE)*F255*IF(AND(Inputs!$B$39&lt;&gt;"pvp",Inputs!$B$44&gt;0),(((R255-1)*(Skills!Y21*(1+Inputs!$B$34/100))+MIN((Skills!Y21*(1+Inputs!$B$34/100)),MAX(0,Inputs!$B$44-((R255-1)*Skills!D21))))/Inputs!$B$44),IF(Inputs!$B$39="pvp",MIN((Skills!Y21*(1+Inputs!$B$34/100)),15)/15,(Skills!Y21*(1+Inputs!$B$34/100))/Skills!D21)))+((C257=TRUE)*(F257-Calc!F23))+((C251=TRUE)*(F251-Calc!F17)))/100)*(1+((C244=TRUE)*F244*IF(AND(Inputs!$B$39&lt;&gt;"pvp",Inputs!$B$44&gt;0),(((R244-1)*(Skills!Y10*(1+Inputs!$B$34/100))+MIN((Skills!Y10*(1+Inputs!$B$34/100)),MAX(0,Inputs!$B$44-((R244-1)*Skills!D10))))/Inputs!$B$44),IF(Inputs!$B$39="pvp",MIN((Skills!Y10*(1+Inputs!$B$34/100)),15)/15,(Skills!Y10*(1+Inputs!$B$34/100))/Skills!D10)))/100)*(1+((C249=TRUE)*F249*IF(AND(Inputs!$B$39&lt;&gt;"pvp",Inputs!$B$44&gt;0),(((R249-1)*(Skills!Y15*(1+Inputs!$B$34/100))+MIN((Skills!Y15*(1+Inputs!$B$34/100)),MAX(0,Inputs!$B$44-((R249-1)*Skills!D15))))/Inputs!$B$44),IF(Inputs!$B$39="pvp",MIN((Skills!Y15*(1+Inputs!$B$34/100)),15)/15,(Skills!Y15*(1+Inputs!$B$34/100))/Skills!D15)))/100)</f>
        <v/>
      </c>
    </row>
    <row r="267">
      <c r="A267" t="inlineStr">
        <is>
          <t>Global Crit Rate Bonus %</t>
        </is>
      </c>
      <c r="B267">
        <f>((C254=TRUE)*F254*IF(AND(Inputs!$B$39&lt;&gt;"pvp",Inputs!$B$44&gt;0),(((R254-1)*(Skills!Y20*(1+Inputs!$B$34/100))+MIN((Skills!Y20*(1+Inputs!$B$34/100)),MAX(0,Inputs!$B$44-((R254-1)*Skills!D20))))/Inputs!$B$44),IF(Inputs!$B$39="pvp",MIN((Skills!Y20*(1+Inputs!$B$34/100)),15)/15,(Skills!Y20*(1+Inputs!$B$34/100))/Skills!D20)))</f>
        <v/>
      </c>
    </row>
    <row r="268">
      <c r="A268" t="inlineStr">
        <is>
          <t>Global Monster Damage-Taken Bonus %</t>
        </is>
      </c>
      <c r="B268">
        <f>IF(Inputs!$B$3&gt;=82,15,0)</f>
        <v/>
      </c>
    </row>
    <row r="269">
      <c r="A269" t="inlineStr">
        <is>
          <t>Shadow Partner Average Multiplier</t>
        </is>
      </c>
      <c r="B269">
        <f>1+((C241=TRUE)*F241*(1+3.3333333333333335*IF(C252=TRUE,F252,0)/100)*I241*Skills!J7/100)/100</f>
        <v/>
      </c>
    </row>
    <row r="270">
      <c r="A270" t="inlineStr">
        <is>
          <t>Attack Speed Buff Bonus %</t>
        </is>
      </c>
      <c r="B270">
        <f>((C253=TRUE)*F253*IF(AND(Inputs!$B$39&lt;&gt;"pvp",Inputs!$B$44&gt;0),(((R253-1)*(Skills!Y19*(1+Inputs!$B$34/100))+MIN((Skills!Y19*(1+Inputs!$B$34/100)),MAX(0,Inputs!$B$44-((R253-1)*Skills!D19))))/Inputs!$B$44),IF(Inputs!$B$39="pvp",MIN((Skills!Y19*(1+Inputs!$B$34/100)),15)/15,(Skills!Y19*(1+Inputs!$B$34/100))/Skills!D19)))+((C237=TRUE)*F237*3)</f>
        <v/>
      </c>
    </row>
    <row r="271">
      <c r="A271" t="inlineStr">
        <is>
          <t>Actions Per Second</t>
        </is>
      </c>
      <c r="B271">
        <f>1+MIN(150,150*(1-(1-(Inputs!$B$11+((C256=TRUE)*(F256-Calc!F22)))/150)*(1-B270/150)))/100</f>
        <v/>
      </c>
    </row>
    <row r="272">
      <c r="A272" t="inlineStr">
        <is>
          <t>Skill + Buff Cast Rate</t>
        </is>
      </c>
      <c r="B272">
        <f>IF(AND(Inputs!$B$39&lt;&gt;"pvp",Inputs!$B$44&gt;0),SUMPRODUCT((Skills!E2:E30=TRUE)*(C236:C264=TRUE)*R236:R264*Skills!F2:F30)/Inputs!$B$44,SUMPRODUCT((Skills!E2:E30=TRUE)*(C236:C264=TRUE)*Q236:Q264*Skills!F2:F30))</f>
        <v/>
      </c>
    </row>
    <row r="273">
      <c r="A273" t="inlineStr">
        <is>
          <t>Cruel Stab Casts Per Second</t>
        </is>
      </c>
      <c r="B273">
        <f>MAX(0,B271-B272)</f>
        <v/>
      </c>
    </row>
    <row r="274">
      <c r="A274" t="inlineStr">
        <is>
          <t>Global Critical Damage Bonus % (Smokescreen Mastery Lv.113)</t>
        </is>
      </c>
      <c r="B274">
        <f>IF(Inputs!$B$3&gt;=113,30,0)*IF(AND(Inputs!$B$39&lt;&gt;"pvp",Inputs!$B$44&gt;0),(((R249-1)*(Skills!Y15*(1+Inputs!$B$34/100))+MIN((Skills!Y15*(1+Inputs!$B$34/100)),MAX(0,Inputs!$B$44-((R249-1)*Skills!D15))))/Inputs!$B$44),IF(Inputs!$B$39="pvp",MIN((Skills!Y15*(1+Inputs!$B$34/100)),15)/15,(Skills!Y15*(1+Inputs!$B$34/100))/Skills!D15))</f>
        <v/>
      </c>
    </row>
    <row r="275">
      <c r="A275" t="inlineStr">
        <is>
          <t>Meso Explosion average stack count</t>
        </is>
      </c>
      <c r="B275">
        <f>MIN(10,0.5*B271*Skills!D4)</f>
        <v/>
      </c>
    </row>
    <row r="276">
      <c r="A276" t="inlineStr">
        <is>
          <t>Blood Money average stack count</t>
        </is>
      </c>
      <c r="B276">
        <f>MIN(5,0.25*B271*Skills!D4)</f>
        <v/>
      </c>
    </row>
    <row r="277">
      <c r="A277" t="inlineStr">
        <is>
          <t>Assassinate Murderous Intent Multiplier</t>
        </is>
      </c>
      <c r="B277">
        <f>1+IFERROR(MIN(1,Q248*2/Q245),0)</f>
        <v/>
      </c>
    </row>
    <row r="278">
      <c r="A278" t="inlineStr">
        <is>
          <t>Buff-Casting Startup Delay (s, fixed-duration only)</t>
        </is>
      </c>
      <c r="B278">
        <f>IF(AND(Inputs!$B$39&lt;&gt;"pvp",Inputs!$B$44&gt;0),SUMPRODUCT((Skills!Y2:Y30&gt;0)*(Skills!E2:E30=TRUE)*(C236:C264=TRUE))/B271,0)</f>
        <v/>
      </c>
    </row>
    <row r="279">
      <c r="A279" s="5" t="inlineStr">
        <is>
          <t>TOTAL DPS</t>
        </is>
      </c>
      <c r="B279" s="5">
        <f>SUM(O236:O264)</f>
        <v/>
      </c>
    </row>
    <row r="280">
      <c r="A280" t="inlineStr">
        <is>
          <t>Boss-Only Total DPS (this block's swept value)</t>
        </is>
      </c>
      <c r="B280">
        <f>SUM(T236:T264)</f>
        <v/>
      </c>
    </row>
    <row r="281">
      <c r="A281" t="inlineStr">
        <is>
          <t>Normal-Only Total DPS (this block's swept value)</t>
        </is>
      </c>
      <c r="B281">
        <f>SUM(V236:V264)</f>
        <v/>
      </c>
    </row>
    <row r="284">
      <c r="A284" s="5" t="inlineStr">
        <is>
          <t>Stat: BOSS_DAMAGE %</t>
        </is>
      </c>
    </row>
    <row r="285">
      <c r="A285" s="9" t="inlineStr">
        <is>
          <t>Key</t>
        </is>
      </c>
      <c r="B285" s="9" t="inlineStr">
        <is>
          <t>Name</t>
        </is>
      </c>
      <c r="C285" s="9" t="inlineStr">
        <is>
          <t>Unlocked</t>
        </is>
      </c>
      <c r="D285" s="9" t="inlineStr">
        <is>
          <t>InputLevel</t>
        </is>
      </c>
      <c r="E285" s="9" t="inlineStr">
        <is>
          <t>Factor</t>
        </is>
      </c>
      <c r="F285" s="9" t="inlineStr">
        <is>
          <t>CoefficientPercent</t>
        </is>
      </c>
      <c r="G285" s="9" t="inlineStr">
        <is>
          <t>EffectiveHits</t>
        </is>
      </c>
      <c r="H285" s="9" t="inlineStr">
        <is>
          <t>ProcProbability</t>
        </is>
      </c>
      <c r="I285" s="9" t="inlineStr">
        <is>
          <t>MapleHeroMultiplier</t>
        </is>
      </c>
      <c r="J285" s="9" t="inlineStr">
        <is>
          <t>BaseDamage</t>
        </is>
      </c>
      <c r="K285" s="9" t="inlineStr">
        <is>
          <t>BaseHitDamage</t>
        </is>
      </c>
      <c r="L285" s="9" t="inlineStr">
        <is>
          <t>NonCritAvg</t>
        </is>
      </c>
      <c r="M285" s="9" t="inlineStr">
        <is>
          <t>CritAvg</t>
        </is>
      </c>
      <c r="N285" s="9" t="inlineStr">
        <is>
          <t>ExpectedDamage(perHit)</t>
        </is>
      </c>
      <c r="O285" s="9" t="inlineStr">
        <is>
          <t>DPS</t>
        </is>
      </c>
      <c r="P285" s="9" t="inlineStr">
        <is>
          <t>% of Total</t>
        </is>
      </c>
      <c r="Q285" s="9" t="inlineStr">
        <is>
          <t>InvCooldown</t>
        </is>
      </c>
      <c r="R285" s="9" t="inlineStr">
        <is>
          <t>CastsInFight</t>
        </is>
      </c>
      <c r="S285" s="9" t="inlineStr">
        <is>
          <t>HitRate(perSec)</t>
        </is>
      </c>
      <c r="U285" t="inlineStr">
        <is>
          <t>helpers</t>
        </is>
      </c>
    </row>
    <row r="286">
      <c r="A286">
        <f>Skills!A2</f>
        <v/>
      </c>
      <c r="B286">
        <f>Skills!B2</f>
        <v/>
      </c>
      <c r="C286">
        <f>Inputs!$B$3&gt;=100</f>
        <v/>
      </c>
      <c r="D286" t="inlineStr"/>
      <c r="E286" t="inlineStr"/>
      <c r="F286">
        <f>U288+Skills!O2</f>
        <v/>
      </c>
      <c r="G286">
        <f>Skills!G2*IF(Skills!H2&gt;0,Skills!I2/Skills!H2,1)</f>
        <v/>
      </c>
      <c r="H286">
        <f>1-(1-Skills!J2/100)^Skills!K2</f>
        <v/>
      </c>
      <c r="I286" t="inlineStr">
        <is>
          <t>1</t>
        </is>
      </c>
      <c r="J286">
        <f>((Inputs!$B$6*(1+Inputs!$B$7/100))+(((Inputs!$B$12*(1+Inputs!$B$13/100))-(Inputs!$B$12*(1+Inputs!$B$13/100)))+0.25*(Inputs!$B$14-Inputs!$B$14))*(1+Inputs!$B$7/100))*(F286/100)</f>
        <v/>
      </c>
      <c r="K286">
        <f>J286*(1+((Inputs!$B$12*(1+Inputs!$B$13/100))*0.01+Inputs!$B$14*0.0025)/100)*(1+Inputs!$B$15/100)*(1+Inputs!$B$16/100)*(5000/(6000+Inputs!$B$43*(1-Inputs!$B$19/100)))*(1+(Inputs!$B$24+((C314=TRUE)*(F314-Calc!F30)))/100)*(1+(IF(Skills!A2="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286)</f>
        <v/>
      </c>
      <c r="L286">
        <f>K286*(MIN(Inputs!$B$22+((C308=TRUE)*(F308-Calc!F24)),Inputs!$B$23+((C313=TRUE)*(F313-Calc!F29)))/100+(Inputs!$B$23+((C313=TRUE)*(F313-Calc!F29)))/100)/2</f>
        <v/>
      </c>
      <c r="M286">
        <f>L286*(1+(Inputs!$B$10+((C310=TRUE)*(F310-Calc!F26))+B324)/100)</f>
        <v/>
      </c>
      <c r="N286">
        <f>L286*(1-MIN((Inputs!$B$9+((C309=TRUE)*(F309-Calc!F25))+B317),100)/100)+M286*(MIN((Inputs!$B$9+((C309=TRUE)*(F309-Calc!F25))+B317),100)/100)</f>
        <v/>
      </c>
      <c r="O286">
        <f>(1-Summary!$B$55)*T286+Summary!$B$55*V286</f>
        <v/>
      </c>
      <c r="P286">
        <f>IF(B329=0,0,O286/B329)</f>
        <v/>
      </c>
      <c r="Q286" t="n">
        <v>0</v>
      </c>
      <c r="R286" t="n">
        <v>0</v>
      </c>
      <c r="S286">
        <f>IFERROR(O286/N286,0)</f>
        <v/>
      </c>
      <c r="T286">
        <f>IF(C286,(Skills!G2*N286*B323)*IF(Inputs!$B$39="pvp",1,1+((Inputs!$B$20+1)+0+Skills!P2+B318)/100),0)</f>
        <v/>
      </c>
      <c r="U286">
        <f>MAX(0,(Inputs!$B$3-100)*3)+Inputs!$B$28+Inputs!$B$29</f>
        <v/>
      </c>
      <c r="V286">
        <f>IF(C286,(Skills!G2*N286*B323)*IF(Inputs!$B$39="pvp",1,(1+(Inputs!$B$21+Skills!Q2+B318)/100)*(MIN((6+Inputs!$B$33),Inputs!$B$37))),0)</f>
        <v/>
      </c>
    </row>
    <row r="287">
      <c r="A287">
        <f>Skills!A3</f>
        <v/>
      </c>
      <c r="B287">
        <f>Skills!B3</f>
        <v/>
      </c>
      <c r="C287">
        <f>Inputs!$B$3&gt;=35</f>
        <v/>
      </c>
      <c r="D287">
        <f>IF(Skills!C3=1,60+Inputs!$B$25+Inputs!$B$29,IF(Skills!C3=2,90+Inputs!$B$26+Inputs!$B$29,IF(Skills!C3=3,120+Inputs!$B$27+Inputs!$B$29,MAX(0,(Inputs!$B$3-100)*3)+Inputs!$B$28+Inputs!$B$29)))</f>
        <v/>
      </c>
      <c r="E287">
        <f>INDEX(FactorTable!$B$2:$Y$301, MATCH(ROUND(MIN(300,MAX(1,D287)),0), FactorTable!$A$2:$A$301,0), Skills!M3+1)</f>
        <v/>
      </c>
      <c r="F287">
        <f>IF(Skills!N3=TRUE,(Skills!L3/10)*(E287/1000),Skills!L3/10)+Skills!O3</f>
        <v/>
      </c>
      <c r="G287">
        <f>Skills!G3*IF(Skills!H3&gt;0,Skills!I3/Skills!H3,1)</f>
        <v/>
      </c>
      <c r="H287">
        <f>1-(1-Skills!J3/100)^Skills!K3</f>
        <v/>
      </c>
      <c r="I287" t="inlineStr">
        <is>
          <t>1</t>
        </is>
      </c>
      <c r="J287" t="inlineStr"/>
      <c r="K287" t="inlineStr"/>
      <c r="L287" t="inlineStr"/>
      <c r="M287" t="inlineStr"/>
      <c r="N287" t="inlineStr"/>
      <c r="O287">
        <f>(1-Summary!$B$55)*T287+Summary!$B$55*V287</f>
        <v/>
      </c>
      <c r="P287">
        <f>IF(B329=0,0,O287/B329)</f>
        <v/>
      </c>
      <c r="Q287" t="n">
        <v>0</v>
      </c>
      <c r="R287" t="n">
        <v>0</v>
      </c>
      <c r="S287">
        <f>IFERROR(O287/N287,0)</f>
        <v/>
      </c>
      <c r="T287" t="n">
        <v>0</v>
      </c>
      <c r="U287">
        <f>INDEX(FactorTable!$B$2:$Y$301, MATCH(ROUND(MIN(300,MAX(1,U286)),0), FactorTable!$A$2:$A$301,0), 22)</f>
        <v/>
      </c>
      <c r="V287" t="n">
        <v>0</v>
      </c>
    </row>
    <row r="288">
      <c r="A288">
        <f>Skills!A4</f>
        <v/>
      </c>
      <c r="B288">
        <f>Skills!B4</f>
        <v/>
      </c>
      <c r="C288">
        <f>Inputs!$B$3&gt;=66</f>
        <v/>
      </c>
      <c r="D288">
        <f>IF(Skills!C4=1,60+Inputs!$B$25+Inputs!$B$29,IF(Skills!C4=2,90+Inputs!$B$26+Inputs!$B$29,IF(Skills!C4=3,120+Inputs!$B$27+Inputs!$B$29,MAX(0,(Inputs!$B$3-100)*3)+Inputs!$B$28+Inputs!$B$29)))</f>
        <v/>
      </c>
      <c r="E288">
        <f>INDEX(FactorTable!$B$2:$Y$301, MATCH(ROUND(MIN(300,MAX(1,D288)),0), FactorTable!$A$2:$A$301,0), Skills!M4+1)</f>
        <v/>
      </c>
      <c r="F288">
        <f>IF(Skills!N4=TRUE,(Skills!L4/10)*(E288/1000),Skills!L4/10)+Skills!O4</f>
        <v/>
      </c>
      <c r="G288">
        <f>Skills!G4*IF(Skills!H4&gt;0,Skills!I4/Skills!H4,1)</f>
        <v/>
      </c>
      <c r="H288">
        <f>1-(1-Skills!J4/100)^Skills!K4</f>
        <v/>
      </c>
      <c r="I288" t="inlineStr">
        <is>
          <t>1</t>
        </is>
      </c>
      <c r="J288">
        <f>((Inputs!$B$6*(1+Inputs!$B$7/100))+(((Inputs!$B$12*(1+Inputs!$B$13/100))-(Inputs!$B$12*(1+Inputs!$B$13/100)))+0.25*(Inputs!$B$14-Inputs!$B$14))*(1+Inputs!$B$7/100))*(F288/100)</f>
        <v/>
      </c>
      <c r="K288">
        <f>J288*(1+((Inputs!$B$12*(1+Inputs!$B$13/100))*0.01+Inputs!$B$14*0.0025)/100)*(1+Inputs!$B$15/100)*(1+Inputs!$B$16/100)*(5000/(6000+Inputs!$B$43*(1-Inputs!$B$19/100)))*(1+(Inputs!$B$24+((C314=TRUE)*(F314-Calc!F30)))/100)*(1+(IF(Skills!A4="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288)</f>
        <v/>
      </c>
      <c r="L288">
        <f>K288*(MIN(Inputs!$B$22+((C308=TRUE)*(F308-Calc!F24)),Inputs!$B$23+((C313=TRUE)*(F313-Calc!F29)))/100+(Inputs!$B$23+((C313=TRUE)*(F313-Calc!F29)))/100)/2</f>
        <v/>
      </c>
      <c r="M288">
        <f>L288*(1+(Inputs!$B$10+((C310=TRUE)*(F310-Calc!F26))+B324)/100)</f>
        <v/>
      </c>
      <c r="N288">
        <f>L288*(1-MIN((Inputs!$B$9+((C309=TRUE)*(F309-Calc!F25))+B317),100)/100)+M288*(MIN((Inputs!$B$9+((C309=TRUE)*(F309-Calc!F25))+B317),100)/100)</f>
        <v/>
      </c>
      <c r="O288">
        <f>(1-Summary!$B$55)*T288+Summary!$B$55*V288</f>
        <v/>
      </c>
      <c r="P288">
        <f>IF(B329=0,0,O288/B329)</f>
        <v/>
      </c>
      <c r="Q288">
        <f>IFERROR(1/IF(Inputs!$B$39="pvp",15,MAX(0.1,Skills!D4-IF(Skills!E4=TRUE,Inputs!$B$32,0))),0)</f>
        <v/>
      </c>
      <c r="R288">
        <f>IF(AND(Inputs!$B$39&lt;&gt;"pvp",Inputs!$B$44&gt;0),IF(MAX(0,Inputs!$B$44-B328)&lt;=0,0,(INT(MAX(0,Inputs!$B$44-B328)/IF(Inputs!$B$39="pvp",15,MAX(0.1,Skills!D4-IF(Skills!E4=TRUE,Inputs!$B$32,0))))+1)),0)</f>
        <v/>
      </c>
      <c r="S288">
        <f>IFERROR(O288/N288,0)</f>
        <v/>
      </c>
      <c r="T288">
        <f>IF(C288,(H288*N288*IF(AND(Inputs!$B$39&lt;&gt;"pvp",Inputs!$B$44&gt;0),((Skills!G4*((R288-1)*IF(Skills!H4&gt;0,Skills!I4/Skills!H4,1)+IF(Skills!H4&gt;0,MIN(Skills!I4,MAX(0,MAX(0,Inputs!$B$44-B328)-((R288-1)*IF(Inputs!$B$39="pvp",15,MAX(0.1,Skills!D4-IF(Skills!E4=TRUE,Inputs!$B$32,0))))))/Skills!H4,1)))/Inputs!$B$44),G288*Q288))*IF(Inputs!$B$39="pvp",1,1+((Inputs!$B$20+1)+0+Skills!P4+B318)/100),0)</f>
        <v/>
      </c>
      <c r="U288">
        <f>290*U287/1000</f>
        <v/>
      </c>
      <c r="V288">
        <f>IF(C288,(H288*N288*IF(AND(Inputs!$B$39&lt;&gt;"pvp",Inputs!$B$44&gt;0),((Skills!G4*((R288-1)*IF(Skills!H4&gt;0,Skills!I4/Skills!H4,1)+IF(Skills!H4&gt;0,MIN(Skills!I4,MAX(0,MAX(0,Inputs!$B$44-B328)-((R288-1)*IF(Inputs!$B$39="pvp",15,MAX(0.1,Skills!D4-IF(Skills!E4=TRUE,Inputs!$B$32,0))))))/Skills!H4,1)))/Inputs!$B$44),G288*Q288))*IF(Inputs!$B$39="pvp",1,(1+(Inputs!$B$21+Skills!Q4+B318)/100)*(MIN(MIN(10,0.5*B321*Skills!D4),Inputs!$B$37))),0)</f>
        <v/>
      </c>
    </row>
    <row r="289">
      <c r="A289">
        <f>Skills!A5</f>
        <v/>
      </c>
      <c r="B289">
        <f>Skills!B5</f>
        <v/>
      </c>
      <c r="C289">
        <f>Inputs!$B$3&gt;=63</f>
        <v/>
      </c>
      <c r="D289">
        <f>IF(Skills!C5=1,60+Inputs!$B$25+Inputs!$B$29,IF(Skills!C5=2,90+Inputs!$B$26+Inputs!$B$29,IF(Skills!C5=3,120+Inputs!$B$27+Inputs!$B$29,MAX(0,(Inputs!$B$3-100)*3)+Inputs!$B$28+Inputs!$B$29)))</f>
        <v/>
      </c>
      <c r="E289">
        <f>INDEX(FactorTable!$B$2:$Y$301, MATCH(ROUND(MIN(300,MAX(1,D289)),0), FactorTable!$A$2:$A$301,0), Skills!M5+1)</f>
        <v/>
      </c>
      <c r="F289">
        <f>IF(Skills!N5=TRUE,(Skills!L5/10)*(E289/1000),Skills!L5/10)+Skills!O5</f>
        <v/>
      </c>
      <c r="G289">
        <f>Skills!G5*IF(Skills!H5&gt;0,Skills!I5/Skills!H5,1)</f>
        <v/>
      </c>
      <c r="H289">
        <f>1-(1-Skills!J5/100)^Skills!K5</f>
        <v/>
      </c>
      <c r="I289" t="inlineStr">
        <is>
          <t>1</t>
        </is>
      </c>
      <c r="J289">
        <f>((Inputs!$B$6*(1+Inputs!$B$7/100))+(((Inputs!$B$12*(1+Inputs!$B$13/100))-(Inputs!$B$12*(1+Inputs!$B$13/100)))+0.25*(Inputs!$B$14-Inputs!$B$14))*(1+Inputs!$B$7/100))*(F289/100)</f>
        <v/>
      </c>
      <c r="K289">
        <f>J289*(1+((Inputs!$B$12*(1+Inputs!$B$13/100))*0.01+Inputs!$B$14*0.0025)/100)*(1+Inputs!$B$15/100)*(1+Inputs!$B$16/100)*(5000/(6000+Inputs!$B$43*(1-Inputs!$B$19/100)))*(1+(Inputs!$B$24+((C314=TRUE)*(F314-Calc!F30)))/100)*(1+2.6666666666666665*IF(C302=TRUE,F302,0)/100)*(1+(IF(Skills!A5="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289)</f>
        <v/>
      </c>
      <c r="L289">
        <f>K289*(MIN(Inputs!$B$22+((C308=TRUE)*(F308-Calc!F24)),Inputs!$B$23+((C313=TRUE)*(F313-Calc!F29)))/100+(Inputs!$B$23+((C313=TRUE)*(F313-Calc!F29)))/100)/2</f>
        <v/>
      </c>
      <c r="M289">
        <f>L289*(1+(Inputs!$B$10+((C310=TRUE)*(F310-Calc!F26))+B324)/100)</f>
        <v/>
      </c>
      <c r="N289">
        <f>L289*(1-MIN((Inputs!$B$9+((C309=TRUE)*(F309-Calc!F25))+B317),100)/100)+M289*(MIN((Inputs!$B$9+((C309=TRUE)*(F309-Calc!F25))+B317),100)/100)</f>
        <v/>
      </c>
      <c r="O289">
        <f>(1-Summary!$B$55)*T289+Summary!$B$55*V289</f>
        <v/>
      </c>
      <c r="P289">
        <f>IF(B329=0,0,O289/B329)</f>
        <v/>
      </c>
      <c r="Q289">
        <f>IFERROR(1/IF(Inputs!$B$39="pvp",15,MAX(0.1,Skills!D5-IF(Skills!E5=TRUE,Inputs!$B$32,0))),0)</f>
        <v/>
      </c>
      <c r="R289">
        <f>IF(AND(Inputs!$B$39&lt;&gt;"pvp",Inputs!$B$44&gt;0),IF(MAX(0,Inputs!$B$44-B328)&lt;=0,0,(INT(MAX(0,Inputs!$B$44-B328)/IF(Inputs!$B$39="pvp",15,MAX(0.1,Skills!D5-IF(Skills!E5=TRUE,Inputs!$B$32,0))))+1)),0)</f>
        <v/>
      </c>
      <c r="S289">
        <f>IFERROR(O289/N289,0)</f>
        <v/>
      </c>
      <c r="T289">
        <f>IF(C289,(H289*N289*IF(AND(Inputs!$B$39&lt;&gt;"pvp",Inputs!$B$44&gt;0),((Skills!G5*((R289-1)*IF(Skills!H5&gt;0,Skills!I5/Skills!H5,1)+IF(Skills!H5&gt;0,MIN(Skills!I5,MAX(0,MAX(0,Inputs!$B$44-B328)-((R289-1)*IF(Inputs!$B$39="pvp",15,MAX(0.1,Skills!D5-IF(Skills!E5=TRUE,Inputs!$B$32,0))))))/Skills!H5,1)))/Inputs!$B$44),G289*Q289))*IF(Inputs!$B$39="pvp",1,1+((Inputs!$B$20+1)+0+Skills!P5+B318)/100),0)</f>
        <v/>
      </c>
      <c r="V289">
        <f>IF(C289,(H289*N289*IF(AND(Inputs!$B$39&lt;&gt;"pvp",Inputs!$B$44&gt;0),((Skills!G5*((R289-1)*IF(Skills!H5&gt;0,Skills!I5/Skills!H5,1)+IF(Skills!H5&gt;0,MIN(Skills!I5,MAX(0,MAX(0,Inputs!$B$44-B328)-((R289-1)*IF(Inputs!$B$39="pvp",15,MAX(0.1,Skills!D5-IF(Skills!E5=TRUE,Inputs!$B$32,0))))))/Skills!H5,1)))/Inputs!$B$44),G289*Q289))*IF(Inputs!$B$39="pvp",1,(1+(Inputs!$B$21+Skills!Q5+B318)/100)*(MIN(Skills!W5,Inputs!$B$37))),0)</f>
        <v/>
      </c>
    </row>
    <row r="290">
      <c r="A290">
        <f>Skills!A6</f>
        <v/>
      </c>
      <c r="B290">
        <f>Skills!B6</f>
        <v/>
      </c>
      <c r="C290">
        <f>Inputs!$B$3&gt;=69</f>
        <v/>
      </c>
      <c r="D290">
        <f>IF(Skills!C6=1,60+Inputs!$B$25+Inputs!$B$29,IF(Skills!C6=2,90+Inputs!$B$26+Inputs!$B$29,IF(Skills!C6=3,120+Inputs!$B$27+Inputs!$B$29,MAX(0,(Inputs!$B$3-100)*3)+Inputs!$B$28+Inputs!$B$29)))</f>
        <v/>
      </c>
      <c r="E290">
        <f>INDEX(FactorTable!$B$2:$Y$301, MATCH(ROUND(MIN(300,MAX(1,D290)),0), FactorTable!$A$2:$A$301,0), Skills!M6+1)</f>
        <v/>
      </c>
      <c r="F290">
        <f>IF(Skills!N6=TRUE,(Skills!L6/10)*(E290/1000),Skills!L6/10)+Skills!O6</f>
        <v/>
      </c>
      <c r="G290">
        <f>Skills!G6*IF(Skills!H6&gt;0,Skills!I6/Skills!H6,1)</f>
        <v/>
      </c>
      <c r="H290">
        <f>1-(1-Skills!J6/100)^Skills!K6</f>
        <v/>
      </c>
      <c r="I290" t="inlineStr">
        <is>
          <t>1</t>
        </is>
      </c>
      <c r="J290">
        <f>((Inputs!$B$6*(1+Inputs!$B$7/100))+(((Inputs!$B$12*(1+Inputs!$B$13/100))-(Inputs!$B$12*(1+Inputs!$B$13/100)))+0.25*(Inputs!$B$14-Inputs!$B$14))*(1+Inputs!$B$7/100))*(F290/100)</f>
        <v/>
      </c>
      <c r="K290">
        <f>J290*(1+((Inputs!$B$12*(1+Inputs!$B$13/100))*0.01+Inputs!$B$14*0.0025)/100)*(1+Inputs!$B$15/100)*(1+Inputs!$B$16/100)*(5000/(6000+Inputs!$B$43*(1-Inputs!$B$19/100)))*(1+(Inputs!$B$24+((C314=TRUE)*(F314-Calc!F30)))/100)*(1+1.0*IF(C302=TRUE,F302,0)/100)*(1+(IF(Skills!A6="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290)</f>
        <v/>
      </c>
      <c r="L290">
        <f>K290*(MIN(Inputs!$B$22+((C308=TRUE)*(F308-Calc!F24)),Inputs!$B$23+((C313=TRUE)*(F313-Calc!F29)))/100+(Inputs!$B$23+((C313=TRUE)*(F313-Calc!F29)))/100)/2</f>
        <v/>
      </c>
      <c r="M290">
        <f>L290*(1+(Inputs!$B$10+((C310=TRUE)*(F310-Calc!F26))+B324)/100)</f>
        <v/>
      </c>
      <c r="N290">
        <f>L290*(1-MIN((Inputs!$B$9+((C309=TRUE)*(F309-Calc!F25))+B317),100)/100)+M290*(MIN((Inputs!$B$9+((C309=TRUE)*(F309-Calc!F25))+B317),100)/100)</f>
        <v/>
      </c>
      <c r="O290">
        <f>(1-Summary!$B$55)*T290+Summary!$B$55*V290</f>
        <v/>
      </c>
      <c r="P290">
        <f>IF(B329=0,0,O290/B329)</f>
        <v/>
      </c>
      <c r="Q290">
        <f>IFERROR(1/IF(Inputs!$B$39="pvp",15,MAX(0.1,Skills!D6-IF(Skills!E6=TRUE,Inputs!$B$32,0))),0)</f>
        <v/>
      </c>
      <c r="R290">
        <f>IF(AND(Inputs!$B$39&lt;&gt;"pvp",Inputs!$B$44&gt;0),IF(MAX(0,Inputs!$B$44-B328)&lt;=0,0,(INT(MAX(0,Inputs!$B$44-B328)/IF(Inputs!$B$39="pvp",15,MAX(0.1,Skills!D6-IF(Skills!E6=TRUE,Inputs!$B$32,0))))+1)),0)</f>
        <v/>
      </c>
      <c r="S290">
        <f>IFERROR(O290/N290,0)</f>
        <v/>
      </c>
      <c r="T290">
        <f>IF(C290,(H290*N290*IF(AND(Inputs!$B$39&lt;&gt;"pvp",Inputs!$B$44&gt;0),((Skills!G6*((R290-1)*IF(Skills!H6&gt;0,Skills!I6/Skills!H6,1)+IF(Skills!H6&gt;0,MIN(Skills!I6,MAX(0,MAX(0,Inputs!$B$44-B328)-((R290-1)*IF(Inputs!$B$39="pvp",15,MAX(0.1,Skills!D6-IF(Skills!E6=TRUE,Inputs!$B$32,0))))))/Skills!H6,1)))/Inputs!$B$44),G290*Q290))*IF(Inputs!$B$39="pvp",1,1+((Inputs!$B$20+1)+0+Skills!P6+B318)/100),0)</f>
        <v/>
      </c>
      <c r="V290">
        <f>IF(C290,(H290*N290*IF(AND(Inputs!$B$39&lt;&gt;"pvp",Inputs!$B$44&gt;0),((Skills!G6*((R290-1)*IF(Skills!H6&gt;0,Skills!I6/Skills!H6,1)+IF(Skills!H6&gt;0,MIN(Skills!I6,MAX(0,MAX(0,Inputs!$B$44-B328)-((R290-1)*IF(Inputs!$B$39="pvp",15,MAX(0.1,Skills!D6-IF(Skills!E6=TRUE,Inputs!$B$32,0))))))/Skills!H6,1)))/Inputs!$B$44),G290*Q290))*IF(Inputs!$B$39="pvp",1,(1+(Inputs!$B$21+Skills!Q6+B318)/100)*(MIN(Skills!W6,Inputs!$B$37))),0)</f>
        <v/>
      </c>
    </row>
    <row r="291">
      <c r="A291">
        <f>Skills!A7</f>
        <v/>
      </c>
      <c r="B291">
        <f>Skills!B7</f>
        <v/>
      </c>
      <c r="C291">
        <f>Inputs!$B$3&gt;=60</f>
        <v/>
      </c>
      <c r="D291">
        <f>IF(Skills!C7=1,60+Inputs!$B$25+Inputs!$B$29,IF(Skills!C7=2,90+Inputs!$B$26+Inputs!$B$29,IF(Skills!C7=3,120+Inputs!$B$27+Inputs!$B$29,MAX(0,(Inputs!$B$3-100)*3)+Inputs!$B$28+Inputs!$B$29)))</f>
        <v/>
      </c>
      <c r="E291">
        <f>INDEX(FactorTable!$B$2:$Y$301, MATCH(ROUND(MIN(300,MAX(1,D291)),0), FactorTable!$A$2:$A$301,0), Skills!M7+1)</f>
        <v/>
      </c>
      <c r="F291">
        <f>IF(Skills!N7=TRUE,(Skills!L7/10)*(E291/1000),Skills!L7/10)+Skills!O7</f>
        <v/>
      </c>
      <c r="G291">
        <f>Skills!G7*IF(Skills!H7&gt;0,Skills!I7/Skills!H7,1)</f>
        <v/>
      </c>
      <c r="H291">
        <f>1-(1-Skills!J7/100)^Skills!K7</f>
        <v/>
      </c>
      <c r="I291" t="inlineStr">
        <is>
          <t>1</t>
        </is>
      </c>
      <c r="J291" t="inlineStr"/>
      <c r="K291" t="inlineStr"/>
      <c r="L291" t="inlineStr"/>
      <c r="M291" t="inlineStr"/>
      <c r="N291" t="inlineStr"/>
      <c r="O291">
        <f>(1-Summary!$B$55)*T291+Summary!$B$55*V291</f>
        <v/>
      </c>
      <c r="P291">
        <f>IF(B329=0,0,O291/B329)</f>
        <v/>
      </c>
      <c r="Q291" t="n">
        <v>0</v>
      </c>
      <c r="R291" t="n">
        <v>0</v>
      </c>
      <c r="S291">
        <f>IFERROR(O291/N291,0)</f>
        <v/>
      </c>
      <c r="T291" t="n">
        <v>0</v>
      </c>
      <c r="V291" t="n">
        <v>0</v>
      </c>
    </row>
    <row r="292">
      <c r="A292">
        <f>Skills!A8</f>
        <v/>
      </c>
      <c r="B292">
        <f>Skills!B8</f>
        <v/>
      </c>
      <c r="C292">
        <f>Inputs!$B$3&gt;=72</f>
        <v/>
      </c>
      <c r="D292">
        <f>IF(Skills!C8=1,60+Inputs!$B$25+Inputs!$B$29,IF(Skills!C8=2,90+Inputs!$B$26+Inputs!$B$29,IF(Skills!C8=3,120+Inputs!$B$27+Inputs!$B$29,MAX(0,(Inputs!$B$3-100)*3)+Inputs!$B$28+Inputs!$B$29)))</f>
        <v/>
      </c>
      <c r="E292">
        <f>INDEX(FactorTable!$B$2:$Y$301, MATCH(ROUND(MIN(300,MAX(1,D292)),0), FactorTable!$A$2:$A$301,0), Skills!M8+1)</f>
        <v/>
      </c>
      <c r="F292">
        <f>IF(Skills!N8=TRUE,(Skills!L8/10)*(E292/1000),Skills!L8/10)+Skills!O8</f>
        <v/>
      </c>
      <c r="G292">
        <f>Skills!G8*IF(Skills!H8&gt;0,Skills!I8/Skills!H8,1)</f>
        <v/>
      </c>
      <c r="H292">
        <f>1-(1-Skills!J8/100)^Skills!K8</f>
        <v/>
      </c>
      <c r="I292" t="inlineStr">
        <is>
          <t>1</t>
        </is>
      </c>
      <c r="J292">
        <f>((Inputs!$B$6*(1+Inputs!$B$7/100))+(((Inputs!$B$12*(1+Inputs!$B$13/100))-(Inputs!$B$12*(1+Inputs!$B$13/100)))+0.25*(Inputs!$B$14-Inputs!$B$14))*(1+Inputs!$B$7/100))*(F292/100)</f>
        <v/>
      </c>
      <c r="K292">
        <f>J292*(1+((Inputs!$B$12*(1+Inputs!$B$13/100))*0.01+Inputs!$B$14*0.0025)/100)*(1+Inputs!$B$15/100)*(1+Inputs!$B$16/100)*(5000/(6000+Inputs!$B$43*(1-Inputs!$B$19/100)))*(1+(Inputs!$B$24+((C314=TRUE)*(F314-Calc!F30)))/100)*(1+3.3333333333333335*IF(C302=TRUE,F302,0)/100)*(1+(IF(Skills!A8="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292)</f>
        <v/>
      </c>
      <c r="L292">
        <f>K292*(MIN(Inputs!$B$22+((C308=TRUE)*(F308-Calc!F24)),Inputs!$B$23+((C313=TRUE)*(F313-Calc!F29)))/100+(Inputs!$B$23+((C313=TRUE)*(F313-Calc!F29)))/100)/2</f>
        <v/>
      </c>
      <c r="M292">
        <f>L292*(1+(Inputs!$B$10+((C310=TRUE)*(F310-Calc!F26))+B324)/100)</f>
        <v/>
      </c>
      <c r="N292">
        <f>L292*(1-MIN((Inputs!$B$9+((C309=TRUE)*(F309-Calc!F25))+B317),100)/100)+M292*(MIN((Inputs!$B$9+((C309=TRUE)*(F309-Calc!F25))+B317),100)/100)</f>
        <v/>
      </c>
      <c r="O292">
        <f>(1-Summary!$B$55)*T292+Summary!$B$55*V292</f>
        <v/>
      </c>
      <c r="P292">
        <f>IF(B329=0,0,O292/B329)</f>
        <v/>
      </c>
      <c r="Q292">
        <f>IFERROR(1/IF(Inputs!$B$39="pvp",15,MAX(0.1,Skills!D8-IF(Skills!E8=TRUE,Inputs!$B$32,0))),0)</f>
        <v/>
      </c>
      <c r="R292">
        <f>IF(AND(Inputs!$B$39&lt;&gt;"pvp",Inputs!$B$44&gt;0),IF(MAX(0,Inputs!$B$44-B328)&lt;=0,0,(INT(MAX(0,Inputs!$B$44-B328)/IF(Inputs!$B$39="pvp",15,MAX(0.1,Skills!D8-IF(Skills!E8=TRUE,Inputs!$B$32,0))))+1)),0)</f>
        <v/>
      </c>
      <c r="S292">
        <f>IFERROR(O292/N292,0)</f>
        <v/>
      </c>
      <c r="T292">
        <f>IF(C292,(H292*N292*IF(AND(Inputs!$B$39&lt;&gt;"pvp",Inputs!$B$44&gt;0),((Skills!G8*((R292-1)*IF(Skills!H8&gt;0,Skills!I8/Skills!H8,1)+IF(Skills!H8&gt;0,MIN(Skills!I8,MAX(0,MAX(0,Inputs!$B$44-B328)-((R292-1)*IF(Inputs!$B$39="pvp",15,MAX(0.1,Skills!D8-IF(Skills!E8=TRUE,Inputs!$B$32,0))))))/Skills!H8,1)))/Inputs!$B$44),G292*Q292))*IF(Inputs!$B$39="pvp",1,1+((Inputs!$B$20+1)+0+Skills!P8+B318)/100),0)</f>
        <v/>
      </c>
      <c r="V292">
        <f>IF(C292,(H292*N292*IF(AND(Inputs!$B$39&lt;&gt;"pvp",Inputs!$B$44&gt;0),((Skills!G8*((R292-1)*IF(Skills!H8&gt;0,Skills!I8/Skills!H8,1)+IF(Skills!H8&gt;0,MIN(Skills!I8,MAX(0,MAX(0,Inputs!$B$44-B328)-((R292-1)*IF(Inputs!$B$39="pvp",15,MAX(0.1,Skills!D8-IF(Skills!E8=TRUE,Inputs!$B$32,0))))))/Skills!H8,1)))/Inputs!$B$44),G292*Q292))*IF(Inputs!$B$39="pvp",1,(1+(Inputs!$B$21+Skills!Q8+B318)/100)*(MIN(Skills!W8,Inputs!$B$37))),0)</f>
        <v/>
      </c>
    </row>
    <row r="293">
      <c r="A293">
        <f>Skills!A9</f>
        <v/>
      </c>
      <c r="B293">
        <f>Skills!B9</f>
        <v/>
      </c>
      <c r="C293">
        <f>Inputs!$B$3&gt;=117</f>
        <v/>
      </c>
      <c r="D293">
        <f>IF(Skills!C9=1,60+Inputs!$B$25+Inputs!$B$29,IF(Skills!C9=2,90+Inputs!$B$26+Inputs!$B$29,IF(Skills!C9=3,120+Inputs!$B$27+Inputs!$B$29,MAX(0,(Inputs!$B$3-100)*3)+Inputs!$B$28+Inputs!$B$29)))</f>
        <v/>
      </c>
      <c r="E293">
        <f>INDEX(FactorTable!$B$2:$Y$301, MATCH(ROUND(MIN(300,MAX(1,D293)),0), FactorTable!$A$2:$A$301,0), Skills!M9+1)</f>
        <v/>
      </c>
      <c r="F293">
        <f>IF(Skills!N9=TRUE,(Skills!L9/10)*(E293/1000),Skills!L9/10)+Skills!O9</f>
        <v/>
      </c>
      <c r="G293">
        <f>Skills!G9*IF(Skills!H9&gt;0,Skills!I9/Skills!H9,1)</f>
        <v/>
      </c>
      <c r="H293">
        <f>1-(1-Skills!J9/100)^Skills!K9</f>
        <v/>
      </c>
      <c r="I293" t="inlineStr">
        <is>
          <t>1</t>
        </is>
      </c>
      <c r="J293">
        <f>((Inputs!$B$6*(1+Inputs!$B$7/100))+(((Inputs!$B$12*(1+Inputs!$B$13/100))-(Inputs!$B$12*(1+Inputs!$B$13/100)))+0.25*(Inputs!$B$14-Inputs!$B$14))*(1+Inputs!$B$7/100))*(F293/100)</f>
        <v/>
      </c>
      <c r="K293">
        <f>J293*(1+((Inputs!$B$12*(1+Inputs!$B$13/100))*0.01+Inputs!$B$14*0.0025)/100)*(1+Inputs!$B$15/100)*(1+Inputs!$B$16/100)*(5000/(6000+Inputs!$B$43*(1-Inputs!$B$19/100)))*(1+(Inputs!$B$24+((C314=TRUE)*(F314-Calc!F30)))/100)*(1+(IF(Skills!A9="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293)</f>
        <v/>
      </c>
      <c r="L293">
        <f>K293*(MIN(Inputs!$B$22+((C308=TRUE)*(F308-Calc!F24)),Inputs!$B$23+((C313=TRUE)*(F313-Calc!F29)))/100+(Inputs!$B$23+((C313=TRUE)*(F313-Calc!F29)))/100)/2</f>
        <v/>
      </c>
      <c r="M293">
        <f>L293*(1+(Inputs!$B$10+((C310=TRUE)*(F310-Calc!F26))+B324)/100)</f>
        <v/>
      </c>
      <c r="N293">
        <f>L293*(1-MIN((Inputs!$B$9+((C309=TRUE)*(F309-Calc!F25))+B317),100)/100)+M293*(MIN((Inputs!$B$9+((C309=TRUE)*(F309-Calc!F25))+B317),100)/100)</f>
        <v/>
      </c>
      <c r="O293">
        <f>(1-Summary!$B$55)*T293+Summary!$B$55*V293</f>
        <v/>
      </c>
      <c r="P293">
        <f>IF(B329=0,0,O293/B329)</f>
        <v/>
      </c>
      <c r="Q293" t="n">
        <v>0</v>
      </c>
      <c r="R293" t="n">
        <v>0</v>
      </c>
      <c r="S293" t="n">
        <v>0</v>
      </c>
      <c r="T293">
        <f>IF(C293,(0.2*SUMPRODUCT((Skills!Z2:Z30=TRUE)*(C286:C314=TRUE)*S286:S314)*N293)*IF(Inputs!$B$39="pvp",1,1+((Inputs!$B$20+1)+0+Skills!P9+B318)/100),0)</f>
        <v/>
      </c>
      <c r="V293">
        <f>IF(C293,(0.2*SUMPRODUCT((Skills!Z2:Z30=TRUE)*(C286:C314=TRUE)*S286:S314)*N293)*IF(Inputs!$B$39="pvp",1,(1+(Inputs!$B$21+Skills!Q9+B318)/100)*(MIN(Skills!W9,Inputs!$B$37))),0)</f>
        <v/>
      </c>
    </row>
    <row r="294">
      <c r="A294">
        <f>Skills!A10</f>
        <v/>
      </c>
      <c r="B294">
        <f>Skills!B10</f>
        <v/>
      </c>
      <c r="C294">
        <f>Inputs!$B$3&gt;=74</f>
        <v/>
      </c>
      <c r="D294">
        <f>IF(Skills!C10=1,60+Inputs!$B$25+Inputs!$B$29,IF(Skills!C10=2,90+Inputs!$B$26+Inputs!$B$29,IF(Skills!C10=3,120+Inputs!$B$27+Inputs!$B$29,MAX(0,(Inputs!$B$3-100)*3)+Inputs!$B$28+Inputs!$B$29)))</f>
        <v/>
      </c>
      <c r="E294">
        <f>INDEX(FactorTable!$B$2:$Y$301, MATCH(ROUND(MIN(300,MAX(1,D294)),0), FactorTable!$A$2:$A$301,0), Skills!M10+1)</f>
        <v/>
      </c>
      <c r="F294">
        <f>IF(Skills!N10=TRUE,(Skills!L10/10)*(E294/1000),Skills!L10/10)+Skills!O10</f>
        <v/>
      </c>
      <c r="G294">
        <f>Skills!G10*IF(Skills!H10&gt;0,Skills!I10/Skills!H10,1)</f>
        <v/>
      </c>
      <c r="H294">
        <f>1-(1-Skills!J10/100)^Skills!K10</f>
        <v/>
      </c>
      <c r="I294" t="inlineStr">
        <is>
          <t>1</t>
        </is>
      </c>
      <c r="J294" t="inlineStr"/>
      <c r="K294" t="inlineStr"/>
      <c r="L294" t="inlineStr"/>
      <c r="M294" t="inlineStr"/>
      <c r="N294" t="inlineStr"/>
      <c r="O294">
        <f>(1-Summary!$B$55)*T294+Summary!$B$55*V294</f>
        <v/>
      </c>
      <c r="P294">
        <f>IF(B329=0,0,O294/B329)</f>
        <v/>
      </c>
      <c r="Q294">
        <f>IFERROR(1/IF(Inputs!$B$39="pvp",15,MAX(0.1,Skills!D10-IF(Skills!E10=TRUE,Inputs!$B$32,0))),0)</f>
        <v/>
      </c>
      <c r="R294">
        <f>IF(AND(Inputs!$B$39&lt;&gt;"pvp",Inputs!$B$44&gt;0),IF(Inputs!$B$44&lt;=0,0,(INT(Inputs!$B$44/IF(Inputs!$B$39="pvp",15,MAX(0.1,Skills!D10-IF(Skills!E10=TRUE,Inputs!$B$32,0))))+1)),0)</f>
        <v/>
      </c>
      <c r="S294">
        <f>IFERROR(O294/N294,0)</f>
        <v/>
      </c>
      <c r="T294" t="n">
        <v>0</v>
      </c>
      <c r="V294" t="n">
        <v>0</v>
      </c>
    </row>
    <row r="295">
      <c r="A295">
        <f>Skills!A11</f>
        <v/>
      </c>
      <c r="B295">
        <f>Skills!B11</f>
        <v/>
      </c>
      <c r="C295">
        <f>Inputs!$B$3&gt;=103</f>
        <v/>
      </c>
      <c r="D295">
        <f>IF(Skills!C11=1,60+Inputs!$B$25+Inputs!$B$29,IF(Skills!C11=2,90+Inputs!$B$26+Inputs!$B$29,IF(Skills!C11=3,120+Inputs!$B$27+Inputs!$B$29,MAX(0,(Inputs!$B$3-100)*3)+Inputs!$B$28+Inputs!$B$29)))</f>
        <v/>
      </c>
      <c r="E295">
        <f>INDEX(FactorTable!$B$2:$Y$301, MATCH(ROUND(MIN(300,MAX(1,D295)),0), FactorTable!$A$2:$A$301,0), Skills!M11+1)</f>
        <v/>
      </c>
      <c r="F295">
        <f>(Skills!L11/10)*(E295/1000)+IF(Inputs!$B$3&gt;=134,50,0)+0.5*(30000/10)*(INDEX(FactorTable!$B$2:$Y$301, MATCH(ROUND(MIN(300,MAX(1,D295)),0), FactorTable!$A$2:$A$301,0), 13)/1000)*B327</f>
        <v/>
      </c>
      <c r="G295">
        <f>Skills!G11*IF(Skills!H11&gt;0,Skills!I11/Skills!H11,1)</f>
        <v/>
      </c>
      <c r="H295">
        <f>1-(1-Skills!J11/100)^Skills!K11</f>
        <v/>
      </c>
      <c r="I295" t="inlineStr">
        <is>
          <t>1</t>
        </is>
      </c>
      <c r="J295">
        <f>((Inputs!$B$6*(1+Inputs!$B$7/100))+(((Inputs!$B$12*(1+Inputs!$B$13/100))-(Inputs!$B$12*(1+Inputs!$B$13/100)))+0.25*(Inputs!$B$14-Inputs!$B$14))*(1+Inputs!$B$7/100))*(F295/100)</f>
        <v/>
      </c>
      <c r="K295">
        <f>J295*(1+((Inputs!$B$12*(1+Inputs!$B$13/100))*0.01+Inputs!$B$14*0.0025)/100)*(1+Inputs!$B$15/100)*(1+Inputs!$B$16/100)*(5000/(6000+Inputs!$B$43*(1-Inputs!$B$19/100)))*(1+(Inputs!$B$24+((C314=TRUE)*(F314-Calc!F30)))/100)*(1+(IF(Skills!A11="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295)</f>
        <v/>
      </c>
      <c r="L295">
        <f>K295*(MIN(Inputs!$B$22+((C308=TRUE)*(F308-Calc!F24)),Inputs!$B$23+((C313=TRUE)*(F313-Calc!F29)))/100+(Inputs!$B$23+((C313=TRUE)*(F313-Calc!F29)))/100)/2</f>
        <v/>
      </c>
      <c r="M295">
        <f>L295*(1+(Inputs!$B$10+((C310=TRUE)*(F310-Calc!F26))+B324)/100)</f>
        <v/>
      </c>
      <c r="N295">
        <f>L295*(1-MIN((Inputs!$B$9+((C309=TRUE)*(F309-Calc!F25))+B317),100)/100)+M295*(MIN((Inputs!$B$9+((C309=TRUE)*(F309-Calc!F25))+B317),100)/100)</f>
        <v/>
      </c>
      <c r="O295">
        <f>(1-Summary!$B$55)*T295+Summary!$B$55*V295</f>
        <v/>
      </c>
      <c r="P295">
        <f>IF(B329=0,0,O295/B329)</f>
        <v/>
      </c>
      <c r="Q295">
        <f>IFERROR(1/IF(Inputs!$B$39="pvp",15,MAX(0.1,Skills!D11-IF(Skills!E11=TRUE,Inputs!$B$32,0))),0)</f>
        <v/>
      </c>
      <c r="R295">
        <f>IF(AND(Inputs!$B$39&lt;&gt;"pvp",Inputs!$B$44&gt;0),IF(MAX(0,Inputs!$B$44-B328)&lt;=0,0,(INT(MAX(0,Inputs!$B$44-B328)/IF(Inputs!$B$39="pvp",15,MAX(0.1,Skills!D11-IF(Skills!E11=TRUE,Inputs!$B$32,0))))+1)),0)</f>
        <v/>
      </c>
      <c r="S295">
        <f>IFERROR(O295/N295,0)</f>
        <v/>
      </c>
      <c r="T295">
        <f>IF(C295,(H295*N295*IF(AND(Inputs!$B$39&lt;&gt;"pvp",Inputs!$B$44&gt;0),((Skills!G11*((R295-1)*IF(Skills!H11&gt;0,Skills!I11/Skills!H11,1)+IF(Skills!H11&gt;0,MIN(Skills!I11,MAX(0,MAX(0,Inputs!$B$44-B328)-((R295-1)*IF(Inputs!$B$39="pvp",15,MAX(0.1,Skills!D11-IF(Skills!E11=TRUE,Inputs!$B$32,0))))))/Skills!H11,1)))/Inputs!$B$44),G295*Q295))*IF(Inputs!$B$39="pvp",1,1+((Inputs!$B$20+1)+0+Skills!P11+B318)/100),0)</f>
        <v/>
      </c>
      <c r="V295">
        <f>IF(C295,(H295*N295*IF(AND(Inputs!$B$39&lt;&gt;"pvp",Inputs!$B$44&gt;0),((Skills!G11*((R295-1)*IF(Skills!H11&gt;0,Skills!I11/Skills!H11,1)+IF(Skills!H11&gt;0,MIN(Skills!I11,MAX(0,MAX(0,Inputs!$B$44-B328)-((R295-1)*IF(Inputs!$B$39="pvp",15,MAX(0.1,Skills!D11-IF(Skills!E11=TRUE,Inputs!$B$32,0))))))/Skills!H11,1)))/Inputs!$B$44),G295*Q295))*IF(Inputs!$B$39="pvp",1,(1+(Inputs!$B$21+Skills!Q11+B318)/100)*(MIN(Skills!W11,Inputs!$B$37))),0)</f>
        <v/>
      </c>
    </row>
    <row r="296">
      <c r="A296">
        <f>Skills!A12</f>
        <v/>
      </c>
      <c r="B296">
        <f>Skills!B12</f>
        <v/>
      </c>
      <c r="C296">
        <f>Inputs!$B$3&gt;=105</f>
        <v/>
      </c>
      <c r="D296">
        <f>IF(Skills!C12=1,60+Inputs!$B$25+Inputs!$B$29,IF(Skills!C12=2,90+Inputs!$B$26+Inputs!$B$29,IF(Skills!C12=3,120+Inputs!$B$27+Inputs!$B$29,MAX(0,(Inputs!$B$3-100)*3)+Inputs!$B$28+Inputs!$B$29)))</f>
        <v/>
      </c>
      <c r="E296">
        <f>INDEX(FactorTable!$B$2:$Y$301, MATCH(ROUND(MIN(300,MAX(1,D296)),0), FactorTable!$A$2:$A$301,0), Skills!M12+1)</f>
        <v/>
      </c>
      <c r="F296">
        <f>IF(Skills!N12=TRUE,(Skills!L12/10)*(E296/1000),Skills!L12/10)+Skills!O12</f>
        <v/>
      </c>
      <c r="G296">
        <f>Skills!G12*IF(Skills!H12&gt;0,Skills!I12/Skills!H12,1)</f>
        <v/>
      </c>
      <c r="H296">
        <f>1-(1-Skills!J12/100)^Skills!K12</f>
        <v/>
      </c>
      <c r="I296" t="inlineStr">
        <is>
          <t>1</t>
        </is>
      </c>
      <c r="J296">
        <f>((Inputs!$B$6*(1+Inputs!$B$7/100))+(((Inputs!$B$12*(1+Inputs!$B$13/100))-(Inputs!$B$12*(1+Inputs!$B$13/100)))+0.25*(Inputs!$B$14-Inputs!$B$14))*(1+Inputs!$B$7/100))*(F296/100)</f>
        <v/>
      </c>
      <c r="K296">
        <f>J296*(1+((Inputs!$B$12*(1+Inputs!$B$13/100))*0.01+Inputs!$B$14*0.0025)/100)*(1+Inputs!$B$15/100)*(1+Inputs!$B$16/100)*(5000/(6000+Inputs!$B$43*(1-Inputs!$B$19/100)))*(1+(Inputs!$B$24+((C314=TRUE)*(F314-Calc!F30)))/100)*(1+(IF(Skills!A12="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296)</f>
        <v/>
      </c>
      <c r="L296">
        <f>K296*(MIN(Inputs!$B$22+((C308=TRUE)*(F308-Calc!F24)),Inputs!$B$23+((C313=TRUE)*(F313-Calc!F29)))/100+(Inputs!$B$23+((C313=TRUE)*(F313-Calc!F29)))/100)/2</f>
        <v/>
      </c>
      <c r="M296">
        <f>L296*(1+(Inputs!$B$10+((C310=TRUE)*(F310-Calc!F26))+B324)/100)</f>
        <v/>
      </c>
      <c r="N296">
        <f>L296*(1-MIN((Inputs!$B$9+((C309=TRUE)*(F309-Calc!F25))+B317),100)/100)+M296*(MIN((Inputs!$B$9+((C309=TRUE)*(F309-Calc!F25))+B317),100)/100)</f>
        <v/>
      </c>
      <c r="O296">
        <f>(1-Summary!$B$55)*T296+Summary!$B$55*V296</f>
        <v/>
      </c>
      <c r="P296">
        <f>IF(B329=0,0,O296/B329)</f>
        <v/>
      </c>
      <c r="Q296">
        <f>IFERROR(1/IF(Inputs!$B$39="pvp",15,MAX(0.1,Skills!D12-IF(Skills!E12=TRUE,Inputs!$B$32,0))),0)</f>
        <v/>
      </c>
      <c r="R296">
        <f>IF(AND(Inputs!$B$39&lt;&gt;"pvp",Inputs!$B$44&gt;0),IF(MAX(0,Inputs!$B$44-B328)&lt;=0,0,(INT(MAX(0,Inputs!$B$44-B328)/IF(Inputs!$B$39="pvp",15,MAX(0.1,Skills!D12-IF(Skills!E12=TRUE,Inputs!$B$32,0))))+1)),0)</f>
        <v/>
      </c>
      <c r="S296">
        <f>IFERROR(O296/N296,0)</f>
        <v/>
      </c>
      <c r="T296">
        <f>IF(C296,(H296*N296*IF(AND(Inputs!$B$39&lt;&gt;"pvp",Inputs!$B$44&gt;0),((Skills!G12*((R296-1)*IF(Skills!H12&gt;0,Skills!I12/Skills!H12,1)+IF(Skills!H12&gt;0,MIN(Skills!I12,MAX(0,MAX(0,Inputs!$B$44-B328)-((R296-1)*IF(Inputs!$B$39="pvp",15,MAX(0.1,Skills!D12-IF(Skills!E12=TRUE,Inputs!$B$32,0))))))/Skills!H12,1)))/Inputs!$B$44),G296*Q296))*IF(Inputs!$B$39="pvp",1,1+((Inputs!$B$20+1)+0+Skills!P12+B318)/100),0)</f>
        <v/>
      </c>
      <c r="V296">
        <f>IF(C296,(H296*N296*IF(AND(Inputs!$B$39&lt;&gt;"pvp",Inputs!$B$44&gt;0),((Skills!G12*((R296-1)*IF(Skills!H12&gt;0,Skills!I12/Skills!H12,1)+IF(Skills!H12&gt;0,MIN(Skills!I12,MAX(0,MAX(0,Inputs!$B$44-B328)-((R296-1)*IF(Inputs!$B$39="pvp",15,MAX(0.1,Skills!D12-IF(Skills!E12=TRUE,Inputs!$B$32,0))))))/Skills!H12,1)))/Inputs!$B$44),G296*Q296))*IF(Inputs!$B$39="pvp",1,(1+(Inputs!$B$21+Skills!Q12+B318)/100)*(MIN(Skills!W12,Inputs!$B$37))),0)</f>
        <v/>
      </c>
    </row>
    <row r="297">
      <c r="A297">
        <f>Skills!A13</f>
        <v/>
      </c>
      <c r="B297">
        <f>Skills!B13</f>
        <v/>
      </c>
      <c r="C297">
        <f>Inputs!$B$3&gt;=105</f>
        <v/>
      </c>
      <c r="D297">
        <f>IF(Skills!C13=1,60+Inputs!$B$25+Inputs!$B$29,IF(Skills!C13=2,90+Inputs!$B$26+Inputs!$B$29,IF(Skills!C13=3,120+Inputs!$B$27+Inputs!$B$29,MAX(0,(Inputs!$B$3-100)*3)+Inputs!$B$28+Inputs!$B$29)))</f>
        <v/>
      </c>
      <c r="E297">
        <f>INDEX(FactorTable!$B$2:$Y$301, MATCH(ROUND(MIN(300,MAX(1,D297)),0), FactorTable!$A$2:$A$301,0), Skills!M13+1)</f>
        <v/>
      </c>
      <c r="F297">
        <f>IF(Skills!N13=TRUE,(Skills!L13/10)*(E297/1000),Skills!L13/10)+Skills!O13</f>
        <v/>
      </c>
      <c r="G297">
        <f>Skills!G13*IF(Skills!H13&gt;0,Skills!I13/Skills!H13,1)</f>
        <v/>
      </c>
      <c r="H297">
        <f>1-(1-Skills!J13/100)^Skills!K13</f>
        <v/>
      </c>
      <c r="I297" t="inlineStr">
        <is>
          <t>1</t>
        </is>
      </c>
      <c r="J297">
        <f>((Inputs!$B$6*(1+Inputs!$B$7/100))+(((Inputs!$B$12*(1+Inputs!$B$13/100))-(Inputs!$B$12*(1+Inputs!$B$13/100)))+0.25*(Inputs!$B$14-Inputs!$B$14))*(1+Inputs!$B$7/100))*(F297/100)</f>
        <v/>
      </c>
      <c r="K297">
        <f>J297*(1+((Inputs!$B$12*(1+Inputs!$B$13/100))*0.01+Inputs!$B$14*0.0025)/100)*(1+Inputs!$B$15/100)*(1+Inputs!$B$16/100)*(5000/(6000+Inputs!$B$43*(1-Inputs!$B$19/100)))*(1+(Inputs!$B$24+((C314=TRUE)*(F314-Calc!F30)))/100)*(1+(IF(Skills!A13="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297)</f>
        <v/>
      </c>
      <c r="L297">
        <f>K297*(MIN(Inputs!$B$22+((C308=TRUE)*(F308-Calc!F24)),Inputs!$B$23+((C313=TRUE)*(F313-Calc!F29)))/100+(Inputs!$B$23+((C313=TRUE)*(F313-Calc!F29)))/100)/2</f>
        <v/>
      </c>
      <c r="M297">
        <f>L297*(1+(Inputs!$B$10+((C310=TRUE)*(F310-Calc!F26))+B324)/100)</f>
        <v/>
      </c>
      <c r="N297">
        <f>L297*(1-MIN((Inputs!$B$9+((C309=TRUE)*(F309-Calc!F25))+B317),100)/100)+M297*(MIN((Inputs!$B$9+((C309=TRUE)*(F309-Calc!F25))+B317),100)/100)</f>
        <v/>
      </c>
      <c r="O297">
        <f>(1-Summary!$B$55)*T297+Summary!$B$55*V297</f>
        <v/>
      </c>
      <c r="P297">
        <f>IF(B329=0,0,O297/B329)</f>
        <v/>
      </c>
      <c r="Q297">
        <f>IFERROR(1/IF(Inputs!$B$39="pvp",15,MAX(0.1,Skills!D13-IF(Skills!E13=TRUE,Inputs!$B$32,0))),0)</f>
        <v/>
      </c>
      <c r="R297">
        <f>IF(AND(Inputs!$B$39&lt;&gt;"pvp",Inputs!$B$44&gt;0),IF(MAX(0,Inputs!$B$44-B328)&lt;=0,0,(INT(MAX(0,Inputs!$B$44-B328)/IF(Inputs!$B$39="pvp",15,MAX(0.1,Skills!D13-IF(Skills!E13=TRUE,Inputs!$B$32,0))))+1)),0)</f>
        <v/>
      </c>
      <c r="S297">
        <f>IFERROR(O297/N297,0)</f>
        <v/>
      </c>
      <c r="T297">
        <f>IF(C297,(H297*N297*IF(AND(Inputs!$B$39&lt;&gt;"pvp",Inputs!$B$44&gt;0),((Skills!G13*((R297-1)*IF(Skills!H13&gt;0,Skills!I13/Skills!H13,1)+IF(Skills!H13&gt;0,MIN(Skills!I13,MAX(0,MAX(0,Inputs!$B$44-B328)-((R297-1)*IF(Inputs!$B$39="pvp",15,MAX(0.1,Skills!D13-IF(Skills!E13=TRUE,Inputs!$B$32,0))))))/Skills!H13,1)))/Inputs!$B$44),G297*Q297))*IF(Inputs!$B$39="pvp",1,1+((Inputs!$B$20+1)+0+Skills!P13+B318)/100),0)</f>
        <v/>
      </c>
      <c r="V297">
        <f>IF(C297,(H297*N297*IF(AND(Inputs!$B$39&lt;&gt;"pvp",Inputs!$B$44&gt;0),((Skills!G13*((R297-1)*IF(Skills!H13&gt;0,Skills!I13/Skills!H13,1)+IF(Skills!H13&gt;0,MIN(Skills!I13,MAX(0,MAX(0,Inputs!$B$44-B328)-((R297-1)*IF(Inputs!$B$39="pvp",15,MAX(0.1,Skills!D13-IF(Skills!E13=TRUE,Inputs!$B$32,0))))))/Skills!H13,1)))/Inputs!$B$44),G297*Q297))*IF(Inputs!$B$39="pvp",1,(1+(Inputs!$B$21+Skills!Q13+B318)/100)*(MIN(Skills!W13,Inputs!$B$37))),0)</f>
        <v/>
      </c>
    </row>
    <row r="298">
      <c r="A298">
        <f>Skills!A14</f>
        <v/>
      </c>
      <c r="B298">
        <f>Skills!B14</f>
        <v/>
      </c>
      <c r="C298">
        <f>Inputs!$B$3&gt;=107</f>
        <v/>
      </c>
      <c r="D298">
        <f>IF(Skills!C14=1,60+Inputs!$B$25+Inputs!$B$29,IF(Skills!C14=2,90+Inputs!$B$26+Inputs!$B$29,IF(Skills!C14=3,120+Inputs!$B$27+Inputs!$B$29,MAX(0,(Inputs!$B$3-100)*3)+Inputs!$B$28+Inputs!$B$29)))</f>
        <v/>
      </c>
      <c r="E298">
        <f>INDEX(FactorTable!$B$2:$Y$301, MATCH(ROUND(MIN(300,MAX(1,D298)),0), FactorTable!$A$2:$A$301,0), Skills!M14+1)</f>
        <v/>
      </c>
      <c r="F298">
        <f>IF(Skills!N14=TRUE,(Skills!L14/10)*(E298/1000),Skills!L14/10)+Skills!O14</f>
        <v/>
      </c>
      <c r="G298">
        <f>Skills!G14*IF(Skills!H14&gt;0,Skills!I14/Skills!H14,1)</f>
        <v/>
      </c>
      <c r="H298">
        <f>1-(1-Skills!J14/100)^Skills!K14</f>
        <v/>
      </c>
      <c r="I298" t="inlineStr">
        <is>
          <t>1</t>
        </is>
      </c>
      <c r="J298">
        <f>((Inputs!$B$6*(1+Inputs!$B$7/100))+(((Inputs!$B$12*(1+Inputs!$B$13/100))-(Inputs!$B$12*(1+Inputs!$B$13/100)))+0.25*(Inputs!$B$14-Inputs!$B$14))*(1+Inputs!$B$7/100))*(F298/100)</f>
        <v/>
      </c>
      <c r="K298">
        <f>J298*(1+((Inputs!$B$12*(1+Inputs!$B$13/100))*0.01+Inputs!$B$14*0.0025)/100)*(1+Inputs!$B$15/100)*(1+Inputs!$B$16/100)*(5000/(6000+Inputs!$B$43*(1-Inputs!$B$19/100)))*(1+(Inputs!$B$24+((C314=TRUE)*(F314-Calc!F30)))/100)*(1+(IF(Skills!A14="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298)</f>
        <v/>
      </c>
      <c r="L298">
        <f>K298*(MIN(Inputs!$B$22+((C308=TRUE)*(F308-Calc!F24)),Inputs!$B$23+((C313=TRUE)*(F313-Calc!F29)))/100+(Inputs!$B$23+((C313=TRUE)*(F313-Calc!F29)))/100)/2</f>
        <v/>
      </c>
      <c r="M298">
        <f>L298*(1+(Inputs!$B$10+((C310=TRUE)*(F310-Calc!F26))+B324)/100)</f>
        <v/>
      </c>
      <c r="N298">
        <f>L298*(1-MIN((Inputs!$B$9+((C309=TRUE)*(F309-Calc!F25))+B317),100)/100)+M298*(MIN((Inputs!$B$9+((C309=TRUE)*(F309-Calc!F25))+B317),100)/100)</f>
        <v/>
      </c>
      <c r="O298">
        <f>(1-Summary!$B$55)*T298+Summary!$B$55*V298</f>
        <v/>
      </c>
      <c r="P298">
        <f>IF(B329=0,0,O298/B329)</f>
        <v/>
      </c>
      <c r="Q298">
        <f>IFERROR(1/IF(Inputs!$B$39="pvp",15,MAX(0.1,Skills!D14-IF(Skills!E14=TRUE,Inputs!$B$32,0))),0)</f>
        <v/>
      </c>
      <c r="R298">
        <f>IF(AND(Inputs!$B$39&lt;&gt;"pvp",Inputs!$B$44&gt;0),IF(MAX(0,Inputs!$B$44-B328)&lt;=0,0,(INT(MAX(0,Inputs!$B$44-B328)/IF(Inputs!$B$39="pvp",15,MAX(0.1,Skills!D14-IF(Skills!E14=TRUE,Inputs!$B$32,0))))+1)),0)</f>
        <v/>
      </c>
      <c r="S298">
        <f>IFERROR(O298/N298,0)</f>
        <v/>
      </c>
      <c r="T298">
        <f>IF(C298,(H298*N298*IF(AND(Inputs!$B$39&lt;&gt;"pvp",Inputs!$B$44&gt;0),((Skills!G14*((R298-1)*IF(Skills!H14&gt;0,Skills!I14/Skills!H14,1)+IF(Skills!H14&gt;0,MIN(Skills!I14,MAX(0,MAX(0,Inputs!$B$44-B328)-((R298-1)*IF(Inputs!$B$39="pvp",15,MAX(0.1,Skills!D14-IF(Skills!E14=TRUE,Inputs!$B$32,0))))))/Skills!H14,1)))/Inputs!$B$44),G298*Q298))*IF(Inputs!$B$39="pvp",1,1+((Inputs!$B$20+1)+0+Skills!P14+B318)/100),0)</f>
        <v/>
      </c>
      <c r="V298">
        <f>IF(C298,(H298*N298*IF(AND(Inputs!$B$39&lt;&gt;"pvp",Inputs!$B$44&gt;0),((Skills!G14*((R298-1)*IF(Skills!H14&gt;0,Skills!I14/Skills!H14,1)+IF(Skills!H14&gt;0,MIN(Skills!I14,MAX(0,MAX(0,Inputs!$B$44-B328)-((R298-1)*IF(Inputs!$B$39="pvp",15,MAX(0.1,Skills!D14-IF(Skills!E14=TRUE,Inputs!$B$32,0))))))/Skills!H14,1)))/Inputs!$B$44),G298*Q298))*IF(Inputs!$B$39="pvp",1,(1+(Inputs!$B$21+Skills!Q14+B318)/100)*(MIN(MIN(5,0.25*B321*Skills!D4)*Skills!V14,Inputs!$B$37))),0)</f>
        <v/>
      </c>
    </row>
    <row r="299">
      <c r="A299">
        <f>Skills!A15</f>
        <v/>
      </c>
      <c r="B299">
        <f>Skills!B15</f>
        <v/>
      </c>
      <c r="C299">
        <f>Inputs!$B$3&gt;=110</f>
        <v/>
      </c>
      <c r="D299">
        <f>IF(Skills!C15=1,60+Inputs!$B$25+Inputs!$B$29,IF(Skills!C15=2,90+Inputs!$B$26+Inputs!$B$29,IF(Skills!C15=3,120+Inputs!$B$27+Inputs!$B$29,MAX(0,(Inputs!$B$3-100)*3)+Inputs!$B$28+Inputs!$B$29)))</f>
        <v/>
      </c>
      <c r="E299">
        <f>INDEX(FactorTable!$B$2:$Y$301, MATCH(ROUND(MIN(300,MAX(1,D299)),0), FactorTable!$A$2:$A$301,0), Skills!M15+1)</f>
        <v/>
      </c>
      <c r="F299">
        <f>IF(Skills!N15=TRUE,(Skills!L15/10)*(E299/1000),Skills!L15/10)+Skills!O15</f>
        <v/>
      </c>
      <c r="G299">
        <f>Skills!G15*IF(Skills!H15&gt;0,Skills!I15/Skills!H15,1)</f>
        <v/>
      </c>
      <c r="H299">
        <f>1-(1-Skills!J15/100)^Skills!K15</f>
        <v/>
      </c>
      <c r="I299" t="inlineStr">
        <is>
          <t>1</t>
        </is>
      </c>
      <c r="J299" t="inlineStr"/>
      <c r="K299" t="inlineStr"/>
      <c r="L299" t="inlineStr"/>
      <c r="M299" t="inlineStr"/>
      <c r="N299" t="inlineStr"/>
      <c r="O299">
        <f>(1-Summary!$B$55)*T299+Summary!$B$55*V299</f>
        <v/>
      </c>
      <c r="P299">
        <f>IF(B329=0,0,O299/B329)</f>
        <v/>
      </c>
      <c r="Q299">
        <f>IFERROR(1/IF(Inputs!$B$39="pvp",15,MAX(0.1,Skills!D15-IF(Skills!E15=TRUE,Inputs!$B$32,0))),0)</f>
        <v/>
      </c>
      <c r="R299">
        <f>IF(AND(Inputs!$B$39&lt;&gt;"pvp",Inputs!$B$44&gt;0),IF(Inputs!$B$44&lt;=0,0,(INT(Inputs!$B$44/IF(Inputs!$B$39="pvp",15,MAX(0.1,Skills!D15-IF(Skills!E15=TRUE,Inputs!$B$32,0))))+1)),0)</f>
        <v/>
      </c>
      <c r="S299">
        <f>IFERROR(O299/N299,0)</f>
        <v/>
      </c>
      <c r="T299" t="n">
        <v>0</v>
      </c>
      <c r="V299" t="n">
        <v>0</v>
      </c>
    </row>
    <row r="300">
      <c r="A300">
        <f>Skills!A16</f>
        <v/>
      </c>
      <c r="B300">
        <f>Skills!B16</f>
        <v/>
      </c>
      <c r="C300">
        <f>Inputs!$B$3&gt;=115</f>
        <v/>
      </c>
      <c r="D300">
        <f>IF(Skills!C16=1,60+Inputs!$B$25+Inputs!$B$29,IF(Skills!C16=2,90+Inputs!$B$26+Inputs!$B$29,IF(Skills!C16=3,120+Inputs!$B$27+Inputs!$B$29,MAX(0,(Inputs!$B$3-100)*3)+Inputs!$B$28+Inputs!$B$29)))</f>
        <v/>
      </c>
      <c r="E300">
        <f>INDEX(FactorTable!$B$2:$Y$301, MATCH(ROUND(MIN(300,MAX(1,D300)),0), FactorTable!$A$2:$A$301,0), Skills!M16+1)</f>
        <v/>
      </c>
      <c r="F300">
        <f>IF(Skills!N16=TRUE,(Skills!L16/10)*(E300/1000),Skills!L16/10)+Skills!O16</f>
        <v/>
      </c>
      <c r="G300">
        <f>Skills!G16*IF(Skills!H16&gt;0,Skills!I16/Skills!H16,1)</f>
        <v/>
      </c>
      <c r="H300">
        <f>1-(1-Skills!J16/100)^Skills!K16</f>
        <v/>
      </c>
      <c r="I300" t="inlineStr">
        <is>
          <t>1</t>
        </is>
      </c>
      <c r="J300">
        <f>((Inputs!$B$6*(1+Inputs!$B$7/100))+(((Inputs!$B$12*(1+Inputs!$B$13/100))-(Inputs!$B$12*(1+Inputs!$B$13/100)))+0.25*(Inputs!$B$14-Inputs!$B$14))*(1+Inputs!$B$7/100))*(F300/100)</f>
        <v/>
      </c>
      <c r="K300">
        <f>J300*(1+((Inputs!$B$12*(1+Inputs!$B$13/100))*0.01+Inputs!$B$14*0.0025)/100)*(1+Inputs!$B$15/100)*(1+Inputs!$B$16/100)*(5000/(6000+Inputs!$B$43*(1-Inputs!$B$19/100)))*(1+(Inputs!$B$24+((C314=TRUE)*(F314-Calc!F30)))/100)*(1+(IF(Skills!A16="CRUEL_STAB",Inputs!$B$17+((C311=TRUE)*(F311-Calc!F27)),Inputs!$B$18+((C312=TRUE)*(F312-Calc!F28))))/100)*(((1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B319*I300)</f>
        <v/>
      </c>
      <c r="L300">
        <f>K300*(MIN(Inputs!$B$22+((C308=TRUE)*(F308-Calc!F24)),Inputs!$B$23+((C313=TRUE)*(F313-Calc!F29)))/100+(Inputs!$B$23+((C313=TRUE)*(F313-Calc!F29)))/100)/2</f>
        <v/>
      </c>
      <c r="M300">
        <f>L300*(1+(Inputs!$B$10+((C310=TRUE)*(F310-Calc!F26))+B324)/100)</f>
        <v/>
      </c>
      <c r="N300">
        <f>L300*(1-MIN((Inputs!$B$9+((C309=TRUE)*(F309-Calc!F25))+B317),100)/100)+M300*(MIN((Inputs!$B$9+((C309=TRUE)*(F309-Calc!F25))+B317),100)/100)</f>
        <v/>
      </c>
      <c r="O300">
        <f>(1-Summary!$B$55)*T300+Summary!$B$55*V300</f>
        <v/>
      </c>
      <c r="P300">
        <f>IF(B329=0,0,O300/B329)</f>
        <v/>
      </c>
      <c r="Q300" t="n">
        <v>0</v>
      </c>
      <c r="R300" t="n">
        <v>0</v>
      </c>
      <c r="S300">
        <f>IFERROR(O300/N300,0)</f>
        <v/>
      </c>
      <c r="T300">
        <f>IF(C300,(Inputs!$B$38*0.2*N300)*IF(Inputs!$B$39="pvp",1,1+((Inputs!$B$20+1)+0+Skills!P16+B318)/100),0)</f>
        <v/>
      </c>
      <c r="V300">
        <f>IF(C300,(Inputs!$B$38*0.2*N300)*IF(Inputs!$B$39="pvp",1,(1+(Inputs!$B$21+Skills!Q16+B318)/100)*(MIN(Skills!W16,Inputs!$B$37))),0)</f>
        <v/>
      </c>
    </row>
    <row r="301">
      <c r="A301">
        <f>Skills!A17</f>
        <v/>
      </c>
      <c r="B301">
        <f>Skills!B17</f>
        <v/>
      </c>
      <c r="C301">
        <f>Inputs!$B$3&gt;=115</f>
        <v/>
      </c>
      <c r="D301">
        <f>IF(Skills!C17=1,60+Inputs!$B$25+Inputs!$B$29,IF(Skills!C17=2,90+Inputs!$B$26+Inputs!$B$29,IF(Skills!C17=3,120+Inputs!$B$27+Inputs!$B$29,MAX(0,(Inputs!$B$3-100)*3)+Inputs!$B$28+Inputs!$B$29)))</f>
        <v/>
      </c>
      <c r="E301">
        <f>INDEX(FactorTable!$B$2:$Y$301, MATCH(ROUND(MIN(300,MAX(1,D301)),0), FactorTable!$A$2:$A$301,0), Skills!M17+1)</f>
        <v/>
      </c>
      <c r="F301">
        <f>IF(Skills!N17=TRUE,(Skills!L17/10)*(E301/1000),Skills!L17/10)+Skills!O17</f>
        <v/>
      </c>
      <c r="G301">
        <f>Skills!G17*IF(Skills!H17&gt;0,Skills!I17/Skills!H17,1)</f>
        <v/>
      </c>
      <c r="H301">
        <f>1-(1-Skills!J17/100)^Skills!K17</f>
        <v/>
      </c>
      <c r="I301" t="inlineStr">
        <is>
          <t>1</t>
        </is>
      </c>
      <c r="J301" t="inlineStr"/>
      <c r="K301" t="inlineStr"/>
      <c r="L301" t="inlineStr"/>
      <c r="M301" t="inlineStr"/>
      <c r="N301" t="inlineStr"/>
      <c r="O301">
        <f>(1-Summary!$B$55)*T301+Summary!$B$55*V301</f>
        <v/>
      </c>
      <c r="P301">
        <f>IF(B329=0,0,O301/B329)</f>
        <v/>
      </c>
      <c r="Q301" t="n">
        <v>0</v>
      </c>
      <c r="R301" t="n">
        <v>0</v>
      </c>
      <c r="S301">
        <f>IFERROR(O301/N301,0)</f>
        <v/>
      </c>
      <c r="T301" t="n">
        <v>0</v>
      </c>
      <c r="V301" t="n">
        <v>0</v>
      </c>
    </row>
    <row r="302">
      <c r="A302">
        <f>Skills!A18</f>
        <v/>
      </c>
      <c r="B302">
        <f>Skills!B18</f>
        <v/>
      </c>
      <c r="C302">
        <f>Inputs!$B$3&gt;=100</f>
        <v/>
      </c>
      <c r="D302">
        <f>IF(Skills!C18=1,60+Inputs!$B$25+Inputs!$B$29,IF(Skills!C18=2,90+Inputs!$B$26+Inputs!$B$29,IF(Skills!C18=3,120+Inputs!$B$27+Inputs!$B$29,MAX(0,(Inputs!$B$3-100)*3)+Inputs!$B$28+Inputs!$B$29)))</f>
        <v/>
      </c>
      <c r="E302">
        <f>INDEX(FactorTable!$B$2:$Y$301, MATCH(ROUND(MIN(300,MAX(1,D302)),0), FactorTable!$A$2:$A$301,0), Skills!M18+1)</f>
        <v/>
      </c>
      <c r="F302">
        <f>IF(Skills!N18=TRUE,(Skills!L18/10)*(E302/1000),Skills!L18/10)+Skills!O18</f>
        <v/>
      </c>
      <c r="G302">
        <f>Skills!G18*IF(Skills!H18&gt;0,Skills!I18/Skills!H18,1)</f>
        <v/>
      </c>
      <c r="H302">
        <f>1-(1-Skills!J18/100)^Skills!K18</f>
        <v/>
      </c>
      <c r="I302" t="inlineStr">
        <is>
          <t>1</t>
        </is>
      </c>
      <c r="J302" t="inlineStr"/>
      <c r="K302" t="inlineStr"/>
      <c r="L302" t="inlineStr"/>
      <c r="M302" t="inlineStr"/>
      <c r="N302" t="inlineStr"/>
      <c r="O302">
        <f>(1-Summary!$B$55)*T302+Summary!$B$55*V302</f>
        <v/>
      </c>
      <c r="P302">
        <f>IF(B329=0,0,O302/B329)</f>
        <v/>
      </c>
      <c r="Q302" t="n">
        <v>0</v>
      </c>
      <c r="R302" t="n">
        <v>0</v>
      </c>
      <c r="S302">
        <f>IFERROR(O302/N302,0)</f>
        <v/>
      </c>
      <c r="T302" t="n">
        <v>0</v>
      </c>
      <c r="V302" t="n">
        <v>0</v>
      </c>
    </row>
    <row r="303">
      <c r="A303">
        <f>Skills!A19</f>
        <v/>
      </c>
      <c r="B303">
        <f>Skills!B19</f>
        <v/>
      </c>
      <c r="C303">
        <f>TRUE</f>
        <v/>
      </c>
      <c r="D303">
        <f>IF(Skills!C19=1,60+Inputs!$B$25+Inputs!$B$29,IF(Skills!C19=2,90+Inputs!$B$26+Inputs!$B$29,IF(Skills!C19=3,120+Inputs!$B$27+Inputs!$B$29,MAX(0,(Inputs!$B$3-100)*3)+Inputs!$B$28+Inputs!$B$29)))</f>
        <v/>
      </c>
      <c r="E303">
        <f>INDEX(FactorTable!$B$2:$Y$301, MATCH(ROUND(MIN(300,MAX(1,D303)),0), FactorTable!$A$2:$A$301,0), Skills!M19+1)</f>
        <v/>
      </c>
      <c r="F303">
        <f>IF(Skills!N19=TRUE,(Skills!L19/10)*(E303/1000),Skills!L19/10)+Skills!O19</f>
        <v/>
      </c>
      <c r="G303">
        <f>Skills!G19*IF(Skills!H19&gt;0,Skills!I19/Skills!H19,1)</f>
        <v/>
      </c>
      <c r="H303">
        <f>1-(1-Skills!J19/100)^Skills!K19</f>
        <v/>
      </c>
      <c r="I303" t="inlineStr">
        <is>
          <t>1</t>
        </is>
      </c>
      <c r="J303" t="inlineStr"/>
      <c r="K303" t="inlineStr"/>
      <c r="L303" t="inlineStr"/>
      <c r="M303" t="inlineStr"/>
      <c r="N303" t="inlineStr"/>
      <c r="O303">
        <f>(1-Summary!$B$55)*T303+Summary!$B$55*V303</f>
        <v/>
      </c>
      <c r="P303">
        <f>IF(B329=0,0,O303/B329)</f>
        <v/>
      </c>
      <c r="Q303">
        <f>IFERROR(1/IF(Inputs!$B$39="pvp",15,MAX(0.1,Skills!D19-IF(Skills!E19=TRUE,Inputs!$B$32,0))),0)</f>
        <v/>
      </c>
      <c r="R303">
        <f>IF(AND(Inputs!$B$39&lt;&gt;"pvp",Inputs!$B$44&gt;0),IF(Inputs!$B$44&lt;=0,0,(INT(Inputs!$B$44/IF(Inputs!$B$39="pvp",15,MAX(0.1,Skills!D19-IF(Skills!E19=TRUE,Inputs!$B$32,0))))+1)),0)</f>
        <v/>
      </c>
      <c r="S303">
        <f>IFERROR(O303/N303,0)</f>
        <v/>
      </c>
      <c r="T303" t="n">
        <v>0</v>
      </c>
      <c r="V303" t="n">
        <v>0</v>
      </c>
    </row>
    <row r="304">
      <c r="A304">
        <f>Skills!A20</f>
        <v/>
      </c>
      <c r="B304">
        <f>Skills!B20</f>
        <v/>
      </c>
      <c r="C304">
        <f>Inputs!$B$3&gt;=15</f>
        <v/>
      </c>
      <c r="D304">
        <f>IF(Skills!C20=1,60+Inputs!$B$25+Inputs!$B$29,IF(Skills!C20=2,90+Inputs!$B$26+Inputs!$B$29,IF(Skills!C20=3,120+Inputs!$B$27+Inputs!$B$29,MAX(0,(Inputs!$B$3-100)*3)+Inputs!$B$28+Inputs!$B$29)))</f>
        <v/>
      </c>
      <c r="E304">
        <f>INDEX(FactorTable!$B$2:$Y$301, MATCH(ROUND(MIN(300,MAX(1,D304)),0), FactorTable!$A$2:$A$301,0), Skills!M20+1)</f>
        <v/>
      </c>
      <c r="F304">
        <f>IF(Skills!N20=TRUE,(Skills!L20/10)*(E304/1000),Skills!L20/10)+Skills!O20</f>
        <v/>
      </c>
      <c r="G304">
        <f>Skills!G20*IF(Skills!H20&gt;0,Skills!I20/Skills!H20,1)</f>
        <v/>
      </c>
      <c r="H304">
        <f>1-(1-Skills!J20/100)^Skills!K20</f>
        <v/>
      </c>
      <c r="I304" t="inlineStr">
        <is>
          <t>1</t>
        </is>
      </c>
      <c r="J304" t="inlineStr"/>
      <c r="K304" t="inlineStr"/>
      <c r="L304" t="inlineStr"/>
      <c r="M304" t="inlineStr"/>
      <c r="N304" t="inlineStr"/>
      <c r="O304">
        <f>(1-Summary!$B$55)*T304+Summary!$B$55*V304</f>
        <v/>
      </c>
      <c r="P304">
        <f>IF(B329=0,0,O304/B329)</f>
        <v/>
      </c>
      <c r="Q304">
        <f>IFERROR(1/IF(Inputs!$B$39="pvp",15,MAX(0.1,Skills!D20-IF(Skills!E20=TRUE,Inputs!$B$32,0))),0)</f>
        <v/>
      </c>
      <c r="R304">
        <f>IF(AND(Inputs!$B$39&lt;&gt;"pvp",Inputs!$B$44&gt;0),IF(Inputs!$B$44&lt;=0,0,(INT(Inputs!$B$44/IF(Inputs!$B$39="pvp",15,MAX(0.1,Skills!D20-IF(Skills!E20=TRUE,Inputs!$B$32,0))))+1)),0)</f>
        <v/>
      </c>
      <c r="S304">
        <f>IFERROR(O304/N304,0)</f>
        <v/>
      </c>
      <c r="T304" t="n">
        <v>0</v>
      </c>
      <c r="V304" t="n">
        <v>0</v>
      </c>
    </row>
    <row r="305">
      <c r="A305">
        <f>Skills!A21</f>
        <v/>
      </c>
      <c r="B305">
        <f>Skills!B21</f>
        <v/>
      </c>
      <c r="C305">
        <f>Inputs!$B$3&gt;=15</f>
        <v/>
      </c>
      <c r="D305">
        <f>IF(Skills!C21=1,60+Inputs!$B$25+Inputs!$B$29,IF(Skills!C21=2,90+Inputs!$B$26+Inputs!$B$29,IF(Skills!C21=3,120+Inputs!$B$27+Inputs!$B$29,MAX(0,(Inputs!$B$3-100)*3)+Inputs!$B$28+Inputs!$B$29)))</f>
        <v/>
      </c>
      <c r="E305">
        <f>INDEX(FactorTable!$B$2:$Y$301, MATCH(ROUND(MIN(300,MAX(1,D305)),0), FactorTable!$A$2:$A$301,0), Skills!M21+1)</f>
        <v/>
      </c>
      <c r="F305">
        <f>IF(Skills!N21=TRUE,(Skills!L21/10)*(E305/1000),Skills!L21/10)+Skills!O21</f>
        <v/>
      </c>
      <c r="G305">
        <f>Skills!G21*IF(Skills!H21&gt;0,Skills!I21/Skills!H21,1)</f>
        <v/>
      </c>
      <c r="H305">
        <f>1-(1-Skills!J21/100)^Skills!K21</f>
        <v/>
      </c>
      <c r="I305" t="inlineStr">
        <is>
          <t>1</t>
        </is>
      </c>
      <c r="J305" t="inlineStr"/>
      <c r="K305" t="inlineStr"/>
      <c r="L305" t="inlineStr"/>
      <c r="M305" t="inlineStr"/>
      <c r="N305" t="inlineStr"/>
      <c r="O305">
        <f>(1-Summary!$B$55)*T305+Summary!$B$55*V305</f>
        <v/>
      </c>
      <c r="P305">
        <f>IF(B329=0,0,O305/B329)</f>
        <v/>
      </c>
      <c r="Q305">
        <f>IFERROR(1/IF(Inputs!$B$39="pvp",15,MAX(0.1,Skills!D21-IF(Skills!E21=TRUE,Inputs!$B$32,0))),0)</f>
        <v/>
      </c>
      <c r="R305">
        <f>IF(AND(Inputs!$B$39&lt;&gt;"pvp",Inputs!$B$44&gt;0),IF(Inputs!$B$44&lt;=0,0,(INT(Inputs!$B$44/IF(Inputs!$B$39="pvp",15,MAX(0.1,Skills!D21-IF(Skills!E21=TRUE,Inputs!$B$32,0))))+1)),0)</f>
        <v/>
      </c>
      <c r="S305">
        <f>IFERROR(O305/N305,0)</f>
        <v/>
      </c>
      <c r="T305" t="n">
        <v>0</v>
      </c>
      <c r="V305" t="n">
        <v>0</v>
      </c>
    </row>
    <row r="306">
      <c r="A306">
        <f>Skills!A22</f>
        <v/>
      </c>
      <c r="B306">
        <f>Skills!B22</f>
        <v/>
      </c>
      <c r="C306">
        <f>Inputs!$B$3&gt;=33</f>
        <v/>
      </c>
      <c r="D306">
        <f>IF(Skills!C22=1,60+Inputs!$B$25+Inputs!$B$29,IF(Skills!C22=2,90+Inputs!$B$26+Inputs!$B$29,IF(Skills!C22=3,120+Inputs!$B$27+Inputs!$B$29,MAX(0,(Inputs!$B$3-100)*3)+Inputs!$B$28+Inputs!$B$29)))</f>
        <v/>
      </c>
      <c r="E306">
        <f>INDEX(FactorTable!$B$2:$Y$301, MATCH(ROUND(MIN(300,MAX(1,D306)),0), FactorTable!$A$2:$A$301,0), Skills!M22+1)</f>
        <v/>
      </c>
      <c r="F306">
        <f>IF(Skills!N22=TRUE,(Skills!L22/10)*(E306/1000),Skills!L22/10)+Skills!O22</f>
        <v/>
      </c>
      <c r="G306">
        <f>Skills!G22*IF(Skills!H22&gt;0,Skills!I22/Skills!H22,1)</f>
        <v/>
      </c>
      <c r="H306">
        <f>1-(1-Skills!J22/100)^Skills!K22</f>
        <v/>
      </c>
      <c r="I306" t="inlineStr">
        <is>
          <t>1</t>
        </is>
      </c>
      <c r="J306" t="inlineStr"/>
      <c r="K306" t="inlineStr"/>
      <c r="L306" t="inlineStr"/>
      <c r="M306" t="inlineStr"/>
      <c r="N306" t="inlineStr"/>
      <c r="O306">
        <f>(1-Summary!$B$55)*T306+Summary!$B$55*V306</f>
        <v/>
      </c>
      <c r="P306">
        <f>IF(B329=0,0,O306/B329)</f>
        <v/>
      </c>
      <c r="Q306" t="n">
        <v>0</v>
      </c>
      <c r="R306" t="n">
        <v>0</v>
      </c>
      <c r="S306">
        <f>IFERROR(O306/N306,0)</f>
        <v/>
      </c>
      <c r="T306" t="n">
        <v>0</v>
      </c>
      <c r="V306" t="n">
        <v>0</v>
      </c>
    </row>
    <row r="307">
      <c r="A307">
        <f>Skills!A23</f>
        <v/>
      </c>
      <c r="B307">
        <f>Skills!B23</f>
        <v/>
      </c>
      <c r="C307">
        <f>Inputs!$B$3&gt;=40</f>
        <v/>
      </c>
      <c r="D307">
        <f>IF(Skills!C23=1,60+Inputs!$B$25+Inputs!$B$29,IF(Skills!C23=2,90+Inputs!$B$26+Inputs!$B$29,IF(Skills!C23=3,120+Inputs!$B$27+Inputs!$B$29,MAX(0,(Inputs!$B$3-100)*3)+Inputs!$B$28+Inputs!$B$29)))</f>
        <v/>
      </c>
      <c r="E307">
        <f>INDEX(FactorTable!$B$2:$Y$301, MATCH(ROUND(MIN(300,MAX(1,D307)),0), FactorTable!$A$2:$A$301,0), Skills!M23+1)</f>
        <v/>
      </c>
      <c r="F307">
        <f>IF(Skills!N23=TRUE,(Skills!L23/10)*(E307/1000),Skills!L23/10)+Skills!O23</f>
        <v/>
      </c>
      <c r="G307">
        <f>Skills!G23*IF(Skills!H23&gt;0,Skills!I23/Skills!H23,1)</f>
        <v/>
      </c>
      <c r="H307">
        <f>1-(1-Skills!J23/100)^Skills!K23</f>
        <v/>
      </c>
      <c r="I307" t="inlineStr">
        <is>
          <t>1</t>
        </is>
      </c>
      <c r="J307" t="inlineStr"/>
      <c r="K307" t="inlineStr"/>
      <c r="L307" t="inlineStr"/>
      <c r="M307" t="inlineStr"/>
      <c r="N307" t="inlineStr"/>
      <c r="O307">
        <f>(1-Summary!$B$55)*T307+Summary!$B$55*V307</f>
        <v/>
      </c>
      <c r="P307">
        <f>IF(B329=0,0,O307/B329)</f>
        <v/>
      </c>
      <c r="Q307" t="n">
        <v>0</v>
      </c>
      <c r="R307" t="n">
        <v>0</v>
      </c>
      <c r="S307">
        <f>IFERROR(O307/N307,0)</f>
        <v/>
      </c>
      <c r="T307" t="n">
        <v>0</v>
      </c>
      <c r="V307" t="n">
        <v>0</v>
      </c>
    </row>
    <row r="308">
      <c r="A308">
        <f>Skills!A24</f>
        <v/>
      </c>
      <c r="B308">
        <f>Skills!B24</f>
        <v/>
      </c>
      <c r="C308">
        <f>Inputs!$B$3&gt;=43</f>
        <v/>
      </c>
      <c r="D308">
        <f>IF(Skills!C24=1,60+Inputs!$B$25+Inputs!$B$29,IF(Skills!C24=2,90+Inputs!$B$26+Inputs!$B$29,IF(Skills!C24=3,120+Inputs!$B$27+Inputs!$B$29,MAX(0,(Inputs!$B$3-100)*3)+Inputs!$B$28+Inputs!$B$29)))</f>
        <v/>
      </c>
      <c r="E308">
        <f>INDEX(FactorTable!$B$2:$Y$301, MATCH(ROUND(MIN(300,MAX(1,D308)),0), FactorTable!$A$2:$A$301,0), Skills!M24+1)</f>
        <v/>
      </c>
      <c r="F308">
        <f>IF(Skills!N24=TRUE,(Skills!L24/10)*(E308/1000),Skills!L24/10)+Skills!O24</f>
        <v/>
      </c>
      <c r="G308">
        <f>Skills!G24*IF(Skills!H24&gt;0,Skills!I24/Skills!H24,1)</f>
        <v/>
      </c>
      <c r="H308">
        <f>1-(1-Skills!J24/100)^Skills!K24</f>
        <v/>
      </c>
      <c r="I308" t="inlineStr">
        <is>
          <t>1</t>
        </is>
      </c>
      <c r="J308" t="inlineStr"/>
      <c r="K308" t="inlineStr"/>
      <c r="L308" t="inlineStr"/>
      <c r="M308" t="inlineStr"/>
      <c r="N308" t="inlineStr"/>
      <c r="O308">
        <f>(1-Summary!$B$55)*T308+Summary!$B$55*V308</f>
        <v/>
      </c>
      <c r="P308">
        <f>IF(B329=0,0,O308/B329)</f>
        <v/>
      </c>
      <c r="Q308" t="n">
        <v>0</v>
      </c>
      <c r="R308" t="n">
        <v>0</v>
      </c>
      <c r="S308">
        <f>IFERROR(O308/N308,0)</f>
        <v/>
      </c>
      <c r="T308" t="n">
        <v>0</v>
      </c>
      <c r="V308" t="n">
        <v>0</v>
      </c>
    </row>
    <row r="309">
      <c r="A309">
        <f>Skills!A25</f>
        <v/>
      </c>
      <c r="B309">
        <f>Skills!B25</f>
        <v/>
      </c>
      <c r="C309">
        <f>Inputs!$B$3&gt;=50</f>
        <v/>
      </c>
      <c r="D309">
        <f>IF(Skills!C25=1,60+Inputs!$B$25+Inputs!$B$29,IF(Skills!C25=2,90+Inputs!$B$26+Inputs!$B$29,IF(Skills!C25=3,120+Inputs!$B$27+Inputs!$B$29,MAX(0,(Inputs!$B$3-100)*3)+Inputs!$B$28+Inputs!$B$29)))</f>
        <v/>
      </c>
      <c r="E309">
        <f>INDEX(FactorTable!$B$2:$Y$301, MATCH(ROUND(MIN(300,MAX(1,D309)),0), FactorTable!$A$2:$A$301,0), Skills!M25+1)</f>
        <v/>
      </c>
      <c r="F309">
        <f>IF(Skills!N25=TRUE,(Skills!L25/10)*(E309/1000),Skills!L25/10)+Skills!O25</f>
        <v/>
      </c>
      <c r="G309">
        <f>Skills!G25*IF(Skills!H25&gt;0,Skills!I25/Skills!H25,1)</f>
        <v/>
      </c>
      <c r="H309">
        <f>1-(1-Skills!J25/100)^Skills!K25</f>
        <v/>
      </c>
      <c r="I309" t="inlineStr">
        <is>
          <t>1</t>
        </is>
      </c>
      <c r="J309" t="inlineStr"/>
      <c r="K309" t="inlineStr"/>
      <c r="L309" t="inlineStr"/>
      <c r="M309" t="inlineStr"/>
      <c r="N309" t="inlineStr"/>
      <c r="O309">
        <f>(1-Summary!$B$55)*T309+Summary!$B$55*V309</f>
        <v/>
      </c>
      <c r="P309">
        <f>IF(B329=0,0,O309/B329)</f>
        <v/>
      </c>
      <c r="Q309" t="n">
        <v>0</v>
      </c>
      <c r="R309" t="n">
        <v>0</v>
      </c>
      <c r="S309">
        <f>IFERROR(O309/N309,0)</f>
        <v/>
      </c>
      <c r="T309" t="n">
        <v>0</v>
      </c>
      <c r="V309" t="n">
        <v>0</v>
      </c>
    </row>
    <row r="310">
      <c r="A310">
        <f>Skills!A26</f>
        <v/>
      </c>
      <c r="B310">
        <f>Skills!B26</f>
        <v/>
      </c>
      <c r="C310">
        <f>Inputs!$B$3&gt;=50</f>
        <v/>
      </c>
      <c r="D310">
        <f>IF(Skills!C26=1,60+Inputs!$B$25+Inputs!$B$29,IF(Skills!C26=2,90+Inputs!$B$26+Inputs!$B$29,IF(Skills!C26=3,120+Inputs!$B$27+Inputs!$B$29,MAX(0,(Inputs!$B$3-100)*3)+Inputs!$B$28+Inputs!$B$29)))</f>
        <v/>
      </c>
      <c r="E310">
        <f>INDEX(FactorTable!$B$2:$Y$301, MATCH(ROUND(MIN(300,MAX(1,D310)),0), FactorTable!$A$2:$A$301,0), Skills!M26+1)</f>
        <v/>
      </c>
      <c r="F310">
        <f>IF(Skills!N26=TRUE,(Skills!L26/10)*(E310/1000),Skills!L26/10)+Skills!O26</f>
        <v/>
      </c>
      <c r="G310">
        <f>Skills!G26*IF(Skills!H26&gt;0,Skills!I26/Skills!H26,1)</f>
        <v/>
      </c>
      <c r="H310">
        <f>1-(1-Skills!J26/100)^Skills!K26</f>
        <v/>
      </c>
      <c r="I310" t="inlineStr">
        <is>
          <t>1</t>
        </is>
      </c>
      <c r="J310" t="inlineStr"/>
      <c r="K310" t="inlineStr"/>
      <c r="L310" t="inlineStr"/>
      <c r="M310" t="inlineStr"/>
      <c r="N310" t="inlineStr"/>
      <c r="O310">
        <f>(1-Summary!$B$55)*T310+Summary!$B$55*V310</f>
        <v/>
      </c>
      <c r="P310">
        <f>IF(B329=0,0,O310/B329)</f>
        <v/>
      </c>
      <c r="Q310" t="n">
        <v>0</v>
      </c>
      <c r="R310" t="n">
        <v>0</v>
      </c>
      <c r="S310">
        <f>IFERROR(O310/N310,0)</f>
        <v/>
      </c>
      <c r="T310" t="n">
        <v>0</v>
      </c>
      <c r="V310" t="n">
        <v>0</v>
      </c>
    </row>
    <row r="311">
      <c r="A311">
        <f>Skills!A27</f>
        <v/>
      </c>
      <c r="B311">
        <f>Skills!B27</f>
        <v/>
      </c>
      <c r="C311">
        <f>Inputs!$B$3&gt;=38</f>
        <v/>
      </c>
      <c r="D311">
        <f>IF(Skills!C27=1,60+Inputs!$B$25+Inputs!$B$29,IF(Skills!C27=2,90+Inputs!$B$26+Inputs!$B$29,IF(Skills!C27=3,120+Inputs!$B$27+Inputs!$B$29,MAX(0,(Inputs!$B$3-100)*3)+Inputs!$B$28+Inputs!$B$29)))</f>
        <v/>
      </c>
      <c r="E311">
        <f>INDEX(FactorTable!$B$2:$Y$301, MATCH(ROUND(MIN(300,MAX(1,D311)),0), FactorTable!$A$2:$A$301,0), Skills!M27+1)</f>
        <v/>
      </c>
      <c r="F311">
        <f>IF(Skills!N27=TRUE,(Skills!L27/10)*(E311/1000),Skills!L27/10)+Skills!O27</f>
        <v/>
      </c>
      <c r="G311">
        <f>Skills!G27*IF(Skills!H27&gt;0,Skills!I27/Skills!H27,1)</f>
        <v/>
      </c>
      <c r="H311">
        <f>1-(1-Skills!J27/100)^Skills!K27</f>
        <v/>
      </c>
      <c r="I311" t="inlineStr">
        <is>
          <t>1</t>
        </is>
      </c>
      <c r="J311" t="inlineStr"/>
      <c r="K311" t="inlineStr"/>
      <c r="L311" t="inlineStr"/>
      <c r="M311" t="inlineStr"/>
      <c r="N311" t="inlineStr"/>
      <c r="O311">
        <f>(1-Summary!$B$55)*T311+Summary!$B$55*V311</f>
        <v/>
      </c>
      <c r="P311">
        <f>IF(B329=0,0,O311/B329)</f>
        <v/>
      </c>
      <c r="Q311" t="n">
        <v>0</v>
      </c>
      <c r="R311" t="n">
        <v>0</v>
      </c>
      <c r="S311">
        <f>IFERROR(O311/N311,0)</f>
        <v/>
      </c>
      <c r="T311" t="n">
        <v>0</v>
      </c>
      <c r="V311" t="n">
        <v>0</v>
      </c>
    </row>
    <row r="312">
      <c r="A312">
        <f>Skills!A28</f>
        <v/>
      </c>
      <c r="B312">
        <f>Skills!B28</f>
        <v/>
      </c>
      <c r="C312">
        <f>Inputs!$B$3&gt;=120</f>
        <v/>
      </c>
      <c r="D312">
        <f>IF(Skills!C28=1,60+Inputs!$B$25+Inputs!$B$29,IF(Skills!C28=2,90+Inputs!$B$26+Inputs!$B$29,IF(Skills!C28=3,120+Inputs!$B$27+Inputs!$B$29,MAX(0,(Inputs!$B$3-100)*3)+Inputs!$B$28+Inputs!$B$29)))</f>
        <v/>
      </c>
      <c r="E312">
        <f>INDEX(FactorTable!$B$2:$Y$301, MATCH(ROUND(MIN(300,MAX(1,D312)),0), FactorTable!$A$2:$A$301,0), Skills!M28+1)</f>
        <v/>
      </c>
      <c r="F312">
        <f>IF(Skills!N28=TRUE,(Skills!L28/10)*(E312/1000),Skills!L28/10)+Skills!O28</f>
        <v/>
      </c>
      <c r="G312">
        <f>Skills!G28*IF(Skills!H28&gt;0,Skills!I28/Skills!H28,1)</f>
        <v/>
      </c>
      <c r="H312">
        <f>1-(1-Skills!J28/100)^Skills!K28</f>
        <v/>
      </c>
      <c r="I312" t="inlineStr">
        <is>
          <t>1</t>
        </is>
      </c>
      <c r="J312" t="inlineStr"/>
      <c r="K312" t="inlineStr"/>
      <c r="L312" t="inlineStr"/>
      <c r="M312" t="inlineStr"/>
      <c r="N312" t="inlineStr"/>
      <c r="O312">
        <f>(1-Summary!$B$55)*T312+Summary!$B$55*V312</f>
        <v/>
      </c>
      <c r="P312">
        <f>IF(B329=0,0,O312/B329)</f>
        <v/>
      </c>
      <c r="Q312" t="n">
        <v>0</v>
      </c>
      <c r="R312" t="n">
        <v>0</v>
      </c>
      <c r="S312">
        <f>IFERROR(O312/N312,0)</f>
        <v/>
      </c>
      <c r="T312" t="n">
        <v>0</v>
      </c>
      <c r="V312" t="n">
        <v>0</v>
      </c>
    </row>
    <row r="313">
      <c r="A313">
        <f>Skills!A29</f>
        <v/>
      </c>
      <c r="B313">
        <f>Skills!B29</f>
        <v/>
      </c>
      <c r="C313">
        <f>Inputs!$B$3&gt;=120</f>
        <v/>
      </c>
      <c r="D313">
        <f>IF(Skills!C29=1,60+Inputs!$B$25+Inputs!$B$29,IF(Skills!C29=2,90+Inputs!$B$26+Inputs!$B$29,IF(Skills!C29=3,120+Inputs!$B$27+Inputs!$B$29,MAX(0,(Inputs!$B$3-100)*3)+Inputs!$B$28+Inputs!$B$29)))</f>
        <v/>
      </c>
      <c r="E313">
        <f>INDEX(FactorTable!$B$2:$Y$301, MATCH(ROUND(MIN(300,MAX(1,D313)),0), FactorTable!$A$2:$A$301,0), Skills!M29+1)</f>
        <v/>
      </c>
      <c r="F313">
        <f>IF(Skills!N29=TRUE,(Skills!L29/10)*(E313/1000),Skills!L29/10)+Skills!O29</f>
        <v/>
      </c>
      <c r="G313">
        <f>Skills!G29*IF(Skills!H29&gt;0,Skills!I29/Skills!H29,1)</f>
        <v/>
      </c>
      <c r="H313">
        <f>1-(1-Skills!J29/100)^Skills!K29</f>
        <v/>
      </c>
      <c r="I313" t="inlineStr">
        <is>
          <t>1</t>
        </is>
      </c>
      <c r="J313" t="inlineStr"/>
      <c r="K313" t="inlineStr"/>
      <c r="L313" t="inlineStr"/>
      <c r="M313" t="inlineStr"/>
      <c r="N313" t="inlineStr"/>
      <c r="O313">
        <f>(1-Summary!$B$55)*T313+Summary!$B$55*V313</f>
        <v/>
      </c>
      <c r="P313">
        <f>IF(B329=0,0,O313/B329)</f>
        <v/>
      </c>
      <c r="Q313" t="n">
        <v>0</v>
      </c>
      <c r="R313" t="n">
        <v>0</v>
      </c>
      <c r="S313">
        <f>IFERROR(O313/N313,0)</f>
        <v/>
      </c>
      <c r="T313" t="n">
        <v>0</v>
      </c>
      <c r="V313" t="n">
        <v>0</v>
      </c>
    </row>
    <row r="314">
      <c r="A314">
        <f>Skills!A30</f>
        <v/>
      </c>
      <c r="B314">
        <f>Skills!B30</f>
        <v/>
      </c>
      <c r="C314">
        <f>Inputs!$B$3&gt;=125</f>
        <v/>
      </c>
      <c r="D314">
        <f>IF(Skills!C30=1,60+Inputs!$B$25+Inputs!$B$29,IF(Skills!C30=2,90+Inputs!$B$26+Inputs!$B$29,IF(Skills!C30=3,120+Inputs!$B$27+Inputs!$B$29,MAX(0,(Inputs!$B$3-100)*3)+Inputs!$B$28+Inputs!$B$29)))</f>
        <v/>
      </c>
      <c r="E314">
        <f>INDEX(FactorTable!$B$2:$Y$301, MATCH(ROUND(MIN(300,MAX(1,D314)),0), FactorTable!$A$2:$A$301,0), Skills!M30+1)</f>
        <v/>
      </c>
      <c r="F314">
        <f>IF(Skills!N30=TRUE,(Skills!L30/10)*(E314/1000),Skills!L30/10)+Skills!O30</f>
        <v/>
      </c>
      <c r="G314">
        <f>Skills!G30*IF(Skills!H30&gt;0,Skills!I30/Skills!H30,1)</f>
        <v/>
      </c>
      <c r="H314">
        <f>1-(1-Skills!J30/100)^Skills!K30</f>
        <v/>
      </c>
      <c r="I314" t="inlineStr">
        <is>
          <t>1</t>
        </is>
      </c>
      <c r="J314" t="inlineStr"/>
      <c r="K314" t="inlineStr"/>
      <c r="L314" t="inlineStr"/>
      <c r="M314" t="inlineStr"/>
      <c r="N314" t="inlineStr"/>
      <c r="O314">
        <f>(1-Summary!$B$55)*T314+Summary!$B$55*V314</f>
        <v/>
      </c>
      <c r="P314">
        <f>IF(B329=0,0,O314/B329)</f>
        <v/>
      </c>
      <c r="Q314" t="n">
        <v>0</v>
      </c>
      <c r="R314" t="n">
        <v>0</v>
      </c>
      <c r="S314">
        <f>IFERROR(O314/N314,0)</f>
        <v/>
      </c>
      <c r="T314" t="n">
        <v>0</v>
      </c>
      <c r="V314" t="n">
        <v>0</v>
      </c>
    </row>
    <row r="316">
      <c r="A316" t="inlineStr">
        <is>
          <t>Average Buff Multiplier</t>
        </is>
      </c>
      <c r="B316">
        <f>(1+(((C305=TRUE)*F305*IF(AND(Inputs!$B$39&lt;&gt;"pvp",Inputs!$B$44&gt;0),(((R305-1)*(Skills!Y21*(1+Inputs!$B$34/100))+MIN((Skills!Y21*(1+Inputs!$B$34/100)),MAX(0,Inputs!$B$44-((R305-1)*Skills!D21))))/Inputs!$B$44),IF(Inputs!$B$39="pvp",MIN((Skills!Y21*(1+Inputs!$B$34/100)),15)/15,(Skills!Y21*(1+Inputs!$B$34/100))/Skills!D21)))+((C307=TRUE)*(F307-Calc!F23))+((C301=TRUE)*(F301-Calc!F17)))/100)*(1+((C294=TRUE)*F294*IF(AND(Inputs!$B$39&lt;&gt;"pvp",Inputs!$B$44&gt;0),(((R294-1)*(Skills!Y10*(1+Inputs!$B$34/100))+MIN((Skills!Y10*(1+Inputs!$B$34/100)),MAX(0,Inputs!$B$44-((R294-1)*Skills!D10))))/Inputs!$B$44),IF(Inputs!$B$39="pvp",MIN((Skills!Y10*(1+Inputs!$B$34/100)),15)/15,(Skills!Y10*(1+Inputs!$B$34/100))/Skills!D10)))/100)*(1+((C299=TRUE)*F299*IF(AND(Inputs!$B$39&lt;&gt;"pvp",Inputs!$B$44&gt;0),(((R299-1)*(Skills!Y15*(1+Inputs!$B$34/100))+MIN((Skills!Y15*(1+Inputs!$B$34/100)),MAX(0,Inputs!$B$44-((R299-1)*Skills!D15))))/Inputs!$B$44),IF(Inputs!$B$39="pvp",MIN((Skills!Y15*(1+Inputs!$B$34/100)),15)/15,(Skills!Y15*(1+Inputs!$B$34/100))/Skills!D15)))/100)</f>
        <v/>
      </c>
    </row>
    <row r="317">
      <c r="A317" t="inlineStr">
        <is>
          <t>Global Crit Rate Bonus %</t>
        </is>
      </c>
      <c r="B317">
        <f>((C304=TRUE)*F304*IF(AND(Inputs!$B$39&lt;&gt;"pvp",Inputs!$B$44&gt;0),(((R304-1)*(Skills!Y20*(1+Inputs!$B$34/100))+MIN((Skills!Y20*(1+Inputs!$B$34/100)),MAX(0,Inputs!$B$44-((R304-1)*Skills!D20))))/Inputs!$B$44),IF(Inputs!$B$39="pvp",MIN((Skills!Y20*(1+Inputs!$B$34/100)),15)/15,(Skills!Y20*(1+Inputs!$B$34/100))/Skills!D20)))</f>
        <v/>
      </c>
    </row>
    <row r="318">
      <c r="A318" t="inlineStr">
        <is>
          <t>Global Monster Damage-Taken Bonus %</t>
        </is>
      </c>
      <c r="B318">
        <f>IF(Inputs!$B$3&gt;=82,15,0)</f>
        <v/>
      </c>
    </row>
    <row r="319">
      <c r="A319" t="inlineStr">
        <is>
          <t>Shadow Partner Average Multiplier</t>
        </is>
      </c>
      <c r="B319">
        <f>1+((C291=TRUE)*F291*(1+3.3333333333333335*IF(C302=TRUE,F302,0)/100)*I291*Skills!J7/100)/100</f>
        <v/>
      </c>
    </row>
    <row r="320">
      <c r="A320" t="inlineStr">
        <is>
          <t>Attack Speed Buff Bonus %</t>
        </is>
      </c>
      <c r="B320">
        <f>((C303=TRUE)*F303*IF(AND(Inputs!$B$39&lt;&gt;"pvp",Inputs!$B$44&gt;0),(((R303-1)*(Skills!Y19*(1+Inputs!$B$34/100))+MIN((Skills!Y19*(1+Inputs!$B$34/100)),MAX(0,Inputs!$B$44-((R303-1)*Skills!D19))))/Inputs!$B$44),IF(Inputs!$B$39="pvp",MIN((Skills!Y19*(1+Inputs!$B$34/100)),15)/15,(Skills!Y19*(1+Inputs!$B$34/100))/Skills!D19)))+((C287=TRUE)*F287*3)</f>
        <v/>
      </c>
    </row>
    <row r="321">
      <c r="A321" t="inlineStr">
        <is>
          <t>Actions Per Second</t>
        </is>
      </c>
      <c r="B321">
        <f>1+MIN(150,150*(1-(1-(Inputs!$B$11+((C306=TRUE)*(F306-Calc!F22)))/150)*(1-B320/150)))/100</f>
        <v/>
      </c>
    </row>
    <row r="322">
      <c r="A322" t="inlineStr">
        <is>
          <t>Skill + Buff Cast Rate</t>
        </is>
      </c>
      <c r="B322">
        <f>IF(AND(Inputs!$B$39&lt;&gt;"pvp",Inputs!$B$44&gt;0),SUMPRODUCT((Skills!E2:E30=TRUE)*(C286:C314=TRUE)*R286:R314*Skills!F2:F30)/Inputs!$B$44,SUMPRODUCT((Skills!E2:E30=TRUE)*(C286:C314=TRUE)*Q286:Q314*Skills!F2:F30))</f>
        <v/>
      </c>
    </row>
    <row r="323">
      <c r="A323" t="inlineStr">
        <is>
          <t>Cruel Stab Casts Per Second</t>
        </is>
      </c>
      <c r="B323">
        <f>MAX(0,B321-B322)</f>
        <v/>
      </c>
    </row>
    <row r="324">
      <c r="A324" t="inlineStr">
        <is>
          <t>Global Critical Damage Bonus % (Smokescreen Mastery Lv.113)</t>
        </is>
      </c>
      <c r="B324">
        <f>IF(Inputs!$B$3&gt;=113,30,0)*IF(AND(Inputs!$B$39&lt;&gt;"pvp",Inputs!$B$44&gt;0),(((R299-1)*(Skills!Y15*(1+Inputs!$B$34/100))+MIN((Skills!Y15*(1+Inputs!$B$34/100)),MAX(0,Inputs!$B$44-((R299-1)*Skills!D15))))/Inputs!$B$44),IF(Inputs!$B$39="pvp",MIN((Skills!Y15*(1+Inputs!$B$34/100)),15)/15,(Skills!Y15*(1+Inputs!$B$34/100))/Skills!D15))</f>
        <v/>
      </c>
    </row>
    <row r="325">
      <c r="A325" t="inlineStr">
        <is>
          <t>Meso Explosion average stack count</t>
        </is>
      </c>
      <c r="B325">
        <f>MIN(10,0.5*B321*Skills!D4)</f>
        <v/>
      </c>
    </row>
    <row r="326">
      <c r="A326" t="inlineStr">
        <is>
          <t>Blood Money average stack count</t>
        </is>
      </c>
      <c r="B326">
        <f>MIN(5,0.25*B321*Skills!D4)</f>
        <v/>
      </c>
    </row>
    <row r="327">
      <c r="A327" t="inlineStr">
        <is>
          <t>Assassinate Murderous Intent Multiplier</t>
        </is>
      </c>
      <c r="B327">
        <f>1+IFERROR(MIN(1,Q298*2/Q295),0)</f>
        <v/>
      </c>
    </row>
    <row r="328">
      <c r="A328" t="inlineStr">
        <is>
          <t>Buff-Casting Startup Delay (s, fixed-duration only)</t>
        </is>
      </c>
      <c r="B328">
        <f>IF(AND(Inputs!$B$39&lt;&gt;"pvp",Inputs!$B$44&gt;0),SUMPRODUCT((Skills!Y2:Y30&gt;0)*(Skills!E2:E30=TRUE)*(C286:C314=TRUE))/B321,0)</f>
        <v/>
      </c>
    </row>
    <row r="329">
      <c r="A329" s="5" t="inlineStr">
        <is>
          <t>TOTAL DPS</t>
        </is>
      </c>
      <c r="B329" s="5">
        <f>SUM(O286:O314)</f>
        <v/>
      </c>
    </row>
    <row r="330">
      <c r="A330" t="inlineStr">
        <is>
          <t>Boss-Only Total DPS (this block's swept value)</t>
        </is>
      </c>
      <c r="B330">
        <f>SUM(T286:T314)</f>
        <v/>
      </c>
    </row>
    <row r="331">
      <c r="A331" t="inlineStr">
        <is>
          <t>Normal-Only Total DPS (this block's swept value)</t>
        </is>
      </c>
      <c r="B331">
        <f>SUM(V286:V314)</f>
        <v/>
      </c>
    </row>
    <row r="334">
      <c r="A334" s="5" t="inlineStr">
        <is>
          <t>Stat: NORMAL_DAMAGE %</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((Inputs!$B$6*(1+Inputs!$B$7/100))+(((Inputs!$B$12*(1+Inputs!$B$13/100))-(Inputs!$B$12*(1+Inputs!$B$13/100)))+0.25*(Inputs!$B$14-Inputs!$B$14))*(1+Inputs!$B$7/100))*(F336/100)</f>
        <v/>
      </c>
      <c r="K336">
        <f>J336*(1+((Inputs!$B$12*(1+Inputs!$B$13/100))*0.01+Inputs!$B$14*0.0025)/100)*(1+Inputs!$B$15/100)*(1+Inputs!$B$16/100)*(5000/(6000+Inputs!$B$43*(1-Inputs!$B$19/100)))*(1+(Inputs!$B$24+((C364=TRUE)*(F364-Calc!F30)))/100)*(1+(IF(Skills!A2="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336)</f>
        <v/>
      </c>
      <c r="L336">
        <f>K336*(MIN(Inputs!$B$22+((C358=TRUE)*(F358-Calc!F24)),Inputs!$B$23+((C363=TRUE)*(F363-Calc!F29)))/100+(Inputs!$B$23+((C363=TRUE)*(F363-Calc!F29)))/100)/2</f>
        <v/>
      </c>
      <c r="M336">
        <f>L336*(1+(Inputs!$B$10+((C360=TRUE)*(F360-Calc!F26))+B374)/100)</f>
        <v/>
      </c>
      <c r="N336">
        <f>L336*(1-MIN((Inputs!$B$9+((C359=TRUE)*(F359-Calc!F25))+B367),100)/100)+M336*(MIN((Inputs!$B$9+((C359=TRUE)*(F359-Calc!F25))+B367),100)/100)</f>
        <v/>
      </c>
      <c r="O336">
        <f>(1-Summary!$B$55)*T336+Summary!$B$55*V336</f>
        <v/>
      </c>
      <c r="P336">
        <f>IF(B379=0,0,O336/B379)</f>
        <v/>
      </c>
      <c r="Q336" t="n">
        <v>0</v>
      </c>
      <c r="R336" t="n">
        <v>0</v>
      </c>
      <c r="S336">
        <f>IFERROR(O336/N336,0)</f>
        <v/>
      </c>
      <c r="T336">
        <f>IF(C336,(Skills!G2*N336*B373)*IF(Inputs!$B$39="pvp",1,1+(Inputs!$B$20+0+Skills!P2+B368)/100),0)</f>
        <v/>
      </c>
      <c r="U336">
        <f>MAX(0,(Inputs!$B$3-100)*3)+Inputs!$B$28+Inputs!$B$29</f>
        <v/>
      </c>
      <c r="V336">
        <f>IF(C336,(Skills!G2*N336*B373)*IF(Inputs!$B$39="pvp",1,(1+((Inputs!$B$21+1)+Skills!Q2+B368)/100)*(MIN((6+Inputs!$B$33),Inputs!$B$37))),0)</f>
        <v/>
      </c>
    </row>
    <row r="337">
      <c r="A337">
        <f>Skills!A3</f>
        <v/>
      </c>
      <c r="B337">
        <f>Skills!B3</f>
        <v/>
      </c>
      <c r="C337">
        <f>Inputs!$B$3&gt;=35</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Skills!G3*IF(Skills!H3&gt;0,Skills!I3/Skills!H3,1)</f>
        <v/>
      </c>
      <c r="H337">
        <f>1-(1-Skills!J3/100)^Skills!K3</f>
        <v/>
      </c>
      <c r="I337" t="inlineStr">
        <is>
          <t>1</t>
        </is>
      </c>
      <c r="J337" t="inlineStr"/>
      <c r="K337" t="inlineStr"/>
      <c r="L337" t="inlineStr"/>
      <c r="M337" t="inlineStr"/>
      <c r="N337" t="inlineStr"/>
      <c r="O337">
        <f>(1-Summary!$B$55)*T337+Summary!$B$55*V337</f>
        <v/>
      </c>
      <c r="P337">
        <f>IF(B379=0,0,O337/B379)</f>
        <v/>
      </c>
      <c r="Q337" t="n">
        <v>0</v>
      </c>
      <c r="R337" t="n">
        <v>0</v>
      </c>
      <c r="S337">
        <f>IFERROR(O337/N337,0)</f>
        <v/>
      </c>
      <c r="T337" t="n">
        <v>0</v>
      </c>
      <c r="U337">
        <f>INDEX(FactorTable!$B$2:$Y$301, MATCH(ROUND(MIN(300,MAX(1,U336)),0), FactorTable!$A$2:$A$301,0), 22)</f>
        <v/>
      </c>
      <c r="V337" t="n">
        <v>0</v>
      </c>
    </row>
    <row r="338">
      <c r="A338">
        <f>Skills!A4</f>
        <v/>
      </c>
      <c r="B338">
        <f>Skills!B4</f>
        <v/>
      </c>
      <c r="C338">
        <f>Inputs!$B$3&gt;=66</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Skills!G4*IF(Skills!H4&gt;0,Skills!I4/Skills!H4,1)</f>
        <v/>
      </c>
      <c r="H338">
        <f>1-(1-Skills!J4/100)^Skills!K4</f>
        <v/>
      </c>
      <c r="I338" t="inlineStr">
        <is>
          <t>1</t>
        </is>
      </c>
      <c r="J338">
        <f>((Inputs!$B$6*(1+Inputs!$B$7/100))+(((Inputs!$B$12*(1+Inputs!$B$13/100))-(Inputs!$B$12*(1+Inputs!$B$13/100)))+0.25*(Inputs!$B$14-Inputs!$B$14))*(1+Inputs!$B$7/100))*(F338/100)</f>
        <v/>
      </c>
      <c r="K338">
        <f>J338*(1+((Inputs!$B$12*(1+Inputs!$B$13/100))*0.01+Inputs!$B$14*0.0025)/100)*(1+Inputs!$B$15/100)*(1+Inputs!$B$16/100)*(5000/(6000+Inputs!$B$43*(1-Inputs!$B$19/100)))*(1+(Inputs!$B$24+((C364=TRUE)*(F364-Calc!F30)))/100)*(1+(IF(Skills!A4="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338)</f>
        <v/>
      </c>
      <c r="L338">
        <f>K338*(MIN(Inputs!$B$22+((C358=TRUE)*(F358-Calc!F24)),Inputs!$B$23+((C363=TRUE)*(F363-Calc!F29)))/100+(Inputs!$B$23+((C363=TRUE)*(F363-Calc!F29)))/100)/2</f>
        <v/>
      </c>
      <c r="M338">
        <f>L338*(1+(Inputs!$B$10+((C360=TRUE)*(F360-Calc!F26))+B374)/100)</f>
        <v/>
      </c>
      <c r="N338">
        <f>L338*(1-MIN((Inputs!$B$9+((C359=TRUE)*(F359-Calc!F25))+B367),100)/100)+M338*(MIN((Inputs!$B$9+((C359=TRUE)*(F359-Calc!F25))+B367),100)/100)</f>
        <v/>
      </c>
      <c r="O338">
        <f>(1-Summary!$B$55)*T338+Summary!$B$55*V338</f>
        <v/>
      </c>
      <c r="P338">
        <f>IF(B379=0,0,O338/B379)</f>
        <v/>
      </c>
      <c r="Q338">
        <f>IFERROR(1/IF(Inputs!$B$39="pvp",15,MAX(0.1,Skills!D4-IF(Skills!E4=TRUE,Inputs!$B$32,0))),0)</f>
        <v/>
      </c>
      <c r="R338">
        <f>IF(AND(Inputs!$B$39&lt;&gt;"pvp",Inputs!$B$44&gt;0),IF(MAX(0,Inputs!$B$44-B378)&lt;=0,0,(INT(MAX(0,Inputs!$B$44-B378)/IF(Inputs!$B$39="pvp",15,MAX(0.1,Skills!D4-IF(Skills!E4=TRUE,Inputs!$B$32,0))))+1)),0)</f>
        <v/>
      </c>
      <c r="S338">
        <f>IFERROR(O338/N338,0)</f>
        <v/>
      </c>
      <c r="T338">
        <f>IF(C338,(H338*N338*IF(AND(Inputs!$B$39&lt;&gt;"pvp",Inputs!$B$44&gt;0),((Skills!G4*((R338-1)*IF(Skills!H4&gt;0,Skills!I4/Skills!H4,1)+IF(Skills!H4&gt;0,MIN(Skills!I4,MAX(0,MAX(0,Inputs!$B$44-B378)-((R338-1)*IF(Inputs!$B$39="pvp",15,MAX(0.1,Skills!D4-IF(Skills!E4=TRUE,Inputs!$B$32,0))))))/Skills!H4,1)))/Inputs!$B$44),G338*Q338))*IF(Inputs!$B$39="pvp",1,1+(Inputs!$B$20+0+Skills!P4+B368)/100),0)</f>
        <v/>
      </c>
      <c r="U338">
        <f>290*U337/1000</f>
        <v/>
      </c>
      <c r="V338">
        <f>IF(C338,(H338*N338*IF(AND(Inputs!$B$39&lt;&gt;"pvp",Inputs!$B$44&gt;0),((Skills!G4*((R338-1)*IF(Skills!H4&gt;0,Skills!I4/Skills!H4,1)+IF(Skills!H4&gt;0,MIN(Skills!I4,MAX(0,MAX(0,Inputs!$B$44-B378)-((R338-1)*IF(Inputs!$B$39="pvp",15,MAX(0.1,Skills!D4-IF(Skills!E4=TRUE,Inputs!$B$32,0))))))/Skills!H4,1)))/Inputs!$B$44),G338*Q338))*IF(Inputs!$B$39="pvp",1,(1+((Inputs!$B$21+1)+Skills!Q4+B368)/100)*(MIN(MIN(10,0.5*B371*Skills!D4),Inputs!$B$37))),0)</f>
        <v/>
      </c>
    </row>
    <row r="339">
      <c r="A339">
        <f>Skills!A5</f>
        <v/>
      </c>
      <c r="B339">
        <f>Skills!B5</f>
        <v/>
      </c>
      <c r="C339">
        <f>Inputs!$B$3&gt;=63</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((Inputs!$B$6*(1+Inputs!$B$7/100))+(((Inputs!$B$12*(1+Inputs!$B$13/100))-(Inputs!$B$12*(1+Inputs!$B$13/100)))+0.25*(Inputs!$B$14-Inputs!$B$14))*(1+Inputs!$B$7/100))*(F339/100)</f>
        <v/>
      </c>
      <c r="K339">
        <f>J339*(1+((Inputs!$B$12*(1+Inputs!$B$13/100))*0.01+Inputs!$B$14*0.0025)/100)*(1+Inputs!$B$15/100)*(1+Inputs!$B$16/100)*(5000/(6000+Inputs!$B$43*(1-Inputs!$B$19/100)))*(1+(Inputs!$B$24+((C364=TRUE)*(F364-Calc!F30)))/100)*(1+2.6666666666666665*IF(C352=TRUE,F352,0)/100)*(1+(IF(Skills!A5="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339)</f>
        <v/>
      </c>
      <c r="L339">
        <f>K339*(MIN(Inputs!$B$22+((C358=TRUE)*(F358-Calc!F24)),Inputs!$B$23+((C363=TRUE)*(F363-Calc!F29)))/100+(Inputs!$B$23+((C363=TRUE)*(F363-Calc!F29)))/100)/2</f>
        <v/>
      </c>
      <c r="M339">
        <f>L339*(1+(Inputs!$B$10+((C360=TRUE)*(F360-Calc!F26))+B374)/100)</f>
        <v/>
      </c>
      <c r="N339">
        <f>L339*(1-MIN((Inputs!$B$9+((C359=TRUE)*(F359-Calc!F25))+B367),100)/100)+M339*(MIN((Inputs!$B$9+((C359=TRUE)*(F359-Calc!F25))+B367),100)/100)</f>
        <v/>
      </c>
      <c r="O339">
        <f>(1-Summary!$B$55)*T339+Summary!$B$55*V339</f>
        <v/>
      </c>
      <c r="P339">
        <f>IF(B379=0,0,O339/B379)</f>
        <v/>
      </c>
      <c r="Q339">
        <f>IFERROR(1/IF(Inputs!$B$39="pvp",15,MAX(0.1,Skills!D5-IF(Skills!E5=TRUE,Inputs!$B$32,0))),0)</f>
        <v/>
      </c>
      <c r="R339">
        <f>IF(AND(Inputs!$B$39&lt;&gt;"pvp",Inputs!$B$44&gt;0),IF(MAX(0,Inputs!$B$44-B378)&lt;=0,0,(INT(MAX(0,Inputs!$B$44-B378)/IF(Inputs!$B$39="pvp",15,MAX(0.1,Skills!D5-IF(Skills!E5=TRUE,Inputs!$B$32,0))))+1)),0)</f>
        <v/>
      </c>
      <c r="S339">
        <f>IFERROR(O339/N339,0)</f>
        <v/>
      </c>
      <c r="T339">
        <f>IF(C339,(H339*N339*IF(AND(Inputs!$B$39&lt;&gt;"pvp",Inputs!$B$44&gt;0),((Skills!G5*((R339-1)*IF(Skills!H5&gt;0,Skills!I5/Skills!H5,1)+IF(Skills!H5&gt;0,MIN(Skills!I5,MAX(0,MAX(0,Inputs!$B$44-B378)-((R339-1)*IF(Inputs!$B$39="pvp",15,MAX(0.1,Skills!D5-IF(Skills!E5=TRUE,Inputs!$B$32,0))))))/Skills!H5,1)))/Inputs!$B$44),G339*Q339))*IF(Inputs!$B$39="pvp",1,1+(Inputs!$B$20+0+Skills!P5+B368)/100),0)</f>
        <v/>
      </c>
      <c r="V339">
        <f>IF(C339,(H339*N339*IF(AND(Inputs!$B$39&lt;&gt;"pvp",Inputs!$B$44&gt;0),((Skills!G5*((R339-1)*IF(Skills!H5&gt;0,Skills!I5/Skills!H5,1)+IF(Skills!H5&gt;0,MIN(Skills!I5,MAX(0,MAX(0,Inputs!$B$44-B378)-((R339-1)*IF(Inputs!$B$39="pvp",15,MAX(0.1,Skills!D5-IF(Skills!E5=TRUE,Inputs!$B$32,0))))))/Skills!H5,1)))/Inputs!$B$44),G339*Q339))*IF(Inputs!$B$39="pvp",1,(1+((Inputs!$B$21+1)+Skills!Q5+B368)/100)*(MIN(Skills!W5,Inputs!$B$37))),0)</f>
        <v/>
      </c>
    </row>
    <row r="340">
      <c r="A340">
        <f>Skills!A6</f>
        <v/>
      </c>
      <c r="B340">
        <f>Skills!B6</f>
        <v/>
      </c>
      <c r="C340">
        <f>Inputs!$B$3&gt;=69</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((Inputs!$B$6*(1+Inputs!$B$7/100))+(((Inputs!$B$12*(1+Inputs!$B$13/100))-(Inputs!$B$12*(1+Inputs!$B$13/100)))+0.25*(Inputs!$B$14-Inputs!$B$14))*(1+Inputs!$B$7/100))*(F340/100)</f>
        <v/>
      </c>
      <c r="K340">
        <f>J340*(1+((Inputs!$B$12*(1+Inputs!$B$13/100))*0.01+Inputs!$B$14*0.0025)/100)*(1+Inputs!$B$15/100)*(1+Inputs!$B$16/100)*(5000/(6000+Inputs!$B$43*(1-Inputs!$B$19/100)))*(1+(Inputs!$B$24+((C364=TRUE)*(F364-Calc!F30)))/100)*(1+1.0*IF(C352=TRUE,F352,0)/100)*(1+(IF(Skills!A6="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340)</f>
        <v/>
      </c>
      <c r="L340">
        <f>K340*(MIN(Inputs!$B$22+((C358=TRUE)*(F358-Calc!F24)),Inputs!$B$23+((C363=TRUE)*(F363-Calc!F29)))/100+(Inputs!$B$23+((C363=TRUE)*(F363-Calc!F29)))/100)/2</f>
        <v/>
      </c>
      <c r="M340">
        <f>L340*(1+(Inputs!$B$10+((C360=TRUE)*(F360-Calc!F26))+B374)/100)</f>
        <v/>
      </c>
      <c r="N340">
        <f>L340*(1-MIN((Inputs!$B$9+((C359=TRUE)*(F359-Calc!F25))+B367),100)/100)+M340*(MIN((Inputs!$B$9+((C359=TRUE)*(F359-Calc!F25))+B367),100)/100)</f>
        <v/>
      </c>
      <c r="O340">
        <f>(1-Summary!$B$55)*T340+Summary!$B$55*V340</f>
        <v/>
      </c>
      <c r="P340">
        <f>IF(B379=0,0,O340/B379)</f>
        <v/>
      </c>
      <c r="Q340">
        <f>IFERROR(1/IF(Inputs!$B$39="pvp",15,MAX(0.1,Skills!D6-IF(Skills!E6=TRUE,Inputs!$B$32,0))),0)</f>
        <v/>
      </c>
      <c r="R340">
        <f>IF(AND(Inputs!$B$39&lt;&gt;"pvp",Inputs!$B$44&gt;0),IF(MAX(0,Inputs!$B$44-B378)&lt;=0,0,(INT(MAX(0,Inputs!$B$44-B378)/IF(Inputs!$B$39="pvp",15,MAX(0.1,Skills!D6-IF(Skills!E6=TRUE,Inputs!$B$32,0))))+1)),0)</f>
        <v/>
      </c>
      <c r="S340">
        <f>IFERROR(O340/N340,0)</f>
        <v/>
      </c>
      <c r="T340">
        <f>IF(C340,(H340*N340*IF(AND(Inputs!$B$39&lt;&gt;"pvp",Inputs!$B$44&gt;0),((Skills!G6*((R340-1)*IF(Skills!H6&gt;0,Skills!I6/Skills!H6,1)+IF(Skills!H6&gt;0,MIN(Skills!I6,MAX(0,MAX(0,Inputs!$B$44-B378)-((R340-1)*IF(Inputs!$B$39="pvp",15,MAX(0.1,Skills!D6-IF(Skills!E6=TRUE,Inputs!$B$32,0))))))/Skills!H6,1)))/Inputs!$B$44),G340*Q340))*IF(Inputs!$B$39="pvp",1,1+(Inputs!$B$20+0+Skills!P6+B368)/100),0)</f>
        <v/>
      </c>
      <c r="V340">
        <f>IF(C340,(H340*N340*IF(AND(Inputs!$B$39&lt;&gt;"pvp",Inputs!$B$44&gt;0),((Skills!G6*((R340-1)*IF(Skills!H6&gt;0,Skills!I6/Skills!H6,1)+IF(Skills!H6&gt;0,MIN(Skills!I6,MAX(0,MAX(0,Inputs!$B$44-B378)-((R340-1)*IF(Inputs!$B$39="pvp",15,MAX(0.1,Skills!D6-IF(Skills!E6=TRUE,Inputs!$B$32,0))))))/Skills!H6,1)))/Inputs!$B$44),G340*Q340))*IF(Inputs!$B$39="pvp",1,(1+((Inputs!$B$21+1)+Skills!Q6+B368)/100)*(MIN(Skills!W6,Inputs!$B$37))),0)</f>
        <v/>
      </c>
    </row>
    <row r="341">
      <c r="A341">
        <f>Skills!A7</f>
        <v/>
      </c>
      <c r="B341">
        <f>Skills!B7</f>
        <v/>
      </c>
      <c r="C341">
        <f>Inputs!$B$3&gt;=60</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t="inlineStr"/>
      <c r="K341" t="inlineStr"/>
      <c r="L341" t="inlineStr"/>
      <c r="M341" t="inlineStr"/>
      <c r="N341" t="inlineStr"/>
      <c r="O341">
        <f>(1-Summary!$B$55)*T341+Summary!$B$55*V341</f>
        <v/>
      </c>
      <c r="P341">
        <f>IF(B379=0,0,O341/B379)</f>
        <v/>
      </c>
      <c r="Q341" t="n">
        <v>0</v>
      </c>
      <c r="R341" t="n">
        <v>0</v>
      </c>
      <c r="S341">
        <f>IFERROR(O341/N341,0)</f>
        <v/>
      </c>
      <c r="T341" t="n">
        <v>0</v>
      </c>
      <c r="V341" t="n">
        <v>0</v>
      </c>
    </row>
    <row r="342">
      <c r="A342">
        <f>Skills!A8</f>
        <v/>
      </c>
      <c r="B342">
        <f>Skills!B8</f>
        <v/>
      </c>
      <c r="C342">
        <f>Inputs!$B$3&gt;=72</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Skills!G8*IF(Skills!H8&gt;0,Skills!I8/Skills!H8,1)</f>
        <v/>
      </c>
      <c r="H342">
        <f>1-(1-Skills!J8/100)^Skills!K8</f>
        <v/>
      </c>
      <c r="I342" t="inlineStr">
        <is>
          <t>1</t>
        </is>
      </c>
      <c r="J342">
        <f>((Inputs!$B$6*(1+Inputs!$B$7/100))+(((Inputs!$B$12*(1+Inputs!$B$13/100))-(Inputs!$B$12*(1+Inputs!$B$13/100)))+0.25*(Inputs!$B$14-Inputs!$B$14))*(1+Inputs!$B$7/100))*(F342/100)</f>
        <v/>
      </c>
      <c r="K342">
        <f>J342*(1+((Inputs!$B$12*(1+Inputs!$B$13/100))*0.01+Inputs!$B$14*0.0025)/100)*(1+Inputs!$B$15/100)*(1+Inputs!$B$16/100)*(5000/(6000+Inputs!$B$43*(1-Inputs!$B$19/100)))*(1+(Inputs!$B$24+((C364=TRUE)*(F364-Calc!F30)))/100)*(1+3.3333333333333335*IF(C352=TRUE,F352,0)/100)*(1+(IF(Skills!A8="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342)</f>
        <v/>
      </c>
      <c r="L342">
        <f>K342*(MIN(Inputs!$B$22+((C358=TRUE)*(F358-Calc!F24)),Inputs!$B$23+((C363=TRUE)*(F363-Calc!F29)))/100+(Inputs!$B$23+((C363=TRUE)*(F363-Calc!F29)))/100)/2</f>
        <v/>
      </c>
      <c r="M342">
        <f>L342*(1+(Inputs!$B$10+((C360=TRUE)*(F360-Calc!F26))+B374)/100)</f>
        <v/>
      </c>
      <c r="N342">
        <f>L342*(1-MIN((Inputs!$B$9+((C359=TRUE)*(F359-Calc!F25))+B367),100)/100)+M342*(MIN((Inputs!$B$9+((C359=TRUE)*(F359-Calc!F25))+B367),100)/100)</f>
        <v/>
      </c>
      <c r="O342">
        <f>(1-Summary!$B$55)*T342+Summary!$B$55*V342</f>
        <v/>
      </c>
      <c r="P342">
        <f>IF(B379=0,0,O342/B379)</f>
        <v/>
      </c>
      <c r="Q342">
        <f>IFERROR(1/IF(Inputs!$B$39="pvp",15,MAX(0.1,Skills!D8-IF(Skills!E8=TRUE,Inputs!$B$32,0))),0)</f>
        <v/>
      </c>
      <c r="R342">
        <f>IF(AND(Inputs!$B$39&lt;&gt;"pvp",Inputs!$B$44&gt;0),IF(MAX(0,Inputs!$B$44-B378)&lt;=0,0,(INT(MAX(0,Inputs!$B$44-B378)/IF(Inputs!$B$39="pvp",15,MAX(0.1,Skills!D8-IF(Skills!E8=TRUE,Inputs!$B$32,0))))+1)),0)</f>
        <v/>
      </c>
      <c r="S342">
        <f>IFERROR(O342/N342,0)</f>
        <v/>
      </c>
      <c r="T342">
        <f>IF(C342,(H342*N342*IF(AND(Inputs!$B$39&lt;&gt;"pvp",Inputs!$B$44&gt;0),((Skills!G8*((R342-1)*IF(Skills!H8&gt;0,Skills!I8/Skills!H8,1)+IF(Skills!H8&gt;0,MIN(Skills!I8,MAX(0,MAX(0,Inputs!$B$44-B378)-((R342-1)*IF(Inputs!$B$39="pvp",15,MAX(0.1,Skills!D8-IF(Skills!E8=TRUE,Inputs!$B$32,0))))))/Skills!H8,1)))/Inputs!$B$44),G342*Q342))*IF(Inputs!$B$39="pvp",1,1+(Inputs!$B$20+0+Skills!P8+B368)/100),0)</f>
        <v/>
      </c>
      <c r="V342">
        <f>IF(C342,(H342*N342*IF(AND(Inputs!$B$39&lt;&gt;"pvp",Inputs!$B$44&gt;0),((Skills!G8*((R342-1)*IF(Skills!H8&gt;0,Skills!I8/Skills!H8,1)+IF(Skills!H8&gt;0,MIN(Skills!I8,MAX(0,MAX(0,Inputs!$B$44-B378)-((R342-1)*IF(Inputs!$B$39="pvp",15,MAX(0.1,Skills!D8-IF(Skills!E8=TRUE,Inputs!$B$32,0))))))/Skills!H8,1)))/Inputs!$B$44),G342*Q342))*IF(Inputs!$B$39="pvp",1,(1+((Inputs!$B$21+1)+Skills!Q8+B368)/100)*(MIN(Skills!W8,Inputs!$B$37))),0)</f>
        <v/>
      </c>
    </row>
    <row r="343">
      <c r="A343">
        <f>Skills!A9</f>
        <v/>
      </c>
      <c r="B343">
        <f>Skills!B9</f>
        <v/>
      </c>
      <c r="C343">
        <f>Inputs!$B$3&gt;=117</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((Inputs!$B$6*(1+Inputs!$B$7/100))+(((Inputs!$B$12*(1+Inputs!$B$13/100))-(Inputs!$B$12*(1+Inputs!$B$13/100)))+0.25*(Inputs!$B$14-Inputs!$B$14))*(1+Inputs!$B$7/100))*(F343/100)</f>
        <v/>
      </c>
      <c r="K343">
        <f>J343*(1+((Inputs!$B$12*(1+Inputs!$B$13/100))*0.01+Inputs!$B$14*0.0025)/100)*(1+Inputs!$B$15/100)*(1+Inputs!$B$16/100)*(5000/(6000+Inputs!$B$43*(1-Inputs!$B$19/100)))*(1+(Inputs!$B$24+((C364=TRUE)*(F364-Calc!F30)))/100)*(1+(IF(Skills!A9="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343)</f>
        <v/>
      </c>
      <c r="L343">
        <f>K343*(MIN(Inputs!$B$22+((C358=TRUE)*(F358-Calc!F24)),Inputs!$B$23+((C363=TRUE)*(F363-Calc!F29)))/100+(Inputs!$B$23+((C363=TRUE)*(F363-Calc!F29)))/100)/2</f>
        <v/>
      </c>
      <c r="M343">
        <f>L343*(1+(Inputs!$B$10+((C360=TRUE)*(F360-Calc!F26))+B374)/100)</f>
        <v/>
      </c>
      <c r="N343">
        <f>L343*(1-MIN((Inputs!$B$9+((C359=TRUE)*(F359-Calc!F25))+B367),100)/100)+M343*(MIN((Inputs!$B$9+((C359=TRUE)*(F359-Calc!F25))+B367),100)/100)</f>
        <v/>
      </c>
      <c r="O343">
        <f>(1-Summary!$B$55)*T343+Summary!$B$55*V343</f>
        <v/>
      </c>
      <c r="P343">
        <f>IF(B379=0,0,O343/B379)</f>
        <v/>
      </c>
      <c r="Q343" t="n">
        <v>0</v>
      </c>
      <c r="R343" t="n">
        <v>0</v>
      </c>
      <c r="S343" t="n">
        <v>0</v>
      </c>
      <c r="T343">
        <f>IF(C343,(0.2*SUMPRODUCT((Skills!Z2:Z30=TRUE)*(C336:C364=TRUE)*S336:S364)*N343)*IF(Inputs!$B$39="pvp",1,1+(Inputs!$B$20+0+Skills!P9+B368)/100),0)</f>
        <v/>
      </c>
      <c r="V343">
        <f>IF(C343,(0.2*SUMPRODUCT((Skills!Z2:Z30=TRUE)*(C336:C364=TRUE)*S336:S364)*N343)*IF(Inputs!$B$39="pvp",1,(1+((Inputs!$B$21+1)+Skills!Q9+B368)/100)*(MIN(Skills!W9,Inputs!$B$37))),0)</f>
        <v/>
      </c>
    </row>
    <row r="344">
      <c r="A344">
        <f>Skills!A10</f>
        <v/>
      </c>
      <c r="B344">
        <f>Skills!B10</f>
        <v/>
      </c>
      <c r="C344">
        <f>Inputs!$B$3&gt;=74</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t="inlineStr"/>
      <c r="K344" t="inlineStr"/>
      <c r="L344" t="inlineStr"/>
      <c r="M344" t="inlineStr"/>
      <c r="N344" t="inlineStr"/>
      <c r="O344">
        <f>(1-Summary!$B$55)*T344+Summary!$B$55*V344</f>
        <v/>
      </c>
      <c r="P344">
        <f>IF(B379=0,0,O344/B379)</f>
        <v/>
      </c>
      <c r="Q344">
        <f>IFERROR(1/IF(Inputs!$B$39="pvp",15,MAX(0.1,Skills!D10-IF(Skills!E10=TRUE,Inputs!$B$32,0))),0)</f>
        <v/>
      </c>
      <c r="R344">
        <f>IF(AND(Inputs!$B$39&lt;&gt;"pvp",Inputs!$B$44&gt;0),IF(Inputs!$B$44&lt;=0,0,(INT(Inputs!$B$44/IF(Inputs!$B$39="pvp",15,MAX(0.1,Skills!D10-IF(Skills!E10=TRUE,Inputs!$B$32,0))))+1)),0)</f>
        <v/>
      </c>
      <c r="S344">
        <f>IFERROR(O344/N344,0)</f>
        <v/>
      </c>
      <c r="T344" t="n">
        <v>0</v>
      </c>
      <c r="V344" t="n">
        <v>0</v>
      </c>
    </row>
    <row r="345">
      <c r="A345">
        <f>Skills!A11</f>
        <v/>
      </c>
      <c r="B345">
        <f>Skills!B11</f>
        <v/>
      </c>
      <c r="C345">
        <f>Inputs!$B$3&gt;=103</f>
        <v/>
      </c>
      <c r="D345">
        <f>IF(Skills!C11=1,60+Inputs!$B$25+Inputs!$B$29,IF(Skills!C11=2,90+Inputs!$B$26+Inputs!$B$29,IF(Skills!C11=3,120+Inputs!$B$27+Inputs!$B$29,MAX(0,(Inputs!$B$3-100)*3)+Inputs!$B$28+Inputs!$B$29)))</f>
        <v/>
      </c>
      <c r="E345">
        <f>INDEX(FactorTable!$B$2:$Y$301, MATCH(ROUND(MIN(300,MAX(1,D345)),0), FactorTable!$A$2:$A$301,0), Skills!M11+1)</f>
        <v/>
      </c>
      <c r="F345">
        <f>(Skills!L11/10)*(E345/1000)+IF(Inputs!$B$3&gt;=134,50,0)+0.5*(30000/10)*(INDEX(FactorTable!$B$2:$Y$301, MATCH(ROUND(MIN(300,MAX(1,D345)),0), FactorTable!$A$2:$A$301,0), 13)/1000)*B377</f>
        <v/>
      </c>
      <c r="G345">
        <f>Skills!G11*IF(Skills!H11&gt;0,Skills!I11/Skills!H11,1)</f>
        <v/>
      </c>
      <c r="H345">
        <f>1-(1-Skills!J11/100)^Skills!K11</f>
        <v/>
      </c>
      <c r="I345" t="inlineStr">
        <is>
          <t>1</t>
        </is>
      </c>
      <c r="J345">
        <f>((Inputs!$B$6*(1+Inputs!$B$7/100))+(((Inputs!$B$12*(1+Inputs!$B$13/100))-(Inputs!$B$12*(1+Inputs!$B$13/100)))+0.25*(Inputs!$B$14-Inputs!$B$14))*(1+Inputs!$B$7/100))*(F345/100)</f>
        <v/>
      </c>
      <c r="K345">
        <f>J345*(1+((Inputs!$B$12*(1+Inputs!$B$13/100))*0.01+Inputs!$B$14*0.0025)/100)*(1+Inputs!$B$15/100)*(1+Inputs!$B$16/100)*(5000/(6000+Inputs!$B$43*(1-Inputs!$B$19/100)))*(1+(Inputs!$B$24+((C364=TRUE)*(F364-Calc!F30)))/100)*(1+(IF(Skills!A11="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345)</f>
        <v/>
      </c>
      <c r="L345">
        <f>K345*(MIN(Inputs!$B$22+((C358=TRUE)*(F358-Calc!F24)),Inputs!$B$23+((C363=TRUE)*(F363-Calc!F29)))/100+(Inputs!$B$23+((C363=TRUE)*(F363-Calc!F29)))/100)/2</f>
        <v/>
      </c>
      <c r="M345">
        <f>L345*(1+(Inputs!$B$10+((C360=TRUE)*(F360-Calc!F26))+B374)/100)</f>
        <v/>
      </c>
      <c r="N345">
        <f>L345*(1-MIN((Inputs!$B$9+((C359=TRUE)*(F359-Calc!F25))+B367),100)/100)+M345*(MIN((Inputs!$B$9+((C359=TRUE)*(F359-Calc!F25))+B367),100)/100)</f>
        <v/>
      </c>
      <c r="O345">
        <f>(1-Summary!$B$55)*T345+Summary!$B$55*V345</f>
        <v/>
      </c>
      <c r="P345">
        <f>IF(B379=0,0,O345/B379)</f>
        <v/>
      </c>
      <c r="Q345">
        <f>IFERROR(1/IF(Inputs!$B$39="pvp",15,MAX(0.1,Skills!D11-IF(Skills!E11=TRUE,Inputs!$B$32,0))),0)</f>
        <v/>
      </c>
      <c r="R345">
        <f>IF(AND(Inputs!$B$39&lt;&gt;"pvp",Inputs!$B$44&gt;0),IF(MAX(0,Inputs!$B$44-B378)&lt;=0,0,(INT(MAX(0,Inputs!$B$44-B378)/IF(Inputs!$B$39="pvp",15,MAX(0.1,Skills!D11-IF(Skills!E11=TRUE,Inputs!$B$32,0))))+1)),0)</f>
        <v/>
      </c>
      <c r="S345">
        <f>IFERROR(O345/N345,0)</f>
        <v/>
      </c>
      <c r="T345">
        <f>IF(C345,(H345*N345*IF(AND(Inputs!$B$39&lt;&gt;"pvp",Inputs!$B$44&gt;0),((Skills!G11*((R345-1)*IF(Skills!H11&gt;0,Skills!I11/Skills!H11,1)+IF(Skills!H11&gt;0,MIN(Skills!I11,MAX(0,MAX(0,Inputs!$B$44-B378)-((R345-1)*IF(Inputs!$B$39="pvp",15,MAX(0.1,Skills!D11-IF(Skills!E11=TRUE,Inputs!$B$32,0))))))/Skills!H11,1)))/Inputs!$B$44),G345*Q345))*IF(Inputs!$B$39="pvp",1,1+(Inputs!$B$20+0+Skills!P11+B368)/100),0)</f>
        <v/>
      </c>
      <c r="V345">
        <f>IF(C345,(H345*N345*IF(AND(Inputs!$B$39&lt;&gt;"pvp",Inputs!$B$44&gt;0),((Skills!G11*((R345-1)*IF(Skills!H11&gt;0,Skills!I11/Skills!H11,1)+IF(Skills!H11&gt;0,MIN(Skills!I11,MAX(0,MAX(0,Inputs!$B$44-B378)-((R345-1)*IF(Inputs!$B$39="pvp",15,MAX(0.1,Skills!D11-IF(Skills!E11=TRUE,Inputs!$B$32,0))))))/Skills!H11,1)))/Inputs!$B$44),G345*Q345))*IF(Inputs!$B$39="pvp",1,(1+((Inputs!$B$21+1)+Skills!Q11+B368)/100)*(MIN(Skills!W11,Inputs!$B$37))),0)</f>
        <v/>
      </c>
    </row>
    <row r="346">
      <c r="A346">
        <f>Skills!A12</f>
        <v/>
      </c>
      <c r="B346">
        <f>Skills!B12</f>
        <v/>
      </c>
      <c r="C346">
        <f>Inputs!$B$3&gt;=105</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f>((Inputs!$B$6*(1+Inputs!$B$7/100))+(((Inputs!$B$12*(1+Inputs!$B$13/100))-(Inputs!$B$12*(1+Inputs!$B$13/100)))+0.25*(Inputs!$B$14-Inputs!$B$14))*(1+Inputs!$B$7/100))*(F346/100)</f>
        <v/>
      </c>
      <c r="K346">
        <f>J346*(1+((Inputs!$B$12*(1+Inputs!$B$13/100))*0.01+Inputs!$B$14*0.0025)/100)*(1+Inputs!$B$15/100)*(1+Inputs!$B$16/100)*(5000/(6000+Inputs!$B$43*(1-Inputs!$B$19/100)))*(1+(Inputs!$B$24+((C364=TRUE)*(F364-Calc!F30)))/100)*(1+(IF(Skills!A12="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346)</f>
        <v/>
      </c>
      <c r="L346">
        <f>K346*(MIN(Inputs!$B$22+((C358=TRUE)*(F358-Calc!F24)),Inputs!$B$23+((C363=TRUE)*(F363-Calc!F29)))/100+(Inputs!$B$23+((C363=TRUE)*(F363-Calc!F29)))/100)/2</f>
        <v/>
      </c>
      <c r="M346">
        <f>L346*(1+(Inputs!$B$10+((C360=TRUE)*(F360-Calc!F26))+B374)/100)</f>
        <v/>
      </c>
      <c r="N346">
        <f>L346*(1-MIN((Inputs!$B$9+((C359=TRUE)*(F359-Calc!F25))+B367),100)/100)+M346*(MIN((Inputs!$B$9+((C359=TRUE)*(F359-Calc!F25))+B367),100)/100)</f>
        <v/>
      </c>
      <c r="O346">
        <f>(1-Summary!$B$55)*T346+Summary!$B$55*V346</f>
        <v/>
      </c>
      <c r="P346">
        <f>IF(B379=0,0,O346/B379)</f>
        <v/>
      </c>
      <c r="Q346">
        <f>IFERROR(1/IF(Inputs!$B$39="pvp",15,MAX(0.1,Skills!D12-IF(Skills!E12=TRUE,Inputs!$B$32,0))),0)</f>
        <v/>
      </c>
      <c r="R346">
        <f>IF(AND(Inputs!$B$39&lt;&gt;"pvp",Inputs!$B$44&gt;0),IF(MAX(0,Inputs!$B$44-B378)&lt;=0,0,(INT(MAX(0,Inputs!$B$44-B378)/IF(Inputs!$B$39="pvp",15,MAX(0.1,Skills!D12-IF(Skills!E12=TRUE,Inputs!$B$32,0))))+1)),0)</f>
        <v/>
      </c>
      <c r="S346">
        <f>IFERROR(O346/N346,0)</f>
        <v/>
      </c>
      <c r="T346">
        <f>IF(C346,(H346*N346*IF(AND(Inputs!$B$39&lt;&gt;"pvp",Inputs!$B$44&gt;0),((Skills!G12*((R346-1)*IF(Skills!H12&gt;0,Skills!I12/Skills!H12,1)+IF(Skills!H12&gt;0,MIN(Skills!I12,MAX(0,MAX(0,Inputs!$B$44-B378)-((R346-1)*IF(Inputs!$B$39="pvp",15,MAX(0.1,Skills!D12-IF(Skills!E12=TRUE,Inputs!$B$32,0))))))/Skills!H12,1)))/Inputs!$B$44),G346*Q346))*IF(Inputs!$B$39="pvp",1,1+(Inputs!$B$20+0+Skills!P12+B368)/100),0)</f>
        <v/>
      </c>
      <c r="V346">
        <f>IF(C346,(H346*N346*IF(AND(Inputs!$B$39&lt;&gt;"pvp",Inputs!$B$44&gt;0),((Skills!G12*((R346-1)*IF(Skills!H12&gt;0,Skills!I12/Skills!H12,1)+IF(Skills!H12&gt;0,MIN(Skills!I12,MAX(0,MAX(0,Inputs!$B$44-B378)-((R346-1)*IF(Inputs!$B$39="pvp",15,MAX(0.1,Skills!D12-IF(Skills!E12=TRUE,Inputs!$B$32,0))))))/Skills!H12,1)))/Inputs!$B$44),G346*Q346))*IF(Inputs!$B$39="pvp",1,(1+((Inputs!$B$21+1)+Skills!Q12+B368)/100)*(MIN(Skills!W12,Inputs!$B$37))),0)</f>
        <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f>((Inputs!$B$6*(1+Inputs!$B$7/100))+(((Inputs!$B$12*(1+Inputs!$B$13/100))-(Inputs!$B$12*(1+Inputs!$B$13/100)))+0.25*(Inputs!$B$14-Inputs!$B$14))*(1+Inputs!$B$7/100))*(F347/100)</f>
        <v/>
      </c>
      <c r="K347">
        <f>J347*(1+((Inputs!$B$12*(1+Inputs!$B$13/100))*0.01+Inputs!$B$14*0.0025)/100)*(1+Inputs!$B$15/100)*(1+Inputs!$B$16/100)*(5000/(6000+Inputs!$B$43*(1-Inputs!$B$19/100)))*(1+(Inputs!$B$24+((C364=TRUE)*(F364-Calc!F30)))/100)*(1+(IF(Skills!A13="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347)</f>
        <v/>
      </c>
      <c r="L347">
        <f>K347*(MIN(Inputs!$B$22+((C358=TRUE)*(F358-Calc!F24)),Inputs!$B$23+((C363=TRUE)*(F363-Calc!F29)))/100+(Inputs!$B$23+((C363=TRUE)*(F363-Calc!F29)))/100)/2</f>
        <v/>
      </c>
      <c r="M347">
        <f>L347*(1+(Inputs!$B$10+((C360=TRUE)*(F360-Calc!F26))+B374)/100)</f>
        <v/>
      </c>
      <c r="N347">
        <f>L347*(1-MIN((Inputs!$B$9+((C359=TRUE)*(F359-Calc!F25))+B367),100)/100)+M347*(MIN((Inputs!$B$9+((C359=TRUE)*(F359-Calc!F25))+B367),100)/100)</f>
        <v/>
      </c>
      <c r="O347">
        <f>(1-Summary!$B$55)*T347+Summary!$B$55*V347</f>
        <v/>
      </c>
      <c r="P347">
        <f>IF(B379=0,0,O347/B379)</f>
        <v/>
      </c>
      <c r="Q347">
        <f>IFERROR(1/IF(Inputs!$B$39="pvp",15,MAX(0.1,Skills!D13-IF(Skills!E13=TRUE,Inputs!$B$32,0))),0)</f>
        <v/>
      </c>
      <c r="R347">
        <f>IF(AND(Inputs!$B$39&lt;&gt;"pvp",Inputs!$B$44&gt;0),IF(MAX(0,Inputs!$B$44-B378)&lt;=0,0,(INT(MAX(0,Inputs!$B$44-B378)/IF(Inputs!$B$39="pvp",15,MAX(0.1,Skills!D13-IF(Skills!E13=TRUE,Inputs!$B$32,0))))+1)),0)</f>
        <v/>
      </c>
      <c r="S347">
        <f>IFERROR(O347/N347,0)</f>
        <v/>
      </c>
      <c r="T347">
        <f>IF(C347,(H347*N347*IF(AND(Inputs!$B$39&lt;&gt;"pvp",Inputs!$B$44&gt;0),((Skills!G13*((R347-1)*IF(Skills!H13&gt;0,Skills!I13/Skills!H13,1)+IF(Skills!H13&gt;0,MIN(Skills!I13,MAX(0,MAX(0,Inputs!$B$44-B378)-((R347-1)*IF(Inputs!$B$39="pvp",15,MAX(0.1,Skills!D13-IF(Skills!E13=TRUE,Inputs!$B$32,0))))))/Skills!H13,1)))/Inputs!$B$44),G347*Q347))*IF(Inputs!$B$39="pvp",1,1+(Inputs!$B$20+0+Skills!P13+B368)/100),0)</f>
        <v/>
      </c>
      <c r="V347">
        <f>IF(C347,(H347*N347*IF(AND(Inputs!$B$39&lt;&gt;"pvp",Inputs!$B$44&gt;0),((Skills!G13*((R347-1)*IF(Skills!H13&gt;0,Skills!I13/Skills!H13,1)+IF(Skills!H13&gt;0,MIN(Skills!I13,MAX(0,MAX(0,Inputs!$B$44-B378)-((R347-1)*IF(Inputs!$B$39="pvp",15,MAX(0.1,Skills!D13-IF(Skills!E13=TRUE,Inputs!$B$32,0))))))/Skills!H13,1)))/Inputs!$B$44),G347*Q347))*IF(Inputs!$B$39="pvp",1,(1+((Inputs!$B$21+1)+Skills!Q13+B368)/100)*(MIN(Skills!W13,Inputs!$B$37))),0)</f>
        <v/>
      </c>
    </row>
    <row r="348">
      <c r="A348">
        <f>Skills!A14</f>
        <v/>
      </c>
      <c r="B348">
        <f>Skills!B14</f>
        <v/>
      </c>
      <c r="C348">
        <f>Inputs!$B$3&gt;=107</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f>((Inputs!$B$6*(1+Inputs!$B$7/100))+(((Inputs!$B$12*(1+Inputs!$B$13/100))-(Inputs!$B$12*(1+Inputs!$B$13/100)))+0.25*(Inputs!$B$14-Inputs!$B$14))*(1+Inputs!$B$7/100))*(F348/100)</f>
        <v/>
      </c>
      <c r="K348">
        <f>J348*(1+((Inputs!$B$12*(1+Inputs!$B$13/100))*0.01+Inputs!$B$14*0.0025)/100)*(1+Inputs!$B$15/100)*(1+Inputs!$B$16/100)*(5000/(6000+Inputs!$B$43*(1-Inputs!$B$19/100)))*(1+(Inputs!$B$24+((C364=TRUE)*(F364-Calc!F30)))/100)*(1+(IF(Skills!A14="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348)</f>
        <v/>
      </c>
      <c r="L348">
        <f>K348*(MIN(Inputs!$B$22+((C358=TRUE)*(F358-Calc!F24)),Inputs!$B$23+((C363=TRUE)*(F363-Calc!F29)))/100+(Inputs!$B$23+((C363=TRUE)*(F363-Calc!F29)))/100)/2</f>
        <v/>
      </c>
      <c r="M348">
        <f>L348*(1+(Inputs!$B$10+((C360=TRUE)*(F360-Calc!F26))+B374)/100)</f>
        <v/>
      </c>
      <c r="N348">
        <f>L348*(1-MIN((Inputs!$B$9+((C359=TRUE)*(F359-Calc!F25))+B367),100)/100)+M348*(MIN((Inputs!$B$9+((C359=TRUE)*(F359-Calc!F25))+B367),100)/100)</f>
        <v/>
      </c>
      <c r="O348">
        <f>(1-Summary!$B$55)*T348+Summary!$B$55*V348</f>
        <v/>
      </c>
      <c r="P348">
        <f>IF(B379=0,0,O348/B379)</f>
        <v/>
      </c>
      <c r="Q348">
        <f>IFERROR(1/IF(Inputs!$B$39="pvp",15,MAX(0.1,Skills!D14-IF(Skills!E14=TRUE,Inputs!$B$32,0))),0)</f>
        <v/>
      </c>
      <c r="R348">
        <f>IF(AND(Inputs!$B$39&lt;&gt;"pvp",Inputs!$B$44&gt;0),IF(MAX(0,Inputs!$B$44-B378)&lt;=0,0,(INT(MAX(0,Inputs!$B$44-B378)/IF(Inputs!$B$39="pvp",15,MAX(0.1,Skills!D14-IF(Skills!E14=TRUE,Inputs!$B$32,0))))+1)),0)</f>
        <v/>
      </c>
      <c r="S348">
        <f>IFERROR(O348/N348,0)</f>
        <v/>
      </c>
      <c r="T348">
        <f>IF(C348,(H348*N348*IF(AND(Inputs!$B$39&lt;&gt;"pvp",Inputs!$B$44&gt;0),((Skills!G14*((R348-1)*IF(Skills!H14&gt;0,Skills!I14/Skills!H14,1)+IF(Skills!H14&gt;0,MIN(Skills!I14,MAX(0,MAX(0,Inputs!$B$44-B378)-((R348-1)*IF(Inputs!$B$39="pvp",15,MAX(0.1,Skills!D14-IF(Skills!E14=TRUE,Inputs!$B$32,0))))))/Skills!H14,1)))/Inputs!$B$44),G348*Q348))*IF(Inputs!$B$39="pvp",1,1+(Inputs!$B$20+0+Skills!P14+B368)/100),0)</f>
        <v/>
      </c>
      <c r="V348">
        <f>IF(C348,(H348*N348*IF(AND(Inputs!$B$39&lt;&gt;"pvp",Inputs!$B$44&gt;0),((Skills!G14*((R348-1)*IF(Skills!H14&gt;0,Skills!I14/Skills!H14,1)+IF(Skills!H14&gt;0,MIN(Skills!I14,MAX(0,MAX(0,Inputs!$B$44-B378)-((R348-1)*IF(Inputs!$B$39="pvp",15,MAX(0.1,Skills!D14-IF(Skills!E14=TRUE,Inputs!$B$32,0))))))/Skills!H14,1)))/Inputs!$B$44),G348*Q348))*IF(Inputs!$B$39="pvp",1,(1+((Inputs!$B$21+1)+Skills!Q14+B368)/100)*(MIN(MIN(5,0.25*B371*Skills!D4)*Skills!V14,Inputs!$B$37))),0)</f>
        <v/>
      </c>
    </row>
    <row r="349">
      <c r="A349">
        <f>Skills!A15</f>
        <v/>
      </c>
      <c r="B349">
        <f>Skills!B15</f>
        <v/>
      </c>
      <c r="C349">
        <f>Inputs!$B$3&gt;=110</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Skills!G15*IF(Skills!H15&gt;0,Skills!I15/Skills!H15,1)</f>
        <v/>
      </c>
      <c r="H349">
        <f>1-(1-Skills!J15/100)^Skills!K15</f>
        <v/>
      </c>
      <c r="I349" t="inlineStr">
        <is>
          <t>1</t>
        </is>
      </c>
      <c r="J349" t="inlineStr"/>
      <c r="K349" t="inlineStr"/>
      <c r="L349" t="inlineStr"/>
      <c r="M349" t="inlineStr"/>
      <c r="N349" t="inlineStr"/>
      <c r="O349">
        <f>(1-Summary!$B$55)*T349+Summary!$B$55*V349</f>
        <v/>
      </c>
      <c r="P349">
        <f>IF(B379=0,0,O349/B379)</f>
        <v/>
      </c>
      <c r="Q349">
        <f>IFERROR(1/IF(Inputs!$B$39="pvp",15,MAX(0.1,Skills!D15-IF(Skills!E15=TRUE,Inputs!$B$32,0))),0)</f>
        <v/>
      </c>
      <c r="R349">
        <f>IF(AND(Inputs!$B$39&lt;&gt;"pvp",Inputs!$B$44&gt;0),IF(Inputs!$B$44&lt;=0,0,(INT(Inputs!$B$44/IF(Inputs!$B$39="pvp",15,MAX(0.1,Skills!D15-IF(Skills!E15=TRUE,Inputs!$B$32,0))))+1)),0)</f>
        <v/>
      </c>
      <c r="S349">
        <f>IFERROR(O349/N349,0)</f>
        <v/>
      </c>
      <c r="T349" t="n">
        <v>0</v>
      </c>
      <c r="V349" t="n">
        <v>0</v>
      </c>
    </row>
    <row r="350">
      <c r="A350">
        <f>Skills!A16</f>
        <v/>
      </c>
      <c r="B350">
        <f>Skills!B16</f>
        <v/>
      </c>
      <c r="C350">
        <f>Inputs!$B$3&gt;=115</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Skills!G16*IF(Skills!H16&gt;0,Skills!I16/Skills!H16,1)</f>
        <v/>
      </c>
      <c r="H350">
        <f>1-(1-Skills!J16/100)^Skills!K16</f>
        <v/>
      </c>
      <c r="I350" t="inlineStr">
        <is>
          <t>1</t>
        </is>
      </c>
      <c r="J350">
        <f>((Inputs!$B$6*(1+Inputs!$B$7/100))+(((Inputs!$B$12*(1+Inputs!$B$13/100))-(Inputs!$B$12*(1+Inputs!$B$13/100)))+0.25*(Inputs!$B$14-Inputs!$B$14))*(1+Inputs!$B$7/100))*(F350/100)</f>
        <v/>
      </c>
      <c r="K350">
        <f>J350*(1+((Inputs!$B$12*(1+Inputs!$B$13/100))*0.01+Inputs!$B$14*0.0025)/100)*(1+Inputs!$B$15/100)*(1+Inputs!$B$16/100)*(5000/(6000+Inputs!$B$43*(1-Inputs!$B$19/100)))*(1+(Inputs!$B$24+((C364=TRUE)*(F364-Calc!F30)))/100)*(1+(IF(Skills!A16="CRUEL_STAB",Inputs!$B$17+((C361=TRUE)*(F361-Calc!F27)),Inputs!$B$18+((C362=TRUE)*(F362-Calc!F28))))/100)*(((1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B369*I350)</f>
        <v/>
      </c>
      <c r="L350">
        <f>K350*(MIN(Inputs!$B$22+((C358=TRUE)*(F358-Calc!F24)),Inputs!$B$23+((C363=TRUE)*(F363-Calc!F29)))/100+(Inputs!$B$23+((C363=TRUE)*(F363-Calc!F29)))/100)/2</f>
        <v/>
      </c>
      <c r="M350">
        <f>L350*(1+(Inputs!$B$10+((C360=TRUE)*(F360-Calc!F26))+B374)/100)</f>
        <v/>
      </c>
      <c r="N350">
        <f>L350*(1-MIN((Inputs!$B$9+((C359=TRUE)*(F359-Calc!F25))+B367),100)/100)+M350*(MIN((Inputs!$B$9+((C359=TRUE)*(F359-Calc!F25))+B367),100)/100)</f>
        <v/>
      </c>
      <c r="O350">
        <f>(1-Summary!$B$55)*T350+Summary!$B$55*V350</f>
        <v/>
      </c>
      <c r="P350">
        <f>IF(B379=0,0,O350/B379)</f>
        <v/>
      </c>
      <c r="Q350" t="n">
        <v>0</v>
      </c>
      <c r="R350" t="n">
        <v>0</v>
      </c>
      <c r="S350">
        <f>IFERROR(O350/N350,0)</f>
        <v/>
      </c>
      <c r="T350">
        <f>IF(C350,(Inputs!$B$38*0.2*N350)*IF(Inputs!$B$39="pvp",1,1+(Inputs!$B$20+0+Skills!P16+B368)/100),0)</f>
        <v/>
      </c>
      <c r="V350">
        <f>IF(C350,(Inputs!$B$38*0.2*N350)*IF(Inputs!$B$39="pvp",1,(1+((Inputs!$B$21+1)+Skills!Q16+B368)/100)*(MIN(Skills!W16,Inputs!$B$37))),0)</f>
        <v/>
      </c>
    </row>
    <row r="351">
      <c r="A351">
        <f>Skills!A17</f>
        <v/>
      </c>
      <c r="B351">
        <f>Skills!B17</f>
        <v/>
      </c>
      <c r="C351">
        <f>Inputs!$B$3&gt;=115</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f>(1-Summary!$B$55)*T351+Summary!$B$55*V351</f>
        <v/>
      </c>
      <c r="P351">
        <f>IF(B379=0,0,O351/B379)</f>
        <v/>
      </c>
      <c r="Q351" t="n">
        <v>0</v>
      </c>
      <c r="R351" t="n">
        <v>0</v>
      </c>
      <c r="S351">
        <f>IFERROR(O351/N351,0)</f>
        <v/>
      </c>
      <c r="T351" t="n">
        <v>0</v>
      </c>
      <c r="V351" t="n">
        <v>0</v>
      </c>
    </row>
    <row r="352">
      <c r="A352">
        <f>Skills!A18</f>
        <v/>
      </c>
      <c r="B352">
        <f>Skills!B18</f>
        <v/>
      </c>
      <c r="C352">
        <f>Inputs!$B$3&gt;=100</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f>(1-Summary!$B$55)*T352+Summary!$B$55*V352</f>
        <v/>
      </c>
      <c r="P352">
        <f>IF(B379=0,0,O352/B379)</f>
        <v/>
      </c>
      <c r="Q352" t="n">
        <v>0</v>
      </c>
      <c r="R352" t="n">
        <v>0</v>
      </c>
      <c r="S352">
        <f>IFERROR(O352/N352,0)</f>
        <v/>
      </c>
      <c r="T352" t="n">
        <v>0</v>
      </c>
      <c r="V352" t="n">
        <v>0</v>
      </c>
    </row>
    <row r="353">
      <c r="A353">
        <f>Skills!A19</f>
        <v/>
      </c>
      <c r="B353">
        <f>Skills!B19</f>
        <v/>
      </c>
      <c r="C353">
        <f>TRUE</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f>(1-Summary!$B$55)*T353+Summary!$B$55*V353</f>
        <v/>
      </c>
      <c r="P353">
        <f>IF(B379=0,0,O353/B379)</f>
        <v/>
      </c>
      <c r="Q353">
        <f>IFERROR(1/IF(Inputs!$B$39="pvp",15,MAX(0.1,Skills!D19-IF(Skills!E19=TRUE,Inputs!$B$32,0))),0)</f>
        <v/>
      </c>
      <c r="R353">
        <f>IF(AND(Inputs!$B$39&lt;&gt;"pvp",Inputs!$B$44&gt;0),IF(Inputs!$B$44&lt;=0,0,(INT(Inputs!$B$44/IF(Inputs!$B$39="pvp",15,MAX(0.1,Skills!D19-IF(Skills!E19=TRUE,Inputs!$B$32,0))))+1)),0)</f>
        <v/>
      </c>
      <c r="S353">
        <f>IFERROR(O353/N353,0)</f>
        <v/>
      </c>
      <c r="T353" t="n">
        <v>0</v>
      </c>
      <c r="V353" t="n">
        <v>0</v>
      </c>
    </row>
    <row r="354">
      <c r="A354">
        <f>Skills!A20</f>
        <v/>
      </c>
      <c r="B354">
        <f>Skills!B20</f>
        <v/>
      </c>
      <c r="C354">
        <f>Inputs!$B$3&gt;=15</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f>(1-Summary!$B$55)*T354+Summary!$B$55*V354</f>
        <v/>
      </c>
      <c r="P354">
        <f>IF(B379=0,0,O354/B379)</f>
        <v/>
      </c>
      <c r="Q354">
        <f>IFERROR(1/IF(Inputs!$B$39="pvp",15,MAX(0.1,Skills!D20-IF(Skills!E20=TRUE,Inputs!$B$32,0))),0)</f>
        <v/>
      </c>
      <c r="R354">
        <f>IF(AND(Inputs!$B$39&lt;&gt;"pvp",Inputs!$B$44&gt;0),IF(Inputs!$B$44&lt;=0,0,(INT(Inputs!$B$44/IF(Inputs!$B$39="pvp",15,MAX(0.1,Skills!D20-IF(Skills!E20=TRUE,Inputs!$B$32,0))))+1)),0)</f>
        <v/>
      </c>
      <c r="S354">
        <f>IFERROR(O354/N354,0)</f>
        <v/>
      </c>
      <c r="T354" t="n">
        <v>0</v>
      </c>
      <c r="V354" t="n">
        <v>0</v>
      </c>
    </row>
    <row r="355">
      <c r="A355">
        <f>Skills!A21</f>
        <v/>
      </c>
      <c r="B355">
        <f>Skills!B21</f>
        <v/>
      </c>
      <c r="C355">
        <f>Inputs!$B$3&gt;=15</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f>(1-Summary!$B$55)*T355+Summary!$B$55*V355</f>
        <v/>
      </c>
      <c r="P355">
        <f>IF(B379=0,0,O355/B379)</f>
        <v/>
      </c>
      <c r="Q355">
        <f>IFERROR(1/IF(Inputs!$B$39="pvp",15,MAX(0.1,Skills!D21-IF(Skills!E21=TRUE,Inputs!$B$32,0))),0)</f>
        <v/>
      </c>
      <c r="R355">
        <f>IF(AND(Inputs!$B$39&lt;&gt;"pvp",Inputs!$B$44&gt;0),IF(Inputs!$B$44&lt;=0,0,(INT(Inputs!$B$44/IF(Inputs!$B$39="pvp",15,MAX(0.1,Skills!D21-IF(Skills!E21=TRUE,Inputs!$B$32,0))))+1)),0)</f>
        <v/>
      </c>
      <c r="S355">
        <f>IFERROR(O355/N355,0)</f>
        <v/>
      </c>
      <c r="T355" t="n">
        <v>0</v>
      </c>
      <c r="V355" t="n">
        <v>0</v>
      </c>
    </row>
    <row r="356">
      <c r="A356">
        <f>Skills!A22</f>
        <v/>
      </c>
      <c r="B356">
        <f>Skills!B22</f>
        <v/>
      </c>
      <c r="C356">
        <f>Inputs!$B$3&gt;=33</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f>(1-Summary!$B$55)*T356+Summary!$B$55*V356</f>
        <v/>
      </c>
      <c r="P356">
        <f>IF(B379=0,0,O356/B379)</f>
        <v/>
      </c>
      <c r="Q356" t="n">
        <v>0</v>
      </c>
      <c r="R356" t="n">
        <v>0</v>
      </c>
      <c r="S356">
        <f>IFERROR(O356/N356,0)</f>
        <v/>
      </c>
      <c r="T356" t="n">
        <v>0</v>
      </c>
      <c r="V356" t="n">
        <v>0</v>
      </c>
    </row>
    <row r="357">
      <c r="A357">
        <f>Skills!A23</f>
        <v/>
      </c>
      <c r="B357">
        <f>Skills!B23</f>
        <v/>
      </c>
      <c r="C357">
        <f>Inputs!$B$3&gt;=40</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f>(1-Summary!$B$55)*T357+Summary!$B$55*V357</f>
        <v/>
      </c>
      <c r="P357">
        <f>IF(B379=0,0,O357/B379)</f>
        <v/>
      </c>
      <c r="Q357" t="n">
        <v>0</v>
      </c>
      <c r="R357" t="n">
        <v>0</v>
      </c>
      <c r="S357">
        <f>IFERROR(O357/N357,0)</f>
        <v/>
      </c>
      <c r="T357" t="n">
        <v>0</v>
      </c>
      <c r="V357" t="n">
        <v>0</v>
      </c>
    </row>
    <row r="358">
      <c r="A358">
        <f>Skills!A24</f>
        <v/>
      </c>
      <c r="B358">
        <f>Skills!B24</f>
        <v/>
      </c>
      <c r="C358">
        <f>Inputs!$B$3&gt;=43</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f>(1-Summary!$B$55)*T358+Summary!$B$55*V358</f>
        <v/>
      </c>
      <c r="P358">
        <f>IF(B379=0,0,O358/B379)</f>
        <v/>
      </c>
      <c r="Q358" t="n">
        <v>0</v>
      </c>
      <c r="R358" t="n">
        <v>0</v>
      </c>
      <c r="S358">
        <f>IFERROR(O358/N358,0)</f>
        <v/>
      </c>
      <c r="T358" t="n">
        <v>0</v>
      </c>
      <c r="V358" t="n">
        <v>0</v>
      </c>
    </row>
    <row r="359">
      <c r="A359">
        <f>Skills!A25</f>
        <v/>
      </c>
      <c r="B359">
        <f>Skills!B25</f>
        <v/>
      </c>
      <c r="C359">
        <f>Inputs!$B$3&gt;=50</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f>(1-Summary!$B$55)*T359+Summary!$B$55*V359</f>
        <v/>
      </c>
      <c r="P359">
        <f>IF(B379=0,0,O359/B379)</f>
        <v/>
      </c>
      <c r="Q359" t="n">
        <v>0</v>
      </c>
      <c r="R359" t="n">
        <v>0</v>
      </c>
      <c r="S359">
        <f>IFERROR(O359/N359,0)</f>
        <v/>
      </c>
      <c r="T359" t="n">
        <v>0</v>
      </c>
      <c r="V359" t="n">
        <v>0</v>
      </c>
    </row>
    <row r="360">
      <c r="A360">
        <f>Skills!A26</f>
        <v/>
      </c>
      <c r="B360">
        <f>Skills!B26</f>
        <v/>
      </c>
      <c r="C360">
        <f>Inputs!$B$3&gt;=50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f>(1-Summary!$B$55)*T360+Summary!$B$55*V360</f>
        <v/>
      </c>
      <c r="P360">
        <f>IF(B379=0,0,O360/B379)</f>
        <v/>
      </c>
      <c r="Q360" t="n">
        <v>0</v>
      </c>
      <c r="R360" t="n">
        <v>0</v>
      </c>
      <c r="S360">
        <f>IFERROR(O360/N360,0)</f>
        <v/>
      </c>
      <c r="T360" t="n">
        <v>0</v>
      </c>
      <c r="V360" t="n">
        <v>0</v>
      </c>
    </row>
    <row r="361">
      <c r="A361">
        <f>Skills!A27</f>
        <v/>
      </c>
      <c r="B361">
        <f>Skills!B27</f>
        <v/>
      </c>
      <c r="C361">
        <f>Inputs!$B$3&gt;=38</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f>(1-Summary!$B$55)*T361+Summary!$B$55*V361</f>
        <v/>
      </c>
      <c r="P361">
        <f>IF(B379=0,0,O361/B379)</f>
        <v/>
      </c>
      <c r="Q361" t="n">
        <v>0</v>
      </c>
      <c r="R361" t="n">
        <v>0</v>
      </c>
      <c r="S361">
        <f>IFERROR(O361/N361,0)</f>
        <v/>
      </c>
      <c r="T361" t="n">
        <v>0</v>
      </c>
      <c r="V361" t="n">
        <v>0</v>
      </c>
    </row>
    <row r="362">
      <c r="A362">
        <f>Skills!A28</f>
        <v/>
      </c>
      <c r="B362">
        <f>Skills!B28</f>
        <v/>
      </c>
      <c r="C362">
        <f>Inputs!$B$3&gt;=120</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Skills!G28*IF(Skills!H28&gt;0,Skills!I28/Skills!H28,1)</f>
        <v/>
      </c>
      <c r="H362">
        <f>1-(1-Skills!J28/100)^Skills!K28</f>
        <v/>
      </c>
      <c r="I362" t="inlineStr">
        <is>
          <t>1</t>
        </is>
      </c>
      <c r="J362" t="inlineStr"/>
      <c r="K362" t="inlineStr"/>
      <c r="L362" t="inlineStr"/>
      <c r="M362" t="inlineStr"/>
      <c r="N362" t="inlineStr"/>
      <c r="O362">
        <f>(1-Summary!$B$55)*T362+Summary!$B$55*V362</f>
        <v/>
      </c>
      <c r="P362">
        <f>IF(B379=0,0,O362/B379)</f>
        <v/>
      </c>
      <c r="Q362" t="n">
        <v>0</v>
      </c>
      <c r="R362" t="n">
        <v>0</v>
      </c>
      <c r="S362">
        <f>IFERROR(O362/N362,0)</f>
        <v/>
      </c>
      <c r="T362" t="n">
        <v>0</v>
      </c>
      <c r="V362" t="n">
        <v>0</v>
      </c>
    </row>
    <row r="363">
      <c r="A363">
        <f>Skills!A29</f>
        <v/>
      </c>
      <c r="B363">
        <f>Skills!B29</f>
        <v/>
      </c>
      <c r="C363">
        <f>Inputs!$B$3&gt;=120</f>
        <v/>
      </c>
      <c r="D363">
        <f>IF(Skills!C29=1,60+Inputs!$B$25+Inputs!$B$29,IF(Skills!C29=2,90+Inputs!$B$26+Inputs!$B$29,IF(Skills!C29=3,120+Inputs!$B$27+Inputs!$B$29,MAX(0,(Inputs!$B$3-100)*3)+Inputs!$B$28+Inputs!$B$29)))</f>
        <v/>
      </c>
      <c r="E363">
        <f>INDEX(FactorTable!$B$2:$Y$301, MATCH(ROUND(MIN(300,MAX(1,D363)),0), FactorTable!$A$2:$A$301,0), Skills!M29+1)</f>
        <v/>
      </c>
      <c r="F363">
        <f>IF(Skills!N29=TRUE,(Skills!L29/10)*(E363/1000),Skills!L29/10)+Skills!O29</f>
        <v/>
      </c>
      <c r="G363">
        <f>Skills!G29*IF(Skills!H29&gt;0,Skills!I29/Skills!H29,1)</f>
        <v/>
      </c>
      <c r="H363">
        <f>1-(1-Skills!J29/100)^Skills!K29</f>
        <v/>
      </c>
      <c r="I363" t="inlineStr">
        <is>
          <t>1</t>
        </is>
      </c>
      <c r="J363" t="inlineStr"/>
      <c r="K363" t="inlineStr"/>
      <c r="L363" t="inlineStr"/>
      <c r="M363" t="inlineStr"/>
      <c r="N363" t="inlineStr"/>
      <c r="O363">
        <f>(1-Summary!$B$55)*T363+Summary!$B$55*V363</f>
        <v/>
      </c>
      <c r="P363">
        <f>IF(B379=0,0,O363/B379)</f>
        <v/>
      </c>
      <c r="Q363" t="n">
        <v>0</v>
      </c>
      <c r="R363" t="n">
        <v>0</v>
      </c>
      <c r="S363">
        <f>IFERROR(O363/N363,0)</f>
        <v/>
      </c>
      <c r="T363" t="n">
        <v>0</v>
      </c>
      <c r="V363" t="n">
        <v>0</v>
      </c>
    </row>
    <row r="364">
      <c r="A364">
        <f>Skills!A30</f>
        <v/>
      </c>
      <c r="B364">
        <f>Skills!B30</f>
        <v/>
      </c>
      <c r="C364">
        <f>Inputs!$B$3&gt;=125</f>
        <v/>
      </c>
      <c r="D364">
        <f>IF(Skills!C30=1,60+Inputs!$B$25+Inputs!$B$29,IF(Skills!C30=2,90+Inputs!$B$26+Inputs!$B$29,IF(Skills!C30=3,120+Inputs!$B$27+Inputs!$B$29,MAX(0,(Inputs!$B$3-100)*3)+Inputs!$B$28+Inputs!$B$29)))</f>
        <v/>
      </c>
      <c r="E364">
        <f>INDEX(FactorTable!$B$2:$Y$301, MATCH(ROUND(MIN(300,MAX(1,D364)),0), FactorTable!$A$2:$A$301,0), Skills!M30+1)</f>
        <v/>
      </c>
      <c r="F364">
        <f>IF(Skills!N30=TRUE,(Skills!L30/10)*(E364/1000),Skills!L30/10)+Skills!O30</f>
        <v/>
      </c>
      <c r="G364">
        <f>Skills!G30*IF(Skills!H30&gt;0,Skills!I30/Skills!H30,1)</f>
        <v/>
      </c>
      <c r="H364">
        <f>1-(1-Skills!J30/100)^Skills!K30</f>
        <v/>
      </c>
      <c r="I364" t="inlineStr">
        <is>
          <t>1</t>
        </is>
      </c>
      <c r="J364" t="inlineStr"/>
      <c r="K364" t="inlineStr"/>
      <c r="L364" t="inlineStr"/>
      <c r="M364" t="inlineStr"/>
      <c r="N364" t="inlineStr"/>
      <c r="O364">
        <f>(1-Summary!$B$55)*T364+Summary!$B$55*V364</f>
        <v/>
      </c>
      <c r="P364">
        <f>IF(B379=0,0,O364/B379)</f>
        <v/>
      </c>
      <c r="Q364" t="n">
        <v>0</v>
      </c>
      <c r="R364" t="n">
        <v>0</v>
      </c>
      <c r="S364">
        <f>IFERROR(O364/N364,0)</f>
        <v/>
      </c>
      <c r="T364" t="n">
        <v>0</v>
      </c>
      <c r="V364" t="n">
        <v>0</v>
      </c>
    </row>
    <row r="366">
      <c r="A366" t="inlineStr">
        <is>
          <t>Average Buff Multiplier</t>
        </is>
      </c>
      <c r="B366">
        <f>(1+(((C355=TRUE)*F355*IF(AND(Inputs!$B$39&lt;&gt;"pvp",Inputs!$B$44&gt;0),(((R355-1)*(Skills!Y21*(1+Inputs!$B$34/100))+MIN((Skills!Y21*(1+Inputs!$B$34/100)),MAX(0,Inputs!$B$44-((R355-1)*Skills!D21))))/Inputs!$B$44),IF(Inputs!$B$39="pvp",MIN((Skills!Y21*(1+Inputs!$B$34/100)),15)/15,(Skills!Y21*(1+Inputs!$B$34/100))/Skills!D21)))+((C357=TRUE)*(F357-Calc!F23))+((C351=TRUE)*(F351-Calc!F17)))/100)*(1+((C344=TRUE)*F344*IF(AND(Inputs!$B$39&lt;&gt;"pvp",Inputs!$B$44&gt;0),(((R344-1)*(Skills!Y10*(1+Inputs!$B$34/100))+MIN((Skills!Y10*(1+Inputs!$B$34/100)),MAX(0,Inputs!$B$44-((R344-1)*Skills!D10))))/Inputs!$B$44),IF(Inputs!$B$39="pvp",MIN((Skills!Y10*(1+Inputs!$B$34/100)),15)/15,(Skills!Y10*(1+Inputs!$B$34/100))/Skills!D10)))/100)*(1+((C349=TRUE)*F349*IF(AND(Inputs!$B$39&lt;&gt;"pvp",Inputs!$B$44&gt;0),(((R349-1)*(Skills!Y15*(1+Inputs!$B$34/100))+MIN((Skills!Y15*(1+Inputs!$B$34/100)),MAX(0,Inputs!$B$44-((R349-1)*Skills!D15))))/Inputs!$B$44),IF(Inputs!$B$39="pvp",MIN((Skills!Y15*(1+Inputs!$B$34/100)),15)/15,(Skills!Y15*(1+Inputs!$B$34/100))/Skills!D15)))/100)</f>
        <v/>
      </c>
    </row>
    <row r="367">
      <c r="A367" t="inlineStr">
        <is>
          <t>Global Crit Rate Bonus %</t>
        </is>
      </c>
      <c r="B367">
        <f>((C354=TRUE)*F354*IF(AND(Inputs!$B$39&lt;&gt;"pvp",Inputs!$B$44&gt;0),(((R354-1)*(Skills!Y20*(1+Inputs!$B$34/100))+MIN((Skills!Y20*(1+Inputs!$B$34/100)),MAX(0,Inputs!$B$44-((R354-1)*Skills!D20))))/Inputs!$B$44),IF(Inputs!$B$39="pvp",MIN((Skills!Y20*(1+Inputs!$B$34/100)),15)/15,(Skills!Y20*(1+Inputs!$B$34/100))/Skills!D20)))</f>
        <v/>
      </c>
    </row>
    <row r="368">
      <c r="A368" t="inlineStr">
        <is>
          <t>Global Monster Damage-Taken Bonus %</t>
        </is>
      </c>
      <c r="B368">
        <f>IF(Inputs!$B$3&gt;=82,15,0)</f>
        <v/>
      </c>
    </row>
    <row r="369">
      <c r="A369" t="inlineStr">
        <is>
          <t>Shadow Partner Average Multiplier</t>
        </is>
      </c>
      <c r="B369">
        <f>1+((C341=TRUE)*F341*(1+3.3333333333333335*IF(C352=TRUE,F352,0)/100)*I341*Skills!J7/100)/100</f>
        <v/>
      </c>
    </row>
    <row r="370">
      <c r="A370" t="inlineStr">
        <is>
          <t>Attack Speed Buff Bonus %</t>
        </is>
      </c>
      <c r="B370">
        <f>((C353=TRUE)*F353*IF(AND(Inputs!$B$39&lt;&gt;"pvp",Inputs!$B$44&gt;0),(((R353-1)*(Skills!Y19*(1+Inputs!$B$34/100))+MIN((Skills!Y19*(1+Inputs!$B$34/100)),MAX(0,Inputs!$B$44-((R353-1)*Skills!D19))))/Inputs!$B$44),IF(Inputs!$B$39="pvp",MIN((Skills!Y19*(1+Inputs!$B$34/100)),15)/15,(Skills!Y19*(1+Inputs!$B$34/100))/Skills!D19)))+((C337=TRUE)*F337*3)</f>
        <v/>
      </c>
    </row>
    <row r="371">
      <c r="A371" t="inlineStr">
        <is>
          <t>Actions Per Second</t>
        </is>
      </c>
      <c r="B371">
        <f>1+MIN(150,150*(1-(1-(Inputs!$B$11+((C356=TRUE)*(F356-Calc!F22)))/150)*(1-B370/150)))/100</f>
        <v/>
      </c>
    </row>
    <row r="372">
      <c r="A372" t="inlineStr">
        <is>
          <t>Skill + Buff Cast Rate</t>
        </is>
      </c>
      <c r="B372">
        <f>IF(AND(Inputs!$B$39&lt;&gt;"pvp",Inputs!$B$44&gt;0),SUMPRODUCT((Skills!E2:E30=TRUE)*(C336:C364=TRUE)*R336:R364*Skills!F2:F30)/Inputs!$B$44,SUMPRODUCT((Skills!E2:E30=TRUE)*(C336:C364=TRUE)*Q336:Q364*Skills!F2:F30))</f>
        <v/>
      </c>
    </row>
    <row r="373">
      <c r="A373" t="inlineStr">
        <is>
          <t>Cruel Stab Casts Per Second</t>
        </is>
      </c>
      <c r="B373">
        <f>MAX(0,B371-B372)</f>
        <v/>
      </c>
    </row>
    <row r="374">
      <c r="A374" t="inlineStr">
        <is>
          <t>Global Critical Damage Bonus % (Smokescreen Mastery Lv.113)</t>
        </is>
      </c>
      <c r="B374">
        <f>IF(Inputs!$B$3&gt;=113,30,0)*IF(AND(Inputs!$B$39&lt;&gt;"pvp",Inputs!$B$44&gt;0),(((R349-1)*(Skills!Y15*(1+Inputs!$B$34/100))+MIN((Skills!Y15*(1+Inputs!$B$34/100)),MAX(0,Inputs!$B$44-((R349-1)*Skills!D15))))/Inputs!$B$44),IF(Inputs!$B$39="pvp",MIN((Skills!Y15*(1+Inputs!$B$34/100)),15)/15,(Skills!Y15*(1+Inputs!$B$34/100))/Skills!D15))</f>
        <v/>
      </c>
    </row>
    <row r="375">
      <c r="A375" t="inlineStr">
        <is>
          <t>Meso Explosion average stack count</t>
        </is>
      </c>
      <c r="B375">
        <f>MIN(10,0.5*B371*Skills!D4)</f>
        <v/>
      </c>
    </row>
    <row r="376">
      <c r="A376" t="inlineStr">
        <is>
          <t>Blood Money average stack count</t>
        </is>
      </c>
      <c r="B376">
        <f>MIN(5,0.25*B371*Skills!D4)</f>
        <v/>
      </c>
    </row>
    <row r="377">
      <c r="A377" t="inlineStr">
        <is>
          <t>Assassinate Murderous Intent Multiplier</t>
        </is>
      </c>
      <c r="B377">
        <f>1+IFERROR(MIN(1,Q348*2/Q345),0)</f>
        <v/>
      </c>
    </row>
    <row r="378">
      <c r="A378" t="inlineStr">
        <is>
          <t>Buff-Casting Startup Delay (s, fixed-duration only)</t>
        </is>
      </c>
      <c r="B378">
        <f>IF(AND(Inputs!$B$39&lt;&gt;"pvp",Inputs!$B$44&gt;0),SUMPRODUCT((Skills!Y2:Y30&gt;0)*(Skills!E2:E30=TRUE)*(C336:C364=TRUE))/B371,0)</f>
        <v/>
      </c>
    </row>
    <row r="379">
      <c r="A379" s="5" t="inlineStr">
        <is>
          <t>TOTAL DPS</t>
        </is>
      </c>
      <c r="B379" s="5">
        <f>SUM(O336:O364)</f>
        <v/>
      </c>
    </row>
    <row r="380">
      <c r="A380" t="inlineStr">
        <is>
          <t>Boss-Only Total DPS (this block's swept value)</t>
        </is>
      </c>
      <c r="B380">
        <f>SUM(T336:T364)</f>
        <v/>
      </c>
    </row>
    <row r="381">
      <c r="A381" t="inlineStr">
        <is>
          <t>Normal-Only Total DPS (this block's swept value)</t>
        </is>
      </c>
      <c r="B381">
        <f>SUM(V336:V364)</f>
        <v/>
      </c>
    </row>
    <row r="384">
      <c r="A384" s="5" t="inlineStr">
        <is>
          <t>Stat: FINAL_DAMAGE % (multiplicative source)</t>
        </is>
      </c>
    </row>
    <row r="385">
      <c r="A385" s="9" t="inlineStr">
        <is>
          <t>Key</t>
        </is>
      </c>
      <c r="B385" s="9" t="inlineStr">
        <is>
          <t>Name</t>
        </is>
      </c>
      <c r="C385" s="9" t="inlineStr">
        <is>
          <t>Unlocked</t>
        </is>
      </c>
      <c r="D385" s="9" t="inlineStr">
        <is>
          <t>InputLevel</t>
        </is>
      </c>
      <c r="E385" s="9" t="inlineStr">
        <is>
          <t>Factor</t>
        </is>
      </c>
      <c r="F385" s="9" t="inlineStr">
        <is>
          <t>CoefficientPercent</t>
        </is>
      </c>
      <c r="G385" s="9" t="inlineStr">
        <is>
          <t>EffectiveHits</t>
        </is>
      </c>
      <c r="H385" s="9" t="inlineStr">
        <is>
          <t>ProcProbability</t>
        </is>
      </c>
      <c r="I385" s="9" t="inlineStr">
        <is>
          <t>MapleHeroMultiplier</t>
        </is>
      </c>
      <c r="J385" s="9" t="inlineStr">
        <is>
          <t>BaseDamage</t>
        </is>
      </c>
      <c r="K385" s="9" t="inlineStr">
        <is>
          <t>BaseHitDamage</t>
        </is>
      </c>
      <c r="L385" s="9" t="inlineStr">
        <is>
          <t>NonCritAvg</t>
        </is>
      </c>
      <c r="M385" s="9" t="inlineStr">
        <is>
          <t>CritAvg</t>
        </is>
      </c>
      <c r="N385" s="9" t="inlineStr">
        <is>
          <t>ExpectedDamage(perHit)</t>
        </is>
      </c>
      <c r="O385" s="9" t="inlineStr">
        <is>
          <t>DPS</t>
        </is>
      </c>
      <c r="P385" s="9" t="inlineStr">
        <is>
          <t>% of Total</t>
        </is>
      </c>
      <c r="Q385" s="9" t="inlineStr">
        <is>
          <t>InvCooldown</t>
        </is>
      </c>
      <c r="R385" s="9" t="inlineStr">
        <is>
          <t>CastsInFight</t>
        </is>
      </c>
      <c r="S385" s="9" t="inlineStr">
        <is>
          <t>HitRate(perSec)</t>
        </is>
      </c>
      <c r="U385" t="inlineStr">
        <is>
          <t>helpers</t>
        </is>
      </c>
    </row>
    <row r="386">
      <c r="A386">
        <f>Skills!A2</f>
        <v/>
      </c>
      <c r="B386">
        <f>Skills!B2</f>
        <v/>
      </c>
      <c r="C386">
        <f>Inputs!$B$3&gt;=100</f>
        <v/>
      </c>
      <c r="D386" t="inlineStr"/>
      <c r="E386" t="inlineStr"/>
      <c r="F386">
        <f>U388+Skills!O2</f>
        <v/>
      </c>
      <c r="G386">
        <f>Skills!G2*IF(Skills!H2&gt;0,Skills!I2/Skills!H2,1)</f>
        <v/>
      </c>
      <c r="H386">
        <f>1-(1-Skills!J2/100)^Skills!K2</f>
        <v/>
      </c>
      <c r="I386" t="inlineStr">
        <is>
          <t>1</t>
        </is>
      </c>
      <c r="J386">
        <f>((Inputs!$B$6*(1+Inputs!$B$7/100))+(((Inputs!$B$12*(1+Inputs!$B$13/100))-(Inputs!$B$12*(1+Inputs!$B$13/100)))+0.25*(Inputs!$B$14-Inputs!$B$14))*(1+Inputs!$B$7/100))*(F386/100)</f>
        <v/>
      </c>
      <c r="K386">
        <f>J386*(1+((Inputs!$B$12*(1+Inputs!$B$13/100))*0.01+Inputs!$B$14*0.0025)/100)*(1+Inputs!$B$15/100)*(1+Inputs!$B$16/100)*(5000/(6000+Inputs!$B$43*(1-Inputs!$B$19/100)))*(1+(((((1+Inputs!$B$24/100)*(1.01))-1)*100)+((C414=TRUE)*(F414-Calc!F30)))/100)*(1+(IF(Skills!A2="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386)</f>
        <v/>
      </c>
      <c r="L386">
        <f>K386*(MIN(Inputs!$B$22+((C408=TRUE)*(F408-Calc!F24)),Inputs!$B$23+((C413=TRUE)*(F413-Calc!F29)))/100+(Inputs!$B$23+((C413=TRUE)*(F413-Calc!F29)))/100)/2</f>
        <v/>
      </c>
      <c r="M386">
        <f>L386*(1+(Inputs!$B$10+((C410=TRUE)*(F410-Calc!F26))+B424)/100)</f>
        <v/>
      </c>
      <c r="N386">
        <f>L386*(1-MIN((Inputs!$B$9+((C409=TRUE)*(F409-Calc!F25))+B417),100)/100)+M386*(MIN((Inputs!$B$9+((C409=TRUE)*(F409-Calc!F25))+B417),100)/100)</f>
        <v/>
      </c>
      <c r="O386">
        <f>(1-Summary!$B$55)*T386+Summary!$B$55*V386</f>
        <v/>
      </c>
      <c r="P386">
        <f>IF(B429=0,0,O386/B429)</f>
        <v/>
      </c>
      <c r="Q386" t="n">
        <v>0</v>
      </c>
      <c r="R386" t="n">
        <v>0</v>
      </c>
      <c r="S386">
        <f>IFERROR(O386/N386,0)</f>
        <v/>
      </c>
      <c r="T386">
        <f>IF(C386,(Skills!G2*N386*B423)*IF(Inputs!$B$39="pvp",1,1+(Inputs!$B$20+0+Skills!P2+B418)/100),0)</f>
        <v/>
      </c>
      <c r="U386">
        <f>MAX(0,(Inputs!$B$3-100)*3)+Inputs!$B$28+Inputs!$B$29</f>
        <v/>
      </c>
      <c r="V386">
        <f>IF(C386,(Skills!G2*N386*B423)*IF(Inputs!$B$39="pvp",1,(1+(Inputs!$B$21+Skills!Q2+B418)/100)*(MIN((6+Inputs!$B$33),Inputs!$B$37))),0)</f>
        <v/>
      </c>
    </row>
    <row r="387">
      <c r="A387">
        <f>Skills!A3</f>
        <v/>
      </c>
      <c r="B387">
        <f>Skills!B3</f>
        <v/>
      </c>
      <c r="C387">
        <f>Inputs!$B$3&gt;=35</f>
        <v/>
      </c>
      <c r="D387">
        <f>IF(Skills!C3=1,60+Inputs!$B$25+Inputs!$B$29,IF(Skills!C3=2,90+Inputs!$B$26+Inputs!$B$29,IF(Skills!C3=3,120+Inputs!$B$27+Inputs!$B$29,MAX(0,(Inputs!$B$3-100)*3)+Inputs!$B$28+Inputs!$B$29)))</f>
        <v/>
      </c>
      <c r="E387">
        <f>INDEX(FactorTable!$B$2:$Y$301, MATCH(ROUND(MIN(300,MAX(1,D387)),0), FactorTable!$A$2:$A$301,0), Skills!M3+1)</f>
        <v/>
      </c>
      <c r="F387">
        <f>IF(Skills!N3=TRUE,(Skills!L3/10)*(E387/1000),Skills!L3/10)+Skills!O3</f>
        <v/>
      </c>
      <c r="G387">
        <f>Skills!G3*IF(Skills!H3&gt;0,Skills!I3/Skills!H3,1)</f>
        <v/>
      </c>
      <c r="H387">
        <f>1-(1-Skills!J3/100)^Skills!K3</f>
        <v/>
      </c>
      <c r="I387" t="inlineStr">
        <is>
          <t>1</t>
        </is>
      </c>
      <c r="J387" t="inlineStr"/>
      <c r="K387" t="inlineStr"/>
      <c r="L387" t="inlineStr"/>
      <c r="M387" t="inlineStr"/>
      <c r="N387" t="inlineStr"/>
      <c r="O387">
        <f>(1-Summary!$B$55)*T387+Summary!$B$55*V387</f>
        <v/>
      </c>
      <c r="P387">
        <f>IF(B429=0,0,O387/B429)</f>
        <v/>
      </c>
      <c r="Q387" t="n">
        <v>0</v>
      </c>
      <c r="R387" t="n">
        <v>0</v>
      </c>
      <c r="S387">
        <f>IFERROR(O387/N387,0)</f>
        <v/>
      </c>
      <c r="T387" t="n">
        <v>0</v>
      </c>
      <c r="U387">
        <f>INDEX(FactorTable!$B$2:$Y$301, MATCH(ROUND(MIN(300,MAX(1,U386)),0), FactorTable!$A$2:$A$301,0), 22)</f>
        <v/>
      </c>
      <c r="V387" t="n">
        <v>0</v>
      </c>
    </row>
    <row r="388">
      <c r="A388">
        <f>Skills!A4</f>
        <v/>
      </c>
      <c r="B388">
        <f>Skills!B4</f>
        <v/>
      </c>
      <c r="C388">
        <f>Inputs!$B$3&gt;=66</f>
        <v/>
      </c>
      <c r="D388">
        <f>IF(Skills!C4=1,60+Inputs!$B$25+Inputs!$B$29,IF(Skills!C4=2,90+Inputs!$B$26+Inputs!$B$29,IF(Skills!C4=3,120+Inputs!$B$27+Inputs!$B$29,MAX(0,(Inputs!$B$3-100)*3)+Inputs!$B$28+Inputs!$B$29)))</f>
        <v/>
      </c>
      <c r="E388">
        <f>INDEX(FactorTable!$B$2:$Y$301, MATCH(ROUND(MIN(300,MAX(1,D388)),0), FactorTable!$A$2:$A$301,0), Skills!M4+1)</f>
        <v/>
      </c>
      <c r="F388">
        <f>IF(Skills!N4=TRUE,(Skills!L4/10)*(E388/1000),Skills!L4/10)+Skills!O4</f>
        <v/>
      </c>
      <c r="G388">
        <f>Skills!G4*IF(Skills!H4&gt;0,Skills!I4/Skills!H4,1)</f>
        <v/>
      </c>
      <c r="H388">
        <f>1-(1-Skills!J4/100)^Skills!K4</f>
        <v/>
      </c>
      <c r="I388" t="inlineStr">
        <is>
          <t>1</t>
        </is>
      </c>
      <c r="J388">
        <f>((Inputs!$B$6*(1+Inputs!$B$7/100))+(((Inputs!$B$12*(1+Inputs!$B$13/100))-(Inputs!$B$12*(1+Inputs!$B$13/100)))+0.25*(Inputs!$B$14-Inputs!$B$14))*(1+Inputs!$B$7/100))*(F388/100)</f>
        <v/>
      </c>
      <c r="K388">
        <f>J388*(1+((Inputs!$B$12*(1+Inputs!$B$13/100))*0.01+Inputs!$B$14*0.0025)/100)*(1+Inputs!$B$15/100)*(1+Inputs!$B$16/100)*(5000/(6000+Inputs!$B$43*(1-Inputs!$B$19/100)))*(1+(((((1+Inputs!$B$24/100)*(1.01))-1)*100)+((C414=TRUE)*(F414-Calc!F30)))/100)*(1+(IF(Skills!A4="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388)</f>
        <v/>
      </c>
      <c r="L388">
        <f>K388*(MIN(Inputs!$B$22+((C408=TRUE)*(F408-Calc!F24)),Inputs!$B$23+((C413=TRUE)*(F413-Calc!F29)))/100+(Inputs!$B$23+((C413=TRUE)*(F413-Calc!F29)))/100)/2</f>
        <v/>
      </c>
      <c r="M388">
        <f>L388*(1+(Inputs!$B$10+((C410=TRUE)*(F410-Calc!F26))+B424)/100)</f>
        <v/>
      </c>
      <c r="N388">
        <f>L388*(1-MIN((Inputs!$B$9+((C409=TRUE)*(F409-Calc!F25))+B417),100)/100)+M388*(MIN((Inputs!$B$9+((C409=TRUE)*(F409-Calc!F25))+B417),100)/100)</f>
        <v/>
      </c>
      <c r="O388">
        <f>(1-Summary!$B$55)*T388+Summary!$B$55*V388</f>
        <v/>
      </c>
      <c r="P388">
        <f>IF(B429=0,0,O388/B429)</f>
        <v/>
      </c>
      <c r="Q388">
        <f>IFERROR(1/IF(Inputs!$B$39="pvp",15,MAX(0.1,Skills!D4-IF(Skills!E4=TRUE,Inputs!$B$32,0))),0)</f>
        <v/>
      </c>
      <c r="R388">
        <f>IF(AND(Inputs!$B$39&lt;&gt;"pvp",Inputs!$B$44&gt;0),IF(MAX(0,Inputs!$B$44-B428)&lt;=0,0,(INT(MAX(0,Inputs!$B$44-B428)/IF(Inputs!$B$39="pvp",15,MAX(0.1,Skills!D4-IF(Skills!E4=TRUE,Inputs!$B$32,0))))+1)),0)</f>
        <v/>
      </c>
      <c r="S388">
        <f>IFERROR(O388/N388,0)</f>
        <v/>
      </c>
      <c r="T388">
        <f>IF(C388,(H388*N388*IF(AND(Inputs!$B$39&lt;&gt;"pvp",Inputs!$B$44&gt;0),((Skills!G4*((R388-1)*IF(Skills!H4&gt;0,Skills!I4/Skills!H4,1)+IF(Skills!H4&gt;0,MIN(Skills!I4,MAX(0,MAX(0,Inputs!$B$44-B428)-((R388-1)*IF(Inputs!$B$39="pvp",15,MAX(0.1,Skills!D4-IF(Skills!E4=TRUE,Inputs!$B$32,0))))))/Skills!H4,1)))/Inputs!$B$44),G388*Q388))*IF(Inputs!$B$39="pvp",1,1+(Inputs!$B$20+0+Skills!P4+B418)/100),0)</f>
        <v/>
      </c>
      <c r="U388">
        <f>290*U387/1000</f>
        <v/>
      </c>
      <c r="V388">
        <f>IF(C388,(H388*N388*IF(AND(Inputs!$B$39&lt;&gt;"pvp",Inputs!$B$44&gt;0),((Skills!G4*((R388-1)*IF(Skills!H4&gt;0,Skills!I4/Skills!H4,1)+IF(Skills!H4&gt;0,MIN(Skills!I4,MAX(0,MAX(0,Inputs!$B$44-B428)-((R388-1)*IF(Inputs!$B$39="pvp",15,MAX(0.1,Skills!D4-IF(Skills!E4=TRUE,Inputs!$B$32,0))))))/Skills!H4,1)))/Inputs!$B$44),G388*Q388))*IF(Inputs!$B$39="pvp",1,(1+(Inputs!$B$21+Skills!Q4+B418)/100)*(MIN(MIN(10,0.5*B421*Skills!D4),Inputs!$B$37))),0)</f>
        <v/>
      </c>
    </row>
    <row r="389">
      <c r="A389">
        <f>Skills!A5</f>
        <v/>
      </c>
      <c r="B389">
        <f>Skills!B5</f>
        <v/>
      </c>
      <c r="C389">
        <f>Inputs!$B$3&gt;=63</f>
        <v/>
      </c>
      <c r="D389">
        <f>IF(Skills!C5=1,60+Inputs!$B$25+Inputs!$B$29,IF(Skills!C5=2,90+Inputs!$B$26+Inputs!$B$29,IF(Skills!C5=3,120+Inputs!$B$27+Inputs!$B$29,MAX(0,(Inputs!$B$3-100)*3)+Inputs!$B$28+Inputs!$B$29)))</f>
        <v/>
      </c>
      <c r="E389">
        <f>INDEX(FactorTable!$B$2:$Y$301, MATCH(ROUND(MIN(300,MAX(1,D389)),0), FactorTable!$A$2:$A$301,0), Skills!M5+1)</f>
        <v/>
      </c>
      <c r="F389">
        <f>IF(Skills!N5=TRUE,(Skills!L5/10)*(E389/1000),Skills!L5/10)+Skills!O5</f>
        <v/>
      </c>
      <c r="G389">
        <f>Skills!G5*IF(Skills!H5&gt;0,Skills!I5/Skills!H5,1)</f>
        <v/>
      </c>
      <c r="H389">
        <f>1-(1-Skills!J5/100)^Skills!K5</f>
        <v/>
      </c>
      <c r="I389" t="inlineStr">
        <is>
          <t>1</t>
        </is>
      </c>
      <c r="J389">
        <f>((Inputs!$B$6*(1+Inputs!$B$7/100))+(((Inputs!$B$12*(1+Inputs!$B$13/100))-(Inputs!$B$12*(1+Inputs!$B$13/100)))+0.25*(Inputs!$B$14-Inputs!$B$14))*(1+Inputs!$B$7/100))*(F389/100)</f>
        <v/>
      </c>
      <c r="K389">
        <f>J389*(1+((Inputs!$B$12*(1+Inputs!$B$13/100))*0.01+Inputs!$B$14*0.0025)/100)*(1+Inputs!$B$15/100)*(1+Inputs!$B$16/100)*(5000/(6000+Inputs!$B$43*(1-Inputs!$B$19/100)))*(1+(((((1+Inputs!$B$24/100)*(1.01))-1)*100)+((C414=TRUE)*(F414-Calc!F30)))/100)*(1+2.6666666666666665*IF(C402=TRUE,F402,0)/100)*(1+(IF(Skills!A5="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389)</f>
        <v/>
      </c>
      <c r="L389">
        <f>K389*(MIN(Inputs!$B$22+((C408=TRUE)*(F408-Calc!F24)),Inputs!$B$23+((C413=TRUE)*(F413-Calc!F29)))/100+(Inputs!$B$23+((C413=TRUE)*(F413-Calc!F29)))/100)/2</f>
        <v/>
      </c>
      <c r="M389">
        <f>L389*(1+(Inputs!$B$10+((C410=TRUE)*(F410-Calc!F26))+B424)/100)</f>
        <v/>
      </c>
      <c r="N389">
        <f>L389*(1-MIN((Inputs!$B$9+((C409=TRUE)*(F409-Calc!F25))+B417),100)/100)+M389*(MIN((Inputs!$B$9+((C409=TRUE)*(F409-Calc!F25))+B417),100)/100)</f>
        <v/>
      </c>
      <c r="O389">
        <f>(1-Summary!$B$55)*T389+Summary!$B$55*V389</f>
        <v/>
      </c>
      <c r="P389">
        <f>IF(B429=0,0,O389/B429)</f>
        <v/>
      </c>
      <c r="Q389">
        <f>IFERROR(1/IF(Inputs!$B$39="pvp",15,MAX(0.1,Skills!D5-IF(Skills!E5=TRUE,Inputs!$B$32,0))),0)</f>
        <v/>
      </c>
      <c r="R389">
        <f>IF(AND(Inputs!$B$39&lt;&gt;"pvp",Inputs!$B$44&gt;0),IF(MAX(0,Inputs!$B$44-B428)&lt;=0,0,(INT(MAX(0,Inputs!$B$44-B428)/IF(Inputs!$B$39="pvp",15,MAX(0.1,Skills!D5-IF(Skills!E5=TRUE,Inputs!$B$32,0))))+1)),0)</f>
        <v/>
      </c>
      <c r="S389">
        <f>IFERROR(O389/N389,0)</f>
        <v/>
      </c>
      <c r="T389">
        <f>IF(C389,(H389*N389*IF(AND(Inputs!$B$39&lt;&gt;"pvp",Inputs!$B$44&gt;0),((Skills!G5*((R389-1)*IF(Skills!H5&gt;0,Skills!I5/Skills!H5,1)+IF(Skills!H5&gt;0,MIN(Skills!I5,MAX(0,MAX(0,Inputs!$B$44-B428)-((R389-1)*IF(Inputs!$B$39="pvp",15,MAX(0.1,Skills!D5-IF(Skills!E5=TRUE,Inputs!$B$32,0))))))/Skills!H5,1)))/Inputs!$B$44),G389*Q389))*IF(Inputs!$B$39="pvp",1,1+(Inputs!$B$20+0+Skills!P5+B418)/100),0)</f>
        <v/>
      </c>
      <c r="V389">
        <f>IF(C389,(H389*N389*IF(AND(Inputs!$B$39&lt;&gt;"pvp",Inputs!$B$44&gt;0),((Skills!G5*((R389-1)*IF(Skills!H5&gt;0,Skills!I5/Skills!H5,1)+IF(Skills!H5&gt;0,MIN(Skills!I5,MAX(0,MAX(0,Inputs!$B$44-B428)-((R389-1)*IF(Inputs!$B$39="pvp",15,MAX(0.1,Skills!D5-IF(Skills!E5=TRUE,Inputs!$B$32,0))))))/Skills!H5,1)))/Inputs!$B$44),G389*Q389))*IF(Inputs!$B$39="pvp",1,(1+(Inputs!$B$21+Skills!Q5+B418)/100)*(MIN(Skills!W5,Inputs!$B$37))),0)</f>
        <v/>
      </c>
    </row>
    <row r="390">
      <c r="A390">
        <f>Skills!A6</f>
        <v/>
      </c>
      <c r="B390">
        <f>Skills!B6</f>
        <v/>
      </c>
      <c r="C390">
        <f>Inputs!$B$3&gt;=69</f>
        <v/>
      </c>
      <c r="D390">
        <f>IF(Skills!C6=1,60+Inputs!$B$25+Inputs!$B$29,IF(Skills!C6=2,90+Inputs!$B$26+Inputs!$B$29,IF(Skills!C6=3,120+Inputs!$B$27+Inputs!$B$29,MAX(0,(Inputs!$B$3-100)*3)+Inputs!$B$28+Inputs!$B$29)))</f>
        <v/>
      </c>
      <c r="E390">
        <f>INDEX(FactorTable!$B$2:$Y$301, MATCH(ROUND(MIN(300,MAX(1,D390)),0), FactorTable!$A$2:$A$301,0), Skills!M6+1)</f>
        <v/>
      </c>
      <c r="F390">
        <f>IF(Skills!N6=TRUE,(Skills!L6/10)*(E390/1000),Skills!L6/10)+Skills!O6</f>
        <v/>
      </c>
      <c r="G390">
        <f>Skills!G6*IF(Skills!H6&gt;0,Skills!I6/Skills!H6,1)</f>
        <v/>
      </c>
      <c r="H390">
        <f>1-(1-Skills!J6/100)^Skills!K6</f>
        <v/>
      </c>
      <c r="I390" t="inlineStr">
        <is>
          <t>1</t>
        </is>
      </c>
      <c r="J390">
        <f>((Inputs!$B$6*(1+Inputs!$B$7/100))+(((Inputs!$B$12*(1+Inputs!$B$13/100))-(Inputs!$B$12*(1+Inputs!$B$13/100)))+0.25*(Inputs!$B$14-Inputs!$B$14))*(1+Inputs!$B$7/100))*(F390/100)</f>
        <v/>
      </c>
      <c r="K390">
        <f>J390*(1+((Inputs!$B$12*(1+Inputs!$B$13/100))*0.01+Inputs!$B$14*0.0025)/100)*(1+Inputs!$B$15/100)*(1+Inputs!$B$16/100)*(5000/(6000+Inputs!$B$43*(1-Inputs!$B$19/100)))*(1+(((((1+Inputs!$B$24/100)*(1.01))-1)*100)+((C414=TRUE)*(F414-Calc!F30)))/100)*(1+1.0*IF(C402=TRUE,F402,0)/100)*(1+(IF(Skills!A6="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390)</f>
        <v/>
      </c>
      <c r="L390">
        <f>K390*(MIN(Inputs!$B$22+((C408=TRUE)*(F408-Calc!F24)),Inputs!$B$23+((C413=TRUE)*(F413-Calc!F29)))/100+(Inputs!$B$23+((C413=TRUE)*(F413-Calc!F29)))/100)/2</f>
        <v/>
      </c>
      <c r="M390">
        <f>L390*(1+(Inputs!$B$10+((C410=TRUE)*(F410-Calc!F26))+B424)/100)</f>
        <v/>
      </c>
      <c r="N390">
        <f>L390*(1-MIN((Inputs!$B$9+((C409=TRUE)*(F409-Calc!F25))+B417),100)/100)+M390*(MIN((Inputs!$B$9+((C409=TRUE)*(F409-Calc!F25))+B417),100)/100)</f>
        <v/>
      </c>
      <c r="O390">
        <f>(1-Summary!$B$55)*T390+Summary!$B$55*V390</f>
        <v/>
      </c>
      <c r="P390">
        <f>IF(B429=0,0,O390/B429)</f>
        <v/>
      </c>
      <c r="Q390">
        <f>IFERROR(1/IF(Inputs!$B$39="pvp",15,MAX(0.1,Skills!D6-IF(Skills!E6=TRUE,Inputs!$B$32,0))),0)</f>
        <v/>
      </c>
      <c r="R390">
        <f>IF(AND(Inputs!$B$39&lt;&gt;"pvp",Inputs!$B$44&gt;0),IF(MAX(0,Inputs!$B$44-B428)&lt;=0,0,(INT(MAX(0,Inputs!$B$44-B428)/IF(Inputs!$B$39="pvp",15,MAX(0.1,Skills!D6-IF(Skills!E6=TRUE,Inputs!$B$32,0))))+1)),0)</f>
        <v/>
      </c>
      <c r="S390">
        <f>IFERROR(O390/N390,0)</f>
        <v/>
      </c>
      <c r="T390">
        <f>IF(C390,(H390*N390*IF(AND(Inputs!$B$39&lt;&gt;"pvp",Inputs!$B$44&gt;0),((Skills!G6*((R390-1)*IF(Skills!H6&gt;0,Skills!I6/Skills!H6,1)+IF(Skills!H6&gt;0,MIN(Skills!I6,MAX(0,MAX(0,Inputs!$B$44-B428)-((R390-1)*IF(Inputs!$B$39="pvp",15,MAX(0.1,Skills!D6-IF(Skills!E6=TRUE,Inputs!$B$32,0))))))/Skills!H6,1)))/Inputs!$B$44),G390*Q390))*IF(Inputs!$B$39="pvp",1,1+(Inputs!$B$20+0+Skills!P6+B418)/100),0)</f>
        <v/>
      </c>
      <c r="V390">
        <f>IF(C390,(H390*N390*IF(AND(Inputs!$B$39&lt;&gt;"pvp",Inputs!$B$44&gt;0),((Skills!G6*((R390-1)*IF(Skills!H6&gt;0,Skills!I6/Skills!H6,1)+IF(Skills!H6&gt;0,MIN(Skills!I6,MAX(0,MAX(0,Inputs!$B$44-B428)-((R390-1)*IF(Inputs!$B$39="pvp",15,MAX(0.1,Skills!D6-IF(Skills!E6=TRUE,Inputs!$B$32,0))))))/Skills!H6,1)))/Inputs!$B$44),G390*Q390))*IF(Inputs!$B$39="pvp",1,(1+(Inputs!$B$21+Skills!Q6+B418)/100)*(MIN(Skills!W6,Inputs!$B$37))),0)</f>
        <v/>
      </c>
    </row>
    <row r="391">
      <c r="A391">
        <f>Skills!A7</f>
        <v/>
      </c>
      <c r="B391">
        <f>Skills!B7</f>
        <v/>
      </c>
      <c r="C391">
        <f>Inputs!$B$3&gt;=60</f>
        <v/>
      </c>
      <c r="D391">
        <f>IF(Skills!C7=1,60+Inputs!$B$25+Inputs!$B$29,IF(Skills!C7=2,90+Inputs!$B$26+Inputs!$B$29,IF(Skills!C7=3,120+Inputs!$B$27+Inputs!$B$29,MAX(0,(Inputs!$B$3-100)*3)+Inputs!$B$28+Inputs!$B$29)))</f>
        <v/>
      </c>
      <c r="E391">
        <f>INDEX(FactorTable!$B$2:$Y$301, MATCH(ROUND(MIN(300,MAX(1,D391)),0), FactorTable!$A$2:$A$301,0), Skills!M7+1)</f>
        <v/>
      </c>
      <c r="F391">
        <f>IF(Skills!N7=TRUE,(Skills!L7/10)*(E391/1000),Skills!L7/10)+Skills!O7</f>
        <v/>
      </c>
      <c r="G391">
        <f>Skills!G7*IF(Skills!H7&gt;0,Skills!I7/Skills!H7,1)</f>
        <v/>
      </c>
      <c r="H391">
        <f>1-(1-Skills!J7/100)^Skills!K7</f>
        <v/>
      </c>
      <c r="I391" t="inlineStr">
        <is>
          <t>1</t>
        </is>
      </c>
      <c r="J391" t="inlineStr"/>
      <c r="K391" t="inlineStr"/>
      <c r="L391" t="inlineStr"/>
      <c r="M391" t="inlineStr"/>
      <c r="N391" t="inlineStr"/>
      <c r="O391">
        <f>(1-Summary!$B$55)*T391+Summary!$B$55*V391</f>
        <v/>
      </c>
      <c r="P391">
        <f>IF(B429=0,0,O391/B429)</f>
        <v/>
      </c>
      <c r="Q391" t="n">
        <v>0</v>
      </c>
      <c r="R391" t="n">
        <v>0</v>
      </c>
      <c r="S391">
        <f>IFERROR(O391/N391,0)</f>
        <v/>
      </c>
      <c r="T391" t="n">
        <v>0</v>
      </c>
      <c r="V391" t="n">
        <v>0</v>
      </c>
    </row>
    <row r="392">
      <c r="A392">
        <f>Skills!A8</f>
        <v/>
      </c>
      <c r="B392">
        <f>Skills!B8</f>
        <v/>
      </c>
      <c r="C392">
        <f>Inputs!$B$3&gt;=72</f>
        <v/>
      </c>
      <c r="D392">
        <f>IF(Skills!C8=1,60+Inputs!$B$25+Inputs!$B$29,IF(Skills!C8=2,90+Inputs!$B$26+Inputs!$B$29,IF(Skills!C8=3,120+Inputs!$B$27+Inputs!$B$29,MAX(0,(Inputs!$B$3-100)*3)+Inputs!$B$28+Inputs!$B$29)))</f>
        <v/>
      </c>
      <c r="E392">
        <f>INDEX(FactorTable!$B$2:$Y$301, MATCH(ROUND(MIN(300,MAX(1,D392)),0), FactorTable!$A$2:$A$301,0), Skills!M8+1)</f>
        <v/>
      </c>
      <c r="F392">
        <f>IF(Skills!N8=TRUE,(Skills!L8/10)*(E392/1000),Skills!L8/10)+Skills!O8</f>
        <v/>
      </c>
      <c r="G392">
        <f>Skills!G8*IF(Skills!H8&gt;0,Skills!I8/Skills!H8,1)</f>
        <v/>
      </c>
      <c r="H392">
        <f>1-(1-Skills!J8/100)^Skills!K8</f>
        <v/>
      </c>
      <c r="I392" t="inlineStr">
        <is>
          <t>1</t>
        </is>
      </c>
      <c r="J392">
        <f>((Inputs!$B$6*(1+Inputs!$B$7/100))+(((Inputs!$B$12*(1+Inputs!$B$13/100))-(Inputs!$B$12*(1+Inputs!$B$13/100)))+0.25*(Inputs!$B$14-Inputs!$B$14))*(1+Inputs!$B$7/100))*(F392/100)</f>
        <v/>
      </c>
      <c r="K392">
        <f>J392*(1+((Inputs!$B$12*(1+Inputs!$B$13/100))*0.01+Inputs!$B$14*0.0025)/100)*(1+Inputs!$B$15/100)*(1+Inputs!$B$16/100)*(5000/(6000+Inputs!$B$43*(1-Inputs!$B$19/100)))*(1+(((((1+Inputs!$B$24/100)*(1.01))-1)*100)+((C414=TRUE)*(F414-Calc!F30)))/100)*(1+3.3333333333333335*IF(C402=TRUE,F402,0)/100)*(1+(IF(Skills!A8="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392)</f>
        <v/>
      </c>
      <c r="L392">
        <f>K392*(MIN(Inputs!$B$22+((C408=TRUE)*(F408-Calc!F24)),Inputs!$B$23+((C413=TRUE)*(F413-Calc!F29)))/100+(Inputs!$B$23+((C413=TRUE)*(F413-Calc!F29)))/100)/2</f>
        <v/>
      </c>
      <c r="M392">
        <f>L392*(1+(Inputs!$B$10+((C410=TRUE)*(F410-Calc!F26))+B424)/100)</f>
        <v/>
      </c>
      <c r="N392">
        <f>L392*(1-MIN((Inputs!$B$9+((C409=TRUE)*(F409-Calc!F25))+B417),100)/100)+M392*(MIN((Inputs!$B$9+((C409=TRUE)*(F409-Calc!F25))+B417),100)/100)</f>
        <v/>
      </c>
      <c r="O392">
        <f>(1-Summary!$B$55)*T392+Summary!$B$55*V392</f>
        <v/>
      </c>
      <c r="P392">
        <f>IF(B429=0,0,O392/B429)</f>
        <v/>
      </c>
      <c r="Q392">
        <f>IFERROR(1/IF(Inputs!$B$39="pvp",15,MAX(0.1,Skills!D8-IF(Skills!E8=TRUE,Inputs!$B$32,0))),0)</f>
        <v/>
      </c>
      <c r="R392">
        <f>IF(AND(Inputs!$B$39&lt;&gt;"pvp",Inputs!$B$44&gt;0),IF(MAX(0,Inputs!$B$44-B428)&lt;=0,0,(INT(MAX(0,Inputs!$B$44-B428)/IF(Inputs!$B$39="pvp",15,MAX(0.1,Skills!D8-IF(Skills!E8=TRUE,Inputs!$B$32,0))))+1)),0)</f>
        <v/>
      </c>
      <c r="S392">
        <f>IFERROR(O392/N392,0)</f>
        <v/>
      </c>
      <c r="T392">
        <f>IF(C392,(H392*N392*IF(AND(Inputs!$B$39&lt;&gt;"pvp",Inputs!$B$44&gt;0),((Skills!G8*((R392-1)*IF(Skills!H8&gt;0,Skills!I8/Skills!H8,1)+IF(Skills!H8&gt;0,MIN(Skills!I8,MAX(0,MAX(0,Inputs!$B$44-B428)-((R392-1)*IF(Inputs!$B$39="pvp",15,MAX(0.1,Skills!D8-IF(Skills!E8=TRUE,Inputs!$B$32,0))))))/Skills!H8,1)))/Inputs!$B$44),G392*Q392))*IF(Inputs!$B$39="pvp",1,1+(Inputs!$B$20+0+Skills!P8+B418)/100),0)</f>
        <v/>
      </c>
      <c r="V392">
        <f>IF(C392,(H392*N392*IF(AND(Inputs!$B$39&lt;&gt;"pvp",Inputs!$B$44&gt;0),((Skills!G8*((R392-1)*IF(Skills!H8&gt;0,Skills!I8/Skills!H8,1)+IF(Skills!H8&gt;0,MIN(Skills!I8,MAX(0,MAX(0,Inputs!$B$44-B428)-((R392-1)*IF(Inputs!$B$39="pvp",15,MAX(0.1,Skills!D8-IF(Skills!E8=TRUE,Inputs!$B$32,0))))))/Skills!H8,1)))/Inputs!$B$44),G392*Q392))*IF(Inputs!$B$39="pvp",1,(1+(Inputs!$B$21+Skills!Q8+B418)/100)*(MIN(Skills!W8,Inputs!$B$37))),0)</f>
        <v/>
      </c>
    </row>
    <row r="393">
      <c r="A393">
        <f>Skills!A9</f>
        <v/>
      </c>
      <c r="B393">
        <f>Skills!B9</f>
        <v/>
      </c>
      <c r="C393">
        <f>Inputs!$B$3&gt;=117</f>
        <v/>
      </c>
      <c r="D393">
        <f>IF(Skills!C9=1,60+Inputs!$B$25+Inputs!$B$29,IF(Skills!C9=2,90+Inputs!$B$26+Inputs!$B$29,IF(Skills!C9=3,120+Inputs!$B$27+Inputs!$B$29,MAX(0,(Inputs!$B$3-100)*3)+Inputs!$B$28+Inputs!$B$29)))</f>
        <v/>
      </c>
      <c r="E393">
        <f>INDEX(FactorTable!$B$2:$Y$301, MATCH(ROUND(MIN(300,MAX(1,D393)),0), FactorTable!$A$2:$A$301,0), Skills!M9+1)</f>
        <v/>
      </c>
      <c r="F393">
        <f>IF(Skills!N9=TRUE,(Skills!L9/10)*(E393/1000),Skills!L9/10)+Skills!O9</f>
        <v/>
      </c>
      <c r="G393">
        <f>Skills!G9*IF(Skills!H9&gt;0,Skills!I9/Skills!H9,1)</f>
        <v/>
      </c>
      <c r="H393">
        <f>1-(1-Skills!J9/100)^Skills!K9</f>
        <v/>
      </c>
      <c r="I393" t="inlineStr">
        <is>
          <t>1</t>
        </is>
      </c>
      <c r="J393">
        <f>((Inputs!$B$6*(1+Inputs!$B$7/100))+(((Inputs!$B$12*(1+Inputs!$B$13/100))-(Inputs!$B$12*(1+Inputs!$B$13/100)))+0.25*(Inputs!$B$14-Inputs!$B$14))*(1+Inputs!$B$7/100))*(F393/100)</f>
        <v/>
      </c>
      <c r="K393">
        <f>J393*(1+((Inputs!$B$12*(1+Inputs!$B$13/100))*0.01+Inputs!$B$14*0.0025)/100)*(1+Inputs!$B$15/100)*(1+Inputs!$B$16/100)*(5000/(6000+Inputs!$B$43*(1-Inputs!$B$19/100)))*(1+(((((1+Inputs!$B$24/100)*(1.01))-1)*100)+((C414=TRUE)*(F414-Calc!F30)))/100)*(1+(IF(Skills!A9="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393)</f>
        <v/>
      </c>
      <c r="L393">
        <f>K393*(MIN(Inputs!$B$22+((C408=TRUE)*(F408-Calc!F24)),Inputs!$B$23+((C413=TRUE)*(F413-Calc!F29)))/100+(Inputs!$B$23+((C413=TRUE)*(F413-Calc!F29)))/100)/2</f>
        <v/>
      </c>
      <c r="M393">
        <f>L393*(1+(Inputs!$B$10+((C410=TRUE)*(F410-Calc!F26))+B424)/100)</f>
        <v/>
      </c>
      <c r="N393">
        <f>L393*(1-MIN((Inputs!$B$9+((C409=TRUE)*(F409-Calc!F25))+B417),100)/100)+M393*(MIN((Inputs!$B$9+((C409=TRUE)*(F409-Calc!F25))+B417),100)/100)</f>
        <v/>
      </c>
      <c r="O393">
        <f>(1-Summary!$B$55)*T393+Summary!$B$55*V393</f>
        <v/>
      </c>
      <c r="P393">
        <f>IF(B429=0,0,O393/B429)</f>
        <v/>
      </c>
      <c r="Q393" t="n">
        <v>0</v>
      </c>
      <c r="R393" t="n">
        <v>0</v>
      </c>
      <c r="S393" t="n">
        <v>0</v>
      </c>
      <c r="T393">
        <f>IF(C393,(0.2*SUMPRODUCT((Skills!Z2:Z30=TRUE)*(C386:C414=TRUE)*S386:S414)*N393)*IF(Inputs!$B$39="pvp",1,1+(Inputs!$B$20+0+Skills!P9+B418)/100),0)</f>
        <v/>
      </c>
      <c r="V393">
        <f>IF(C393,(0.2*SUMPRODUCT((Skills!Z2:Z30=TRUE)*(C386:C414=TRUE)*S386:S414)*N393)*IF(Inputs!$B$39="pvp",1,(1+(Inputs!$B$21+Skills!Q9+B418)/100)*(MIN(Skills!W9,Inputs!$B$37))),0)</f>
        <v/>
      </c>
    </row>
    <row r="394">
      <c r="A394">
        <f>Skills!A10</f>
        <v/>
      </c>
      <c r="B394">
        <f>Skills!B10</f>
        <v/>
      </c>
      <c r="C394">
        <f>Inputs!$B$3&gt;=74</f>
        <v/>
      </c>
      <c r="D394">
        <f>IF(Skills!C10=1,60+Inputs!$B$25+Inputs!$B$29,IF(Skills!C10=2,90+Inputs!$B$26+Inputs!$B$29,IF(Skills!C10=3,120+Inputs!$B$27+Inputs!$B$29,MAX(0,(Inputs!$B$3-100)*3)+Inputs!$B$28+Inputs!$B$29)))</f>
        <v/>
      </c>
      <c r="E394">
        <f>INDEX(FactorTable!$B$2:$Y$301, MATCH(ROUND(MIN(300,MAX(1,D394)),0), FactorTable!$A$2:$A$301,0), Skills!M10+1)</f>
        <v/>
      </c>
      <c r="F394">
        <f>IF(Skills!N10=TRUE,(Skills!L10/10)*(E394/1000),Skills!L10/10)+Skills!O10</f>
        <v/>
      </c>
      <c r="G394">
        <f>Skills!G10*IF(Skills!H10&gt;0,Skills!I10/Skills!H10,1)</f>
        <v/>
      </c>
      <c r="H394">
        <f>1-(1-Skills!J10/100)^Skills!K10</f>
        <v/>
      </c>
      <c r="I394" t="inlineStr">
        <is>
          <t>1</t>
        </is>
      </c>
      <c r="J394" t="inlineStr"/>
      <c r="K394" t="inlineStr"/>
      <c r="L394" t="inlineStr"/>
      <c r="M394" t="inlineStr"/>
      <c r="N394" t="inlineStr"/>
      <c r="O394">
        <f>(1-Summary!$B$55)*T394+Summary!$B$55*V394</f>
        <v/>
      </c>
      <c r="P394">
        <f>IF(B429=0,0,O394/B429)</f>
        <v/>
      </c>
      <c r="Q394">
        <f>IFERROR(1/IF(Inputs!$B$39="pvp",15,MAX(0.1,Skills!D10-IF(Skills!E10=TRUE,Inputs!$B$32,0))),0)</f>
        <v/>
      </c>
      <c r="R394">
        <f>IF(AND(Inputs!$B$39&lt;&gt;"pvp",Inputs!$B$44&gt;0),IF(Inputs!$B$44&lt;=0,0,(INT(Inputs!$B$44/IF(Inputs!$B$39="pvp",15,MAX(0.1,Skills!D10-IF(Skills!E10=TRUE,Inputs!$B$32,0))))+1)),0)</f>
        <v/>
      </c>
      <c r="S394">
        <f>IFERROR(O394/N394,0)</f>
        <v/>
      </c>
      <c r="T394" t="n">
        <v>0</v>
      </c>
      <c r="V394" t="n">
        <v>0</v>
      </c>
    </row>
    <row r="395">
      <c r="A395">
        <f>Skills!A11</f>
        <v/>
      </c>
      <c r="B395">
        <f>Skills!B11</f>
        <v/>
      </c>
      <c r="C395">
        <f>Inputs!$B$3&gt;=103</f>
        <v/>
      </c>
      <c r="D395">
        <f>IF(Skills!C11=1,60+Inputs!$B$25+Inputs!$B$29,IF(Skills!C11=2,90+Inputs!$B$26+Inputs!$B$29,IF(Skills!C11=3,120+Inputs!$B$27+Inputs!$B$29,MAX(0,(Inputs!$B$3-100)*3)+Inputs!$B$28+Inputs!$B$29)))</f>
        <v/>
      </c>
      <c r="E395">
        <f>INDEX(FactorTable!$B$2:$Y$301, MATCH(ROUND(MIN(300,MAX(1,D395)),0), FactorTable!$A$2:$A$301,0), Skills!M11+1)</f>
        <v/>
      </c>
      <c r="F395">
        <f>(Skills!L11/10)*(E395/1000)+IF(Inputs!$B$3&gt;=134,50,0)+0.5*(30000/10)*(INDEX(FactorTable!$B$2:$Y$301, MATCH(ROUND(MIN(300,MAX(1,D395)),0), FactorTable!$A$2:$A$301,0), 13)/1000)*B427</f>
        <v/>
      </c>
      <c r="G395">
        <f>Skills!G11*IF(Skills!H11&gt;0,Skills!I11/Skills!H11,1)</f>
        <v/>
      </c>
      <c r="H395">
        <f>1-(1-Skills!J11/100)^Skills!K11</f>
        <v/>
      </c>
      <c r="I395" t="inlineStr">
        <is>
          <t>1</t>
        </is>
      </c>
      <c r="J395">
        <f>((Inputs!$B$6*(1+Inputs!$B$7/100))+(((Inputs!$B$12*(1+Inputs!$B$13/100))-(Inputs!$B$12*(1+Inputs!$B$13/100)))+0.25*(Inputs!$B$14-Inputs!$B$14))*(1+Inputs!$B$7/100))*(F395/100)</f>
        <v/>
      </c>
      <c r="K395">
        <f>J395*(1+((Inputs!$B$12*(1+Inputs!$B$13/100))*0.01+Inputs!$B$14*0.0025)/100)*(1+Inputs!$B$15/100)*(1+Inputs!$B$16/100)*(5000/(6000+Inputs!$B$43*(1-Inputs!$B$19/100)))*(1+(((((1+Inputs!$B$24/100)*(1.01))-1)*100)+((C414=TRUE)*(F414-Calc!F30)))/100)*(1+(IF(Skills!A11="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395)</f>
        <v/>
      </c>
      <c r="L395">
        <f>K395*(MIN(Inputs!$B$22+((C408=TRUE)*(F408-Calc!F24)),Inputs!$B$23+((C413=TRUE)*(F413-Calc!F29)))/100+(Inputs!$B$23+((C413=TRUE)*(F413-Calc!F29)))/100)/2</f>
        <v/>
      </c>
      <c r="M395">
        <f>L395*(1+(Inputs!$B$10+((C410=TRUE)*(F410-Calc!F26))+B424)/100)</f>
        <v/>
      </c>
      <c r="N395">
        <f>L395*(1-MIN((Inputs!$B$9+((C409=TRUE)*(F409-Calc!F25))+B417),100)/100)+M395*(MIN((Inputs!$B$9+((C409=TRUE)*(F409-Calc!F25))+B417),100)/100)</f>
        <v/>
      </c>
      <c r="O395">
        <f>(1-Summary!$B$55)*T395+Summary!$B$55*V395</f>
        <v/>
      </c>
      <c r="P395">
        <f>IF(B429=0,0,O395/B429)</f>
        <v/>
      </c>
      <c r="Q395">
        <f>IFERROR(1/IF(Inputs!$B$39="pvp",15,MAX(0.1,Skills!D11-IF(Skills!E11=TRUE,Inputs!$B$32,0))),0)</f>
        <v/>
      </c>
      <c r="R395">
        <f>IF(AND(Inputs!$B$39&lt;&gt;"pvp",Inputs!$B$44&gt;0),IF(MAX(0,Inputs!$B$44-B428)&lt;=0,0,(INT(MAX(0,Inputs!$B$44-B428)/IF(Inputs!$B$39="pvp",15,MAX(0.1,Skills!D11-IF(Skills!E11=TRUE,Inputs!$B$32,0))))+1)),0)</f>
        <v/>
      </c>
      <c r="S395">
        <f>IFERROR(O395/N395,0)</f>
        <v/>
      </c>
      <c r="T395">
        <f>IF(C395,(H395*N395*IF(AND(Inputs!$B$39&lt;&gt;"pvp",Inputs!$B$44&gt;0),((Skills!G11*((R395-1)*IF(Skills!H11&gt;0,Skills!I11/Skills!H11,1)+IF(Skills!H11&gt;0,MIN(Skills!I11,MAX(0,MAX(0,Inputs!$B$44-B428)-((R395-1)*IF(Inputs!$B$39="pvp",15,MAX(0.1,Skills!D11-IF(Skills!E11=TRUE,Inputs!$B$32,0))))))/Skills!H11,1)))/Inputs!$B$44),G395*Q395))*IF(Inputs!$B$39="pvp",1,1+(Inputs!$B$20+0+Skills!P11+B418)/100),0)</f>
        <v/>
      </c>
      <c r="V395">
        <f>IF(C395,(H395*N395*IF(AND(Inputs!$B$39&lt;&gt;"pvp",Inputs!$B$44&gt;0),((Skills!G11*((R395-1)*IF(Skills!H11&gt;0,Skills!I11/Skills!H11,1)+IF(Skills!H11&gt;0,MIN(Skills!I11,MAX(0,MAX(0,Inputs!$B$44-B428)-((R395-1)*IF(Inputs!$B$39="pvp",15,MAX(0.1,Skills!D11-IF(Skills!E11=TRUE,Inputs!$B$32,0))))))/Skills!H11,1)))/Inputs!$B$44),G395*Q395))*IF(Inputs!$B$39="pvp",1,(1+(Inputs!$B$21+Skills!Q11+B418)/100)*(MIN(Skills!W11,Inputs!$B$37))),0)</f>
        <v/>
      </c>
    </row>
    <row r="396">
      <c r="A396">
        <f>Skills!A12</f>
        <v/>
      </c>
      <c r="B396">
        <f>Skills!B12</f>
        <v/>
      </c>
      <c r="C396">
        <f>Inputs!$B$3&gt;=105</f>
        <v/>
      </c>
      <c r="D396">
        <f>IF(Skills!C12=1,60+Inputs!$B$25+Inputs!$B$29,IF(Skills!C12=2,90+Inputs!$B$26+Inputs!$B$29,IF(Skills!C12=3,120+Inputs!$B$27+Inputs!$B$29,MAX(0,(Inputs!$B$3-100)*3)+Inputs!$B$28+Inputs!$B$29)))</f>
        <v/>
      </c>
      <c r="E396">
        <f>INDEX(FactorTable!$B$2:$Y$301, MATCH(ROUND(MIN(300,MAX(1,D396)),0), FactorTable!$A$2:$A$301,0), Skills!M12+1)</f>
        <v/>
      </c>
      <c r="F396">
        <f>IF(Skills!N12=TRUE,(Skills!L12/10)*(E396/1000),Skills!L12/10)+Skills!O12</f>
        <v/>
      </c>
      <c r="G396">
        <f>Skills!G12*IF(Skills!H12&gt;0,Skills!I12/Skills!H12,1)</f>
        <v/>
      </c>
      <c r="H396">
        <f>1-(1-Skills!J12/100)^Skills!K12</f>
        <v/>
      </c>
      <c r="I396" t="inlineStr">
        <is>
          <t>1</t>
        </is>
      </c>
      <c r="J396">
        <f>((Inputs!$B$6*(1+Inputs!$B$7/100))+(((Inputs!$B$12*(1+Inputs!$B$13/100))-(Inputs!$B$12*(1+Inputs!$B$13/100)))+0.25*(Inputs!$B$14-Inputs!$B$14))*(1+Inputs!$B$7/100))*(F396/100)</f>
        <v/>
      </c>
      <c r="K396">
        <f>J396*(1+((Inputs!$B$12*(1+Inputs!$B$13/100))*0.01+Inputs!$B$14*0.0025)/100)*(1+Inputs!$B$15/100)*(1+Inputs!$B$16/100)*(5000/(6000+Inputs!$B$43*(1-Inputs!$B$19/100)))*(1+(((((1+Inputs!$B$24/100)*(1.01))-1)*100)+((C414=TRUE)*(F414-Calc!F30)))/100)*(1+(IF(Skills!A12="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396)</f>
        <v/>
      </c>
      <c r="L396">
        <f>K396*(MIN(Inputs!$B$22+((C408=TRUE)*(F408-Calc!F24)),Inputs!$B$23+((C413=TRUE)*(F413-Calc!F29)))/100+(Inputs!$B$23+((C413=TRUE)*(F413-Calc!F29)))/100)/2</f>
        <v/>
      </c>
      <c r="M396">
        <f>L396*(1+(Inputs!$B$10+((C410=TRUE)*(F410-Calc!F26))+B424)/100)</f>
        <v/>
      </c>
      <c r="N396">
        <f>L396*(1-MIN((Inputs!$B$9+((C409=TRUE)*(F409-Calc!F25))+B417),100)/100)+M396*(MIN((Inputs!$B$9+((C409=TRUE)*(F409-Calc!F25))+B417),100)/100)</f>
        <v/>
      </c>
      <c r="O396">
        <f>(1-Summary!$B$55)*T396+Summary!$B$55*V396</f>
        <v/>
      </c>
      <c r="P396">
        <f>IF(B429=0,0,O396/B429)</f>
        <v/>
      </c>
      <c r="Q396">
        <f>IFERROR(1/IF(Inputs!$B$39="pvp",15,MAX(0.1,Skills!D12-IF(Skills!E12=TRUE,Inputs!$B$32,0))),0)</f>
        <v/>
      </c>
      <c r="R396">
        <f>IF(AND(Inputs!$B$39&lt;&gt;"pvp",Inputs!$B$44&gt;0),IF(MAX(0,Inputs!$B$44-B428)&lt;=0,0,(INT(MAX(0,Inputs!$B$44-B428)/IF(Inputs!$B$39="pvp",15,MAX(0.1,Skills!D12-IF(Skills!E12=TRUE,Inputs!$B$32,0))))+1)),0)</f>
        <v/>
      </c>
      <c r="S396">
        <f>IFERROR(O396/N396,0)</f>
        <v/>
      </c>
      <c r="T396">
        <f>IF(C396,(H396*N396*IF(AND(Inputs!$B$39&lt;&gt;"pvp",Inputs!$B$44&gt;0),((Skills!G12*((R396-1)*IF(Skills!H12&gt;0,Skills!I12/Skills!H12,1)+IF(Skills!H12&gt;0,MIN(Skills!I12,MAX(0,MAX(0,Inputs!$B$44-B428)-((R396-1)*IF(Inputs!$B$39="pvp",15,MAX(0.1,Skills!D12-IF(Skills!E12=TRUE,Inputs!$B$32,0))))))/Skills!H12,1)))/Inputs!$B$44),G396*Q396))*IF(Inputs!$B$39="pvp",1,1+(Inputs!$B$20+0+Skills!P12+B418)/100),0)</f>
        <v/>
      </c>
      <c r="V396">
        <f>IF(C396,(H396*N396*IF(AND(Inputs!$B$39&lt;&gt;"pvp",Inputs!$B$44&gt;0),((Skills!G12*((R396-1)*IF(Skills!H12&gt;0,Skills!I12/Skills!H12,1)+IF(Skills!H12&gt;0,MIN(Skills!I12,MAX(0,MAX(0,Inputs!$B$44-B428)-((R396-1)*IF(Inputs!$B$39="pvp",15,MAX(0.1,Skills!D12-IF(Skills!E12=TRUE,Inputs!$B$32,0))))))/Skills!H12,1)))/Inputs!$B$44),G396*Q396))*IF(Inputs!$B$39="pvp",1,(1+(Inputs!$B$21+Skills!Q12+B418)/100)*(MIN(Skills!W12,Inputs!$B$37))),0)</f>
        <v/>
      </c>
    </row>
    <row r="397">
      <c r="A397">
        <f>Skills!A13</f>
        <v/>
      </c>
      <c r="B397">
        <f>Skills!B13</f>
        <v/>
      </c>
      <c r="C397">
        <f>Inputs!$B$3&gt;=105</f>
        <v/>
      </c>
      <c r="D397">
        <f>IF(Skills!C13=1,60+Inputs!$B$25+Inputs!$B$29,IF(Skills!C13=2,90+Inputs!$B$26+Inputs!$B$29,IF(Skills!C13=3,120+Inputs!$B$27+Inputs!$B$29,MAX(0,(Inputs!$B$3-100)*3)+Inputs!$B$28+Inputs!$B$29)))</f>
        <v/>
      </c>
      <c r="E397">
        <f>INDEX(FactorTable!$B$2:$Y$301, MATCH(ROUND(MIN(300,MAX(1,D397)),0), FactorTable!$A$2:$A$301,0), Skills!M13+1)</f>
        <v/>
      </c>
      <c r="F397">
        <f>IF(Skills!N13=TRUE,(Skills!L13/10)*(E397/1000),Skills!L13/10)+Skills!O13</f>
        <v/>
      </c>
      <c r="G397">
        <f>Skills!G13*IF(Skills!H13&gt;0,Skills!I13/Skills!H13,1)</f>
        <v/>
      </c>
      <c r="H397">
        <f>1-(1-Skills!J13/100)^Skills!K13</f>
        <v/>
      </c>
      <c r="I397" t="inlineStr">
        <is>
          <t>1</t>
        </is>
      </c>
      <c r="J397">
        <f>((Inputs!$B$6*(1+Inputs!$B$7/100))+(((Inputs!$B$12*(1+Inputs!$B$13/100))-(Inputs!$B$12*(1+Inputs!$B$13/100)))+0.25*(Inputs!$B$14-Inputs!$B$14))*(1+Inputs!$B$7/100))*(F397/100)</f>
        <v/>
      </c>
      <c r="K397">
        <f>J397*(1+((Inputs!$B$12*(1+Inputs!$B$13/100))*0.01+Inputs!$B$14*0.0025)/100)*(1+Inputs!$B$15/100)*(1+Inputs!$B$16/100)*(5000/(6000+Inputs!$B$43*(1-Inputs!$B$19/100)))*(1+(((((1+Inputs!$B$24/100)*(1.01))-1)*100)+((C414=TRUE)*(F414-Calc!F30)))/100)*(1+(IF(Skills!A13="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397)</f>
        <v/>
      </c>
      <c r="L397">
        <f>K397*(MIN(Inputs!$B$22+((C408=TRUE)*(F408-Calc!F24)),Inputs!$B$23+((C413=TRUE)*(F413-Calc!F29)))/100+(Inputs!$B$23+((C413=TRUE)*(F413-Calc!F29)))/100)/2</f>
        <v/>
      </c>
      <c r="M397">
        <f>L397*(1+(Inputs!$B$10+((C410=TRUE)*(F410-Calc!F26))+B424)/100)</f>
        <v/>
      </c>
      <c r="N397">
        <f>L397*(1-MIN((Inputs!$B$9+((C409=TRUE)*(F409-Calc!F25))+B417),100)/100)+M397*(MIN((Inputs!$B$9+((C409=TRUE)*(F409-Calc!F25))+B417),100)/100)</f>
        <v/>
      </c>
      <c r="O397">
        <f>(1-Summary!$B$55)*T397+Summary!$B$55*V397</f>
        <v/>
      </c>
      <c r="P397">
        <f>IF(B429=0,0,O397/B429)</f>
        <v/>
      </c>
      <c r="Q397">
        <f>IFERROR(1/IF(Inputs!$B$39="pvp",15,MAX(0.1,Skills!D13-IF(Skills!E13=TRUE,Inputs!$B$32,0))),0)</f>
        <v/>
      </c>
      <c r="R397">
        <f>IF(AND(Inputs!$B$39&lt;&gt;"pvp",Inputs!$B$44&gt;0),IF(MAX(0,Inputs!$B$44-B428)&lt;=0,0,(INT(MAX(0,Inputs!$B$44-B428)/IF(Inputs!$B$39="pvp",15,MAX(0.1,Skills!D13-IF(Skills!E13=TRUE,Inputs!$B$32,0))))+1)),0)</f>
        <v/>
      </c>
      <c r="S397">
        <f>IFERROR(O397/N397,0)</f>
        <v/>
      </c>
      <c r="T397">
        <f>IF(C397,(H397*N397*IF(AND(Inputs!$B$39&lt;&gt;"pvp",Inputs!$B$44&gt;0),((Skills!G13*((R397-1)*IF(Skills!H13&gt;0,Skills!I13/Skills!H13,1)+IF(Skills!H13&gt;0,MIN(Skills!I13,MAX(0,MAX(0,Inputs!$B$44-B428)-((R397-1)*IF(Inputs!$B$39="pvp",15,MAX(0.1,Skills!D13-IF(Skills!E13=TRUE,Inputs!$B$32,0))))))/Skills!H13,1)))/Inputs!$B$44),G397*Q397))*IF(Inputs!$B$39="pvp",1,1+(Inputs!$B$20+0+Skills!P13+B418)/100),0)</f>
        <v/>
      </c>
      <c r="V397">
        <f>IF(C397,(H397*N397*IF(AND(Inputs!$B$39&lt;&gt;"pvp",Inputs!$B$44&gt;0),((Skills!G13*((R397-1)*IF(Skills!H13&gt;0,Skills!I13/Skills!H13,1)+IF(Skills!H13&gt;0,MIN(Skills!I13,MAX(0,MAX(0,Inputs!$B$44-B428)-((R397-1)*IF(Inputs!$B$39="pvp",15,MAX(0.1,Skills!D13-IF(Skills!E13=TRUE,Inputs!$B$32,0))))))/Skills!H13,1)))/Inputs!$B$44),G397*Q397))*IF(Inputs!$B$39="pvp",1,(1+(Inputs!$B$21+Skills!Q13+B418)/100)*(MIN(Skills!W13,Inputs!$B$37))),0)</f>
        <v/>
      </c>
    </row>
    <row r="398">
      <c r="A398">
        <f>Skills!A14</f>
        <v/>
      </c>
      <c r="B398">
        <f>Skills!B14</f>
        <v/>
      </c>
      <c r="C398">
        <f>Inputs!$B$3&gt;=107</f>
        <v/>
      </c>
      <c r="D398">
        <f>IF(Skills!C14=1,60+Inputs!$B$25+Inputs!$B$29,IF(Skills!C14=2,90+Inputs!$B$26+Inputs!$B$29,IF(Skills!C14=3,120+Inputs!$B$27+Inputs!$B$29,MAX(0,(Inputs!$B$3-100)*3)+Inputs!$B$28+Inputs!$B$29)))</f>
        <v/>
      </c>
      <c r="E398">
        <f>INDEX(FactorTable!$B$2:$Y$301, MATCH(ROUND(MIN(300,MAX(1,D398)),0), FactorTable!$A$2:$A$301,0), Skills!M14+1)</f>
        <v/>
      </c>
      <c r="F398">
        <f>IF(Skills!N14=TRUE,(Skills!L14/10)*(E398/1000),Skills!L14/10)+Skills!O14</f>
        <v/>
      </c>
      <c r="G398">
        <f>Skills!G14*IF(Skills!H14&gt;0,Skills!I14/Skills!H14,1)</f>
        <v/>
      </c>
      <c r="H398">
        <f>1-(1-Skills!J14/100)^Skills!K14</f>
        <v/>
      </c>
      <c r="I398" t="inlineStr">
        <is>
          <t>1</t>
        </is>
      </c>
      <c r="J398">
        <f>((Inputs!$B$6*(1+Inputs!$B$7/100))+(((Inputs!$B$12*(1+Inputs!$B$13/100))-(Inputs!$B$12*(1+Inputs!$B$13/100)))+0.25*(Inputs!$B$14-Inputs!$B$14))*(1+Inputs!$B$7/100))*(F398/100)</f>
        <v/>
      </c>
      <c r="K398">
        <f>J398*(1+((Inputs!$B$12*(1+Inputs!$B$13/100))*0.01+Inputs!$B$14*0.0025)/100)*(1+Inputs!$B$15/100)*(1+Inputs!$B$16/100)*(5000/(6000+Inputs!$B$43*(1-Inputs!$B$19/100)))*(1+(((((1+Inputs!$B$24/100)*(1.01))-1)*100)+((C414=TRUE)*(F414-Calc!F30)))/100)*(1+(IF(Skills!A14="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398)</f>
        <v/>
      </c>
      <c r="L398">
        <f>K398*(MIN(Inputs!$B$22+((C408=TRUE)*(F408-Calc!F24)),Inputs!$B$23+((C413=TRUE)*(F413-Calc!F29)))/100+(Inputs!$B$23+((C413=TRUE)*(F413-Calc!F29)))/100)/2</f>
        <v/>
      </c>
      <c r="M398">
        <f>L398*(1+(Inputs!$B$10+((C410=TRUE)*(F410-Calc!F26))+B424)/100)</f>
        <v/>
      </c>
      <c r="N398">
        <f>L398*(1-MIN((Inputs!$B$9+((C409=TRUE)*(F409-Calc!F25))+B417),100)/100)+M398*(MIN((Inputs!$B$9+((C409=TRUE)*(F409-Calc!F25))+B417),100)/100)</f>
        <v/>
      </c>
      <c r="O398">
        <f>(1-Summary!$B$55)*T398+Summary!$B$55*V398</f>
        <v/>
      </c>
      <c r="P398">
        <f>IF(B429=0,0,O398/B429)</f>
        <v/>
      </c>
      <c r="Q398">
        <f>IFERROR(1/IF(Inputs!$B$39="pvp",15,MAX(0.1,Skills!D14-IF(Skills!E14=TRUE,Inputs!$B$32,0))),0)</f>
        <v/>
      </c>
      <c r="R398">
        <f>IF(AND(Inputs!$B$39&lt;&gt;"pvp",Inputs!$B$44&gt;0),IF(MAX(0,Inputs!$B$44-B428)&lt;=0,0,(INT(MAX(0,Inputs!$B$44-B428)/IF(Inputs!$B$39="pvp",15,MAX(0.1,Skills!D14-IF(Skills!E14=TRUE,Inputs!$B$32,0))))+1)),0)</f>
        <v/>
      </c>
      <c r="S398">
        <f>IFERROR(O398/N398,0)</f>
        <v/>
      </c>
      <c r="T398">
        <f>IF(C398,(H398*N398*IF(AND(Inputs!$B$39&lt;&gt;"pvp",Inputs!$B$44&gt;0),((Skills!G14*((R398-1)*IF(Skills!H14&gt;0,Skills!I14/Skills!H14,1)+IF(Skills!H14&gt;0,MIN(Skills!I14,MAX(0,MAX(0,Inputs!$B$44-B428)-((R398-1)*IF(Inputs!$B$39="pvp",15,MAX(0.1,Skills!D14-IF(Skills!E14=TRUE,Inputs!$B$32,0))))))/Skills!H14,1)))/Inputs!$B$44),G398*Q398))*IF(Inputs!$B$39="pvp",1,1+(Inputs!$B$20+0+Skills!P14+B418)/100),0)</f>
        <v/>
      </c>
      <c r="V398">
        <f>IF(C398,(H398*N398*IF(AND(Inputs!$B$39&lt;&gt;"pvp",Inputs!$B$44&gt;0),((Skills!G14*((R398-1)*IF(Skills!H14&gt;0,Skills!I14/Skills!H14,1)+IF(Skills!H14&gt;0,MIN(Skills!I14,MAX(0,MAX(0,Inputs!$B$44-B428)-((R398-1)*IF(Inputs!$B$39="pvp",15,MAX(0.1,Skills!D14-IF(Skills!E14=TRUE,Inputs!$B$32,0))))))/Skills!H14,1)))/Inputs!$B$44),G398*Q398))*IF(Inputs!$B$39="pvp",1,(1+(Inputs!$B$21+Skills!Q14+B418)/100)*(MIN(MIN(5,0.25*B421*Skills!D4)*Skills!V14,Inputs!$B$37))),0)</f>
        <v/>
      </c>
    </row>
    <row r="399">
      <c r="A399">
        <f>Skills!A15</f>
        <v/>
      </c>
      <c r="B399">
        <f>Skills!B15</f>
        <v/>
      </c>
      <c r="C399">
        <f>Inputs!$B$3&gt;=110</f>
        <v/>
      </c>
      <c r="D399">
        <f>IF(Skills!C15=1,60+Inputs!$B$25+Inputs!$B$29,IF(Skills!C15=2,90+Inputs!$B$26+Inputs!$B$29,IF(Skills!C15=3,120+Inputs!$B$27+Inputs!$B$29,MAX(0,(Inputs!$B$3-100)*3)+Inputs!$B$28+Inputs!$B$29)))</f>
        <v/>
      </c>
      <c r="E399">
        <f>INDEX(FactorTable!$B$2:$Y$301, MATCH(ROUND(MIN(300,MAX(1,D399)),0), FactorTable!$A$2:$A$301,0), Skills!M15+1)</f>
        <v/>
      </c>
      <c r="F399">
        <f>IF(Skills!N15=TRUE,(Skills!L15/10)*(E399/1000),Skills!L15/10)+Skills!O15</f>
        <v/>
      </c>
      <c r="G399">
        <f>Skills!G15*IF(Skills!H15&gt;0,Skills!I15/Skills!H15,1)</f>
        <v/>
      </c>
      <c r="H399">
        <f>1-(1-Skills!J15/100)^Skills!K15</f>
        <v/>
      </c>
      <c r="I399" t="inlineStr">
        <is>
          <t>1</t>
        </is>
      </c>
      <c r="J399" t="inlineStr"/>
      <c r="K399" t="inlineStr"/>
      <c r="L399" t="inlineStr"/>
      <c r="M399" t="inlineStr"/>
      <c r="N399" t="inlineStr"/>
      <c r="O399">
        <f>(1-Summary!$B$55)*T399+Summary!$B$55*V399</f>
        <v/>
      </c>
      <c r="P399">
        <f>IF(B429=0,0,O399/B429)</f>
        <v/>
      </c>
      <c r="Q399">
        <f>IFERROR(1/IF(Inputs!$B$39="pvp",15,MAX(0.1,Skills!D15-IF(Skills!E15=TRUE,Inputs!$B$32,0))),0)</f>
        <v/>
      </c>
      <c r="R399">
        <f>IF(AND(Inputs!$B$39&lt;&gt;"pvp",Inputs!$B$44&gt;0),IF(Inputs!$B$44&lt;=0,0,(INT(Inputs!$B$44/IF(Inputs!$B$39="pvp",15,MAX(0.1,Skills!D15-IF(Skills!E15=TRUE,Inputs!$B$32,0))))+1)),0)</f>
        <v/>
      </c>
      <c r="S399">
        <f>IFERROR(O399/N399,0)</f>
        <v/>
      </c>
      <c r="T399" t="n">
        <v>0</v>
      </c>
      <c r="V399" t="n">
        <v>0</v>
      </c>
    </row>
    <row r="400">
      <c r="A400">
        <f>Skills!A16</f>
        <v/>
      </c>
      <c r="B400">
        <f>Skills!B16</f>
        <v/>
      </c>
      <c r="C400">
        <f>Inputs!$B$3&gt;=115</f>
        <v/>
      </c>
      <c r="D400">
        <f>IF(Skills!C16=1,60+Inputs!$B$25+Inputs!$B$29,IF(Skills!C16=2,90+Inputs!$B$26+Inputs!$B$29,IF(Skills!C16=3,120+Inputs!$B$27+Inputs!$B$29,MAX(0,(Inputs!$B$3-100)*3)+Inputs!$B$28+Inputs!$B$29)))</f>
        <v/>
      </c>
      <c r="E400">
        <f>INDEX(FactorTable!$B$2:$Y$301, MATCH(ROUND(MIN(300,MAX(1,D400)),0), FactorTable!$A$2:$A$301,0), Skills!M16+1)</f>
        <v/>
      </c>
      <c r="F400">
        <f>IF(Skills!N16=TRUE,(Skills!L16/10)*(E400/1000),Skills!L16/10)+Skills!O16</f>
        <v/>
      </c>
      <c r="G400">
        <f>Skills!G16*IF(Skills!H16&gt;0,Skills!I16/Skills!H16,1)</f>
        <v/>
      </c>
      <c r="H400">
        <f>1-(1-Skills!J16/100)^Skills!K16</f>
        <v/>
      </c>
      <c r="I400" t="inlineStr">
        <is>
          <t>1</t>
        </is>
      </c>
      <c r="J400">
        <f>((Inputs!$B$6*(1+Inputs!$B$7/100))+(((Inputs!$B$12*(1+Inputs!$B$13/100))-(Inputs!$B$12*(1+Inputs!$B$13/100)))+0.25*(Inputs!$B$14-Inputs!$B$14))*(1+Inputs!$B$7/100))*(F400/100)</f>
        <v/>
      </c>
      <c r="K400">
        <f>J400*(1+((Inputs!$B$12*(1+Inputs!$B$13/100))*0.01+Inputs!$B$14*0.0025)/100)*(1+Inputs!$B$15/100)*(1+Inputs!$B$16/100)*(5000/(6000+Inputs!$B$43*(1-Inputs!$B$19/100)))*(1+(((((1+Inputs!$B$24/100)*(1.01))-1)*100)+((C414=TRUE)*(F414-Calc!F30)))/100)*(1+(IF(Skills!A16="CRUEL_STAB",Inputs!$B$17+((C411=TRUE)*(F411-Calc!F27)),Inputs!$B$18+((C412=TRUE)*(F412-Calc!F28))))/100)*(((1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B419*I400)</f>
        <v/>
      </c>
      <c r="L400">
        <f>K400*(MIN(Inputs!$B$22+((C408=TRUE)*(F408-Calc!F24)),Inputs!$B$23+((C413=TRUE)*(F413-Calc!F29)))/100+(Inputs!$B$23+((C413=TRUE)*(F413-Calc!F29)))/100)/2</f>
        <v/>
      </c>
      <c r="M400">
        <f>L400*(1+(Inputs!$B$10+((C410=TRUE)*(F410-Calc!F26))+B424)/100)</f>
        <v/>
      </c>
      <c r="N400">
        <f>L400*(1-MIN((Inputs!$B$9+((C409=TRUE)*(F409-Calc!F25))+B417),100)/100)+M400*(MIN((Inputs!$B$9+((C409=TRUE)*(F409-Calc!F25))+B417),100)/100)</f>
        <v/>
      </c>
      <c r="O400">
        <f>(1-Summary!$B$55)*T400+Summary!$B$55*V400</f>
        <v/>
      </c>
      <c r="P400">
        <f>IF(B429=0,0,O400/B429)</f>
        <v/>
      </c>
      <c r="Q400" t="n">
        <v>0</v>
      </c>
      <c r="R400" t="n">
        <v>0</v>
      </c>
      <c r="S400">
        <f>IFERROR(O400/N400,0)</f>
        <v/>
      </c>
      <c r="T400">
        <f>IF(C400,(Inputs!$B$38*0.2*N400)*IF(Inputs!$B$39="pvp",1,1+(Inputs!$B$20+0+Skills!P16+B418)/100),0)</f>
        <v/>
      </c>
      <c r="V400">
        <f>IF(C400,(Inputs!$B$38*0.2*N400)*IF(Inputs!$B$39="pvp",1,(1+(Inputs!$B$21+Skills!Q16+B418)/100)*(MIN(Skills!W16,Inputs!$B$37))),0)</f>
        <v/>
      </c>
    </row>
    <row r="401">
      <c r="A401">
        <f>Skills!A17</f>
        <v/>
      </c>
      <c r="B401">
        <f>Skills!B17</f>
        <v/>
      </c>
      <c r="C401">
        <f>Inputs!$B$3&gt;=115</f>
        <v/>
      </c>
      <c r="D401">
        <f>IF(Skills!C17=1,60+Inputs!$B$25+Inputs!$B$29,IF(Skills!C17=2,90+Inputs!$B$26+Inputs!$B$29,IF(Skills!C17=3,120+Inputs!$B$27+Inputs!$B$29,MAX(0,(Inputs!$B$3-100)*3)+Inputs!$B$28+Inputs!$B$29)))</f>
        <v/>
      </c>
      <c r="E401">
        <f>INDEX(FactorTable!$B$2:$Y$301, MATCH(ROUND(MIN(300,MAX(1,D401)),0), FactorTable!$A$2:$A$301,0), Skills!M17+1)</f>
        <v/>
      </c>
      <c r="F401">
        <f>IF(Skills!N17=TRUE,(Skills!L17/10)*(E401/1000),Skills!L17/10)+Skills!O17</f>
        <v/>
      </c>
      <c r="G401">
        <f>Skills!G17*IF(Skills!H17&gt;0,Skills!I17/Skills!H17,1)</f>
        <v/>
      </c>
      <c r="H401">
        <f>1-(1-Skills!J17/100)^Skills!K17</f>
        <v/>
      </c>
      <c r="I401" t="inlineStr">
        <is>
          <t>1</t>
        </is>
      </c>
      <c r="J401" t="inlineStr"/>
      <c r="K401" t="inlineStr"/>
      <c r="L401" t="inlineStr"/>
      <c r="M401" t="inlineStr"/>
      <c r="N401" t="inlineStr"/>
      <c r="O401">
        <f>(1-Summary!$B$55)*T401+Summary!$B$55*V401</f>
        <v/>
      </c>
      <c r="P401">
        <f>IF(B429=0,0,O401/B429)</f>
        <v/>
      </c>
      <c r="Q401" t="n">
        <v>0</v>
      </c>
      <c r="R401" t="n">
        <v>0</v>
      </c>
      <c r="S401">
        <f>IFERROR(O401/N401,0)</f>
        <v/>
      </c>
      <c r="T401" t="n">
        <v>0</v>
      </c>
      <c r="V401" t="n">
        <v>0</v>
      </c>
    </row>
    <row r="402">
      <c r="A402">
        <f>Skills!A18</f>
        <v/>
      </c>
      <c r="B402">
        <f>Skills!B18</f>
        <v/>
      </c>
      <c r="C402">
        <f>Inputs!$B$3&gt;=100</f>
        <v/>
      </c>
      <c r="D402">
        <f>IF(Skills!C18=1,60+Inputs!$B$25+Inputs!$B$29,IF(Skills!C18=2,90+Inputs!$B$26+Inputs!$B$29,IF(Skills!C18=3,120+Inputs!$B$27+Inputs!$B$29,MAX(0,(Inputs!$B$3-100)*3)+Inputs!$B$28+Inputs!$B$29)))</f>
        <v/>
      </c>
      <c r="E402">
        <f>INDEX(FactorTable!$B$2:$Y$301, MATCH(ROUND(MIN(300,MAX(1,D402)),0), FactorTable!$A$2:$A$301,0), Skills!M18+1)</f>
        <v/>
      </c>
      <c r="F402">
        <f>IF(Skills!N18=TRUE,(Skills!L18/10)*(E402/1000),Skills!L18/10)+Skills!O18</f>
        <v/>
      </c>
      <c r="G402">
        <f>Skills!G18*IF(Skills!H18&gt;0,Skills!I18/Skills!H18,1)</f>
        <v/>
      </c>
      <c r="H402">
        <f>1-(1-Skills!J18/100)^Skills!K18</f>
        <v/>
      </c>
      <c r="I402" t="inlineStr">
        <is>
          <t>1</t>
        </is>
      </c>
      <c r="J402" t="inlineStr"/>
      <c r="K402" t="inlineStr"/>
      <c r="L402" t="inlineStr"/>
      <c r="M402" t="inlineStr"/>
      <c r="N402" t="inlineStr"/>
      <c r="O402">
        <f>(1-Summary!$B$55)*T402+Summary!$B$55*V402</f>
        <v/>
      </c>
      <c r="P402">
        <f>IF(B429=0,0,O402/B429)</f>
        <v/>
      </c>
      <c r="Q402" t="n">
        <v>0</v>
      </c>
      <c r="R402" t="n">
        <v>0</v>
      </c>
      <c r="S402">
        <f>IFERROR(O402/N402,0)</f>
        <v/>
      </c>
      <c r="T402" t="n">
        <v>0</v>
      </c>
      <c r="V402" t="n">
        <v>0</v>
      </c>
    </row>
    <row r="403">
      <c r="A403">
        <f>Skills!A19</f>
        <v/>
      </c>
      <c r="B403">
        <f>Skills!B19</f>
        <v/>
      </c>
      <c r="C403">
        <f>TRUE</f>
        <v/>
      </c>
      <c r="D403">
        <f>IF(Skills!C19=1,60+Inputs!$B$25+Inputs!$B$29,IF(Skills!C19=2,90+Inputs!$B$26+Inputs!$B$29,IF(Skills!C19=3,120+Inputs!$B$27+Inputs!$B$29,MAX(0,(Inputs!$B$3-100)*3)+Inputs!$B$28+Inputs!$B$29)))</f>
        <v/>
      </c>
      <c r="E403">
        <f>INDEX(FactorTable!$B$2:$Y$301, MATCH(ROUND(MIN(300,MAX(1,D403)),0), FactorTable!$A$2:$A$301,0), Skills!M19+1)</f>
        <v/>
      </c>
      <c r="F403">
        <f>IF(Skills!N19=TRUE,(Skills!L19/10)*(E403/1000),Skills!L19/10)+Skills!O19</f>
        <v/>
      </c>
      <c r="G403">
        <f>Skills!G19*IF(Skills!H19&gt;0,Skills!I19/Skills!H19,1)</f>
        <v/>
      </c>
      <c r="H403">
        <f>1-(1-Skills!J19/100)^Skills!K19</f>
        <v/>
      </c>
      <c r="I403" t="inlineStr">
        <is>
          <t>1</t>
        </is>
      </c>
      <c r="J403" t="inlineStr"/>
      <c r="K403" t="inlineStr"/>
      <c r="L403" t="inlineStr"/>
      <c r="M403" t="inlineStr"/>
      <c r="N403" t="inlineStr"/>
      <c r="O403">
        <f>(1-Summary!$B$55)*T403+Summary!$B$55*V403</f>
        <v/>
      </c>
      <c r="P403">
        <f>IF(B429=0,0,O403/B429)</f>
        <v/>
      </c>
      <c r="Q403">
        <f>IFERROR(1/IF(Inputs!$B$39="pvp",15,MAX(0.1,Skills!D19-IF(Skills!E19=TRUE,Inputs!$B$32,0))),0)</f>
        <v/>
      </c>
      <c r="R403">
        <f>IF(AND(Inputs!$B$39&lt;&gt;"pvp",Inputs!$B$44&gt;0),IF(Inputs!$B$44&lt;=0,0,(INT(Inputs!$B$44/IF(Inputs!$B$39="pvp",15,MAX(0.1,Skills!D19-IF(Skills!E19=TRUE,Inputs!$B$32,0))))+1)),0)</f>
        <v/>
      </c>
      <c r="S403">
        <f>IFERROR(O403/N403,0)</f>
        <v/>
      </c>
      <c r="T403" t="n">
        <v>0</v>
      </c>
      <c r="V403" t="n">
        <v>0</v>
      </c>
    </row>
    <row r="404">
      <c r="A404">
        <f>Skills!A20</f>
        <v/>
      </c>
      <c r="B404">
        <f>Skills!B20</f>
        <v/>
      </c>
      <c r="C404">
        <f>Inputs!$B$3&gt;=15</f>
        <v/>
      </c>
      <c r="D404">
        <f>IF(Skills!C20=1,60+Inputs!$B$25+Inputs!$B$29,IF(Skills!C20=2,90+Inputs!$B$26+Inputs!$B$29,IF(Skills!C20=3,120+Inputs!$B$27+Inputs!$B$29,MAX(0,(Inputs!$B$3-100)*3)+Inputs!$B$28+Inputs!$B$29)))</f>
        <v/>
      </c>
      <c r="E404">
        <f>INDEX(FactorTable!$B$2:$Y$301, MATCH(ROUND(MIN(300,MAX(1,D404)),0), FactorTable!$A$2:$A$301,0), Skills!M20+1)</f>
        <v/>
      </c>
      <c r="F404">
        <f>IF(Skills!N20=TRUE,(Skills!L20/10)*(E404/1000),Skills!L20/10)+Skills!O20</f>
        <v/>
      </c>
      <c r="G404">
        <f>Skills!G20*IF(Skills!H20&gt;0,Skills!I20/Skills!H20,1)</f>
        <v/>
      </c>
      <c r="H404">
        <f>1-(1-Skills!J20/100)^Skills!K20</f>
        <v/>
      </c>
      <c r="I404" t="inlineStr">
        <is>
          <t>1</t>
        </is>
      </c>
      <c r="J404" t="inlineStr"/>
      <c r="K404" t="inlineStr"/>
      <c r="L404" t="inlineStr"/>
      <c r="M404" t="inlineStr"/>
      <c r="N404" t="inlineStr"/>
      <c r="O404">
        <f>(1-Summary!$B$55)*T404+Summary!$B$55*V404</f>
        <v/>
      </c>
      <c r="P404">
        <f>IF(B429=0,0,O404/B429)</f>
        <v/>
      </c>
      <c r="Q404">
        <f>IFERROR(1/IF(Inputs!$B$39="pvp",15,MAX(0.1,Skills!D20-IF(Skills!E20=TRUE,Inputs!$B$32,0))),0)</f>
        <v/>
      </c>
      <c r="R404">
        <f>IF(AND(Inputs!$B$39&lt;&gt;"pvp",Inputs!$B$44&gt;0),IF(Inputs!$B$44&lt;=0,0,(INT(Inputs!$B$44/IF(Inputs!$B$39="pvp",15,MAX(0.1,Skills!D20-IF(Skills!E20=TRUE,Inputs!$B$32,0))))+1)),0)</f>
        <v/>
      </c>
      <c r="S404">
        <f>IFERROR(O404/N404,0)</f>
        <v/>
      </c>
      <c r="T404" t="n">
        <v>0</v>
      </c>
      <c r="V404" t="n">
        <v>0</v>
      </c>
    </row>
    <row r="405">
      <c r="A405">
        <f>Skills!A21</f>
        <v/>
      </c>
      <c r="B405">
        <f>Skills!B21</f>
        <v/>
      </c>
      <c r="C405">
        <f>Inputs!$B$3&gt;=15</f>
        <v/>
      </c>
      <c r="D405">
        <f>IF(Skills!C21=1,60+Inputs!$B$25+Inputs!$B$29,IF(Skills!C21=2,90+Inputs!$B$26+Inputs!$B$29,IF(Skills!C21=3,120+Inputs!$B$27+Inputs!$B$29,MAX(0,(Inputs!$B$3-100)*3)+Inputs!$B$28+Inputs!$B$29)))</f>
        <v/>
      </c>
      <c r="E405">
        <f>INDEX(FactorTable!$B$2:$Y$301, MATCH(ROUND(MIN(300,MAX(1,D405)),0), FactorTable!$A$2:$A$301,0), Skills!M21+1)</f>
        <v/>
      </c>
      <c r="F405">
        <f>IF(Skills!N21=TRUE,(Skills!L21/10)*(E405/1000),Skills!L21/10)+Skills!O21</f>
        <v/>
      </c>
      <c r="G405">
        <f>Skills!G21*IF(Skills!H21&gt;0,Skills!I21/Skills!H21,1)</f>
        <v/>
      </c>
      <c r="H405">
        <f>1-(1-Skills!J21/100)^Skills!K21</f>
        <v/>
      </c>
      <c r="I405" t="inlineStr">
        <is>
          <t>1</t>
        </is>
      </c>
      <c r="J405" t="inlineStr"/>
      <c r="K405" t="inlineStr"/>
      <c r="L405" t="inlineStr"/>
      <c r="M405" t="inlineStr"/>
      <c r="N405" t="inlineStr"/>
      <c r="O405">
        <f>(1-Summary!$B$55)*T405+Summary!$B$55*V405</f>
        <v/>
      </c>
      <c r="P405">
        <f>IF(B429=0,0,O405/B429)</f>
        <v/>
      </c>
      <c r="Q405">
        <f>IFERROR(1/IF(Inputs!$B$39="pvp",15,MAX(0.1,Skills!D21-IF(Skills!E21=TRUE,Inputs!$B$32,0))),0)</f>
        <v/>
      </c>
      <c r="R405">
        <f>IF(AND(Inputs!$B$39&lt;&gt;"pvp",Inputs!$B$44&gt;0),IF(Inputs!$B$44&lt;=0,0,(INT(Inputs!$B$44/IF(Inputs!$B$39="pvp",15,MAX(0.1,Skills!D21-IF(Skills!E21=TRUE,Inputs!$B$32,0))))+1)),0)</f>
        <v/>
      </c>
      <c r="S405">
        <f>IFERROR(O405/N405,0)</f>
        <v/>
      </c>
      <c r="T405" t="n">
        <v>0</v>
      </c>
      <c r="V405" t="n">
        <v>0</v>
      </c>
    </row>
    <row r="406">
      <c r="A406">
        <f>Skills!A22</f>
        <v/>
      </c>
      <c r="B406">
        <f>Skills!B22</f>
        <v/>
      </c>
      <c r="C406">
        <f>Inputs!$B$3&gt;=33</f>
        <v/>
      </c>
      <c r="D406">
        <f>IF(Skills!C22=1,60+Inputs!$B$25+Inputs!$B$29,IF(Skills!C22=2,90+Inputs!$B$26+Inputs!$B$29,IF(Skills!C22=3,120+Inputs!$B$27+Inputs!$B$29,MAX(0,(Inputs!$B$3-100)*3)+Inputs!$B$28+Inputs!$B$29)))</f>
        <v/>
      </c>
      <c r="E406">
        <f>INDEX(FactorTable!$B$2:$Y$301, MATCH(ROUND(MIN(300,MAX(1,D406)),0), FactorTable!$A$2:$A$301,0), Skills!M22+1)</f>
        <v/>
      </c>
      <c r="F406">
        <f>IF(Skills!N22=TRUE,(Skills!L22/10)*(E406/1000),Skills!L22/10)+Skills!O22</f>
        <v/>
      </c>
      <c r="G406">
        <f>Skills!G22*IF(Skills!H22&gt;0,Skills!I22/Skills!H22,1)</f>
        <v/>
      </c>
      <c r="H406">
        <f>1-(1-Skills!J22/100)^Skills!K22</f>
        <v/>
      </c>
      <c r="I406" t="inlineStr">
        <is>
          <t>1</t>
        </is>
      </c>
      <c r="J406" t="inlineStr"/>
      <c r="K406" t="inlineStr"/>
      <c r="L406" t="inlineStr"/>
      <c r="M406" t="inlineStr"/>
      <c r="N406" t="inlineStr"/>
      <c r="O406">
        <f>(1-Summary!$B$55)*T406+Summary!$B$55*V406</f>
        <v/>
      </c>
      <c r="P406">
        <f>IF(B429=0,0,O406/B429)</f>
        <v/>
      </c>
      <c r="Q406" t="n">
        <v>0</v>
      </c>
      <c r="R406" t="n">
        <v>0</v>
      </c>
      <c r="S406">
        <f>IFERROR(O406/N406,0)</f>
        <v/>
      </c>
      <c r="T406" t="n">
        <v>0</v>
      </c>
      <c r="V406" t="n">
        <v>0</v>
      </c>
    </row>
    <row r="407">
      <c r="A407">
        <f>Skills!A23</f>
        <v/>
      </c>
      <c r="B407">
        <f>Skills!B23</f>
        <v/>
      </c>
      <c r="C407">
        <f>Inputs!$B$3&gt;=40</f>
        <v/>
      </c>
      <c r="D407">
        <f>IF(Skills!C23=1,60+Inputs!$B$25+Inputs!$B$29,IF(Skills!C23=2,90+Inputs!$B$26+Inputs!$B$29,IF(Skills!C23=3,120+Inputs!$B$27+Inputs!$B$29,MAX(0,(Inputs!$B$3-100)*3)+Inputs!$B$28+Inputs!$B$29)))</f>
        <v/>
      </c>
      <c r="E407">
        <f>INDEX(FactorTable!$B$2:$Y$301, MATCH(ROUND(MIN(300,MAX(1,D407)),0), FactorTable!$A$2:$A$301,0), Skills!M23+1)</f>
        <v/>
      </c>
      <c r="F407">
        <f>IF(Skills!N23=TRUE,(Skills!L23/10)*(E407/1000),Skills!L23/10)+Skills!O23</f>
        <v/>
      </c>
      <c r="G407">
        <f>Skills!G23*IF(Skills!H23&gt;0,Skills!I23/Skills!H23,1)</f>
        <v/>
      </c>
      <c r="H407">
        <f>1-(1-Skills!J23/100)^Skills!K23</f>
        <v/>
      </c>
      <c r="I407" t="inlineStr">
        <is>
          <t>1</t>
        </is>
      </c>
      <c r="J407" t="inlineStr"/>
      <c r="K407" t="inlineStr"/>
      <c r="L407" t="inlineStr"/>
      <c r="M407" t="inlineStr"/>
      <c r="N407" t="inlineStr"/>
      <c r="O407">
        <f>(1-Summary!$B$55)*T407+Summary!$B$55*V407</f>
        <v/>
      </c>
      <c r="P407">
        <f>IF(B429=0,0,O407/B429)</f>
        <v/>
      </c>
      <c r="Q407" t="n">
        <v>0</v>
      </c>
      <c r="R407" t="n">
        <v>0</v>
      </c>
      <c r="S407">
        <f>IFERROR(O407/N407,0)</f>
        <v/>
      </c>
      <c r="T407" t="n">
        <v>0</v>
      </c>
      <c r="V407" t="n">
        <v>0</v>
      </c>
    </row>
    <row r="408">
      <c r="A408">
        <f>Skills!A24</f>
        <v/>
      </c>
      <c r="B408">
        <f>Skills!B24</f>
        <v/>
      </c>
      <c r="C408">
        <f>Inputs!$B$3&gt;=43</f>
        <v/>
      </c>
      <c r="D408">
        <f>IF(Skills!C24=1,60+Inputs!$B$25+Inputs!$B$29,IF(Skills!C24=2,90+Inputs!$B$26+Inputs!$B$29,IF(Skills!C24=3,120+Inputs!$B$27+Inputs!$B$29,MAX(0,(Inputs!$B$3-100)*3)+Inputs!$B$28+Inputs!$B$29)))</f>
        <v/>
      </c>
      <c r="E408">
        <f>INDEX(FactorTable!$B$2:$Y$301, MATCH(ROUND(MIN(300,MAX(1,D408)),0), FactorTable!$A$2:$A$301,0), Skills!M24+1)</f>
        <v/>
      </c>
      <c r="F408">
        <f>IF(Skills!N24=TRUE,(Skills!L24/10)*(E408/1000),Skills!L24/10)+Skills!O24</f>
        <v/>
      </c>
      <c r="G408">
        <f>Skills!G24*IF(Skills!H24&gt;0,Skills!I24/Skills!H24,1)</f>
        <v/>
      </c>
      <c r="H408">
        <f>1-(1-Skills!J24/100)^Skills!K24</f>
        <v/>
      </c>
      <c r="I408" t="inlineStr">
        <is>
          <t>1</t>
        </is>
      </c>
      <c r="J408" t="inlineStr"/>
      <c r="K408" t="inlineStr"/>
      <c r="L408" t="inlineStr"/>
      <c r="M408" t="inlineStr"/>
      <c r="N408" t="inlineStr"/>
      <c r="O408">
        <f>(1-Summary!$B$55)*T408+Summary!$B$55*V408</f>
        <v/>
      </c>
      <c r="P408">
        <f>IF(B429=0,0,O408/B429)</f>
        <v/>
      </c>
      <c r="Q408" t="n">
        <v>0</v>
      </c>
      <c r="R408" t="n">
        <v>0</v>
      </c>
      <c r="S408">
        <f>IFERROR(O408/N408,0)</f>
        <v/>
      </c>
      <c r="T408" t="n">
        <v>0</v>
      </c>
      <c r="V408" t="n">
        <v>0</v>
      </c>
    </row>
    <row r="409">
      <c r="A409">
        <f>Skills!A25</f>
        <v/>
      </c>
      <c r="B409">
        <f>Skills!B25</f>
        <v/>
      </c>
      <c r="C409">
        <f>Inputs!$B$3&gt;=50</f>
        <v/>
      </c>
      <c r="D409">
        <f>IF(Skills!C25=1,60+Inputs!$B$25+Inputs!$B$29,IF(Skills!C25=2,90+Inputs!$B$26+Inputs!$B$29,IF(Skills!C25=3,120+Inputs!$B$27+Inputs!$B$29,MAX(0,(Inputs!$B$3-100)*3)+Inputs!$B$28+Inputs!$B$29)))</f>
        <v/>
      </c>
      <c r="E409">
        <f>INDEX(FactorTable!$B$2:$Y$301, MATCH(ROUND(MIN(300,MAX(1,D409)),0), FactorTable!$A$2:$A$301,0), Skills!M25+1)</f>
        <v/>
      </c>
      <c r="F409">
        <f>IF(Skills!N25=TRUE,(Skills!L25/10)*(E409/1000),Skills!L25/10)+Skills!O25</f>
        <v/>
      </c>
      <c r="G409">
        <f>Skills!G25*IF(Skills!H25&gt;0,Skills!I25/Skills!H25,1)</f>
        <v/>
      </c>
      <c r="H409">
        <f>1-(1-Skills!J25/100)^Skills!K25</f>
        <v/>
      </c>
      <c r="I409" t="inlineStr">
        <is>
          <t>1</t>
        </is>
      </c>
      <c r="J409" t="inlineStr"/>
      <c r="K409" t="inlineStr"/>
      <c r="L409" t="inlineStr"/>
      <c r="M409" t="inlineStr"/>
      <c r="N409" t="inlineStr"/>
      <c r="O409">
        <f>(1-Summary!$B$55)*T409+Summary!$B$55*V409</f>
        <v/>
      </c>
      <c r="P409">
        <f>IF(B429=0,0,O409/B429)</f>
        <v/>
      </c>
      <c r="Q409" t="n">
        <v>0</v>
      </c>
      <c r="R409" t="n">
        <v>0</v>
      </c>
      <c r="S409">
        <f>IFERROR(O409/N409,0)</f>
        <v/>
      </c>
      <c r="T409" t="n">
        <v>0</v>
      </c>
      <c r="V409" t="n">
        <v>0</v>
      </c>
    </row>
    <row r="410">
      <c r="A410">
        <f>Skills!A26</f>
        <v/>
      </c>
      <c r="B410">
        <f>Skills!B26</f>
        <v/>
      </c>
      <c r="C410">
        <f>Inputs!$B$3&gt;=50</f>
        <v/>
      </c>
      <c r="D410">
        <f>IF(Skills!C26=1,60+Inputs!$B$25+Inputs!$B$29,IF(Skills!C26=2,90+Inputs!$B$26+Inputs!$B$29,IF(Skills!C26=3,120+Inputs!$B$27+Inputs!$B$29,MAX(0,(Inputs!$B$3-100)*3)+Inputs!$B$28+Inputs!$B$29)))</f>
        <v/>
      </c>
      <c r="E410">
        <f>INDEX(FactorTable!$B$2:$Y$301, MATCH(ROUND(MIN(300,MAX(1,D410)),0), FactorTable!$A$2:$A$301,0), Skills!M26+1)</f>
        <v/>
      </c>
      <c r="F410">
        <f>IF(Skills!N26=TRUE,(Skills!L26/10)*(E410/1000),Skills!L26/10)+Skills!O26</f>
        <v/>
      </c>
      <c r="G410">
        <f>Skills!G26*IF(Skills!H26&gt;0,Skills!I26/Skills!H26,1)</f>
        <v/>
      </c>
      <c r="H410">
        <f>1-(1-Skills!J26/100)^Skills!K26</f>
        <v/>
      </c>
      <c r="I410" t="inlineStr">
        <is>
          <t>1</t>
        </is>
      </c>
      <c r="J410" t="inlineStr"/>
      <c r="K410" t="inlineStr"/>
      <c r="L410" t="inlineStr"/>
      <c r="M410" t="inlineStr"/>
      <c r="N410" t="inlineStr"/>
      <c r="O410">
        <f>(1-Summary!$B$55)*T410+Summary!$B$55*V410</f>
        <v/>
      </c>
      <c r="P410">
        <f>IF(B429=0,0,O410/B429)</f>
        <v/>
      </c>
      <c r="Q410" t="n">
        <v>0</v>
      </c>
      <c r="R410" t="n">
        <v>0</v>
      </c>
      <c r="S410">
        <f>IFERROR(O410/N410,0)</f>
        <v/>
      </c>
      <c r="T410" t="n">
        <v>0</v>
      </c>
      <c r="V410" t="n">
        <v>0</v>
      </c>
    </row>
    <row r="411">
      <c r="A411">
        <f>Skills!A27</f>
        <v/>
      </c>
      <c r="B411">
        <f>Skills!B27</f>
        <v/>
      </c>
      <c r="C411">
        <f>Inputs!$B$3&gt;=38</f>
        <v/>
      </c>
      <c r="D411">
        <f>IF(Skills!C27=1,60+Inputs!$B$25+Inputs!$B$29,IF(Skills!C27=2,90+Inputs!$B$26+Inputs!$B$29,IF(Skills!C27=3,120+Inputs!$B$27+Inputs!$B$29,MAX(0,(Inputs!$B$3-100)*3)+Inputs!$B$28+Inputs!$B$29)))</f>
        <v/>
      </c>
      <c r="E411">
        <f>INDEX(FactorTable!$B$2:$Y$301, MATCH(ROUND(MIN(300,MAX(1,D411)),0), FactorTable!$A$2:$A$301,0), Skills!M27+1)</f>
        <v/>
      </c>
      <c r="F411">
        <f>IF(Skills!N27=TRUE,(Skills!L27/10)*(E411/1000),Skills!L27/10)+Skills!O27</f>
        <v/>
      </c>
      <c r="G411">
        <f>Skills!G27*IF(Skills!H27&gt;0,Skills!I27/Skills!H27,1)</f>
        <v/>
      </c>
      <c r="H411">
        <f>1-(1-Skills!J27/100)^Skills!K27</f>
        <v/>
      </c>
      <c r="I411" t="inlineStr">
        <is>
          <t>1</t>
        </is>
      </c>
      <c r="J411" t="inlineStr"/>
      <c r="K411" t="inlineStr"/>
      <c r="L411" t="inlineStr"/>
      <c r="M411" t="inlineStr"/>
      <c r="N411" t="inlineStr"/>
      <c r="O411">
        <f>(1-Summary!$B$55)*T411+Summary!$B$55*V411</f>
        <v/>
      </c>
      <c r="P411">
        <f>IF(B429=0,0,O411/B429)</f>
        <v/>
      </c>
      <c r="Q411" t="n">
        <v>0</v>
      </c>
      <c r="R411" t="n">
        <v>0</v>
      </c>
      <c r="S411">
        <f>IFERROR(O411/N411,0)</f>
        <v/>
      </c>
      <c r="T411" t="n">
        <v>0</v>
      </c>
      <c r="V411" t="n">
        <v>0</v>
      </c>
    </row>
    <row r="412">
      <c r="A412">
        <f>Skills!A28</f>
        <v/>
      </c>
      <c r="B412">
        <f>Skills!B28</f>
        <v/>
      </c>
      <c r="C412">
        <f>Inputs!$B$3&gt;=120</f>
        <v/>
      </c>
      <c r="D412">
        <f>IF(Skills!C28=1,60+Inputs!$B$25+Inputs!$B$29,IF(Skills!C28=2,90+Inputs!$B$26+Inputs!$B$29,IF(Skills!C28=3,120+Inputs!$B$27+Inputs!$B$29,MAX(0,(Inputs!$B$3-100)*3)+Inputs!$B$28+Inputs!$B$29)))</f>
        <v/>
      </c>
      <c r="E412">
        <f>INDEX(FactorTable!$B$2:$Y$301, MATCH(ROUND(MIN(300,MAX(1,D412)),0), FactorTable!$A$2:$A$301,0), Skills!M28+1)</f>
        <v/>
      </c>
      <c r="F412">
        <f>IF(Skills!N28=TRUE,(Skills!L28/10)*(E412/1000),Skills!L28/10)+Skills!O28</f>
        <v/>
      </c>
      <c r="G412">
        <f>Skills!G28*IF(Skills!H28&gt;0,Skills!I28/Skills!H28,1)</f>
        <v/>
      </c>
      <c r="H412">
        <f>1-(1-Skills!J28/100)^Skills!K28</f>
        <v/>
      </c>
      <c r="I412" t="inlineStr">
        <is>
          <t>1</t>
        </is>
      </c>
      <c r="J412" t="inlineStr"/>
      <c r="K412" t="inlineStr"/>
      <c r="L412" t="inlineStr"/>
      <c r="M412" t="inlineStr"/>
      <c r="N412" t="inlineStr"/>
      <c r="O412">
        <f>(1-Summary!$B$55)*T412+Summary!$B$55*V412</f>
        <v/>
      </c>
      <c r="P412">
        <f>IF(B429=0,0,O412/B429)</f>
        <v/>
      </c>
      <c r="Q412" t="n">
        <v>0</v>
      </c>
      <c r="R412" t="n">
        <v>0</v>
      </c>
      <c r="S412">
        <f>IFERROR(O412/N412,0)</f>
        <v/>
      </c>
      <c r="T412" t="n">
        <v>0</v>
      </c>
      <c r="V412" t="n">
        <v>0</v>
      </c>
    </row>
    <row r="413">
      <c r="A413">
        <f>Skills!A29</f>
        <v/>
      </c>
      <c r="B413">
        <f>Skills!B29</f>
        <v/>
      </c>
      <c r="C413">
        <f>Inputs!$B$3&gt;=120</f>
        <v/>
      </c>
      <c r="D413">
        <f>IF(Skills!C29=1,60+Inputs!$B$25+Inputs!$B$29,IF(Skills!C29=2,90+Inputs!$B$26+Inputs!$B$29,IF(Skills!C29=3,120+Inputs!$B$27+Inputs!$B$29,MAX(0,(Inputs!$B$3-100)*3)+Inputs!$B$28+Inputs!$B$29)))</f>
        <v/>
      </c>
      <c r="E413">
        <f>INDEX(FactorTable!$B$2:$Y$301, MATCH(ROUND(MIN(300,MAX(1,D413)),0), FactorTable!$A$2:$A$301,0), Skills!M29+1)</f>
        <v/>
      </c>
      <c r="F413">
        <f>IF(Skills!N29=TRUE,(Skills!L29/10)*(E413/1000),Skills!L29/10)+Skills!O29</f>
        <v/>
      </c>
      <c r="G413">
        <f>Skills!G29*IF(Skills!H29&gt;0,Skills!I29/Skills!H29,1)</f>
        <v/>
      </c>
      <c r="H413">
        <f>1-(1-Skills!J29/100)^Skills!K29</f>
        <v/>
      </c>
      <c r="I413" t="inlineStr">
        <is>
          <t>1</t>
        </is>
      </c>
      <c r="J413" t="inlineStr"/>
      <c r="K413" t="inlineStr"/>
      <c r="L413" t="inlineStr"/>
      <c r="M413" t="inlineStr"/>
      <c r="N413" t="inlineStr"/>
      <c r="O413">
        <f>(1-Summary!$B$55)*T413+Summary!$B$55*V413</f>
        <v/>
      </c>
      <c r="P413">
        <f>IF(B429=0,0,O413/B429)</f>
        <v/>
      </c>
      <c r="Q413" t="n">
        <v>0</v>
      </c>
      <c r="R413" t="n">
        <v>0</v>
      </c>
      <c r="S413">
        <f>IFERROR(O413/N413,0)</f>
        <v/>
      </c>
      <c r="T413" t="n">
        <v>0</v>
      </c>
      <c r="V413" t="n">
        <v>0</v>
      </c>
    </row>
    <row r="414">
      <c r="A414">
        <f>Skills!A30</f>
        <v/>
      </c>
      <c r="B414">
        <f>Skills!B30</f>
        <v/>
      </c>
      <c r="C414">
        <f>Inputs!$B$3&gt;=125</f>
        <v/>
      </c>
      <c r="D414">
        <f>IF(Skills!C30=1,60+Inputs!$B$25+Inputs!$B$29,IF(Skills!C30=2,90+Inputs!$B$26+Inputs!$B$29,IF(Skills!C30=3,120+Inputs!$B$27+Inputs!$B$29,MAX(0,(Inputs!$B$3-100)*3)+Inputs!$B$28+Inputs!$B$29)))</f>
        <v/>
      </c>
      <c r="E414">
        <f>INDEX(FactorTable!$B$2:$Y$301, MATCH(ROUND(MIN(300,MAX(1,D414)),0), FactorTable!$A$2:$A$301,0), Skills!M30+1)</f>
        <v/>
      </c>
      <c r="F414">
        <f>IF(Skills!N30=TRUE,(Skills!L30/10)*(E414/1000),Skills!L30/10)+Skills!O30</f>
        <v/>
      </c>
      <c r="G414">
        <f>Skills!G30*IF(Skills!H30&gt;0,Skills!I30/Skills!H30,1)</f>
        <v/>
      </c>
      <c r="H414">
        <f>1-(1-Skills!J30/100)^Skills!K30</f>
        <v/>
      </c>
      <c r="I414" t="inlineStr">
        <is>
          <t>1</t>
        </is>
      </c>
      <c r="J414" t="inlineStr"/>
      <c r="K414" t="inlineStr"/>
      <c r="L414" t="inlineStr"/>
      <c r="M414" t="inlineStr"/>
      <c r="N414" t="inlineStr"/>
      <c r="O414">
        <f>(1-Summary!$B$55)*T414+Summary!$B$55*V414</f>
        <v/>
      </c>
      <c r="P414">
        <f>IF(B429=0,0,O414/B429)</f>
        <v/>
      </c>
      <c r="Q414" t="n">
        <v>0</v>
      </c>
      <c r="R414" t="n">
        <v>0</v>
      </c>
      <c r="S414">
        <f>IFERROR(O414/N414,0)</f>
        <v/>
      </c>
      <c r="T414" t="n">
        <v>0</v>
      </c>
      <c r="V414" t="n">
        <v>0</v>
      </c>
    </row>
    <row r="416">
      <c r="A416" t="inlineStr">
        <is>
          <t>Average Buff Multiplier</t>
        </is>
      </c>
      <c r="B416">
        <f>(1+(((C405=TRUE)*F405*IF(AND(Inputs!$B$39&lt;&gt;"pvp",Inputs!$B$44&gt;0),(((R405-1)*(Skills!Y21*(1+Inputs!$B$34/100))+MIN((Skills!Y21*(1+Inputs!$B$34/100)),MAX(0,Inputs!$B$44-((R405-1)*Skills!D21))))/Inputs!$B$44),IF(Inputs!$B$39="pvp",MIN((Skills!Y21*(1+Inputs!$B$34/100)),15)/15,(Skills!Y21*(1+Inputs!$B$34/100))/Skills!D21)))+((C407=TRUE)*(F407-Calc!F23))+((C401=TRUE)*(F401-Calc!F17)))/100)*(1+((C394=TRUE)*F394*IF(AND(Inputs!$B$39&lt;&gt;"pvp",Inputs!$B$44&gt;0),(((R394-1)*(Skills!Y10*(1+Inputs!$B$34/100))+MIN((Skills!Y10*(1+Inputs!$B$34/100)),MAX(0,Inputs!$B$44-((R394-1)*Skills!D10))))/Inputs!$B$44),IF(Inputs!$B$39="pvp",MIN((Skills!Y10*(1+Inputs!$B$34/100)),15)/15,(Skills!Y10*(1+Inputs!$B$34/100))/Skills!D10)))/100)*(1+((C399=TRUE)*F399*IF(AND(Inputs!$B$39&lt;&gt;"pvp",Inputs!$B$44&gt;0),(((R399-1)*(Skills!Y15*(1+Inputs!$B$34/100))+MIN((Skills!Y15*(1+Inputs!$B$34/100)),MAX(0,Inputs!$B$44-((R399-1)*Skills!D15))))/Inputs!$B$44),IF(Inputs!$B$39="pvp",MIN((Skills!Y15*(1+Inputs!$B$34/100)),15)/15,(Skills!Y15*(1+Inputs!$B$34/100))/Skills!D15)))/100)</f>
        <v/>
      </c>
    </row>
    <row r="417">
      <c r="A417" t="inlineStr">
        <is>
          <t>Global Crit Rate Bonus %</t>
        </is>
      </c>
      <c r="B417">
        <f>((C404=TRUE)*F404*IF(AND(Inputs!$B$39&lt;&gt;"pvp",Inputs!$B$44&gt;0),(((R404-1)*(Skills!Y20*(1+Inputs!$B$34/100))+MIN((Skills!Y20*(1+Inputs!$B$34/100)),MAX(0,Inputs!$B$44-((R404-1)*Skills!D20))))/Inputs!$B$44),IF(Inputs!$B$39="pvp",MIN((Skills!Y20*(1+Inputs!$B$34/100)),15)/15,(Skills!Y20*(1+Inputs!$B$34/100))/Skills!D20)))</f>
        <v/>
      </c>
    </row>
    <row r="418">
      <c r="A418" t="inlineStr">
        <is>
          <t>Global Monster Damage-Taken Bonus %</t>
        </is>
      </c>
      <c r="B418">
        <f>IF(Inputs!$B$3&gt;=82,15,0)</f>
        <v/>
      </c>
    </row>
    <row r="419">
      <c r="A419" t="inlineStr">
        <is>
          <t>Shadow Partner Average Multiplier</t>
        </is>
      </c>
      <c r="B419">
        <f>1+((C391=TRUE)*F391*(1+3.3333333333333335*IF(C402=TRUE,F402,0)/100)*I391*Skills!J7/100)/100</f>
        <v/>
      </c>
    </row>
    <row r="420">
      <c r="A420" t="inlineStr">
        <is>
          <t>Attack Speed Buff Bonus %</t>
        </is>
      </c>
      <c r="B420">
        <f>((C403=TRUE)*F403*IF(AND(Inputs!$B$39&lt;&gt;"pvp",Inputs!$B$44&gt;0),(((R403-1)*(Skills!Y19*(1+Inputs!$B$34/100))+MIN((Skills!Y19*(1+Inputs!$B$34/100)),MAX(0,Inputs!$B$44-((R403-1)*Skills!D19))))/Inputs!$B$44),IF(Inputs!$B$39="pvp",MIN((Skills!Y19*(1+Inputs!$B$34/100)),15)/15,(Skills!Y19*(1+Inputs!$B$34/100))/Skills!D19)))+((C387=TRUE)*F387*3)</f>
        <v/>
      </c>
    </row>
    <row r="421">
      <c r="A421" t="inlineStr">
        <is>
          <t>Actions Per Second</t>
        </is>
      </c>
      <c r="B421">
        <f>1+MIN(150,150*(1-(1-(Inputs!$B$11+((C406=TRUE)*(F406-Calc!F22)))/150)*(1-B420/150)))/100</f>
        <v/>
      </c>
    </row>
    <row r="422">
      <c r="A422" t="inlineStr">
        <is>
          <t>Skill + Buff Cast Rate</t>
        </is>
      </c>
      <c r="B422">
        <f>IF(AND(Inputs!$B$39&lt;&gt;"pvp",Inputs!$B$44&gt;0),SUMPRODUCT((Skills!E2:E30=TRUE)*(C386:C414=TRUE)*R386:R414*Skills!F2:F30)/Inputs!$B$44,SUMPRODUCT((Skills!E2:E30=TRUE)*(C386:C414=TRUE)*Q386:Q414*Skills!F2:F30))</f>
        <v/>
      </c>
    </row>
    <row r="423">
      <c r="A423" t="inlineStr">
        <is>
          <t>Cruel Stab Casts Per Second</t>
        </is>
      </c>
      <c r="B423">
        <f>MAX(0,B421-B422)</f>
        <v/>
      </c>
    </row>
    <row r="424">
      <c r="A424" t="inlineStr">
        <is>
          <t>Global Critical Damage Bonus % (Smokescreen Mastery Lv.113)</t>
        </is>
      </c>
      <c r="B424">
        <f>IF(Inputs!$B$3&gt;=113,30,0)*IF(AND(Inputs!$B$39&lt;&gt;"pvp",Inputs!$B$44&gt;0),(((R399-1)*(Skills!Y15*(1+Inputs!$B$34/100))+MIN((Skills!Y15*(1+Inputs!$B$34/100)),MAX(0,Inputs!$B$44-((R399-1)*Skills!D15))))/Inputs!$B$44),IF(Inputs!$B$39="pvp",MIN((Skills!Y15*(1+Inputs!$B$34/100)),15)/15,(Skills!Y15*(1+Inputs!$B$34/100))/Skills!D15))</f>
        <v/>
      </c>
    </row>
    <row r="425">
      <c r="A425" t="inlineStr">
        <is>
          <t>Meso Explosion average stack count</t>
        </is>
      </c>
      <c r="B425">
        <f>MIN(10,0.5*B421*Skills!D4)</f>
        <v/>
      </c>
    </row>
    <row r="426">
      <c r="A426" t="inlineStr">
        <is>
          <t>Blood Money average stack count</t>
        </is>
      </c>
      <c r="B426">
        <f>MIN(5,0.25*B421*Skills!D4)</f>
        <v/>
      </c>
    </row>
    <row r="427">
      <c r="A427" t="inlineStr">
        <is>
          <t>Assassinate Murderous Intent Multiplier</t>
        </is>
      </c>
      <c r="B427">
        <f>1+IFERROR(MIN(1,Q398*2/Q395),0)</f>
        <v/>
      </c>
    </row>
    <row r="428">
      <c r="A428" t="inlineStr">
        <is>
          <t>Buff-Casting Startup Delay (s, fixed-duration only)</t>
        </is>
      </c>
      <c r="B428">
        <f>IF(AND(Inputs!$B$39&lt;&gt;"pvp",Inputs!$B$44&gt;0),SUMPRODUCT((Skills!Y2:Y30&gt;0)*(Skills!E2:E30=TRUE)*(C386:C414=TRUE))/B421,0)</f>
        <v/>
      </c>
    </row>
    <row r="429">
      <c r="A429" s="5" t="inlineStr">
        <is>
          <t>TOTAL DPS</t>
        </is>
      </c>
      <c r="B429" s="5">
        <f>SUM(O386:O414)</f>
        <v/>
      </c>
    </row>
    <row r="430">
      <c r="A430" t="inlineStr">
        <is>
          <t>Boss-Only Total DPS (this block's swept value)</t>
        </is>
      </c>
      <c r="B430">
        <f>SUM(T386:T414)</f>
        <v/>
      </c>
    </row>
    <row r="431">
      <c r="A431" t="inlineStr">
        <is>
          <t>Normal-Only Total DPS (this block's swept value)</t>
        </is>
      </c>
      <c r="B431">
        <f>SUM(V386:V414)</f>
        <v/>
      </c>
    </row>
    <row r="434">
      <c r="A434" s="5" t="inlineStr">
        <is>
          <t>Stat: MIN_DAMAGE %</t>
        </is>
      </c>
    </row>
    <row r="435">
      <c r="A435" s="9" t="inlineStr">
        <is>
          <t>Key</t>
        </is>
      </c>
      <c r="B435" s="9" t="inlineStr">
        <is>
          <t>Name</t>
        </is>
      </c>
      <c r="C435" s="9" t="inlineStr">
        <is>
          <t>Unlocked</t>
        </is>
      </c>
      <c r="D435" s="9" t="inlineStr">
        <is>
          <t>InputLevel</t>
        </is>
      </c>
      <c r="E435" s="9" t="inlineStr">
        <is>
          <t>Factor</t>
        </is>
      </c>
      <c r="F435" s="9" t="inlineStr">
        <is>
          <t>CoefficientPercent</t>
        </is>
      </c>
      <c r="G435" s="9" t="inlineStr">
        <is>
          <t>EffectiveHits</t>
        </is>
      </c>
      <c r="H435" s="9" t="inlineStr">
        <is>
          <t>ProcProbability</t>
        </is>
      </c>
      <c r="I435" s="9" t="inlineStr">
        <is>
          <t>MapleHeroMultiplier</t>
        </is>
      </c>
      <c r="J435" s="9" t="inlineStr">
        <is>
          <t>BaseDamage</t>
        </is>
      </c>
      <c r="K435" s="9" t="inlineStr">
        <is>
          <t>BaseHitDamage</t>
        </is>
      </c>
      <c r="L435" s="9" t="inlineStr">
        <is>
          <t>NonCritAvg</t>
        </is>
      </c>
      <c r="M435" s="9" t="inlineStr">
        <is>
          <t>CritAvg</t>
        </is>
      </c>
      <c r="N435" s="9" t="inlineStr">
        <is>
          <t>ExpectedDamage(perHit)</t>
        </is>
      </c>
      <c r="O435" s="9" t="inlineStr">
        <is>
          <t>DPS</t>
        </is>
      </c>
      <c r="P435" s="9" t="inlineStr">
        <is>
          <t>% of Total</t>
        </is>
      </c>
      <c r="Q435" s="9" t="inlineStr">
        <is>
          <t>InvCooldown</t>
        </is>
      </c>
      <c r="R435" s="9" t="inlineStr">
        <is>
          <t>CastsInFight</t>
        </is>
      </c>
      <c r="S435" s="9" t="inlineStr">
        <is>
          <t>HitRate(perSec)</t>
        </is>
      </c>
      <c r="U435" t="inlineStr">
        <is>
          <t>helpers</t>
        </is>
      </c>
    </row>
    <row r="436">
      <c r="A436">
        <f>Skills!A2</f>
        <v/>
      </c>
      <c r="B436">
        <f>Skills!B2</f>
        <v/>
      </c>
      <c r="C436">
        <f>Inputs!$B$3&gt;=100</f>
        <v/>
      </c>
      <c r="D436" t="inlineStr"/>
      <c r="E436" t="inlineStr"/>
      <c r="F436">
        <f>U438+Skills!O2</f>
        <v/>
      </c>
      <c r="G436">
        <f>Skills!G2*IF(Skills!H2&gt;0,Skills!I2/Skills!H2,1)</f>
        <v/>
      </c>
      <c r="H436">
        <f>1-(1-Skills!J2/100)^Skills!K2</f>
        <v/>
      </c>
      <c r="I436" t="inlineStr">
        <is>
          <t>1</t>
        </is>
      </c>
      <c r="J436">
        <f>((Inputs!$B$6*(1+Inputs!$B$7/100))+(((Inputs!$B$12*(1+Inputs!$B$13/100))-(Inputs!$B$12*(1+Inputs!$B$13/100)))+0.25*(Inputs!$B$14-Inputs!$B$14))*(1+Inputs!$B$7/100))*(F436/100)</f>
        <v/>
      </c>
      <c r="K436">
        <f>J436*(1+((Inputs!$B$12*(1+Inputs!$B$13/100))*0.01+Inputs!$B$14*0.0025)/100)*(1+Inputs!$B$15/100)*(1+Inputs!$B$16/100)*(5000/(6000+Inputs!$B$43*(1-Inputs!$B$19/100)))*(1+(Inputs!$B$24+((C464=TRUE)*(F464-Calc!F30)))/100)*(1+(IF(Skills!A2="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436)</f>
        <v/>
      </c>
      <c r="L436">
        <f>K436*(MIN((Inputs!$B$22+1)+((C458=TRUE)*(F458-Calc!F24)),Inputs!$B$23+((C463=TRUE)*(F463-Calc!F29)))/100+(Inputs!$B$23+((C463=TRUE)*(F463-Calc!F29)))/100)/2</f>
        <v/>
      </c>
      <c r="M436">
        <f>L436*(1+(Inputs!$B$10+((C460=TRUE)*(F460-Calc!F26))+B474)/100)</f>
        <v/>
      </c>
      <c r="N436">
        <f>L436*(1-MIN((Inputs!$B$9+((C459=TRUE)*(F459-Calc!F25))+B467),100)/100)+M436*(MIN((Inputs!$B$9+((C459=TRUE)*(F459-Calc!F25))+B467),100)/100)</f>
        <v/>
      </c>
      <c r="O436">
        <f>(1-Summary!$B$55)*T436+Summary!$B$55*V436</f>
        <v/>
      </c>
      <c r="P436">
        <f>IF(B479=0,0,O436/B479)</f>
        <v/>
      </c>
      <c r="Q436" t="n">
        <v>0</v>
      </c>
      <c r="R436" t="n">
        <v>0</v>
      </c>
      <c r="S436">
        <f>IFERROR(O436/N436,0)</f>
        <v/>
      </c>
      <c r="T436">
        <f>IF(C436,(Skills!G2*N436*B473)*IF(Inputs!$B$39="pvp",1,1+(Inputs!$B$20+0+Skills!P2+B468)/100),0)</f>
        <v/>
      </c>
      <c r="U436">
        <f>MAX(0,(Inputs!$B$3-100)*3)+Inputs!$B$28+Inputs!$B$29</f>
        <v/>
      </c>
      <c r="V436">
        <f>IF(C436,(Skills!G2*N436*B473)*IF(Inputs!$B$39="pvp",1,(1+(Inputs!$B$21+Skills!Q2+B468)/100)*(MIN((6+Inputs!$B$33),Inputs!$B$37))),0)</f>
        <v/>
      </c>
    </row>
    <row r="437">
      <c r="A437">
        <f>Skills!A3</f>
        <v/>
      </c>
      <c r="B437">
        <f>Skills!B3</f>
        <v/>
      </c>
      <c r="C437">
        <f>Inputs!$B$3&gt;=35</f>
        <v/>
      </c>
      <c r="D437">
        <f>IF(Skills!C3=1,60+Inputs!$B$25+Inputs!$B$29,IF(Skills!C3=2,90+Inputs!$B$26+Inputs!$B$29,IF(Skills!C3=3,120+Inputs!$B$27+Inputs!$B$29,MAX(0,(Inputs!$B$3-100)*3)+Inputs!$B$28+Inputs!$B$29)))</f>
        <v/>
      </c>
      <c r="E437">
        <f>INDEX(FactorTable!$B$2:$Y$301, MATCH(ROUND(MIN(300,MAX(1,D437)),0), FactorTable!$A$2:$A$301,0), Skills!M3+1)</f>
        <v/>
      </c>
      <c r="F437">
        <f>IF(Skills!N3=TRUE,(Skills!L3/10)*(E437/1000),Skills!L3/10)+Skills!O3</f>
        <v/>
      </c>
      <c r="G437">
        <f>Skills!G3*IF(Skills!H3&gt;0,Skills!I3/Skills!H3,1)</f>
        <v/>
      </c>
      <c r="H437">
        <f>1-(1-Skills!J3/100)^Skills!K3</f>
        <v/>
      </c>
      <c r="I437" t="inlineStr">
        <is>
          <t>1</t>
        </is>
      </c>
      <c r="J437" t="inlineStr"/>
      <c r="K437" t="inlineStr"/>
      <c r="L437" t="inlineStr"/>
      <c r="M437" t="inlineStr"/>
      <c r="N437" t="inlineStr"/>
      <c r="O437">
        <f>(1-Summary!$B$55)*T437+Summary!$B$55*V437</f>
        <v/>
      </c>
      <c r="P437">
        <f>IF(B479=0,0,O437/B479)</f>
        <v/>
      </c>
      <c r="Q437" t="n">
        <v>0</v>
      </c>
      <c r="R437" t="n">
        <v>0</v>
      </c>
      <c r="S437">
        <f>IFERROR(O437/N437,0)</f>
        <v/>
      </c>
      <c r="T437" t="n">
        <v>0</v>
      </c>
      <c r="U437">
        <f>INDEX(FactorTable!$B$2:$Y$301, MATCH(ROUND(MIN(300,MAX(1,U436)),0), FactorTable!$A$2:$A$301,0), 22)</f>
        <v/>
      </c>
      <c r="V437" t="n">
        <v>0</v>
      </c>
    </row>
    <row r="438">
      <c r="A438">
        <f>Skills!A4</f>
        <v/>
      </c>
      <c r="B438">
        <f>Skills!B4</f>
        <v/>
      </c>
      <c r="C438">
        <f>Inputs!$B$3&gt;=66</f>
        <v/>
      </c>
      <c r="D438">
        <f>IF(Skills!C4=1,60+Inputs!$B$25+Inputs!$B$29,IF(Skills!C4=2,90+Inputs!$B$26+Inputs!$B$29,IF(Skills!C4=3,120+Inputs!$B$27+Inputs!$B$29,MAX(0,(Inputs!$B$3-100)*3)+Inputs!$B$28+Inputs!$B$29)))</f>
        <v/>
      </c>
      <c r="E438">
        <f>INDEX(FactorTable!$B$2:$Y$301, MATCH(ROUND(MIN(300,MAX(1,D438)),0), FactorTable!$A$2:$A$301,0), Skills!M4+1)</f>
        <v/>
      </c>
      <c r="F438">
        <f>IF(Skills!N4=TRUE,(Skills!L4/10)*(E438/1000),Skills!L4/10)+Skills!O4</f>
        <v/>
      </c>
      <c r="G438">
        <f>Skills!G4*IF(Skills!H4&gt;0,Skills!I4/Skills!H4,1)</f>
        <v/>
      </c>
      <c r="H438">
        <f>1-(1-Skills!J4/100)^Skills!K4</f>
        <v/>
      </c>
      <c r="I438" t="inlineStr">
        <is>
          <t>1</t>
        </is>
      </c>
      <c r="J438">
        <f>((Inputs!$B$6*(1+Inputs!$B$7/100))+(((Inputs!$B$12*(1+Inputs!$B$13/100))-(Inputs!$B$12*(1+Inputs!$B$13/100)))+0.25*(Inputs!$B$14-Inputs!$B$14))*(1+Inputs!$B$7/100))*(F438/100)</f>
        <v/>
      </c>
      <c r="K438">
        <f>J438*(1+((Inputs!$B$12*(1+Inputs!$B$13/100))*0.01+Inputs!$B$14*0.0025)/100)*(1+Inputs!$B$15/100)*(1+Inputs!$B$16/100)*(5000/(6000+Inputs!$B$43*(1-Inputs!$B$19/100)))*(1+(Inputs!$B$24+((C464=TRUE)*(F464-Calc!F30)))/100)*(1+(IF(Skills!A4="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438)</f>
        <v/>
      </c>
      <c r="L438">
        <f>K438*(MIN((Inputs!$B$22+1)+((C458=TRUE)*(F458-Calc!F24)),Inputs!$B$23+((C463=TRUE)*(F463-Calc!F29)))/100+(Inputs!$B$23+((C463=TRUE)*(F463-Calc!F29)))/100)/2</f>
        <v/>
      </c>
      <c r="M438">
        <f>L438*(1+(Inputs!$B$10+((C460=TRUE)*(F460-Calc!F26))+B474)/100)</f>
        <v/>
      </c>
      <c r="N438">
        <f>L438*(1-MIN((Inputs!$B$9+((C459=TRUE)*(F459-Calc!F25))+B467),100)/100)+M438*(MIN((Inputs!$B$9+((C459=TRUE)*(F459-Calc!F25))+B467),100)/100)</f>
        <v/>
      </c>
      <c r="O438">
        <f>(1-Summary!$B$55)*T438+Summary!$B$55*V438</f>
        <v/>
      </c>
      <c r="P438">
        <f>IF(B479=0,0,O438/B479)</f>
        <v/>
      </c>
      <c r="Q438">
        <f>IFERROR(1/IF(Inputs!$B$39="pvp",15,MAX(0.1,Skills!D4-IF(Skills!E4=TRUE,Inputs!$B$32,0))),0)</f>
        <v/>
      </c>
      <c r="R438">
        <f>IF(AND(Inputs!$B$39&lt;&gt;"pvp",Inputs!$B$44&gt;0),IF(MAX(0,Inputs!$B$44-B478)&lt;=0,0,(INT(MAX(0,Inputs!$B$44-B478)/IF(Inputs!$B$39="pvp",15,MAX(0.1,Skills!D4-IF(Skills!E4=TRUE,Inputs!$B$32,0))))+1)),0)</f>
        <v/>
      </c>
      <c r="S438">
        <f>IFERROR(O438/N438,0)</f>
        <v/>
      </c>
      <c r="T438">
        <f>IF(C438,(H438*N438*IF(AND(Inputs!$B$39&lt;&gt;"pvp",Inputs!$B$44&gt;0),((Skills!G4*((R438-1)*IF(Skills!H4&gt;0,Skills!I4/Skills!H4,1)+IF(Skills!H4&gt;0,MIN(Skills!I4,MAX(0,MAX(0,Inputs!$B$44-B478)-((R438-1)*IF(Inputs!$B$39="pvp",15,MAX(0.1,Skills!D4-IF(Skills!E4=TRUE,Inputs!$B$32,0))))))/Skills!H4,1)))/Inputs!$B$44),G438*Q438))*IF(Inputs!$B$39="pvp",1,1+(Inputs!$B$20+0+Skills!P4+B468)/100),0)</f>
        <v/>
      </c>
      <c r="U438">
        <f>290*U437/1000</f>
        <v/>
      </c>
      <c r="V438">
        <f>IF(C438,(H438*N438*IF(AND(Inputs!$B$39&lt;&gt;"pvp",Inputs!$B$44&gt;0),((Skills!G4*((R438-1)*IF(Skills!H4&gt;0,Skills!I4/Skills!H4,1)+IF(Skills!H4&gt;0,MIN(Skills!I4,MAX(0,MAX(0,Inputs!$B$44-B478)-((R438-1)*IF(Inputs!$B$39="pvp",15,MAX(0.1,Skills!D4-IF(Skills!E4=TRUE,Inputs!$B$32,0))))))/Skills!H4,1)))/Inputs!$B$44),G438*Q438))*IF(Inputs!$B$39="pvp",1,(1+(Inputs!$B$21+Skills!Q4+B468)/100)*(MIN(MIN(10,0.5*B471*Skills!D4),Inputs!$B$37))),0)</f>
        <v/>
      </c>
    </row>
    <row r="439">
      <c r="A439">
        <f>Skills!A5</f>
        <v/>
      </c>
      <c r="B439">
        <f>Skills!B5</f>
        <v/>
      </c>
      <c r="C439">
        <f>Inputs!$B$3&gt;=63</f>
        <v/>
      </c>
      <c r="D439">
        <f>IF(Skills!C5=1,60+Inputs!$B$25+Inputs!$B$29,IF(Skills!C5=2,90+Inputs!$B$26+Inputs!$B$29,IF(Skills!C5=3,120+Inputs!$B$27+Inputs!$B$29,MAX(0,(Inputs!$B$3-100)*3)+Inputs!$B$28+Inputs!$B$29)))</f>
        <v/>
      </c>
      <c r="E439">
        <f>INDEX(FactorTable!$B$2:$Y$301, MATCH(ROUND(MIN(300,MAX(1,D439)),0), FactorTable!$A$2:$A$301,0), Skills!M5+1)</f>
        <v/>
      </c>
      <c r="F439">
        <f>IF(Skills!N5=TRUE,(Skills!L5/10)*(E439/1000),Skills!L5/10)+Skills!O5</f>
        <v/>
      </c>
      <c r="G439">
        <f>Skills!G5*IF(Skills!H5&gt;0,Skills!I5/Skills!H5,1)</f>
        <v/>
      </c>
      <c r="H439">
        <f>1-(1-Skills!J5/100)^Skills!K5</f>
        <v/>
      </c>
      <c r="I439" t="inlineStr">
        <is>
          <t>1</t>
        </is>
      </c>
      <c r="J439">
        <f>((Inputs!$B$6*(1+Inputs!$B$7/100))+(((Inputs!$B$12*(1+Inputs!$B$13/100))-(Inputs!$B$12*(1+Inputs!$B$13/100)))+0.25*(Inputs!$B$14-Inputs!$B$14))*(1+Inputs!$B$7/100))*(F439/100)</f>
        <v/>
      </c>
      <c r="K439">
        <f>J439*(1+((Inputs!$B$12*(1+Inputs!$B$13/100))*0.01+Inputs!$B$14*0.0025)/100)*(1+Inputs!$B$15/100)*(1+Inputs!$B$16/100)*(5000/(6000+Inputs!$B$43*(1-Inputs!$B$19/100)))*(1+(Inputs!$B$24+((C464=TRUE)*(F464-Calc!F30)))/100)*(1+2.6666666666666665*IF(C452=TRUE,F452,0)/100)*(1+(IF(Skills!A5="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439)</f>
        <v/>
      </c>
      <c r="L439">
        <f>K439*(MIN((Inputs!$B$22+1)+((C458=TRUE)*(F458-Calc!F24)),Inputs!$B$23+((C463=TRUE)*(F463-Calc!F29)))/100+(Inputs!$B$23+((C463=TRUE)*(F463-Calc!F29)))/100)/2</f>
        <v/>
      </c>
      <c r="M439">
        <f>L439*(1+(Inputs!$B$10+((C460=TRUE)*(F460-Calc!F26))+B474)/100)</f>
        <v/>
      </c>
      <c r="N439">
        <f>L439*(1-MIN((Inputs!$B$9+((C459=TRUE)*(F459-Calc!F25))+B467),100)/100)+M439*(MIN((Inputs!$B$9+((C459=TRUE)*(F459-Calc!F25))+B467),100)/100)</f>
        <v/>
      </c>
      <c r="O439">
        <f>(1-Summary!$B$55)*T439+Summary!$B$55*V439</f>
        <v/>
      </c>
      <c r="P439">
        <f>IF(B479=0,0,O439/B479)</f>
        <v/>
      </c>
      <c r="Q439">
        <f>IFERROR(1/IF(Inputs!$B$39="pvp",15,MAX(0.1,Skills!D5-IF(Skills!E5=TRUE,Inputs!$B$32,0))),0)</f>
        <v/>
      </c>
      <c r="R439">
        <f>IF(AND(Inputs!$B$39&lt;&gt;"pvp",Inputs!$B$44&gt;0),IF(MAX(0,Inputs!$B$44-B478)&lt;=0,0,(INT(MAX(0,Inputs!$B$44-B478)/IF(Inputs!$B$39="pvp",15,MAX(0.1,Skills!D5-IF(Skills!E5=TRUE,Inputs!$B$32,0))))+1)),0)</f>
        <v/>
      </c>
      <c r="S439">
        <f>IFERROR(O439/N439,0)</f>
        <v/>
      </c>
      <c r="T439">
        <f>IF(C439,(H439*N439*IF(AND(Inputs!$B$39&lt;&gt;"pvp",Inputs!$B$44&gt;0),((Skills!G5*((R439-1)*IF(Skills!H5&gt;0,Skills!I5/Skills!H5,1)+IF(Skills!H5&gt;0,MIN(Skills!I5,MAX(0,MAX(0,Inputs!$B$44-B478)-((R439-1)*IF(Inputs!$B$39="pvp",15,MAX(0.1,Skills!D5-IF(Skills!E5=TRUE,Inputs!$B$32,0))))))/Skills!H5,1)))/Inputs!$B$44),G439*Q439))*IF(Inputs!$B$39="pvp",1,1+(Inputs!$B$20+0+Skills!P5+B468)/100),0)</f>
        <v/>
      </c>
      <c r="V439">
        <f>IF(C439,(H439*N439*IF(AND(Inputs!$B$39&lt;&gt;"pvp",Inputs!$B$44&gt;0),((Skills!G5*((R439-1)*IF(Skills!H5&gt;0,Skills!I5/Skills!H5,1)+IF(Skills!H5&gt;0,MIN(Skills!I5,MAX(0,MAX(0,Inputs!$B$44-B478)-((R439-1)*IF(Inputs!$B$39="pvp",15,MAX(0.1,Skills!D5-IF(Skills!E5=TRUE,Inputs!$B$32,0))))))/Skills!H5,1)))/Inputs!$B$44),G439*Q439))*IF(Inputs!$B$39="pvp",1,(1+(Inputs!$B$21+Skills!Q5+B468)/100)*(MIN(Skills!W5,Inputs!$B$37))),0)</f>
        <v/>
      </c>
    </row>
    <row r="440">
      <c r="A440">
        <f>Skills!A6</f>
        <v/>
      </c>
      <c r="B440">
        <f>Skills!B6</f>
        <v/>
      </c>
      <c r="C440">
        <f>Inputs!$B$3&gt;=69</f>
        <v/>
      </c>
      <c r="D440">
        <f>IF(Skills!C6=1,60+Inputs!$B$25+Inputs!$B$29,IF(Skills!C6=2,90+Inputs!$B$26+Inputs!$B$29,IF(Skills!C6=3,120+Inputs!$B$27+Inputs!$B$29,MAX(0,(Inputs!$B$3-100)*3)+Inputs!$B$28+Inputs!$B$29)))</f>
        <v/>
      </c>
      <c r="E440">
        <f>INDEX(FactorTable!$B$2:$Y$301, MATCH(ROUND(MIN(300,MAX(1,D440)),0), FactorTable!$A$2:$A$301,0), Skills!M6+1)</f>
        <v/>
      </c>
      <c r="F440">
        <f>IF(Skills!N6=TRUE,(Skills!L6/10)*(E440/1000),Skills!L6/10)+Skills!O6</f>
        <v/>
      </c>
      <c r="G440">
        <f>Skills!G6*IF(Skills!H6&gt;0,Skills!I6/Skills!H6,1)</f>
        <v/>
      </c>
      <c r="H440">
        <f>1-(1-Skills!J6/100)^Skills!K6</f>
        <v/>
      </c>
      <c r="I440" t="inlineStr">
        <is>
          <t>1</t>
        </is>
      </c>
      <c r="J440">
        <f>((Inputs!$B$6*(1+Inputs!$B$7/100))+(((Inputs!$B$12*(1+Inputs!$B$13/100))-(Inputs!$B$12*(1+Inputs!$B$13/100)))+0.25*(Inputs!$B$14-Inputs!$B$14))*(1+Inputs!$B$7/100))*(F440/100)</f>
        <v/>
      </c>
      <c r="K440">
        <f>J440*(1+((Inputs!$B$12*(1+Inputs!$B$13/100))*0.01+Inputs!$B$14*0.0025)/100)*(1+Inputs!$B$15/100)*(1+Inputs!$B$16/100)*(5000/(6000+Inputs!$B$43*(1-Inputs!$B$19/100)))*(1+(Inputs!$B$24+((C464=TRUE)*(F464-Calc!F30)))/100)*(1+1.0*IF(C452=TRUE,F452,0)/100)*(1+(IF(Skills!A6="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440)</f>
        <v/>
      </c>
      <c r="L440">
        <f>K440*(MIN((Inputs!$B$22+1)+((C458=TRUE)*(F458-Calc!F24)),Inputs!$B$23+((C463=TRUE)*(F463-Calc!F29)))/100+(Inputs!$B$23+((C463=TRUE)*(F463-Calc!F29)))/100)/2</f>
        <v/>
      </c>
      <c r="M440">
        <f>L440*(1+(Inputs!$B$10+((C460=TRUE)*(F460-Calc!F26))+B474)/100)</f>
        <v/>
      </c>
      <c r="N440">
        <f>L440*(1-MIN((Inputs!$B$9+((C459=TRUE)*(F459-Calc!F25))+B467),100)/100)+M440*(MIN((Inputs!$B$9+((C459=TRUE)*(F459-Calc!F25))+B467),100)/100)</f>
        <v/>
      </c>
      <c r="O440">
        <f>(1-Summary!$B$55)*T440+Summary!$B$55*V440</f>
        <v/>
      </c>
      <c r="P440">
        <f>IF(B479=0,0,O440/B479)</f>
        <v/>
      </c>
      <c r="Q440">
        <f>IFERROR(1/IF(Inputs!$B$39="pvp",15,MAX(0.1,Skills!D6-IF(Skills!E6=TRUE,Inputs!$B$32,0))),0)</f>
        <v/>
      </c>
      <c r="R440">
        <f>IF(AND(Inputs!$B$39&lt;&gt;"pvp",Inputs!$B$44&gt;0),IF(MAX(0,Inputs!$B$44-B478)&lt;=0,0,(INT(MAX(0,Inputs!$B$44-B478)/IF(Inputs!$B$39="pvp",15,MAX(0.1,Skills!D6-IF(Skills!E6=TRUE,Inputs!$B$32,0))))+1)),0)</f>
        <v/>
      </c>
      <c r="S440">
        <f>IFERROR(O440/N440,0)</f>
        <v/>
      </c>
      <c r="T440">
        <f>IF(C440,(H440*N440*IF(AND(Inputs!$B$39&lt;&gt;"pvp",Inputs!$B$44&gt;0),((Skills!G6*((R440-1)*IF(Skills!H6&gt;0,Skills!I6/Skills!H6,1)+IF(Skills!H6&gt;0,MIN(Skills!I6,MAX(0,MAX(0,Inputs!$B$44-B478)-((R440-1)*IF(Inputs!$B$39="pvp",15,MAX(0.1,Skills!D6-IF(Skills!E6=TRUE,Inputs!$B$32,0))))))/Skills!H6,1)))/Inputs!$B$44),G440*Q440))*IF(Inputs!$B$39="pvp",1,1+(Inputs!$B$20+0+Skills!P6+B468)/100),0)</f>
        <v/>
      </c>
      <c r="V440">
        <f>IF(C440,(H440*N440*IF(AND(Inputs!$B$39&lt;&gt;"pvp",Inputs!$B$44&gt;0),((Skills!G6*((R440-1)*IF(Skills!H6&gt;0,Skills!I6/Skills!H6,1)+IF(Skills!H6&gt;0,MIN(Skills!I6,MAX(0,MAX(0,Inputs!$B$44-B478)-((R440-1)*IF(Inputs!$B$39="pvp",15,MAX(0.1,Skills!D6-IF(Skills!E6=TRUE,Inputs!$B$32,0))))))/Skills!H6,1)))/Inputs!$B$44),G440*Q440))*IF(Inputs!$B$39="pvp",1,(1+(Inputs!$B$21+Skills!Q6+B468)/100)*(MIN(Skills!W6,Inputs!$B$37))),0)</f>
        <v/>
      </c>
    </row>
    <row r="441">
      <c r="A441">
        <f>Skills!A7</f>
        <v/>
      </c>
      <c r="B441">
        <f>Skills!B7</f>
        <v/>
      </c>
      <c r="C441">
        <f>Inputs!$B$3&gt;=60</f>
        <v/>
      </c>
      <c r="D441">
        <f>IF(Skills!C7=1,60+Inputs!$B$25+Inputs!$B$29,IF(Skills!C7=2,90+Inputs!$B$26+Inputs!$B$29,IF(Skills!C7=3,120+Inputs!$B$27+Inputs!$B$29,MAX(0,(Inputs!$B$3-100)*3)+Inputs!$B$28+Inputs!$B$29)))</f>
        <v/>
      </c>
      <c r="E441">
        <f>INDEX(FactorTable!$B$2:$Y$301, MATCH(ROUND(MIN(300,MAX(1,D441)),0), FactorTable!$A$2:$A$301,0), Skills!M7+1)</f>
        <v/>
      </c>
      <c r="F441">
        <f>IF(Skills!N7=TRUE,(Skills!L7/10)*(E441/1000),Skills!L7/10)+Skills!O7</f>
        <v/>
      </c>
      <c r="G441">
        <f>Skills!G7*IF(Skills!H7&gt;0,Skills!I7/Skills!H7,1)</f>
        <v/>
      </c>
      <c r="H441">
        <f>1-(1-Skills!J7/100)^Skills!K7</f>
        <v/>
      </c>
      <c r="I441" t="inlineStr">
        <is>
          <t>1</t>
        </is>
      </c>
      <c r="J441" t="inlineStr"/>
      <c r="K441" t="inlineStr"/>
      <c r="L441" t="inlineStr"/>
      <c r="M441" t="inlineStr"/>
      <c r="N441" t="inlineStr"/>
      <c r="O441">
        <f>(1-Summary!$B$55)*T441+Summary!$B$55*V441</f>
        <v/>
      </c>
      <c r="P441">
        <f>IF(B479=0,0,O441/B479)</f>
        <v/>
      </c>
      <c r="Q441" t="n">
        <v>0</v>
      </c>
      <c r="R441" t="n">
        <v>0</v>
      </c>
      <c r="S441">
        <f>IFERROR(O441/N441,0)</f>
        <v/>
      </c>
      <c r="T441" t="n">
        <v>0</v>
      </c>
      <c r="V441" t="n">
        <v>0</v>
      </c>
    </row>
    <row r="442">
      <c r="A442">
        <f>Skills!A8</f>
        <v/>
      </c>
      <c r="B442">
        <f>Skills!B8</f>
        <v/>
      </c>
      <c r="C442">
        <f>Inputs!$B$3&gt;=72</f>
        <v/>
      </c>
      <c r="D442">
        <f>IF(Skills!C8=1,60+Inputs!$B$25+Inputs!$B$29,IF(Skills!C8=2,90+Inputs!$B$26+Inputs!$B$29,IF(Skills!C8=3,120+Inputs!$B$27+Inputs!$B$29,MAX(0,(Inputs!$B$3-100)*3)+Inputs!$B$28+Inputs!$B$29)))</f>
        <v/>
      </c>
      <c r="E442">
        <f>INDEX(FactorTable!$B$2:$Y$301, MATCH(ROUND(MIN(300,MAX(1,D442)),0), FactorTable!$A$2:$A$301,0), Skills!M8+1)</f>
        <v/>
      </c>
      <c r="F442">
        <f>IF(Skills!N8=TRUE,(Skills!L8/10)*(E442/1000),Skills!L8/10)+Skills!O8</f>
        <v/>
      </c>
      <c r="G442">
        <f>Skills!G8*IF(Skills!H8&gt;0,Skills!I8/Skills!H8,1)</f>
        <v/>
      </c>
      <c r="H442">
        <f>1-(1-Skills!J8/100)^Skills!K8</f>
        <v/>
      </c>
      <c r="I442" t="inlineStr">
        <is>
          <t>1</t>
        </is>
      </c>
      <c r="J442">
        <f>((Inputs!$B$6*(1+Inputs!$B$7/100))+(((Inputs!$B$12*(1+Inputs!$B$13/100))-(Inputs!$B$12*(1+Inputs!$B$13/100)))+0.25*(Inputs!$B$14-Inputs!$B$14))*(1+Inputs!$B$7/100))*(F442/100)</f>
        <v/>
      </c>
      <c r="K442">
        <f>J442*(1+((Inputs!$B$12*(1+Inputs!$B$13/100))*0.01+Inputs!$B$14*0.0025)/100)*(1+Inputs!$B$15/100)*(1+Inputs!$B$16/100)*(5000/(6000+Inputs!$B$43*(1-Inputs!$B$19/100)))*(1+(Inputs!$B$24+((C464=TRUE)*(F464-Calc!F30)))/100)*(1+3.3333333333333335*IF(C452=TRUE,F452,0)/100)*(1+(IF(Skills!A8="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442)</f>
        <v/>
      </c>
      <c r="L442">
        <f>K442*(MIN((Inputs!$B$22+1)+((C458=TRUE)*(F458-Calc!F24)),Inputs!$B$23+((C463=TRUE)*(F463-Calc!F29)))/100+(Inputs!$B$23+((C463=TRUE)*(F463-Calc!F29)))/100)/2</f>
        <v/>
      </c>
      <c r="M442">
        <f>L442*(1+(Inputs!$B$10+((C460=TRUE)*(F460-Calc!F26))+B474)/100)</f>
        <v/>
      </c>
      <c r="N442">
        <f>L442*(1-MIN((Inputs!$B$9+((C459=TRUE)*(F459-Calc!F25))+B467),100)/100)+M442*(MIN((Inputs!$B$9+((C459=TRUE)*(F459-Calc!F25))+B467),100)/100)</f>
        <v/>
      </c>
      <c r="O442">
        <f>(1-Summary!$B$55)*T442+Summary!$B$55*V442</f>
        <v/>
      </c>
      <c r="P442">
        <f>IF(B479=0,0,O442/B479)</f>
        <v/>
      </c>
      <c r="Q442">
        <f>IFERROR(1/IF(Inputs!$B$39="pvp",15,MAX(0.1,Skills!D8-IF(Skills!E8=TRUE,Inputs!$B$32,0))),0)</f>
        <v/>
      </c>
      <c r="R442">
        <f>IF(AND(Inputs!$B$39&lt;&gt;"pvp",Inputs!$B$44&gt;0),IF(MAX(0,Inputs!$B$44-B478)&lt;=0,0,(INT(MAX(0,Inputs!$B$44-B478)/IF(Inputs!$B$39="pvp",15,MAX(0.1,Skills!D8-IF(Skills!E8=TRUE,Inputs!$B$32,0))))+1)),0)</f>
        <v/>
      </c>
      <c r="S442">
        <f>IFERROR(O442/N442,0)</f>
        <v/>
      </c>
      <c r="T442">
        <f>IF(C442,(H442*N442*IF(AND(Inputs!$B$39&lt;&gt;"pvp",Inputs!$B$44&gt;0),((Skills!G8*((R442-1)*IF(Skills!H8&gt;0,Skills!I8/Skills!H8,1)+IF(Skills!H8&gt;0,MIN(Skills!I8,MAX(0,MAX(0,Inputs!$B$44-B478)-((R442-1)*IF(Inputs!$B$39="pvp",15,MAX(0.1,Skills!D8-IF(Skills!E8=TRUE,Inputs!$B$32,0))))))/Skills!H8,1)))/Inputs!$B$44),G442*Q442))*IF(Inputs!$B$39="pvp",1,1+(Inputs!$B$20+0+Skills!P8+B468)/100),0)</f>
        <v/>
      </c>
      <c r="V442">
        <f>IF(C442,(H442*N442*IF(AND(Inputs!$B$39&lt;&gt;"pvp",Inputs!$B$44&gt;0),((Skills!G8*((R442-1)*IF(Skills!H8&gt;0,Skills!I8/Skills!H8,1)+IF(Skills!H8&gt;0,MIN(Skills!I8,MAX(0,MAX(0,Inputs!$B$44-B478)-((R442-1)*IF(Inputs!$B$39="pvp",15,MAX(0.1,Skills!D8-IF(Skills!E8=TRUE,Inputs!$B$32,0))))))/Skills!H8,1)))/Inputs!$B$44),G442*Q442))*IF(Inputs!$B$39="pvp",1,(1+(Inputs!$B$21+Skills!Q8+B468)/100)*(MIN(Skills!W8,Inputs!$B$37))),0)</f>
        <v/>
      </c>
    </row>
    <row r="443">
      <c r="A443">
        <f>Skills!A9</f>
        <v/>
      </c>
      <c r="B443">
        <f>Skills!B9</f>
        <v/>
      </c>
      <c r="C443">
        <f>Inputs!$B$3&gt;=117</f>
        <v/>
      </c>
      <c r="D443">
        <f>IF(Skills!C9=1,60+Inputs!$B$25+Inputs!$B$29,IF(Skills!C9=2,90+Inputs!$B$26+Inputs!$B$29,IF(Skills!C9=3,120+Inputs!$B$27+Inputs!$B$29,MAX(0,(Inputs!$B$3-100)*3)+Inputs!$B$28+Inputs!$B$29)))</f>
        <v/>
      </c>
      <c r="E443">
        <f>INDEX(FactorTable!$B$2:$Y$301, MATCH(ROUND(MIN(300,MAX(1,D443)),0), FactorTable!$A$2:$A$301,0), Skills!M9+1)</f>
        <v/>
      </c>
      <c r="F443">
        <f>IF(Skills!N9=TRUE,(Skills!L9/10)*(E443/1000),Skills!L9/10)+Skills!O9</f>
        <v/>
      </c>
      <c r="G443">
        <f>Skills!G9*IF(Skills!H9&gt;0,Skills!I9/Skills!H9,1)</f>
        <v/>
      </c>
      <c r="H443">
        <f>1-(1-Skills!J9/100)^Skills!K9</f>
        <v/>
      </c>
      <c r="I443" t="inlineStr">
        <is>
          <t>1</t>
        </is>
      </c>
      <c r="J443">
        <f>((Inputs!$B$6*(1+Inputs!$B$7/100))+(((Inputs!$B$12*(1+Inputs!$B$13/100))-(Inputs!$B$12*(1+Inputs!$B$13/100)))+0.25*(Inputs!$B$14-Inputs!$B$14))*(1+Inputs!$B$7/100))*(F443/100)</f>
        <v/>
      </c>
      <c r="K443">
        <f>J443*(1+((Inputs!$B$12*(1+Inputs!$B$13/100))*0.01+Inputs!$B$14*0.0025)/100)*(1+Inputs!$B$15/100)*(1+Inputs!$B$16/100)*(5000/(6000+Inputs!$B$43*(1-Inputs!$B$19/100)))*(1+(Inputs!$B$24+((C464=TRUE)*(F464-Calc!F30)))/100)*(1+(IF(Skills!A9="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443)</f>
        <v/>
      </c>
      <c r="L443">
        <f>K443*(MIN((Inputs!$B$22+1)+((C458=TRUE)*(F458-Calc!F24)),Inputs!$B$23+((C463=TRUE)*(F463-Calc!F29)))/100+(Inputs!$B$23+((C463=TRUE)*(F463-Calc!F29)))/100)/2</f>
        <v/>
      </c>
      <c r="M443">
        <f>L443*(1+(Inputs!$B$10+((C460=TRUE)*(F460-Calc!F26))+B474)/100)</f>
        <v/>
      </c>
      <c r="N443">
        <f>L443*(1-MIN((Inputs!$B$9+((C459=TRUE)*(F459-Calc!F25))+B467),100)/100)+M443*(MIN((Inputs!$B$9+((C459=TRUE)*(F459-Calc!F25))+B467),100)/100)</f>
        <v/>
      </c>
      <c r="O443">
        <f>(1-Summary!$B$55)*T443+Summary!$B$55*V443</f>
        <v/>
      </c>
      <c r="P443">
        <f>IF(B479=0,0,O443/B479)</f>
        <v/>
      </c>
      <c r="Q443" t="n">
        <v>0</v>
      </c>
      <c r="R443" t="n">
        <v>0</v>
      </c>
      <c r="S443" t="n">
        <v>0</v>
      </c>
      <c r="T443">
        <f>IF(C443,(0.2*SUMPRODUCT((Skills!Z2:Z30=TRUE)*(C436:C464=TRUE)*S436:S464)*N443)*IF(Inputs!$B$39="pvp",1,1+(Inputs!$B$20+0+Skills!P9+B468)/100),0)</f>
        <v/>
      </c>
      <c r="V443">
        <f>IF(C443,(0.2*SUMPRODUCT((Skills!Z2:Z30=TRUE)*(C436:C464=TRUE)*S436:S464)*N443)*IF(Inputs!$B$39="pvp",1,(1+(Inputs!$B$21+Skills!Q9+B468)/100)*(MIN(Skills!W9,Inputs!$B$37))),0)</f>
        <v/>
      </c>
    </row>
    <row r="444">
      <c r="A444">
        <f>Skills!A10</f>
        <v/>
      </c>
      <c r="B444">
        <f>Skills!B10</f>
        <v/>
      </c>
      <c r="C444">
        <f>Inputs!$B$3&gt;=74</f>
        <v/>
      </c>
      <c r="D444">
        <f>IF(Skills!C10=1,60+Inputs!$B$25+Inputs!$B$29,IF(Skills!C10=2,90+Inputs!$B$26+Inputs!$B$29,IF(Skills!C10=3,120+Inputs!$B$27+Inputs!$B$29,MAX(0,(Inputs!$B$3-100)*3)+Inputs!$B$28+Inputs!$B$29)))</f>
        <v/>
      </c>
      <c r="E444">
        <f>INDEX(FactorTable!$B$2:$Y$301, MATCH(ROUND(MIN(300,MAX(1,D444)),0), FactorTable!$A$2:$A$301,0), Skills!M10+1)</f>
        <v/>
      </c>
      <c r="F444">
        <f>IF(Skills!N10=TRUE,(Skills!L10/10)*(E444/1000),Skills!L10/10)+Skills!O10</f>
        <v/>
      </c>
      <c r="G444">
        <f>Skills!G10*IF(Skills!H10&gt;0,Skills!I10/Skills!H10,1)</f>
        <v/>
      </c>
      <c r="H444">
        <f>1-(1-Skills!J10/100)^Skills!K10</f>
        <v/>
      </c>
      <c r="I444" t="inlineStr">
        <is>
          <t>1</t>
        </is>
      </c>
      <c r="J444" t="inlineStr"/>
      <c r="K444" t="inlineStr"/>
      <c r="L444" t="inlineStr"/>
      <c r="M444" t="inlineStr"/>
      <c r="N444" t="inlineStr"/>
      <c r="O444">
        <f>(1-Summary!$B$55)*T444+Summary!$B$55*V444</f>
        <v/>
      </c>
      <c r="P444">
        <f>IF(B479=0,0,O444/B479)</f>
        <v/>
      </c>
      <c r="Q444">
        <f>IFERROR(1/IF(Inputs!$B$39="pvp",15,MAX(0.1,Skills!D10-IF(Skills!E10=TRUE,Inputs!$B$32,0))),0)</f>
        <v/>
      </c>
      <c r="R444">
        <f>IF(AND(Inputs!$B$39&lt;&gt;"pvp",Inputs!$B$44&gt;0),IF(Inputs!$B$44&lt;=0,0,(INT(Inputs!$B$44/IF(Inputs!$B$39="pvp",15,MAX(0.1,Skills!D10-IF(Skills!E10=TRUE,Inputs!$B$32,0))))+1)),0)</f>
        <v/>
      </c>
      <c r="S444">
        <f>IFERROR(O444/N444,0)</f>
        <v/>
      </c>
      <c r="T444" t="n">
        <v>0</v>
      </c>
      <c r="V444" t="n">
        <v>0</v>
      </c>
    </row>
    <row r="445">
      <c r="A445">
        <f>Skills!A11</f>
        <v/>
      </c>
      <c r="B445">
        <f>Skills!B11</f>
        <v/>
      </c>
      <c r="C445">
        <f>Inputs!$B$3&gt;=103</f>
        <v/>
      </c>
      <c r="D445">
        <f>IF(Skills!C11=1,60+Inputs!$B$25+Inputs!$B$29,IF(Skills!C11=2,90+Inputs!$B$26+Inputs!$B$29,IF(Skills!C11=3,120+Inputs!$B$27+Inputs!$B$29,MAX(0,(Inputs!$B$3-100)*3)+Inputs!$B$28+Inputs!$B$29)))</f>
        <v/>
      </c>
      <c r="E445">
        <f>INDEX(FactorTable!$B$2:$Y$301, MATCH(ROUND(MIN(300,MAX(1,D445)),0), FactorTable!$A$2:$A$301,0), Skills!M11+1)</f>
        <v/>
      </c>
      <c r="F445">
        <f>(Skills!L11/10)*(E445/1000)+IF(Inputs!$B$3&gt;=134,50,0)+0.5*(30000/10)*(INDEX(FactorTable!$B$2:$Y$301, MATCH(ROUND(MIN(300,MAX(1,D445)),0), FactorTable!$A$2:$A$301,0), 13)/1000)*B477</f>
        <v/>
      </c>
      <c r="G445">
        <f>Skills!G11*IF(Skills!H11&gt;0,Skills!I11/Skills!H11,1)</f>
        <v/>
      </c>
      <c r="H445">
        <f>1-(1-Skills!J11/100)^Skills!K11</f>
        <v/>
      </c>
      <c r="I445" t="inlineStr">
        <is>
          <t>1</t>
        </is>
      </c>
      <c r="J445">
        <f>((Inputs!$B$6*(1+Inputs!$B$7/100))+(((Inputs!$B$12*(1+Inputs!$B$13/100))-(Inputs!$B$12*(1+Inputs!$B$13/100)))+0.25*(Inputs!$B$14-Inputs!$B$14))*(1+Inputs!$B$7/100))*(F445/100)</f>
        <v/>
      </c>
      <c r="K445">
        <f>J445*(1+((Inputs!$B$12*(1+Inputs!$B$13/100))*0.01+Inputs!$B$14*0.0025)/100)*(1+Inputs!$B$15/100)*(1+Inputs!$B$16/100)*(5000/(6000+Inputs!$B$43*(1-Inputs!$B$19/100)))*(1+(Inputs!$B$24+((C464=TRUE)*(F464-Calc!F30)))/100)*(1+(IF(Skills!A11="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445)</f>
        <v/>
      </c>
      <c r="L445">
        <f>K445*(MIN((Inputs!$B$22+1)+((C458=TRUE)*(F458-Calc!F24)),Inputs!$B$23+((C463=TRUE)*(F463-Calc!F29)))/100+(Inputs!$B$23+((C463=TRUE)*(F463-Calc!F29)))/100)/2</f>
        <v/>
      </c>
      <c r="M445">
        <f>L445*(1+(Inputs!$B$10+((C460=TRUE)*(F460-Calc!F26))+B474)/100)</f>
        <v/>
      </c>
      <c r="N445">
        <f>L445*(1-MIN((Inputs!$B$9+((C459=TRUE)*(F459-Calc!F25))+B467),100)/100)+M445*(MIN((Inputs!$B$9+((C459=TRUE)*(F459-Calc!F25))+B467),100)/100)</f>
        <v/>
      </c>
      <c r="O445">
        <f>(1-Summary!$B$55)*T445+Summary!$B$55*V445</f>
        <v/>
      </c>
      <c r="P445">
        <f>IF(B479=0,0,O445/B479)</f>
        <v/>
      </c>
      <c r="Q445">
        <f>IFERROR(1/IF(Inputs!$B$39="pvp",15,MAX(0.1,Skills!D11-IF(Skills!E11=TRUE,Inputs!$B$32,0))),0)</f>
        <v/>
      </c>
      <c r="R445">
        <f>IF(AND(Inputs!$B$39&lt;&gt;"pvp",Inputs!$B$44&gt;0),IF(MAX(0,Inputs!$B$44-B478)&lt;=0,0,(INT(MAX(0,Inputs!$B$44-B478)/IF(Inputs!$B$39="pvp",15,MAX(0.1,Skills!D11-IF(Skills!E11=TRUE,Inputs!$B$32,0))))+1)),0)</f>
        <v/>
      </c>
      <c r="S445">
        <f>IFERROR(O445/N445,0)</f>
        <v/>
      </c>
      <c r="T445">
        <f>IF(C445,(H445*N445*IF(AND(Inputs!$B$39&lt;&gt;"pvp",Inputs!$B$44&gt;0),((Skills!G11*((R445-1)*IF(Skills!H11&gt;0,Skills!I11/Skills!H11,1)+IF(Skills!H11&gt;0,MIN(Skills!I11,MAX(0,MAX(0,Inputs!$B$44-B478)-((R445-1)*IF(Inputs!$B$39="pvp",15,MAX(0.1,Skills!D11-IF(Skills!E11=TRUE,Inputs!$B$32,0))))))/Skills!H11,1)))/Inputs!$B$44),G445*Q445))*IF(Inputs!$B$39="pvp",1,1+(Inputs!$B$20+0+Skills!P11+B468)/100),0)</f>
        <v/>
      </c>
      <c r="V445">
        <f>IF(C445,(H445*N445*IF(AND(Inputs!$B$39&lt;&gt;"pvp",Inputs!$B$44&gt;0),((Skills!G11*((R445-1)*IF(Skills!H11&gt;0,Skills!I11/Skills!H11,1)+IF(Skills!H11&gt;0,MIN(Skills!I11,MAX(0,MAX(0,Inputs!$B$44-B478)-((R445-1)*IF(Inputs!$B$39="pvp",15,MAX(0.1,Skills!D11-IF(Skills!E11=TRUE,Inputs!$B$32,0))))))/Skills!H11,1)))/Inputs!$B$44),G445*Q445))*IF(Inputs!$B$39="pvp",1,(1+(Inputs!$B$21+Skills!Q11+B468)/100)*(MIN(Skills!W11,Inputs!$B$37))),0)</f>
        <v/>
      </c>
    </row>
    <row r="446">
      <c r="A446">
        <f>Skills!A12</f>
        <v/>
      </c>
      <c r="B446">
        <f>Skills!B12</f>
        <v/>
      </c>
      <c r="C446">
        <f>Inputs!$B$3&gt;=105</f>
        <v/>
      </c>
      <c r="D446">
        <f>IF(Skills!C12=1,60+Inputs!$B$25+Inputs!$B$29,IF(Skills!C12=2,90+Inputs!$B$26+Inputs!$B$29,IF(Skills!C12=3,120+Inputs!$B$27+Inputs!$B$29,MAX(0,(Inputs!$B$3-100)*3)+Inputs!$B$28+Inputs!$B$29)))</f>
        <v/>
      </c>
      <c r="E446">
        <f>INDEX(FactorTable!$B$2:$Y$301, MATCH(ROUND(MIN(300,MAX(1,D446)),0), FactorTable!$A$2:$A$301,0), Skills!M12+1)</f>
        <v/>
      </c>
      <c r="F446">
        <f>IF(Skills!N12=TRUE,(Skills!L12/10)*(E446/1000),Skills!L12/10)+Skills!O12</f>
        <v/>
      </c>
      <c r="G446">
        <f>Skills!G12*IF(Skills!H12&gt;0,Skills!I12/Skills!H12,1)</f>
        <v/>
      </c>
      <c r="H446">
        <f>1-(1-Skills!J12/100)^Skills!K12</f>
        <v/>
      </c>
      <c r="I446" t="inlineStr">
        <is>
          <t>1</t>
        </is>
      </c>
      <c r="J446">
        <f>((Inputs!$B$6*(1+Inputs!$B$7/100))+(((Inputs!$B$12*(1+Inputs!$B$13/100))-(Inputs!$B$12*(1+Inputs!$B$13/100)))+0.25*(Inputs!$B$14-Inputs!$B$14))*(1+Inputs!$B$7/100))*(F446/100)</f>
        <v/>
      </c>
      <c r="K446">
        <f>J446*(1+((Inputs!$B$12*(1+Inputs!$B$13/100))*0.01+Inputs!$B$14*0.0025)/100)*(1+Inputs!$B$15/100)*(1+Inputs!$B$16/100)*(5000/(6000+Inputs!$B$43*(1-Inputs!$B$19/100)))*(1+(Inputs!$B$24+((C464=TRUE)*(F464-Calc!F30)))/100)*(1+(IF(Skills!A12="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446)</f>
        <v/>
      </c>
      <c r="L446">
        <f>K446*(MIN((Inputs!$B$22+1)+((C458=TRUE)*(F458-Calc!F24)),Inputs!$B$23+((C463=TRUE)*(F463-Calc!F29)))/100+(Inputs!$B$23+((C463=TRUE)*(F463-Calc!F29)))/100)/2</f>
        <v/>
      </c>
      <c r="M446">
        <f>L446*(1+(Inputs!$B$10+((C460=TRUE)*(F460-Calc!F26))+B474)/100)</f>
        <v/>
      </c>
      <c r="N446">
        <f>L446*(1-MIN((Inputs!$B$9+((C459=TRUE)*(F459-Calc!F25))+B467),100)/100)+M446*(MIN((Inputs!$B$9+((C459=TRUE)*(F459-Calc!F25))+B467),100)/100)</f>
        <v/>
      </c>
      <c r="O446">
        <f>(1-Summary!$B$55)*T446+Summary!$B$55*V446</f>
        <v/>
      </c>
      <c r="P446">
        <f>IF(B479=0,0,O446/B479)</f>
        <v/>
      </c>
      <c r="Q446">
        <f>IFERROR(1/IF(Inputs!$B$39="pvp",15,MAX(0.1,Skills!D12-IF(Skills!E12=TRUE,Inputs!$B$32,0))),0)</f>
        <v/>
      </c>
      <c r="R446">
        <f>IF(AND(Inputs!$B$39&lt;&gt;"pvp",Inputs!$B$44&gt;0),IF(MAX(0,Inputs!$B$44-B478)&lt;=0,0,(INT(MAX(0,Inputs!$B$44-B478)/IF(Inputs!$B$39="pvp",15,MAX(0.1,Skills!D12-IF(Skills!E12=TRUE,Inputs!$B$32,0))))+1)),0)</f>
        <v/>
      </c>
      <c r="S446">
        <f>IFERROR(O446/N446,0)</f>
        <v/>
      </c>
      <c r="T446">
        <f>IF(C446,(H446*N446*IF(AND(Inputs!$B$39&lt;&gt;"pvp",Inputs!$B$44&gt;0),((Skills!G12*((R446-1)*IF(Skills!H12&gt;0,Skills!I12/Skills!H12,1)+IF(Skills!H12&gt;0,MIN(Skills!I12,MAX(0,MAX(0,Inputs!$B$44-B478)-((R446-1)*IF(Inputs!$B$39="pvp",15,MAX(0.1,Skills!D12-IF(Skills!E12=TRUE,Inputs!$B$32,0))))))/Skills!H12,1)))/Inputs!$B$44),G446*Q446))*IF(Inputs!$B$39="pvp",1,1+(Inputs!$B$20+0+Skills!P12+B468)/100),0)</f>
        <v/>
      </c>
      <c r="V446">
        <f>IF(C446,(H446*N446*IF(AND(Inputs!$B$39&lt;&gt;"pvp",Inputs!$B$44&gt;0),((Skills!G12*((R446-1)*IF(Skills!H12&gt;0,Skills!I12/Skills!H12,1)+IF(Skills!H12&gt;0,MIN(Skills!I12,MAX(0,MAX(0,Inputs!$B$44-B478)-((R446-1)*IF(Inputs!$B$39="pvp",15,MAX(0.1,Skills!D12-IF(Skills!E12=TRUE,Inputs!$B$32,0))))))/Skills!H12,1)))/Inputs!$B$44),G446*Q446))*IF(Inputs!$B$39="pvp",1,(1+(Inputs!$B$21+Skills!Q12+B468)/100)*(MIN(Skills!W12,Inputs!$B$37))),0)</f>
        <v/>
      </c>
    </row>
    <row r="447">
      <c r="A447">
        <f>Skills!A13</f>
        <v/>
      </c>
      <c r="B447">
        <f>Skills!B13</f>
        <v/>
      </c>
      <c r="C447">
        <f>Inputs!$B$3&gt;=105</f>
        <v/>
      </c>
      <c r="D447">
        <f>IF(Skills!C13=1,60+Inputs!$B$25+Inputs!$B$29,IF(Skills!C13=2,90+Inputs!$B$26+Inputs!$B$29,IF(Skills!C13=3,120+Inputs!$B$27+Inputs!$B$29,MAX(0,(Inputs!$B$3-100)*3)+Inputs!$B$28+Inputs!$B$29)))</f>
        <v/>
      </c>
      <c r="E447">
        <f>INDEX(FactorTable!$B$2:$Y$301, MATCH(ROUND(MIN(300,MAX(1,D447)),0), FactorTable!$A$2:$A$301,0), Skills!M13+1)</f>
        <v/>
      </c>
      <c r="F447">
        <f>IF(Skills!N13=TRUE,(Skills!L13/10)*(E447/1000),Skills!L13/10)+Skills!O13</f>
        <v/>
      </c>
      <c r="G447">
        <f>Skills!G13*IF(Skills!H13&gt;0,Skills!I13/Skills!H13,1)</f>
        <v/>
      </c>
      <c r="H447">
        <f>1-(1-Skills!J13/100)^Skills!K13</f>
        <v/>
      </c>
      <c r="I447" t="inlineStr">
        <is>
          <t>1</t>
        </is>
      </c>
      <c r="J447">
        <f>((Inputs!$B$6*(1+Inputs!$B$7/100))+(((Inputs!$B$12*(1+Inputs!$B$13/100))-(Inputs!$B$12*(1+Inputs!$B$13/100)))+0.25*(Inputs!$B$14-Inputs!$B$14))*(1+Inputs!$B$7/100))*(F447/100)</f>
        <v/>
      </c>
      <c r="K447">
        <f>J447*(1+((Inputs!$B$12*(1+Inputs!$B$13/100))*0.01+Inputs!$B$14*0.0025)/100)*(1+Inputs!$B$15/100)*(1+Inputs!$B$16/100)*(5000/(6000+Inputs!$B$43*(1-Inputs!$B$19/100)))*(1+(Inputs!$B$24+((C464=TRUE)*(F464-Calc!F30)))/100)*(1+(IF(Skills!A13="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447)</f>
        <v/>
      </c>
      <c r="L447">
        <f>K447*(MIN((Inputs!$B$22+1)+((C458=TRUE)*(F458-Calc!F24)),Inputs!$B$23+((C463=TRUE)*(F463-Calc!F29)))/100+(Inputs!$B$23+((C463=TRUE)*(F463-Calc!F29)))/100)/2</f>
        <v/>
      </c>
      <c r="M447">
        <f>L447*(1+(Inputs!$B$10+((C460=TRUE)*(F460-Calc!F26))+B474)/100)</f>
        <v/>
      </c>
      <c r="N447">
        <f>L447*(1-MIN((Inputs!$B$9+((C459=TRUE)*(F459-Calc!F25))+B467),100)/100)+M447*(MIN((Inputs!$B$9+((C459=TRUE)*(F459-Calc!F25))+B467),100)/100)</f>
        <v/>
      </c>
      <c r="O447">
        <f>(1-Summary!$B$55)*T447+Summary!$B$55*V447</f>
        <v/>
      </c>
      <c r="P447">
        <f>IF(B479=0,0,O447/B479)</f>
        <v/>
      </c>
      <c r="Q447">
        <f>IFERROR(1/IF(Inputs!$B$39="pvp",15,MAX(0.1,Skills!D13-IF(Skills!E13=TRUE,Inputs!$B$32,0))),0)</f>
        <v/>
      </c>
      <c r="R447">
        <f>IF(AND(Inputs!$B$39&lt;&gt;"pvp",Inputs!$B$44&gt;0),IF(MAX(0,Inputs!$B$44-B478)&lt;=0,0,(INT(MAX(0,Inputs!$B$44-B478)/IF(Inputs!$B$39="pvp",15,MAX(0.1,Skills!D13-IF(Skills!E13=TRUE,Inputs!$B$32,0))))+1)),0)</f>
        <v/>
      </c>
      <c r="S447">
        <f>IFERROR(O447/N447,0)</f>
        <v/>
      </c>
      <c r="T447">
        <f>IF(C447,(H447*N447*IF(AND(Inputs!$B$39&lt;&gt;"pvp",Inputs!$B$44&gt;0),((Skills!G13*((R447-1)*IF(Skills!H13&gt;0,Skills!I13/Skills!H13,1)+IF(Skills!H13&gt;0,MIN(Skills!I13,MAX(0,MAX(0,Inputs!$B$44-B478)-((R447-1)*IF(Inputs!$B$39="pvp",15,MAX(0.1,Skills!D13-IF(Skills!E13=TRUE,Inputs!$B$32,0))))))/Skills!H13,1)))/Inputs!$B$44),G447*Q447))*IF(Inputs!$B$39="pvp",1,1+(Inputs!$B$20+0+Skills!P13+B468)/100),0)</f>
        <v/>
      </c>
      <c r="V447">
        <f>IF(C447,(H447*N447*IF(AND(Inputs!$B$39&lt;&gt;"pvp",Inputs!$B$44&gt;0),((Skills!G13*((R447-1)*IF(Skills!H13&gt;0,Skills!I13/Skills!H13,1)+IF(Skills!H13&gt;0,MIN(Skills!I13,MAX(0,MAX(0,Inputs!$B$44-B478)-((R447-1)*IF(Inputs!$B$39="pvp",15,MAX(0.1,Skills!D13-IF(Skills!E13=TRUE,Inputs!$B$32,0))))))/Skills!H13,1)))/Inputs!$B$44),G447*Q447))*IF(Inputs!$B$39="pvp",1,(1+(Inputs!$B$21+Skills!Q13+B468)/100)*(MIN(Skills!W13,Inputs!$B$37))),0)</f>
        <v/>
      </c>
    </row>
    <row r="448">
      <c r="A448">
        <f>Skills!A14</f>
        <v/>
      </c>
      <c r="B448">
        <f>Skills!B14</f>
        <v/>
      </c>
      <c r="C448">
        <f>Inputs!$B$3&gt;=107</f>
        <v/>
      </c>
      <c r="D448">
        <f>IF(Skills!C14=1,60+Inputs!$B$25+Inputs!$B$29,IF(Skills!C14=2,90+Inputs!$B$26+Inputs!$B$29,IF(Skills!C14=3,120+Inputs!$B$27+Inputs!$B$29,MAX(0,(Inputs!$B$3-100)*3)+Inputs!$B$28+Inputs!$B$29)))</f>
        <v/>
      </c>
      <c r="E448">
        <f>INDEX(FactorTable!$B$2:$Y$301, MATCH(ROUND(MIN(300,MAX(1,D448)),0), FactorTable!$A$2:$A$301,0), Skills!M14+1)</f>
        <v/>
      </c>
      <c r="F448">
        <f>IF(Skills!N14=TRUE,(Skills!L14/10)*(E448/1000),Skills!L14/10)+Skills!O14</f>
        <v/>
      </c>
      <c r="G448">
        <f>Skills!G14*IF(Skills!H14&gt;0,Skills!I14/Skills!H14,1)</f>
        <v/>
      </c>
      <c r="H448">
        <f>1-(1-Skills!J14/100)^Skills!K14</f>
        <v/>
      </c>
      <c r="I448" t="inlineStr">
        <is>
          <t>1</t>
        </is>
      </c>
      <c r="J448">
        <f>((Inputs!$B$6*(1+Inputs!$B$7/100))+(((Inputs!$B$12*(1+Inputs!$B$13/100))-(Inputs!$B$12*(1+Inputs!$B$13/100)))+0.25*(Inputs!$B$14-Inputs!$B$14))*(1+Inputs!$B$7/100))*(F448/100)</f>
        <v/>
      </c>
      <c r="K448">
        <f>J448*(1+((Inputs!$B$12*(1+Inputs!$B$13/100))*0.01+Inputs!$B$14*0.0025)/100)*(1+Inputs!$B$15/100)*(1+Inputs!$B$16/100)*(5000/(6000+Inputs!$B$43*(1-Inputs!$B$19/100)))*(1+(Inputs!$B$24+((C464=TRUE)*(F464-Calc!F30)))/100)*(1+(IF(Skills!A14="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448)</f>
        <v/>
      </c>
      <c r="L448">
        <f>K448*(MIN((Inputs!$B$22+1)+((C458=TRUE)*(F458-Calc!F24)),Inputs!$B$23+((C463=TRUE)*(F463-Calc!F29)))/100+(Inputs!$B$23+((C463=TRUE)*(F463-Calc!F29)))/100)/2</f>
        <v/>
      </c>
      <c r="M448">
        <f>L448*(1+(Inputs!$B$10+((C460=TRUE)*(F460-Calc!F26))+B474)/100)</f>
        <v/>
      </c>
      <c r="N448">
        <f>L448*(1-MIN((Inputs!$B$9+((C459=TRUE)*(F459-Calc!F25))+B467),100)/100)+M448*(MIN((Inputs!$B$9+((C459=TRUE)*(F459-Calc!F25))+B467),100)/100)</f>
        <v/>
      </c>
      <c r="O448">
        <f>(1-Summary!$B$55)*T448+Summary!$B$55*V448</f>
        <v/>
      </c>
      <c r="P448">
        <f>IF(B479=0,0,O448/B479)</f>
        <v/>
      </c>
      <c r="Q448">
        <f>IFERROR(1/IF(Inputs!$B$39="pvp",15,MAX(0.1,Skills!D14-IF(Skills!E14=TRUE,Inputs!$B$32,0))),0)</f>
        <v/>
      </c>
      <c r="R448">
        <f>IF(AND(Inputs!$B$39&lt;&gt;"pvp",Inputs!$B$44&gt;0),IF(MAX(0,Inputs!$B$44-B478)&lt;=0,0,(INT(MAX(0,Inputs!$B$44-B478)/IF(Inputs!$B$39="pvp",15,MAX(0.1,Skills!D14-IF(Skills!E14=TRUE,Inputs!$B$32,0))))+1)),0)</f>
        <v/>
      </c>
      <c r="S448">
        <f>IFERROR(O448/N448,0)</f>
        <v/>
      </c>
      <c r="T448">
        <f>IF(C448,(H448*N448*IF(AND(Inputs!$B$39&lt;&gt;"pvp",Inputs!$B$44&gt;0),((Skills!G14*((R448-1)*IF(Skills!H14&gt;0,Skills!I14/Skills!H14,1)+IF(Skills!H14&gt;0,MIN(Skills!I14,MAX(0,MAX(0,Inputs!$B$44-B478)-((R448-1)*IF(Inputs!$B$39="pvp",15,MAX(0.1,Skills!D14-IF(Skills!E14=TRUE,Inputs!$B$32,0))))))/Skills!H14,1)))/Inputs!$B$44),G448*Q448))*IF(Inputs!$B$39="pvp",1,1+(Inputs!$B$20+0+Skills!P14+B468)/100),0)</f>
        <v/>
      </c>
      <c r="V448">
        <f>IF(C448,(H448*N448*IF(AND(Inputs!$B$39&lt;&gt;"pvp",Inputs!$B$44&gt;0),((Skills!G14*((R448-1)*IF(Skills!H14&gt;0,Skills!I14/Skills!H14,1)+IF(Skills!H14&gt;0,MIN(Skills!I14,MAX(0,MAX(0,Inputs!$B$44-B478)-((R448-1)*IF(Inputs!$B$39="pvp",15,MAX(0.1,Skills!D14-IF(Skills!E14=TRUE,Inputs!$B$32,0))))))/Skills!H14,1)))/Inputs!$B$44),G448*Q448))*IF(Inputs!$B$39="pvp",1,(1+(Inputs!$B$21+Skills!Q14+B468)/100)*(MIN(MIN(5,0.25*B471*Skills!D4)*Skills!V14,Inputs!$B$37))),0)</f>
        <v/>
      </c>
    </row>
    <row r="449">
      <c r="A449">
        <f>Skills!A15</f>
        <v/>
      </c>
      <c r="B449">
        <f>Skills!B15</f>
        <v/>
      </c>
      <c r="C449">
        <f>Inputs!$B$3&gt;=110</f>
        <v/>
      </c>
      <c r="D449">
        <f>IF(Skills!C15=1,60+Inputs!$B$25+Inputs!$B$29,IF(Skills!C15=2,90+Inputs!$B$26+Inputs!$B$29,IF(Skills!C15=3,120+Inputs!$B$27+Inputs!$B$29,MAX(0,(Inputs!$B$3-100)*3)+Inputs!$B$28+Inputs!$B$29)))</f>
        <v/>
      </c>
      <c r="E449">
        <f>INDEX(FactorTable!$B$2:$Y$301, MATCH(ROUND(MIN(300,MAX(1,D449)),0), FactorTable!$A$2:$A$301,0), Skills!M15+1)</f>
        <v/>
      </c>
      <c r="F449">
        <f>IF(Skills!N15=TRUE,(Skills!L15/10)*(E449/1000),Skills!L15/10)+Skills!O15</f>
        <v/>
      </c>
      <c r="G449">
        <f>Skills!G15*IF(Skills!H15&gt;0,Skills!I15/Skills!H15,1)</f>
        <v/>
      </c>
      <c r="H449">
        <f>1-(1-Skills!J15/100)^Skills!K15</f>
        <v/>
      </c>
      <c r="I449" t="inlineStr">
        <is>
          <t>1</t>
        </is>
      </c>
      <c r="J449" t="inlineStr"/>
      <c r="K449" t="inlineStr"/>
      <c r="L449" t="inlineStr"/>
      <c r="M449" t="inlineStr"/>
      <c r="N449" t="inlineStr"/>
      <c r="O449">
        <f>(1-Summary!$B$55)*T449+Summary!$B$55*V449</f>
        <v/>
      </c>
      <c r="P449">
        <f>IF(B479=0,0,O449/B479)</f>
        <v/>
      </c>
      <c r="Q449">
        <f>IFERROR(1/IF(Inputs!$B$39="pvp",15,MAX(0.1,Skills!D15-IF(Skills!E15=TRUE,Inputs!$B$32,0))),0)</f>
        <v/>
      </c>
      <c r="R449">
        <f>IF(AND(Inputs!$B$39&lt;&gt;"pvp",Inputs!$B$44&gt;0),IF(Inputs!$B$44&lt;=0,0,(INT(Inputs!$B$44/IF(Inputs!$B$39="pvp",15,MAX(0.1,Skills!D15-IF(Skills!E15=TRUE,Inputs!$B$32,0))))+1)),0)</f>
        <v/>
      </c>
      <c r="S449">
        <f>IFERROR(O449/N449,0)</f>
        <v/>
      </c>
      <c r="T449" t="n">
        <v>0</v>
      </c>
      <c r="V449" t="n">
        <v>0</v>
      </c>
    </row>
    <row r="450">
      <c r="A450">
        <f>Skills!A16</f>
        <v/>
      </c>
      <c r="B450">
        <f>Skills!B16</f>
        <v/>
      </c>
      <c r="C450">
        <f>Inputs!$B$3&gt;=115</f>
        <v/>
      </c>
      <c r="D450">
        <f>IF(Skills!C16=1,60+Inputs!$B$25+Inputs!$B$29,IF(Skills!C16=2,90+Inputs!$B$26+Inputs!$B$29,IF(Skills!C16=3,120+Inputs!$B$27+Inputs!$B$29,MAX(0,(Inputs!$B$3-100)*3)+Inputs!$B$28+Inputs!$B$29)))</f>
        <v/>
      </c>
      <c r="E450">
        <f>INDEX(FactorTable!$B$2:$Y$301, MATCH(ROUND(MIN(300,MAX(1,D450)),0), FactorTable!$A$2:$A$301,0), Skills!M16+1)</f>
        <v/>
      </c>
      <c r="F450">
        <f>IF(Skills!N16=TRUE,(Skills!L16/10)*(E450/1000),Skills!L16/10)+Skills!O16</f>
        <v/>
      </c>
      <c r="G450">
        <f>Skills!G16*IF(Skills!H16&gt;0,Skills!I16/Skills!H16,1)</f>
        <v/>
      </c>
      <c r="H450">
        <f>1-(1-Skills!J16/100)^Skills!K16</f>
        <v/>
      </c>
      <c r="I450" t="inlineStr">
        <is>
          <t>1</t>
        </is>
      </c>
      <c r="J450">
        <f>((Inputs!$B$6*(1+Inputs!$B$7/100))+(((Inputs!$B$12*(1+Inputs!$B$13/100))-(Inputs!$B$12*(1+Inputs!$B$13/100)))+0.25*(Inputs!$B$14-Inputs!$B$14))*(1+Inputs!$B$7/100))*(F450/100)</f>
        <v/>
      </c>
      <c r="K450">
        <f>J450*(1+((Inputs!$B$12*(1+Inputs!$B$13/100))*0.01+Inputs!$B$14*0.0025)/100)*(1+Inputs!$B$15/100)*(1+Inputs!$B$16/100)*(5000/(6000+Inputs!$B$43*(1-Inputs!$B$19/100)))*(1+(Inputs!$B$24+((C464=TRUE)*(F464-Calc!F30)))/100)*(1+(IF(Skills!A16="CRUEL_STAB",Inputs!$B$17+((C461=TRUE)*(F461-Calc!F27)),Inputs!$B$18+((C462=TRUE)*(F462-Calc!F28))))/100)*(((1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B469*I450)</f>
        <v/>
      </c>
      <c r="L450">
        <f>K450*(MIN((Inputs!$B$22+1)+((C458=TRUE)*(F458-Calc!F24)),Inputs!$B$23+((C463=TRUE)*(F463-Calc!F29)))/100+(Inputs!$B$23+((C463=TRUE)*(F463-Calc!F29)))/100)/2</f>
        <v/>
      </c>
      <c r="M450">
        <f>L450*(1+(Inputs!$B$10+((C460=TRUE)*(F460-Calc!F26))+B474)/100)</f>
        <v/>
      </c>
      <c r="N450">
        <f>L450*(1-MIN((Inputs!$B$9+((C459=TRUE)*(F459-Calc!F25))+B467),100)/100)+M450*(MIN((Inputs!$B$9+((C459=TRUE)*(F459-Calc!F25))+B467),100)/100)</f>
        <v/>
      </c>
      <c r="O450">
        <f>(1-Summary!$B$55)*T450+Summary!$B$55*V450</f>
        <v/>
      </c>
      <c r="P450">
        <f>IF(B479=0,0,O450/B479)</f>
        <v/>
      </c>
      <c r="Q450" t="n">
        <v>0</v>
      </c>
      <c r="R450" t="n">
        <v>0</v>
      </c>
      <c r="S450">
        <f>IFERROR(O450/N450,0)</f>
        <v/>
      </c>
      <c r="T450">
        <f>IF(C450,(Inputs!$B$38*0.2*N450)*IF(Inputs!$B$39="pvp",1,1+(Inputs!$B$20+0+Skills!P16+B468)/100),0)</f>
        <v/>
      </c>
      <c r="V450">
        <f>IF(C450,(Inputs!$B$38*0.2*N450)*IF(Inputs!$B$39="pvp",1,(1+(Inputs!$B$21+Skills!Q16+B468)/100)*(MIN(Skills!W16,Inputs!$B$37))),0)</f>
        <v/>
      </c>
    </row>
    <row r="451">
      <c r="A451">
        <f>Skills!A17</f>
        <v/>
      </c>
      <c r="B451">
        <f>Skills!B17</f>
        <v/>
      </c>
      <c r="C451">
        <f>Inputs!$B$3&gt;=115</f>
        <v/>
      </c>
      <c r="D451">
        <f>IF(Skills!C17=1,60+Inputs!$B$25+Inputs!$B$29,IF(Skills!C17=2,90+Inputs!$B$26+Inputs!$B$29,IF(Skills!C17=3,120+Inputs!$B$27+Inputs!$B$29,MAX(0,(Inputs!$B$3-100)*3)+Inputs!$B$28+Inputs!$B$29)))</f>
        <v/>
      </c>
      <c r="E451">
        <f>INDEX(FactorTable!$B$2:$Y$301, MATCH(ROUND(MIN(300,MAX(1,D451)),0), FactorTable!$A$2:$A$301,0), Skills!M17+1)</f>
        <v/>
      </c>
      <c r="F451">
        <f>IF(Skills!N17=TRUE,(Skills!L17/10)*(E451/1000),Skills!L17/10)+Skills!O17</f>
        <v/>
      </c>
      <c r="G451">
        <f>Skills!G17*IF(Skills!H17&gt;0,Skills!I17/Skills!H17,1)</f>
        <v/>
      </c>
      <c r="H451">
        <f>1-(1-Skills!J17/100)^Skills!K17</f>
        <v/>
      </c>
      <c r="I451" t="inlineStr">
        <is>
          <t>1</t>
        </is>
      </c>
      <c r="J451" t="inlineStr"/>
      <c r="K451" t="inlineStr"/>
      <c r="L451" t="inlineStr"/>
      <c r="M451" t="inlineStr"/>
      <c r="N451" t="inlineStr"/>
      <c r="O451">
        <f>(1-Summary!$B$55)*T451+Summary!$B$55*V451</f>
        <v/>
      </c>
      <c r="P451">
        <f>IF(B479=0,0,O451/B479)</f>
        <v/>
      </c>
      <c r="Q451" t="n">
        <v>0</v>
      </c>
      <c r="R451" t="n">
        <v>0</v>
      </c>
      <c r="S451">
        <f>IFERROR(O451/N451,0)</f>
        <v/>
      </c>
      <c r="T451" t="n">
        <v>0</v>
      </c>
      <c r="V451" t="n">
        <v>0</v>
      </c>
    </row>
    <row r="452">
      <c r="A452">
        <f>Skills!A18</f>
        <v/>
      </c>
      <c r="B452">
        <f>Skills!B18</f>
        <v/>
      </c>
      <c r="C452">
        <f>Inputs!$B$3&gt;=100</f>
        <v/>
      </c>
      <c r="D452">
        <f>IF(Skills!C18=1,60+Inputs!$B$25+Inputs!$B$29,IF(Skills!C18=2,90+Inputs!$B$26+Inputs!$B$29,IF(Skills!C18=3,120+Inputs!$B$27+Inputs!$B$29,MAX(0,(Inputs!$B$3-100)*3)+Inputs!$B$28+Inputs!$B$29)))</f>
        <v/>
      </c>
      <c r="E452">
        <f>INDEX(FactorTable!$B$2:$Y$301, MATCH(ROUND(MIN(300,MAX(1,D452)),0), FactorTable!$A$2:$A$301,0), Skills!M18+1)</f>
        <v/>
      </c>
      <c r="F452">
        <f>IF(Skills!N18=TRUE,(Skills!L18/10)*(E452/1000),Skills!L18/10)+Skills!O18</f>
        <v/>
      </c>
      <c r="G452">
        <f>Skills!G18*IF(Skills!H18&gt;0,Skills!I18/Skills!H18,1)</f>
        <v/>
      </c>
      <c r="H452">
        <f>1-(1-Skills!J18/100)^Skills!K18</f>
        <v/>
      </c>
      <c r="I452" t="inlineStr">
        <is>
          <t>1</t>
        </is>
      </c>
      <c r="J452" t="inlineStr"/>
      <c r="K452" t="inlineStr"/>
      <c r="L452" t="inlineStr"/>
      <c r="M452" t="inlineStr"/>
      <c r="N452" t="inlineStr"/>
      <c r="O452">
        <f>(1-Summary!$B$55)*T452+Summary!$B$55*V452</f>
        <v/>
      </c>
      <c r="P452">
        <f>IF(B479=0,0,O452/B479)</f>
        <v/>
      </c>
      <c r="Q452" t="n">
        <v>0</v>
      </c>
      <c r="R452" t="n">
        <v>0</v>
      </c>
      <c r="S452">
        <f>IFERROR(O452/N452,0)</f>
        <v/>
      </c>
      <c r="T452" t="n">
        <v>0</v>
      </c>
      <c r="V452" t="n">
        <v>0</v>
      </c>
    </row>
    <row r="453">
      <c r="A453">
        <f>Skills!A19</f>
        <v/>
      </c>
      <c r="B453">
        <f>Skills!B19</f>
        <v/>
      </c>
      <c r="C453">
        <f>TRUE</f>
        <v/>
      </c>
      <c r="D453">
        <f>IF(Skills!C19=1,60+Inputs!$B$25+Inputs!$B$29,IF(Skills!C19=2,90+Inputs!$B$26+Inputs!$B$29,IF(Skills!C19=3,120+Inputs!$B$27+Inputs!$B$29,MAX(0,(Inputs!$B$3-100)*3)+Inputs!$B$28+Inputs!$B$29)))</f>
        <v/>
      </c>
      <c r="E453">
        <f>INDEX(FactorTable!$B$2:$Y$301, MATCH(ROUND(MIN(300,MAX(1,D453)),0), FactorTable!$A$2:$A$301,0), Skills!M19+1)</f>
        <v/>
      </c>
      <c r="F453">
        <f>IF(Skills!N19=TRUE,(Skills!L19/10)*(E453/1000),Skills!L19/10)+Skills!O19</f>
        <v/>
      </c>
      <c r="G453">
        <f>Skills!G19*IF(Skills!H19&gt;0,Skills!I19/Skills!H19,1)</f>
        <v/>
      </c>
      <c r="H453">
        <f>1-(1-Skills!J19/100)^Skills!K19</f>
        <v/>
      </c>
      <c r="I453" t="inlineStr">
        <is>
          <t>1</t>
        </is>
      </c>
      <c r="J453" t="inlineStr"/>
      <c r="K453" t="inlineStr"/>
      <c r="L453" t="inlineStr"/>
      <c r="M453" t="inlineStr"/>
      <c r="N453" t="inlineStr"/>
      <c r="O453">
        <f>(1-Summary!$B$55)*T453+Summary!$B$55*V453</f>
        <v/>
      </c>
      <c r="P453">
        <f>IF(B479=0,0,O453/B479)</f>
        <v/>
      </c>
      <c r="Q453">
        <f>IFERROR(1/IF(Inputs!$B$39="pvp",15,MAX(0.1,Skills!D19-IF(Skills!E19=TRUE,Inputs!$B$32,0))),0)</f>
        <v/>
      </c>
      <c r="R453">
        <f>IF(AND(Inputs!$B$39&lt;&gt;"pvp",Inputs!$B$44&gt;0),IF(Inputs!$B$44&lt;=0,0,(INT(Inputs!$B$44/IF(Inputs!$B$39="pvp",15,MAX(0.1,Skills!D19-IF(Skills!E19=TRUE,Inputs!$B$32,0))))+1)),0)</f>
        <v/>
      </c>
      <c r="S453">
        <f>IFERROR(O453/N453,0)</f>
        <v/>
      </c>
      <c r="T453" t="n">
        <v>0</v>
      </c>
      <c r="V453" t="n">
        <v>0</v>
      </c>
    </row>
    <row r="454">
      <c r="A454">
        <f>Skills!A20</f>
        <v/>
      </c>
      <c r="B454">
        <f>Skills!B20</f>
        <v/>
      </c>
      <c r="C454">
        <f>Inputs!$B$3&gt;=15</f>
        <v/>
      </c>
      <c r="D454">
        <f>IF(Skills!C20=1,60+Inputs!$B$25+Inputs!$B$29,IF(Skills!C20=2,90+Inputs!$B$26+Inputs!$B$29,IF(Skills!C20=3,120+Inputs!$B$27+Inputs!$B$29,MAX(0,(Inputs!$B$3-100)*3)+Inputs!$B$28+Inputs!$B$29)))</f>
        <v/>
      </c>
      <c r="E454">
        <f>INDEX(FactorTable!$B$2:$Y$301, MATCH(ROUND(MIN(300,MAX(1,D454)),0), FactorTable!$A$2:$A$301,0), Skills!M20+1)</f>
        <v/>
      </c>
      <c r="F454">
        <f>IF(Skills!N20=TRUE,(Skills!L20/10)*(E454/1000),Skills!L20/10)+Skills!O20</f>
        <v/>
      </c>
      <c r="G454">
        <f>Skills!G20*IF(Skills!H20&gt;0,Skills!I20/Skills!H20,1)</f>
        <v/>
      </c>
      <c r="H454">
        <f>1-(1-Skills!J20/100)^Skills!K20</f>
        <v/>
      </c>
      <c r="I454" t="inlineStr">
        <is>
          <t>1</t>
        </is>
      </c>
      <c r="J454" t="inlineStr"/>
      <c r="K454" t="inlineStr"/>
      <c r="L454" t="inlineStr"/>
      <c r="M454" t="inlineStr"/>
      <c r="N454" t="inlineStr"/>
      <c r="O454">
        <f>(1-Summary!$B$55)*T454+Summary!$B$55*V454</f>
        <v/>
      </c>
      <c r="P454">
        <f>IF(B479=0,0,O454/B479)</f>
        <v/>
      </c>
      <c r="Q454">
        <f>IFERROR(1/IF(Inputs!$B$39="pvp",15,MAX(0.1,Skills!D20-IF(Skills!E20=TRUE,Inputs!$B$32,0))),0)</f>
        <v/>
      </c>
      <c r="R454">
        <f>IF(AND(Inputs!$B$39&lt;&gt;"pvp",Inputs!$B$44&gt;0),IF(Inputs!$B$44&lt;=0,0,(INT(Inputs!$B$44/IF(Inputs!$B$39="pvp",15,MAX(0.1,Skills!D20-IF(Skills!E20=TRUE,Inputs!$B$32,0))))+1)),0)</f>
        <v/>
      </c>
      <c r="S454">
        <f>IFERROR(O454/N454,0)</f>
        <v/>
      </c>
      <c r="T454" t="n">
        <v>0</v>
      </c>
      <c r="V454" t="n">
        <v>0</v>
      </c>
    </row>
    <row r="455">
      <c r="A455">
        <f>Skills!A21</f>
        <v/>
      </c>
      <c r="B455">
        <f>Skills!B21</f>
        <v/>
      </c>
      <c r="C455">
        <f>Inputs!$B$3&gt;=15</f>
        <v/>
      </c>
      <c r="D455">
        <f>IF(Skills!C21=1,60+Inputs!$B$25+Inputs!$B$29,IF(Skills!C21=2,90+Inputs!$B$26+Inputs!$B$29,IF(Skills!C21=3,120+Inputs!$B$27+Inputs!$B$29,MAX(0,(Inputs!$B$3-100)*3)+Inputs!$B$28+Inputs!$B$29)))</f>
        <v/>
      </c>
      <c r="E455">
        <f>INDEX(FactorTable!$B$2:$Y$301, MATCH(ROUND(MIN(300,MAX(1,D455)),0), FactorTable!$A$2:$A$301,0), Skills!M21+1)</f>
        <v/>
      </c>
      <c r="F455">
        <f>IF(Skills!N21=TRUE,(Skills!L21/10)*(E455/1000),Skills!L21/10)+Skills!O21</f>
        <v/>
      </c>
      <c r="G455">
        <f>Skills!G21*IF(Skills!H21&gt;0,Skills!I21/Skills!H21,1)</f>
        <v/>
      </c>
      <c r="H455">
        <f>1-(1-Skills!J21/100)^Skills!K21</f>
        <v/>
      </c>
      <c r="I455" t="inlineStr">
        <is>
          <t>1</t>
        </is>
      </c>
      <c r="J455" t="inlineStr"/>
      <c r="K455" t="inlineStr"/>
      <c r="L455" t="inlineStr"/>
      <c r="M455" t="inlineStr"/>
      <c r="N455" t="inlineStr"/>
      <c r="O455">
        <f>(1-Summary!$B$55)*T455+Summary!$B$55*V455</f>
        <v/>
      </c>
      <c r="P455">
        <f>IF(B479=0,0,O455/B479)</f>
        <v/>
      </c>
      <c r="Q455">
        <f>IFERROR(1/IF(Inputs!$B$39="pvp",15,MAX(0.1,Skills!D21-IF(Skills!E21=TRUE,Inputs!$B$32,0))),0)</f>
        <v/>
      </c>
      <c r="R455">
        <f>IF(AND(Inputs!$B$39&lt;&gt;"pvp",Inputs!$B$44&gt;0),IF(Inputs!$B$44&lt;=0,0,(INT(Inputs!$B$44/IF(Inputs!$B$39="pvp",15,MAX(0.1,Skills!D21-IF(Skills!E21=TRUE,Inputs!$B$32,0))))+1)),0)</f>
        <v/>
      </c>
      <c r="S455">
        <f>IFERROR(O455/N455,0)</f>
        <v/>
      </c>
      <c r="T455" t="n">
        <v>0</v>
      </c>
      <c r="V455" t="n">
        <v>0</v>
      </c>
    </row>
    <row r="456">
      <c r="A456">
        <f>Skills!A22</f>
        <v/>
      </c>
      <c r="B456">
        <f>Skills!B22</f>
        <v/>
      </c>
      <c r="C456">
        <f>Inputs!$B$3&gt;=33</f>
        <v/>
      </c>
      <c r="D456">
        <f>IF(Skills!C22=1,60+Inputs!$B$25+Inputs!$B$29,IF(Skills!C22=2,90+Inputs!$B$26+Inputs!$B$29,IF(Skills!C22=3,120+Inputs!$B$27+Inputs!$B$29,MAX(0,(Inputs!$B$3-100)*3)+Inputs!$B$28+Inputs!$B$29)))</f>
        <v/>
      </c>
      <c r="E456">
        <f>INDEX(FactorTable!$B$2:$Y$301, MATCH(ROUND(MIN(300,MAX(1,D456)),0), FactorTable!$A$2:$A$301,0), Skills!M22+1)</f>
        <v/>
      </c>
      <c r="F456">
        <f>IF(Skills!N22=TRUE,(Skills!L22/10)*(E456/1000),Skills!L22/10)+Skills!O22</f>
        <v/>
      </c>
      <c r="G456">
        <f>Skills!G22*IF(Skills!H22&gt;0,Skills!I22/Skills!H22,1)</f>
        <v/>
      </c>
      <c r="H456">
        <f>1-(1-Skills!J22/100)^Skills!K22</f>
        <v/>
      </c>
      <c r="I456" t="inlineStr">
        <is>
          <t>1</t>
        </is>
      </c>
      <c r="J456" t="inlineStr"/>
      <c r="K456" t="inlineStr"/>
      <c r="L456" t="inlineStr"/>
      <c r="M456" t="inlineStr"/>
      <c r="N456" t="inlineStr"/>
      <c r="O456">
        <f>(1-Summary!$B$55)*T456+Summary!$B$55*V456</f>
        <v/>
      </c>
      <c r="P456">
        <f>IF(B479=0,0,O456/B479)</f>
        <v/>
      </c>
      <c r="Q456" t="n">
        <v>0</v>
      </c>
      <c r="R456" t="n">
        <v>0</v>
      </c>
      <c r="S456">
        <f>IFERROR(O456/N456,0)</f>
        <v/>
      </c>
      <c r="T456" t="n">
        <v>0</v>
      </c>
      <c r="V456" t="n">
        <v>0</v>
      </c>
    </row>
    <row r="457">
      <c r="A457">
        <f>Skills!A23</f>
        <v/>
      </c>
      <c r="B457">
        <f>Skills!B23</f>
        <v/>
      </c>
      <c r="C457">
        <f>Inputs!$B$3&gt;=40</f>
        <v/>
      </c>
      <c r="D457">
        <f>IF(Skills!C23=1,60+Inputs!$B$25+Inputs!$B$29,IF(Skills!C23=2,90+Inputs!$B$26+Inputs!$B$29,IF(Skills!C23=3,120+Inputs!$B$27+Inputs!$B$29,MAX(0,(Inputs!$B$3-100)*3)+Inputs!$B$28+Inputs!$B$29)))</f>
        <v/>
      </c>
      <c r="E457">
        <f>INDEX(FactorTable!$B$2:$Y$301, MATCH(ROUND(MIN(300,MAX(1,D457)),0), FactorTable!$A$2:$A$301,0), Skills!M23+1)</f>
        <v/>
      </c>
      <c r="F457">
        <f>IF(Skills!N23=TRUE,(Skills!L23/10)*(E457/1000),Skills!L23/10)+Skills!O23</f>
        <v/>
      </c>
      <c r="G457">
        <f>Skills!G23*IF(Skills!H23&gt;0,Skills!I23/Skills!H23,1)</f>
        <v/>
      </c>
      <c r="H457">
        <f>1-(1-Skills!J23/100)^Skills!K23</f>
        <v/>
      </c>
      <c r="I457" t="inlineStr">
        <is>
          <t>1</t>
        </is>
      </c>
      <c r="J457" t="inlineStr"/>
      <c r="K457" t="inlineStr"/>
      <c r="L457" t="inlineStr"/>
      <c r="M457" t="inlineStr"/>
      <c r="N457" t="inlineStr"/>
      <c r="O457">
        <f>(1-Summary!$B$55)*T457+Summary!$B$55*V457</f>
        <v/>
      </c>
      <c r="P457">
        <f>IF(B479=0,0,O457/B479)</f>
        <v/>
      </c>
      <c r="Q457" t="n">
        <v>0</v>
      </c>
      <c r="R457" t="n">
        <v>0</v>
      </c>
      <c r="S457">
        <f>IFERROR(O457/N457,0)</f>
        <v/>
      </c>
      <c r="T457" t="n">
        <v>0</v>
      </c>
      <c r="V457" t="n">
        <v>0</v>
      </c>
    </row>
    <row r="458">
      <c r="A458">
        <f>Skills!A24</f>
        <v/>
      </c>
      <c r="B458">
        <f>Skills!B24</f>
        <v/>
      </c>
      <c r="C458">
        <f>Inputs!$B$3&gt;=43</f>
        <v/>
      </c>
      <c r="D458">
        <f>IF(Skills!C24=1,60+Inputs!$B$25+Inputs!$B$29,IF(Skills!C24=2,90+Inputs!$B$26+Inputs!$B$29,IF(Skills!C24=3,120+Inputs!$B$27+Inputs!$B$29,MAX(0,(Inputs!$B$3-100)*3)+Inputs!$B$28+Inputs!$B$29)))</f>
        <v/>
      </c>
      <c r="E458">
        <f>INDEX(FactorTable!$B$2:$Y$301, MATCH(ROUND(MIN(300,MAX(1,D458)),0), FactorTable!$A$2:$A$301,0), Skills!M24+1)</f>
        <v/>
      </c>
      <c r="F458">
        <f>IF(Skills!N24=TRUE,(Skills!L24/10)*(E458/1000),Skills!L24/10)+Skills!O24</f>
        <v/>
      </c>
      <c r="G458">
        <f>Skills!G24*IF(Skills!H24&gt;0,Skills!I24/Skills!H24,1)</f>
        <v/>
      </c>
      <c r="H458">
        <f>1-(1-Skills!J24/100)^Skills!K24</f>
        <v/>
      </c>
      <c r="I458" t="inlineStr">
        <is>
          <t>1</t>
        </is>
      </c>
      <c r="J458" t="inlineStr"/>
      <c r="K458" t="inlineStr"/>
      <c r="L458" t="inlineStr"/>
      <c r="M458" t="inlineStr"/>
      <c r="N458" t="inlineStr"/>
      <c r="O458">
        <f>(1-Summary!$B$55)*T458+Summary!$B$55*V458</f>
        <v/>
      </c>
      <c r="P458">
        <f>IF(B479=0,0,O458/B479)</f>
        <v/>
      </c>
      <c r="Q458" t="n">
        <v>0</v>
      </c>
      <c r="R458" t="n">
        <v>0</v>
      </c>
      <c r="S458">
        <f>IFERROR(O458/N458,0)</f>
        <v/>
      </c>
      <c r="T458" t="n">
        <v>0</v>
      </c>
      <c r="V458" t="n">
        <v>0</v>
      </c>
    </row>
    <row r="459">
      <c r="A459">
        <f>Skills!A25</f>
        <v/>
      </c>
      <c r="B459">
        <f>Skills!B25</f>
        <v/>
      </c>
      <c r="C459">
        <f>Inputs!$B$3&gt;=50</f>
        <v/>
      </c>
      <c r="D459">
        <f>IF(Skills!C25=1,60+Inputs!$B$25+Inputs!$B$29,IF(Skills!C25=2,90+Inputs!$B$26+Inputs!$B$29,IF(Skills!C25=3,120+Inputs!$B$27+Inputs!$B$29,MAX(0,(Inputs!$B$3-100)*3)+Inputs!$B$28+Inputs!$B$29)))</f>
        <v/>
      </c>
      <c r="E459">
        <f>INDEX(FactorTable!$B$2:$Y$301, MATCH(ROUND(MIN(300,MAX(1,D459)),0), FactorTable!$A$2:$A$301,0), Skills!M25+1)</f>
        <v/>
      </c>
      <c r="F459">
        <f>IF(Skills!N25=TRUE,(Skills!L25/10)*(E459/1000),Skills!L25/10)+Skills!O25</f>
        <v/>
      </c>
      <c r="G459">
        <f>Skills!G25*IF(Skills!H25&gt;0,Skills!I25/Skills!H25,1)</f>
        <v/>
      </c>
      <c r="H459">
        <f>1-(1-Skills!J25/100)^Skills!K25</f>
        <v/>
      </c>
      <c r="I459" t="inlineStr">
        <is>
          <t>1</t>
        </is>
      </c>
      <c r="J459" t="inlineStr"/>
      <c r="K459" t="inlineStr"/>
      <c r="L459" t="inlineStr"/>
      <c r="M459" t="inlineStr"/>
      <c r="N459" t="inlineStr"/>
      <c r="O459">
        <f>(1-Summary!$B$55)*T459+Summary!$B$55*V459</f>
        <v/>
      </c>
      <c r="P459">
        <f>IF(B479=0,0,O459/B479)</f>
        <v/>
      </c>
      <c r="Q459" t="n">
        <v>0</v>
      </c>
      <c r="R459" t="n">
        <v>0</v>
      </c>
      <c r="S459">
        <f>IFERROR(O459/N459,0)</f>
        <v/>
      </c>
      <c r="T459" t="n">
        <v>0</v>
      </c>
      <c r="V459" t="n">
        <v>0</v>
      </c>
    </row>
    <row r="460">
      <c r="A460">
        <f>Skills!A26</f>
        <v/>
      </c>
      <c r="B460">
        <f>Skills!B26</f>
        <v/>
      </c>
      <c r="C460">
        <f>Inputs!$B$3&gt;=50</f>
        <v/>
      </c>
      <c r="D460">
        <f>IF(Skills!C26=1,60+Inputs!$B$25+Inputs!$B$29,IF(Skills!C26=2,90+Inputs!$B$26+Inputs!$B$29,IF(Skills!C26=3,120+Inputs!$B$27+Inputs!$B$29,MAX(0,(Inputs!$B$3-100)*3)+Inputs!$B$28+Inputs!$B$29)))</f>
        <v/>
      </c>
      <c r="E460">
        <f>INDEX(FactorTable!$B$2:$Y$301, MATCH(ROUND(MIN(300,MAX(1,D460)),0), FactorTable!$A$2:$A$301,0), Skills!M26+1)</f>
        <v/>
      </c>
      <c r="F460">
        <f>IF(Skills!N26=TRUE,(Skills!L26/10)*(E460/1000),Skills!L26/10)+Skills!O26</f>
        <v/>
      </c>
      <c r="G460">
        <f>Skills!G26*IF(Skills!H26&gt;0,Skills!I26/Skills!H26,1)</f>
        <v/>
      </c>
      <c r="H460">
        <f>1-(1-Skills!J26/100)^Skills!K26</f>
        <v/>
      </c>
      <c r="I460" t="inlineStr">
        <is>
          <t>1</t>
        </is>
      </c>
      <c r="J460" t="inlineStr"/>
      <c r="K460" t="inlineStr"/>
      <c r="L460" t="inlineStr"/>
      <c r="M460" t="inlineStr"/>
      <c r="N460" t="inlineStr"/>
      <c r="O460">
        <f>(1-Summary!$B$55)*T460+Summary!$B$55*V460</f>
        <v/>
      </c>
      <c r="P460">
        <f>IF(B479=0,0,O460/B479)</f>
        <v/>
      </c>
      <c r="Q460" t="n">
        <v>0</v>
      </c>
      <c r="R460" t="n">
        <v>0</v>
      </c>
      <c r="S460">
        <f>IFERROR(O460/N460,0)</f>
        <v/>
      </c>
      <c r="T460" t="n">
        <v>0</v>
      </c>
      <c r="V460" t="n">
        <v>0</v>
      </c>
    </row>
    <row r="461">
      <c r="A461">
        <f>Skills!A27</f>
        <v/>
      </c>
      <c r="B461">
        <f>Skills!B27</f>
        <v/>
      </c>
      <c r="C461">
        <f>Inputs!$B$3&gt;=38</f>
        <v/>
      </c>
      <c r="D461">
        <f>IF(Skills!C27=1,60+Inputs!$B$25+Inputs!$B$29,IF(Skills!C27=2,90+Inputs!$B$26+Inputs!$B$29,IF(Skills!C27=3,120+Inputs!$B$27+Inputs!$B$29,MAX(0,(Inputs!$B$3-100)*3)+Inputs!$B$28+Inputs!$B$29)))</f>
        <v/>
      </c>
      <c r="E461">
        <f>INDEX(FactorTable!$B$2:$Y$301, MATCH(ROUND(MIN(300,MAX(1,D461)),0), FactorTable!$A$2:$A$301,0), Skills!M27+1)</f>
        <v/>
      </c>
      <c r="F461">
        <f>IF(Skills!N27=TRUE,(Skills!L27/10)*(E461/1000),Skills!L27/10)+Skills!O27</f>
        <v/>
      </c>
      <c r="G461">
        <f>Skills!G27*IF(Skills!H27&gt;0,Skills!I27/Skills!H27,1)</f>
        <v/>
      </c>
      <c r="H461">
        <f>1-(1-Skills!J27/100)^Skills!K27</f>
        <v/>
      </c>
      <c r="I461" t="inlineStr">
        <is>
          <t>1</t>
        </is>
      </c>
      <c r="J461" t="inlineStr"/>
      <c r="K461" t="inlineStr"/>
      <c r="L461" t="inlineStr"/>
      <c r="M461" t="inlineStr"/>
      <c r="N461" t="inlineStr"/>
      <c r="O461">
        <f>(1-Summary!$B$55)*T461+Summary!$B$55*V461</f>
        <v/>
      </c>
      <c r="P461">
        <f>IF(B479=0,0,O461/B479)</f>
        <v/>
      </c>
      <c r="Q461" t="n">
        <v>0</v>
      </c>
      <c r="R461" t="n">
        <v>0</v>
      </c>
      <c r="S461">
        <f>IFERROR(O461/N461,0)</f>
        <v/>
      </c>
      <c r="T461" t="n">
        <v>0</v>
      </c>
      <c r="V461" t="n">
        <v>0</v>
      </c>
    </row>
    <row r="462">
      <c r="A462">
        <f>Skills!A28</f>
        <v/>
      </c>
      <c r="B462">
        <f>Skills!B28</f>
        <v/>
      </c>
      <c r="C462">
        <f>Inputs!$B$3&gt;=120</f>
        <v/>
      </c>
      <c r="D462">
        <f>IF(Skills!C28=1,60+Inputs!$B$25+Inputs!$B$29,IF(Skills!C28=2,90+Inputs!$B$26+Inputs!$B$29,IF(Skills!C28=3,120+Inputs!$B$27+Inputs!$B$29,MAX(0,(Inputs!$B$3-100)*3)+Inputs!$B$28+Inputs!$B$29)))</f>
        <v/>
      </c>
      <c r="E462">
        <f>INDEX(FactorTable!$B$2:$Y$301, MATCH(ROUND(MIN(300,MAX(1,D462)),0), FactorTable!$A$2:$A$301,0), Skills!M28+1)</f>
        <v/>
      </c>
      <c r="F462">
        <f>IF(Skills!N28=TRUE,(Skills!L28/10)*(E462/1000),Skills!L28/10)+Skills!O28</f>
        <v/>
      </c>
      <c r="G462">
        <f>Skills!G28*IF(Skills!H28&gt;0,Skills!I28/Skills!H28,1)</f>
        <v/>
      </c>
      <c r="H462">
        <f>1-(1-Skills!J28/100)^Skills!K28</f>
        <v/>
      </c>
      <c r="I462" t="inlineStr">
        <is>
          <t>1</t>
        </is>
      </c>
      <c r="J462" t="inlineStr"/>
      <c r="K462" t="inlineStr"/>
      <c r="L462" t="inlineStr"/>
      <c r="M462" t="inlineStr"/>
      <c r="N462" t="inlineStr"/>
      <c r="O462">
        <f>(1-Summary!$B$55)*T462+Summary!$B$55*V462</f>
        <v/>
      </c>
      <c r="P462">
        <f>IF(B479=0,0,O462/B479)</f>
        <v/>
      </c>
      <c r="Q462" t="n">
        <v>0</v>
      </c>
      <c r="R462" t="n">
        <v>0</v>
      </c>
      <c r="S462">
        <f>IFERROR(O462/N462,0)</f>
        <v/>
      </c>
      <c r="T462" t="n">
        <v>0</v>
      </c>
      <c r="V462" t="n">
        <v>0</v>
      </c>
    </row>
    <row r="463">
      <c r="A463">
        <f>Skills!A29</f>
        <v/>
      </c>
      <c r="B463">
        <f>Skills!B29</f>
        <v/>
      </c>
      <c r="C463">
        <f>Inputs!$B$3&gt;=120</f>
        <v/>
      </c>
      <c r="D463">
        <f>IF(Skills!C29=1,60+Inputs!$B$25+Inputs!$B$29,IF(Skills!C29=2,90+Inputs!$B$26+Inputs!$B$29,IF(Skills!C29=3,120+Inputs!$B$27+Inputs!$B$29,MAX(0,(Inputs!$B$3-100)*3)+Inputs!$B$28+Inputs!$B$29)))</f>
        <v/>
      </c>
      <c r="E463">
        <f>INDEX(FactorTable!$B$2:$Y$301, MATCH(ROUND(MIN(300,MAX(1,D463)),0), FactorTable!$A$2:$A$301,0), Skills!M29+1)</f>
        <v/>
      </c>
      <c r="F463">
        <f>IF(Skills!N29=TRUE,(Skills!L29/10)*(E463/1000),Skills!L29/10)+Skills!O29</f>
        <v/>
      </c>
      <c r="G463">
        <f>Skills!G29*IF(Skills!H29&gt;0,Skills!I29/Skills!H29,1)</f>
        <v/>
      </c>
      <c r="H463">
        <f>1-(1-Skills!J29/100)^Skills!K29</f>
        <v/>
      </c>
      <c r="I463" t="inlineStr">
        <is>
          <t>1</t>
        </is>
      </c>
      <c r="J463" t="inlineStr"/>
      <c r="K463" t="inlineStr"/>
      <c r="L463" t="inlineStr"/>
      <c r="M463" t="inlineStr"/>
      <c r="N463" t="inlineStr"/>
      <c r="O463">
        <f>(1-Summary!$B$55)*T463+Summary!$B$55*V463</f>
        <v/>
      </c>
      <c r="P463">
        <f>IF(B479=0,0,O463/B479)</f>
        <v/>
      </c>
      <c r="Q463" t="n">
        <v>0</v>
      </c>
      <c r="R463" t="n">
        <v>0</v>
      </c>
      <c r="S463">
        <f>IFERROR(O463/N463,0)</f>
        <v/>
      </c>
      <c r="T463" t="n">
        <v>0</v>
      </c>
      <c r="V463" t="n">
        <v>0</v>
      </c>
    </row>
    <row r="464">
      <c r="A464">
        <f>Skills!A30</f>
        <v/>
      </c>
      <c r="B464">
        <f>Skills!B30</f>
        <v/>
      </c>
      <c r="C464">
        <f>Inputs!$B$3&gt;=125</f>
        <v/>
      </c>
      <c r="D464">
        <f>IF(Skills!C30=1,60+Inputs!$B$25+Inputs!$B$29,IF(Skills!C30=2,90+Inputs!$B$26+Inputs!$B$29,IF(Skills!C30=3,120+Inputs!$B$27+Inputs!$B$29,MAX(0,(Inputs!$B$3-100)*3)+Inputs!$B$28+Inputs!$B$29)))</f>
        <v/>
      </c>
      <c r="E464">
        <f>INDEX(FactorTable!$B$2:$Y$301, MATCH(ROUND(MIN(300,MAX(1,D464)),0), FactorTable!$A$2:$A$301,0), Skills!M30+1)</f>
        <v/>
      </c>
      <c r="F464">
        <f>IF(Skills!N30=TRUE,(Skills!L30/10)*(E464/1000),Skills!L30/10)+Skills!O30</f>
        <v/>
      </c>
      <c r="G464">
        <f>Skills!G30*IF(Skills!H30&gt;0,Skills!I30/Skills!H30,1)</f>
        <v/>
      </c>
      <c r="H464">
        <f>1-(1-Skills!J30/100)^Skills!K30</f>
        <v/>
      </c>
      <c r="I464" t="inlineStr">
        <is>
          <t>1</t>
        </is>
      </c>
      <c r="J464" t="inlineStr"/>
      <c r="K464" t="inlineStr"/>
      <c r="L464" t="inlineStr"/>
      <c r="M464" t="inlineStr"/>
      <c r="N464" t="inlineStr"/>
      <c r="O464">
        <f>(1-Summary!$B$55)*T464+Summary!$B$55*V464</f>
        <v/>
      </c>
      <c r="P464">
        <f>IF(B479=0,0,O464/B479)</f>
        <v/>
      </c>
      <c r="Q464" t="n">
        <v>0</v>
      </c>
      <c r="R464" t="n">
        <v>0</v>
      </c>
      <c r="S464">
        <f>IFERROR(O464/N464,0)</f>
        <v/>
      </c>
      <c r="T464" t="n">
        <v>0</v>
      </c>
      <c r="V464" t="n">
        <v>0</v>
      </c>
    </row>
    <row r="466">
      <c r="A466" t="inlineStr">
        <is>
          <t>Average Buff Multiplier</t>
        </is>
      </c>
      <c r="B466">
        <f>(1+(((C455=TRUE)*F455*IF(AND(Inputs!$B$39&lt;&gt;"pvp",Inputs!$B$44&gt;0),(((R455-1)*(Skills!Y21*(1+Inputs!$B$34/100))+MIN((Skills!Y21*(1+Inputs!$B$34/100)),MAX(0,Inputs!$B$44-((R455-1)*Skills!D21))))/Inputs!$B$44),IF(Inputs!$B$39="pvp",MIN((Skills!Y21*(1+Inputs!$B$34/100)),15)/15,(Skills!Y21*(1+Inputs!$B$34/100))/Skills!D21)))+((C457=TRUE)*(F457-Calc!F23))+((C451=TRUE)*(F451-Calc!F17)))/100)*(1+((C444=TRUE)*F444*IF(AND(Inputs!$B$39&lt;&gt;"pvp",Inputs!$B$44&gt;0),(((R444-1)*(Skills!Y10*(1+Inputs!$B$34/100))+MIN((Skills!Y10*(1+Inputs!$B$34/100)),MAX(0,Inputs!$B$44-((R444-1)*Skills!D10))))/Inputs!$B$44),IF(Inputs!$B$39="pvp",MIN((Skills!Y10*(1+Inputs!$B$34/100)),15)/15,(Skills!Y10*(1+Inputs!$B$34/100))/Skills!D10)))/100)*(1+((C449=TRUE)*F449*IF(AND(Inputs!$B$39&lt;&gt;"pvp",Inputs!$B$44&gt;0),(((R449-1)*(Skills!Y15*(1+Inputs!$B$34/100))+MIN((Skills!Y15*(1+Inputs!$B$34/100)),MAX(0,Inputs!$B$44-((R449-1)*Skills!D15))))/Inputs!$B$44),IF(Inputs!$B$39="pvp",MIN((Skills!Y15*(1+Inputs!$B$34/100)),15)/15,(Skills!Y15*(1+Inputs!$B$34/100))/Skills!D15)))/100)</f>
        <v/>
      </c>
    </row>
    <row r="467">
      <c r="A467" t="inlineStr">
        <is>
          <t>Global Crit Rate Bonus %</t>
        </is>
      </c>
      <c r="B467">
        <f>((C454=TRUE)*F454*IF(AND(Inputs!$B$39&lt;&gt;"pvp",Inputs!$B$44&gt;0),(((R454-1)*(Skills!Y20*(1+Inputs!$B$34/100))+MIN((Skills!Y20*(1+Inputs!$B$34/100)),MAX(0,Inputs!$B$44-((R454-1)*Skills!D20))))/Inputs!$B$44),IF(Inputs!$B$39="pvp",MIN((Skills!Y20*(1+Inputs!$B$34/100)),15)/15,(Skills!Y20*(1+Inputs!$B$34/100))/Skills!D20)))</f>
        <v/>
      </c>
    </row>
    <row r="468">
      <c r="A468" t="inlineStr">
        <is>
          <t>Global Monster Damage-Taken Bonus %</t>
        </is>
      </c>
      <c r="B468">
        <f>IF(Inputs!$B$3&gt;=82,15,0)</f>
        <v/>
      </c>
    </row>
    <row r="469">
      <c r="A469" t="inlineStr">
        <is>
          <t>Shadow Partner Average Multiplier</t>
        </is>
      </c>
      <c r="B469">
        <f>1+((C441=TRUE)*F441*(1+3.3333333333333335*IF(C452=TRUE,F452,0)/100)*I441*Skills!J7/100)/100</f>
        <v/>
      </c>
    </row>
    <row r="470">
      <c r="A470" t="inlineStr">
        <is>
          <t>Attack Speed Buff Bonus %</t>
        </is>
      </c>
      <c r="B470">
        <f>((C453=TRUE)*F453*IF(AND(Inputs!$B$39&lt;&gt;"pvp",Inputs!$B$44&gt;0),(((R453-1)*(Skills!Y19*(1+Inputs!$B$34/100))+MIN((Skills!Y19*(1+Inputs!$B$34/100)),MAX(0,Inputs!$B$44-((R453-1)*Skills!D19))))/Inputs!$B$44),IF(Inputs!$B$39="pvp",MIN((Skills!Y19*(1+Inputs!$B$34/100)),15)/15,(Skills!Y19*(1+Inputs!$B$34/100))/Skills!D19)))+((C437=TRUE)*F437*3)</f>
        <v/>
      </c>
    </row>
    <row r="471">
      <c r="A471" t="inlineStr">
        <is>
          <t>Actions Per Second</t>
        </is>
      </c>
      <c r="B471">
        <f>1+MIN(150,150*(1-(1-(Inputs!$B$11+((C456=TRUE)*(F456-Calc!F22)))/150)*(1-B470/150)))/100</f>
        <v/>
      </c>
    </row>
    <row r="472">
      <c r="A472" t="inlineStr">
        <is>
          <t>Skill + Buff Cast Rate</t>
        </is>
      </c>
      <c r="B472">
        <f>IF(AND(Inputs!$B$39&lt;&gt;"pvp",Inputs!$B$44&gt;0),SUMPRODUCT((Skills!E2:E30=TRUE)*(C436:C464=TRUE)*R436:R464*Skills!F2:F30)/Inputs!$B$44,SUMPRODUCT((Skills!E2:E30=TRUE)*(C436:C464=TRUE)*Q436:Q464*Skills!F2:F30))</f>
        <v/>
      </c>
    </row>
    <row r="473">
      <c r="A473" t="inlineStr">
        <is>
          <t>Cruel Stab Casts Per Second</t>
        </is>
      </c>
      <c r="B473">
        <f>MAX(0,B471-B472)</f>
        <v/>
      </c>
    </row>
    <row r="474">
      <c r="A474" t="inlineStr">
        <is>
          <t>Global Critical Damage Bonus % (Smokescreen Mastery Lv.113)</t>
        </is>
      </c>
      <c r="B474">
        <f>IF(Inputs!$B$3&gt;=113,30,0)*IF(AND(Inputs!$B$39&lt;&gt;"pvp",Inputs!$B$44&gt;0),(((R449-1)*(Skills!Y15*(1+Inputs!$B$34/100))+MIN((Skills!Y15*(1+Inputs!$B$34/100)),MAX(0,Inputs!$B$44-((R449-1)*Skills!D15))))/Inputs!$B$44),IF(Inputs!$B$39="pvp",MIN((Skills!Y15*(1+Inputs!$B$34/100)),15)/15,(Skills!Y15*(1+Inputs!$B$34/100))/Skills!D15))</f>
        <v/>
      </c>
    </row>
    <row r="475">
      <c r="A475" t="inlineStr">
        <is>
          <t>Meso Explosion average stack count</t>
        </is>
      </c>
      <c r="B475">
        <f>MIN(10,0.5*B471*Skills!D4)</f>
        <v/>
      </c>
    </row>
    <row r="476">
      <c r="A476" t="inlineStr">
        <is>
          <t>Blood Money average stack count</t>
        </is>
      </c>
      <c r="B476">
        <f>MIN(5,0.25*B471*Skills!D4)</f>
        <v/>
      </c>
    </row>
    <row r="477">
      <c r="A477" t="inlineStr">
        <is>
          <t>Assassinate Murderous Intent Multiplier</t>
        </is>
      </c>
      <c r="B477">
        <f>1+IFERROR(MIN(1,Q448*2/Q445),0)</f>
        <v/>
      </c>
    </row>
    <row r="478">
      <c r="A478" t="inlineStr">
        <is>
          <t>Buff-Casting Startup Delay (s, fixed-duration only)</t>
        </is>
      </c>
      <c r="B478">
        <f>IF(AND(Inputs!$B$39&lt;&gt;"pvp",Inputs!$B$44&gt;0),SUMPRODUCT((Skills!Y2:Y30&gt;0)*(Skills!E2:E30=TRUE)*(C436:C464=TRUE))/B471,0)</f>
        <v/>
      </c>
    </row>
    <row r="479">
      <c r="A479" s="5" t="inlineStr">
        <is>
          <t>TOTAL DPS</t>
        </is>
      </c>
      <c r="B479" s="5">
        <f>SUM(O436:O464)</f>
        <v/>
      </c>
    </row>
    <row r="480">
      <c r="A480" t="inlineStr">
        <is>
          <t>Boss-Only Total DPS (this block's swept value)</t>
        </is>
      </c>
      <c r="B480">
        <f>SUM(T436:T464)</f>
        <v/>
      </c>
    </row>
    <row r="481">
      <c r="A481" t="inlineStr">
        <is>
          <t>Normal-Only Total DPS (this block's swept value)</t>
        </is>
      </c>
      <c r="B481">
        <f>SUM(V436:V464)</f>
        <v/>
      </c>
    </row>
    <row r="484">
      <c r="A484" s="5" t="inlineStr">
        <is>
          <t>Stat: MAX_DAMAGE %</t>
        </is>
      </c>
    </row>
    <row r="485">
      <c r="A485" s="9" t="inlineStr">
        <is>
          <t>Key</t>
        </is>
      </c>
      <c r="B485" s="9" t="inlineStr">
        <is>
          <t>Name</t>
        </is>
      </c>
      <c r="C485" s="9" t="inlineStr">
        <is>
          <t>Unlocked</t>
        </is>
      </c>
      <c r="D485" s="9" t="inlineStr">
        <is>
          <t>InputLevel</t>
        </is>
      </c>
      <c r="E485" s="9" t="inlineStr">
        <is>
          <t>Factor</t>
        </is>
      </c>
      <c r="F485" s="9" t="inlineStr">
        <is>
          <t>CoefficientPercent</t>
        </is>
      </c>
      <c r="G485" s="9" t="inlineStr">
        <is>
          <t>EffectiveHits</t>
        </is>
      </c>
      <c r="H485" s="9" t="inlineStr">
        <is>
          <t>ProcProbability</t>
        </is>
      </c>
      <c r="I485" s="9" t="inlineStr">
        <is>
          <t>MapleHeroMultiplier</t>
        </is>
      </c>
      <c r="J485" s="9" t="inlineStr">
        <is>
          <t>BaseDamage</t>
        </is>
      </c>
      <c r="K485" s="9" t="inlineStr">
        <is>
          <t>BaseHitDamage</t>
        </is>
      </c>
      <c r="L485" s="9" t="inlineStr">
        <is>
          <t>NonCritAvg</t>
        </is>
      </c>
      <c r="M485" s="9" t="inlineStr">
        <is>
          <t>CritAvg</t>
        </is>
      </c>
      <c r="N485" s="9" t="inlineStr">
        <is>
          <t>ExpectedDamage(perHit)</t>
        </is>
      </c>
      <c r="O485" s="9" t="inlineStr">
        <is>
          <t>DPS</t>
        </is>
      </c>
      <c r="P485" s="9" t="inlineStr">
        <is>
          <t>% of Total</t>
        </is>
      </c>
      <c r="Q485" s="9" t="inlineStr">
        <is>
          <t>InvCooldown</t>
        </is>
      </c>
      <c r="R485" s="9" t="inlineStr">
        <is>
          <t>CastsInFight</t>
        </is>
      </c>
      <c r="S485" s="9"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((Inputs!$B$6*(1+Inputs!$B$7/100))+(((Inputs!$B$12*(1+Inputs!$B$13/100))-(Inputs!$B$12*(1+Inputs!$B$13/100)))+0.25*(Inputs!$B$14-Inputs!$B$14))*(1+Inputs!$B$7/100))*(F486/100)</f>
        <v/>
      </c>
      <c r="K486">
        <f>J486*(1+((Inputs!$B$12*(1+Inputs!$B$13/100))*0.01+Inputs!$B$14*0.0025)/100)*(1+Inputs!$B$15/100)*(1+Inputs!$B$16/100)*(5000/(6000+Inputs!$B$43*(1-Inputs!$B$19/100)))*(1+(Inputs!$B$24+((C514=TRUE)*(F514-Calc!F30)))/100)*(1+(IF(Skills!A2="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486)</f>
        <v/>
      </c>
      <c r="L486">
        <f>K486*(MIN(Inputs!$B$22+((C508=TRUE)*(F508-Calc!F24)),(Inputs!$B$23+1)+((C513=TRUE)*(F513-Calc!F29)))/100+((Inputs!$B$23+1)+((C513=TRUE)*(F513-Calc!F29)))/100)/2</f>
        <v/>
      </c>
      <c r="M486">
        <f>L486*(1+(Inputs!$B$10+((C510=TRUE)*(F510-Calc!F26))+B524)/100)</f>
        <v/>
      </c>
      <c r="N486">
        <f>L486*(1-MIN((Inputs!$B$9+((C509=TRUE)*(F509-Calc!F25))+B517),100)/100)+M486*(MIN((Inputs!$B$9+((C509=TRUE)*(F509-Calc!F25))+B517),100)/100)</f>
        <v/>
      </c>
      <c r="O486">
        <f>(1-Summary!$B$55)*T486+Summary!$B$55*V486</f>
        <v/>
      </c>
      <c r="P486">
        <f>IF(B529=0,0,O486/B529)</f>
        <v/>
      </c>
      <c r="Q486" t="n">
        <v>0</v>
      </c>
      <c r="R486" t="n">
        <v>0</v>
      </c>
      <c r="S486">
        <f>IFERROR(O486/N486,0)</f>
        <v/>
      </c>
      <c r="T486">
        <f>IF(C486,(Skills!G2*N486*B523)*IF(Inputs!$B$39="pvp",1,1+(Inputs!$B$20+0+Skills!P2+B518)/100),0)</f>
        <v/>
      </c>
      <c r="U486">
        <f>MAX(0,(Inputs!$B$3-100)*3)+Inputs!$B$28+Inputs!$B$29</f>
        <v/>
      </c>
      <c r="V486">
        <f>IF(C486,(Skills!G2*N486*B523)*IF(Inputs!$B$39="pvp",1,(1+(Inputs!$B$21+Skills!Q2+B518)/100)*(MIN((6+Inputs!$B$33),Inputs!$B$37))),0)</f>
        <v/>
      </c>
    </row>
    <row r="487">
      <c r="A487">
        <f>Skills!A3</f>
        <v/>
      </c>
      <c r="B487">
        <f>Skills!B3</f>
        <v/>
      </c>
      <c r="C487">
        <f>Inputs!$B$3&gt;=35</f>
        <v/>
      </c>
      <c r="D487">
        <f>IF(Skills!C3=1,60+Inputs!$B$25+Inputs!$B$29,IF(Skills!C3=2,90+Inputs!$B$26+Inputs!$B$29,IF(Skills!C3=3,120+Inputs!$B$27+Inputs!$B$29,MAX(0,(Inputs!$B$3-100)*3)+Inputs!$B$28+Inputs!$B$29)))</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t="inlineStr"/>
      <c r="K487" t="inlineStr"/>
      <c r="L487" t="inlineStr"/>
      <c r="M487" t="inlineStr"/>
      <c r="N487" t="inlineStr"/>
      <c r="O487">
        <f>(1-Summary!$B$55)*T487+Summary!$B$55*V487</f>
        <v/>
      </c>
      <c r="P487">
        <f>IF(B529=0,0,O487/B529)</f>
        <v/>
      </c>
      <c r="Q487" t="n">
        <v>0</v>
      </c>
      <c r="R487" t="n">
        <v>0</v>
      </c>
      <c r="S487">
        <f>IFERROR(O487/N487,0)</f>
        <v/>
      </c>
      <c r="T487" t="n">
        <v>0</v>
      </c>
      <c r="U487">
        <f>INDEX(FactorTable!$B$2:$Y$301, MATCH(ROUND(MIN(300,MAX(1,U486)),0), FactorTable!$A$2:$A$301,0), 22)</f>
        <v/>
      </c>
      <c r="V487" t="n">
        <v>0</v>
      </c>
    </row>
    <row r="488">
      <c r="A488">
        <f>Skills!A4</f>
        <v/>
      </c>
      <c r="B488">
        <f>Skills!B4</f>
        <v/>
      </c>
      <c r="C488">
        <f>Inputs!$B$3&gt;=66</f>
        <v/>
      </c>
      <c r="D488">
        <f>IF(Skills!C4=1,60+Inputs!$B$25+Inputs!$B$29,IF(Skills!C4=2,90+Inputs!$B$26+Inputs!$B$29,IF(Skills!C4=3,120+Inputs!$B$27+Inputs!$B$29,MAX(0,(Inputs!$B$3-100)*3)+Inputs!$B$28+Inputs!$B$29)))</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((Inputs!$B$6*(1+Inputs!$B$7/100))+(((Inputs!$B$12*(1+Inputs!$B$13/100))-(Inputs!$B$12*(1+Inputs!$B$13/100)))+0.25*(Inputs!$B$14-Inputs!$B$14))*(1+Inputs!$B$7/100))*(F488/100)</f>
        <v/>
      </c>
      <c r="K488">
        <f>J488*(1+((Inputs!$B$12*(1+Inputs!$B$13/100))*0.01+Inputs!$B$14*0.0025)/100)*(1+Inputs!$B$15/100)*(1+Inputs!$B$16/100)*(5000/(6000+Inputs!$B$43*(1-Inputs!$B$19/100)))*(1+(Inputs!$B$24+((C514=TRUE)*(F514-Calc!F30)))/100)*(1+(IF(Skills!A4="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488)</f>
        <v/>
      </c>
      <c r="L488">
        <f>K488*(MIN(Inputs!$B$22+((C508=TRUE)*(F508-Calc!F24)),(Inputs!$B$23+1)+((C513=TRUE)*(F513-Calc!F29)))/100+((Inputs!$B$23+1)+((C513=TRUE)*(F513-Calc!F29)))/100)/2</f>
        <v/>
      </c>
      <c r="M488">
        <f>L488*(1+(Inputs!$B$10+((C510=TRUE)*(F510-Calc!F26))+B524)/100)</f>
        <v/>
      </c>
      <c r="N488">
        <f>L488*(1-MIN((Inputs!$B$9+((C509=TRUE)*(F509-Calc!F25))+B517),100)/100)+M488*(MIN((Inputs!$B$9+((C509=TRUE)*(F509-Calc!F25))+B517),100)/100)</f>
        <v/>
      </c>
      <c r="O488">
        <f>(1-Summary!$B$55)*T488+Summary!$B$55*V488</f>
        <v/>
      </c>
      <c r="P488">
        <f>IF(B529=0,0,O488/B529)</f>
        <v/>
      </c>
      <c r="Q488">
        <f>IFERROR(1/IF(Inputs!$B$39="pvp",15,MAX(0.1,Skills!D4-IF(Skills!E4=TRUE,Inputs!$B$32,0))),0)</f>
        <v/>
      </c>
      <c r="R488">
        <f>IF(AND(Inputs!$B$39&lt;&gt;"pvp",Inputs!$B$44&gt;0),IF(MAX(0,Inputs!$B$44-B528)&lt;=0,0,(INT(MAX(0,Inputs!$B$44-B528)/IF(Inputs!$B$39="pvp",15,MAX(0.1,Skills!D4-IF(Skills!E4=TRUE,Inputs!$B$32,0))))+1)),0)</f>
        <v/>
      </c>
      <c r="S488">
        <f>IFERROR(O488/N488,0)</f>
        <v/>
      </c>
      <c r="T488">
        <f>IF(C488,(H488*N488*IF(AND(Inputs!$B$39&lt;&gt;"pvp",Inputs!$B$44&gt;0),((Skills!G4*((R488-1)*IF(Skills!H4&gt;0,Skills!I4/Skills!H4,1)+IF(Skills!H4&gt;0,MIN(Skills!I4,MAX(0,MAX(0,Inputs!$B$44-B528)-((R488-1)*IF(Inputs!$B$39="pvp",15,MAX(0.1,Skills!D4-IF(Skills!E4=TRUE,Inputs!$B$32,0))))))/Skills!H4,1)))/Inputs!$B$44),G488*Q488))*IF(Inputs!$B$39="pvp",1,1+(Inputs!$B$20+0+Skills!P4+B518)/100),0)</f>
        <v/>
      </c>
      <c r="U488">
        <f>290*U487/1000</f>
        <v/>
      </c>
      <c r="V488">
        <f>IF(C488,(H488*N488*IF(AND(Inputs!$B$39&lt;&gt;"pvp",Inputs!$B$44&gt;0),((Skills!G4*((R488-1)*IF(Skills!H4&gt;0,Skills!I4/Skills!H4,1)+IF(Skills!H4&gt;0,MIN(Skills!I4,MAX(0,MAX(0,Inputs!$B$44-B528)-((R488-1)*IF(Inputs!$B$39="pvp",15,MAX(0.1,Skills!D4-IF(Skills!E4=TRUE,Inputs!$B$32,0))))))/Skills!H4,1)))/Inputs!$B$44),G488*Q488))*IF(Inputs!$B$39="pvp",1,(1+(Inputs!$B$21+Skills!Q4+B518)/100)*(MIN(MIN(10,0.5*B521*Skills!D4),Inputs!$B$37))),0)</f>
        <v/>
      </c>
    </row>
    <row r="489">
      <c r="A489">
        <f>Skills!A5</f>
        <v/>
      </c>
      <c r="B489">
        <f>Skills!B5</f>
        <v/>
      </c>
      <c r="C489">
        <f>Inputs!$B$3&gt;=63</f>
        <v/>
      </c>
      <c r="D489">
        <f>IF(Skills!C5=1,60+Inputs!$B$25+Inputs!$B$29,IF(Skills!C5=2,90+Inputs!$B$26+Inputs!$B$29,IF(Skills!C5=3,120+Inputs!$B$27+Inputs!$B$29,MAX(0,(Inputs!$B$3-100)*3)+Inputs!$B$28+Inputs!$B$29)))</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((Inputs!$B$6*(1+Inputs!$B$7/100))+(((Inputs!$B$12*(1+Inputs!$B$13/100))-(Inputs!$B$12*(1+Inputs!$B$13/100)))+0.25*(Inputs!$B$14-Inputs!$B$14))*(1+Inputs!$B$7/100))*(F489/100)</f>
        <v/>
      </c>
      <c r="K489">
        <f>J489*(1+((Inputs!$B$12*(1+Inputs!$B$13/100))*0.01+Inputs!$B$14*0.0025)/100)*(1+Inputs!$B$15/100)*(1+Inputs!$B$16/100)*(5000/(6000+Inputs!$B$43*(1-Inputs!$B$19/100)))*(1+(Inputs!$B$24+((C514=TRUE)*(F514-Calc!F30)))/100)*(1+2.6666666666666665*IF(C502=TRUE,F502,0)/100)*(1+(IF(Skills!A5="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489)</f>
        <v/>
      </c>
      <c r="L489">
        <f>K489*(MIN(Inputs!$B$22+((C508=TRUE)*(F508-Calc!F24)),(Inputs!$B$23+1)+((C513=TRUE)*(F513-Calc!F29)))/100+((Inputs!$B$23+1)+((C513=TRUE)*(F513-Calc!F29)))/100)/2</f>
        <v/>
      </c>
      <c r="M489">
        <f>L489*(1+(Inputs!$B$10+((C510=TRUE)*(F510-Calc!F26))+B524)/100)</f>
        <v/>
      </c>
      <c r="N489">
        <f>L489*(1-MIN((Inputs!$B$9+((C509=TRUE)*(F509-Calc!F25))+B517),100)/100)+M489*(MIN((Inputs!$B$9+((C509=TRUE)*(F509-Calc!F25))+B517),100)/100)</f>
        <v/>
      </c>
      <c r="O489">
        <f>(1-Summary!$B$55)*T489+Summary!$B$55*V489</f>
        <v/>
      </c>
      <c r="P489">
        <f>IF(B529=0,0,O489/B529)</f>
        <v/>
      </c>
      <c r="Q489">
        <f>IFERROR(1/IF(Inputs!$B$39="pvp",15,MAX(0.1,Skills!D5-IF(Skills!E5=TRUE,Inputs!$B$32,0))),0)</f>
        <v/>
      </c>
      <c r="R489">
        <f>IF(AND(Inputs!$B$39&lt;&gt;"pvp",Inputs!$B$44&gt;0),IF(MAX(0,Inputs!$B$44-B528)&lt;=0,0,(INT(MAX(0,Inputs!$B$44-B528)/IF(Inputs!$B$39="pvp",15,MAX(0.1,Skills!D5-IF(Skills!E5=TRUE,Inputs!$B$32,0))))+1)),0)</f>
        <v/>
      </c>
      <c r="S489">
        <f>IFERROR(O489/N489,0)</f>
        <v/>
      </c>
      <c r="T489">
        <f>IF(C489,(H489*N489*IF(AND(Inputs!$B$39&lt;&gt;"pvp",Inputs!$B$44&gt;0),((Skills!G5*((R489-1)*IF(Skills!H5&gt;0,Skills!I5/Skills!H5,1)+IF(Skills!H5&gt;0,MIN(Skills!I5,MAX(0,MAX(0,Inputs!$B$44-B528)-((R489-1)*IF(Inputs!$B$39="pvp",15,MAX(0.1,Skills!D5-IF(Skills!E5=TRUE,Inputs!$B$32,0))))))/Skills!H5,1)))/Inputs!$B$44),G489*Q489))*IF(Inputs!$B$39="pvp",1,1+(Inputs!$B$20+0+Skills!P5+B518)/100),0)</f>
        <v/>
      </c>
      <c r="V489">
        <f>IF(C489,(H489*N489*IF(AND(Inputs!$B$39&lt;&gt;"pvp",Inputs!$B$44&gt;0),((Skills!G5*((R489-1)*IF(Skills!H5&gt;0,Skills!I5/Skills!H5,1)+IF(Skills!H5&gt;0,MIN(Skills!I5,MAX(0,MAX(0,Inputs!$B$44-B528)-((R489-1)*IF(Inputs!$B$39="pvp",15,MAX(0.1,Skills!D5-IF(Skills!E5=TRUE,Inputs!$B$32,0))))))/Skills!H5,1)))/Inputs!$B$44),G489*Q489))*IF(Inputs!$B$39="pvp",1,(1+(Inputs!$B$21+Skills!Q5+B518)/100)*(MIN(Skills!W5,Inputs!$B$37))),0)</f>
        <v/>
      </c>
    </row>
    <row r="490">
      <c r="A490">
        <f>Skills!A6</f>
        <v/>
      </c>
      <c r="B490">
        <f>Skills!B6</f>
        <v/>
      </c>
      <c r="C490">
        <f>Inputs!$B$3&gt;=69</f>
        <v/>
      </c>
      <c r="D490">
        <f>IF(Skills!C6=1,60+Inputs!$B$25+Inputs!$B$29,IF(Skills!C6=2,90+Inputs!$B$26+Inputs!$B$29,IF(Skills!C6=3,120+Inputs!$B$27+Inputs!$B$29,MAX(0,(Inputs!$B$3-100)*3)+Inputs!$B$28+Inputs!$B$29)))</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((Inputs!$B$6*(1+Inputs!$B$7/100))+(((Inputs!$B$12*(1+Inputs!$B$13/100))-(Inputs!$B$12*(1+Inputs!$B$13/100)))+0.25*(Inputs!$B$14-Inputs!$B$14))*(1+Inputs!$B$7/100))*(F490/100)</f>
        <v/>
      </c>
      <c r="K490">
        <f>J490*(1+((Inputs!$B$12*(1+Inputs!$B$13/100))*0.01+Inputs!$B$14*0.0025)/100)*(1+Inputs!$B$15/100)*(1+Inputs!$B$16/100)*(5000/(6000+Inputs!$B$43*(1-Inputs!$B$19/100)))*(1+(Inputs!$B$24+((C514=TRUE)*(F514-Calc!F30)))/100)*(1+1.0*IF(C502=TRUE,F502,0)/100)*(1+(IF(Skills!A6="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490)</f>
        <v/>
      </c>
      <c r="L490">
        <f>K490*(MIN(Inputs!$B$22+((C508=TRUE)*(F508-Calc!F24)),(Inputs!$B$23+1)+((C513=TRUE)*(F513-Calc!F29)))/100+((Inputs!$B$23+1)+((C513=TRUE)*(F513-Calc!F29)))/100)/2</f>
        <v/>
      </c>
      <c r="M490">
        <f>L490*(1+(Inputs!$B$10+((C510=TRUE)*(F510-Calc!F26))+B524)/100)</f>
        <v/>
      </c>
      <c r="N490">
        <f>L490*(1-MIN((Inputs!$B$9+((C509=TRUE)*(F509-Calc!F25))+B517),100)/100)+M490*(MIN((Inputs!$B$9+((C509=TRUE)*(F509-Calc!F25))+B517),100)/100)</f>
        <v/>
      </c>
      <c r="O490">
        <f>(1-Summary!$B$55)*T490+Summary!$B$55*V490</f>
        <v/>
      </c>
      <c r="P490">
        <f>IF(B529=0,0,O490/B529)</f>
        <v/>
      </c>
      <c r="Q490">
        <f>IFERROR(1/IF(Inputs!$B$39="pvp",15,MAX(0.1,Skills!D6-IF(Skills!E6=TRUE,Inputs!$B$32,0))),0)</f>
        <v/>
      </c>
      <c r="R490">
        <f>IF(AND(Inputs!$B$39&lt;&gt;"pvp",Inputs!$B$44&gt;0),IF(MAX(0,Inputs!$B$44-B528)&lt;=0,0,(INT(MAX(0,Inputs!$B$44-B528)/IF(Inputs!$B$39="pvp",15,MAX(0.1,Skills!D6-IF(Skills!E6=TRUE,Inputs!$B$32,0))))+1)),0)</f>
        <v/>
      </c>
      <c r="S490">
        <f>IFERROR(O490/N490,0)</f>
        <v/>
      </c>
      <c r="T490">
        <f>IF(C490,(H490*N490*IF(AND(Inputs!$B$39&lt;&gt;"pvp",Inputs!$B$44&gt;0),((Skills!G6*((R490-1)*IF(Skills!H6&gt;0,Skills!I6/Skills!H6,1)+IF(Skills!H6&gt;0,MIN(Skills!I6,MAX(0,MAX(0,Inputs!$B$44-B528)-((R490-1)*IF(Inputs!$B$39="pvp",15,MAX(0.1,Skills!D6-IF(Skills!E6=TRUE,Inputs!$B$32,0))))))/Skills!H6,1)))/Inputs!$B$44),G490*Q490))*IF(Inputs!$B$39="pvp",1,1+(Inputs!$B$20+0+Skills!P6+B518)/100),0)</f>
        <v/>
      </c>
      <c r="V490">
        <f>IF(C490,(H490*N490*IF(AND(Inputs!$B$39&lt;&gt;"pvp",Inputs!$B$44&gt;0),((Skills!G6*((R490-1)*IF(Skills!H6&gt;0,Skills!I6/Skills!H6,1)+IF(Skills!H6&gt;0,MIN(Skills!I6,MAX(0,MAX(0,Inputs!$B$44-B528)-((R490-1)*IF(Inputs!$B$39="pvp",15,MAX(0.1,Skills!D6-IF(Skills!E6=TRUE,Inputs!$B$32,0))))))/Skills!H6,1)))/Inputs!$B$44),G490*Q490))*IF(Inputs!$B$39="pvp",1,(1+(Inputs!$B$21+Skills!Q6+B518)/100)*(MIN(Skills!W6,Inputs!$B$37))),0)</f>
        <v/>
      </c>
    </row>
    <row r="491">
      <c r="A491">
        <f>Skills!A7</f>
        <v/>
      </c>
      <c r="B491">
        <f>Skills!B7</f>
        <v/>
      </c>
      <c r="C491">
        <f>Inputs!$B$3&gt;=60</f>
        <v/>
      </c>
      <c r="D491">
        <f>IF(Skills!C7=1,60+Inputs!$B$25+Inputs!$B$29,IF(Skills!C7=2,90+Inputs!$B$26+Inputs!$B$29,IF(Skills!C7=3,120+Inputs!$B$27+Inputs!$B$29,MAX(0,(Inputs!$B$3-100)*3)+Inputs!$B$28+Inputs!$B$29)))</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t="inlineStr"/>
      <c r="K491" t="inlineStr"/>
      <c r="L491" t="inlineStr"/>
      <c r="M491" t="inlineStr"/>
      <c r="N491" t="inlineStr"/>
      <c r="O491">
        <f>(1-Summary!$B$55)*T491+Summary!$B$55*V491</f>
        <v/>
      </c>
      <c r="P491">
        <f>IF(B529=0,0,O491/B529)</f>
        <v/>
      </c>
      <c r="Q491" t="n">
        <v>0</v>
      </c>
      <c r="R491" t="n">
        <v>0</v>
      </c>
      <c r="S491">
        <f>IFERROR(O491/N491,0)</f>
        <v/>
      </c>
      <c r="T491" t="n">
        <v>0</v>
      </c>
      <c r="V491" t="n">
        <v>0</v>
      </c>
    </row>
    <row r="492">
      <c r="A492">
        <f>Skills!A8</f>
        <v/>
      </c>
      <c r="B492">
        <f>Skills!B8</f>
        <v/>
      </c>
      <c r="C492">
        <f>Inputs!$B$3&gt;=72</f>
        <v/>
      </c>
      <c r="D492">
        <f>IF(Skills!C8=1,60+Inputs!$B$25+Inputs!$B$29,IF(Skills!C8=2,90+Inputs!$B$26+Inputs!$B$29,IF(Skills!C8=3,120+Inputs!$B$27+Inputs!$B$29,MAX(0,(Inputs!$B$3-100)*3)+Inputs!$B$28+Inputs!$B$29)))</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((Inputs!$B$6*(1+Inputs!$B$7/100))+(((Inputs!$B$12*(1+Inputs!$B$13/100))-(Inputs!$B$12*(1+Inputs!$B$13/100)))+0.25*(Inputs!$B$14-Inputs!$B$14))*(1+Inputs!$B$7/100))*(F492/100)</f>
        <v/>
      </c>
      <c r="K492">
        <f>J492*(1+((Inputs!$B$12*(1+Inputs!$B$13/100))*0.01+Inputs!$B$14*0.0025)/100)*(1+Inputs!$B$15/100)*(1+Inputs!$B$16/100)*(5000/(6000+Inputs!$B$43*(1-Inputs!$B$19/100)))*(1+(Inputs!$B$24+((C514=TRUE)*(F514-Calc!F30)))/100)*(1+3.3333333333333335*IF(C502=TRUE,F502,0)/100)*(1+(IF(Skills!A8="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492)</f>
        <v/>
      </c>
      <c r="L492">
        <f>K492*(MIN(Inputs!$B$22+((C508=TRUE)*(F508-Calc!F24)),(Inputs!$B$23+1)+((C513=TRUE)*(F513-Calc!F29)))/100+((Inputs!$B$23+1)+((C513=TRUE)*(F513-Calc!F29)))/100)/2</f>
        <v/>
      </c>
      <c r="M492">
        <f>L492*(1+(Inputs!$B$10+((C510=TRUE)*(F510-Calc!F26))+B524)/100)</f>
        <v/>
      </c>
      <c r="N492">
        <f>L492*(1-MIN((Inputs!$B$9+((C509=TRUE)*(F509-Calc!F25))+B517),100)/100)+M492*(MIN((Inputs!$B$9+((C509=TRUE)*(F509-Calc!F25))+B517),100)/100)</f>
        <v/>
      </c>
      <c r="O492">
        <f>(1-Summary!$B$55)*T492+Summary!$B$55*V492</f>
        <v/>
      </c>
      <c r="P492">
        <f>IF(B529=0,0,O492/B529)</f>
        <v/>
      </c>
      <c r="Q492">
        <f>IFERROR(1/IF(Inputs!$B$39="pvp",15,MAX(0.1,Skills!D8-IF(Skills!E8=TRUE,Inputs!$B$32,0))),0)</f>
        <v/>
      </c>
      <c r="R492">
        <f>IF(AND(Inputs!$B$39&lt;&gt;"pvp",Inputs!$B$44&gt;0),IF(MAX(0,Inputs!$B$44-B528)&lt;=0,0,(INT(MAX(0,Inputs!$B$44-B528)/IF(Inputs!$B$39="pvp",15,MAX(0.1,Skills!D8-IF(Skills!E8=TRUE,Inputs!$B$32,0))))+1)),0)</f>
        <v/>
      </c>
      <c r="S492">
        <f>IFERROR(O492/N492,0)</f>
        <v/>
      </c>
      <c r="T492">
        <f>IF(C492,(H492*N492*IF(AND(Inputs!$B$39&lt;&gt;"pvp",Inputs!$B$44&gt;0),((Skills!G8*((R492-1)*IF(Skills!H8&gt;0,Skills!I8/Skills!H8,1)+IF(Skills!H8&gt;0,MIN(Skills!I8,MAX(0,MAX(0,Inputs!$B$44-B528)-((R492-1)*IF(Inputs!$B$39="pvp",15,MAX(0.1,Skills!D8-IF(Skills!E8=TRUE,Inputs!$B$32,0))))))/Skills!H8,1)))/Inputs!$B$44),G492*Q492))*IF(Inputs!$B$39="pvp",1,1+(Inputs!$B$20+0+Skills!P8+B518)/100),0)</f>
        <v/>
      </c>
      <c r="V492">
        <f>IF(C492,(H492*N492*IF(AND(Inputs!$B$39&lt;&gt;"pvp",Inputs!$B$44&gt;0),((Skills!G8*((R492-1)*IF(Skills!H8&gt;0,Skills!I8/Skills!H8,1)+IF(Skills!H8&gt;0,MIN(Skills!I8,MAX(0,MAX(0,Inputs!$B$44-B528)-((R492-1)*IF(Inputs!$B$39="pvp",15,MAX(0.1,Skills!D8-IF(Skills!E8=TRUE,Inputs!$B$32,0))))))/Skills!H8,1)))/Inputs!$B$44),G492*Q492))*IF(Inputs!$B$39="pvp",1,(1+(Inputs!$B$21+Skills!Q8+B518)/100)*(MIN(Skills!W8,Inputs!$B$37))),0)</f>
        <v/>
      </c>
    </row>
    <row r="493">
      <c r="A493">
        <f>Skills!A9</f>
        <v/>
      </c>
      <c r="B493">
        <f>Skills!B9</f>
        <v/>
      </c>
      <c r="C493">
        <f>Inputs!$B$3&gt;=117</f>
        <v/>
      </c>
      <c r="D493">
        <f>IF(Skills!C9=1,60+Inputs!$B$25+Inputs!$B$29,IF(Skills!C9=2,90+Inputs!$B$26+Inputs!$B$29,IF(Skills!C9=3,120+Inputs!$B$27+Inputs!$B$29,MAX(0,(Inputs!$B$3-100)*3)+Inputs!$B$28+Inputs!$B$29)))</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((Inputs!$B$6*(1+Inputs!$B$7/100))+(((Inputs!$B$12*(1+Inputs!$B$13/100))-(Inputs!$B$12*(1+Inputs!$B$13/100)))+0.25*(Inputs!$B$14-Inputs!$B$14))*(1+Inputs!$B$7/100))*(F493/100)</f>
        <v/>
      </c>
      <c r="K493">
        <f>J493*(1+((Inputs!$B$12*(1+Inputs!$B$13/100))*0.01+Inputs!$B$14*0.0025)/100)*(1+Inputs!$B$15/100)*(1+Inputs!$B$16/100)*(5000/(6000+Inputs!$B$43*(1-Inputs!$B$19/100)))*(1+(Inputs!$B$24+((C514=TRUE)*(F514-Calc!F30)))/100)*(1+(IF(Skills!A9="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493)</f>
        <v/>
      </c>
      <c r="L493">
        <f>K493*(MIN(Inputs!$B$22+((C508=TRUE)*(F508-Calc!F24)),(Inputs!$B$23+1)+((C513=TRUE)*(F513-Calc!F29)))/100+((Inputs!$B$23+1)+((C513=TRUE)*(F513-Calc!F29)))/100)/2</f>
        <v/>
      </c>
      <c r="M493">
        <f>L493*(1+(Inputs!$B$10+((C510=TRUE)*(F510-Calc!F26))+B524)/100)</f>
        <v/>
      </c>
      <c r="N493">
        <f>L493*(1-MIN((Inputs!$B$9+((C509=TRUE)*(F509-Calc!F25))+B517),100)/100)+M493*(MIN((Inputs!$B$9+((C509=TRUE)*(F509-Calc!F25))+B517),100)/100)</f>
        <v/>
      </c>
      <c r="O493">
        <f>(1-Summary!$B$55)*T493+Summary!$B$55*V493</f>
        <v/>
      </c>
      <c r="P493">
        <f>IF(B529=0,0,O493/B529)</f>
        <v/>
      </c>
      <c r="Q493" t="n">
        <v>0</v>
      </c>
      <c r="R493" t="n">
        <v>0</v>
      </c>
      <c r="S493" t="n">
        <v>0</v>
      </c>
      <c r="T493">
        <f>IF(C493,(0.2*SUMPRODUCT((Skills!Z2:Z30=TRUE)*(C486:C514=TRUE)*S486:S514)*N493)*IF(Inputs!$B$39="pvp",1,1+(Inputs!$B$20+0+Skills!P9+B518)/100),0)</f>
        <v/>
      </c>
      <c r="V493">
        <f>IF(C493,(0.2*SUMPRODUCT((Skills!Z2:Z30=TRUE)*(C486:C514=TRUE)*S486:S514)*N493)*IF(Inputs!$B$39="pvp",1,(1+(Inputs!$B$21+Skills!Q9+B518)/100)*(MIN(Skills!W9,Inputs!$B$37))),0)</f>
        <v/>
      </c>
    </row>
    <row r="494">
      <c r="A494">
        <f>Skills!A10</f>
        <v/>
      </c>
      <c r="B494">
        <f>Skills!B10</f>
        <v/>
      </c>
      <c r="C494">
        <f>Inputs!$B$3&gt;=74</f>
        <v/>
      </c>
      <c r="D494">
        <f>IF(Skills!C10=1,60+Inputs!$B$25+Inputs!$B$29,IF(Skills!C10=2,90+Inputs!$B$26+Inputs!$B$29,IF(Skills!C10=3,120+Inputs!$B$27+Inputs!$B$29,MAX(0,(Inputs!$B$3-100)*3)+Inputs!$B$28+Inputs!$B$29)))</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t="inlineStr"/>
      <c r="K494" t="inlineStr"/>
      <c r="L494" t="inlineStr"/>
      <c r="M494" t="inlineStr"/>
      <c r="N494" t="inlineStr"/>
      <c r="O494">
        <f>(1-Summary!$B$55)*T494+Summary!$B$55*V494</f>
        <v/>
      </c>
      <c r="P494">
        <f>IF(B529=0,0,O494/B529)</f>
        <v/>
      </c>
      <c r="Q494">
        <f>IFERROR(1/IF(Inputs!$B$39="pvp",15,MAX(0.1,Skills!D10-IF(Skills!E10=TRUE,Inputs!$B$32,0))),0)</f>
        <v/>
      </c>
      <c r="R494">
        <f>IF(AND(Inputs!$B$39&lt;&gt;"pvp",Inputs!$B$44&gt;0),IF(Inputs!$B$44&lt;=0,0,(INT(Inputs!$B$44/IF(Inputs!$B$39="pvp",15,MAX(0.1,Skills!D10-IF(Skills!E10=TRUE,Inputs!$B$32,0))))+1)),0)</f>
        <v/>
      </c>
      <c r="S494">
        <f>IFERROR(O494/N494,0)</f>
        <v/>
      </c>
      <c r="T494" t="n">
        <v>0</v>
      </c>
      <c r="V494" t="n">
        <v>0</v>
      </c>
    </row>
    <row r="495">
      <c r="A495">
        <f>Skills!A11</f>
        <v/>
      </c>
      <c r="B495">
        <f>Skills!B11</f>
        <v/>
      </c>
      <c r="C495">
        <f>Inputs!$B$3&gt;=103</f>
        <v/>
      </c>
      <c r="D495">
        <f>IF(Skills!C11=1,60+Inputs!$B$25+Inputs!$B$29,IF(Skills!C11=2,90+Inputs!$B$26+Inputs!$B$29,IF(Skills!C11=3,120+Inputs!$B$27+Inputs!$B$29,MAX(0,(Inputs!$B$3-100)*3)+Inputs!$B$28+Inputs!$B$29)))</f>
        <v/>
      </c>
      <c r="E495">
        <f>INDEX(FactorTable!$B$2:$Y$301, MATCH(ROUND(MIN(300,MAX(1,D495)),0), FactorTable!$A$2:$A$301,0), Skills!M11+1)</f>
        <v/>
      </c>
      <c r="F495">
        <f>(Skills!L11/10)*(E495/1000)+IF(Inputs!$B$3&gt;=134,50,0)+0.5*(30000/10)*(INDEX(FactorTable!$B$2:$Y$301, MATCH(ROUND(MIN(300,MAX(1,D495)),0), FactorTable!$A$2:$A$301,0), 13)/1000)*B527</f>
        <v/>
      </c>
      <c r="G495">
        <f>Skills!G11*IF(Skills!H11&gt;0,Skills!I11/Skills!H11,1)</f>
        <v/>
      </c>
      <c r="H495">
        <f>1-(1-Skills!J11/100)^Skills!K11</f>
        <v/>
      </c>
      <c r="I495" t="inlineStr">
        <is>
          <t>1</t>
        </is>
      </c>
      <c r="J495">
        <f>((Inputs!$B$6*(1+Inputs!$B$7/100))+(((Inputs!$B$12*(1+Inputs!$B$13/100))-(Inputs!$B$12*(1+Inputs!$B$13/100)))+0.25*(Inputs!$B$14-Inputs!$B$14))*(1+Inputs!$B$7/100))*(F495/100)</f>
        <v/>
      </c>
      <c r="K495">
        <f>J495*(1+((Inputs!$B$12*(1+Inputs!$B$13/100))*0.01+Inputs!$B$14*0.0025)/100)*(1+Inputs!$B$15/100)*(1+Inputs!$B$16/100)*(5000/(6000+Inputs!$B$43*(1-Inputs!$B$19/100)))*(1+(Inputs!$B$24+((C514=TRUE)*(F514-Calc!F30)))/100)*(1+(IF(Skills!A11="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495)</f>
        <v/>
      </c>
      <c r="L495">
        <f>K495*(MIN(Inputs!$B$22+((C508=TRUE)*(F508-Calc!F24)),(Inputs!$B$23+1)+((C513=TRUE)*(F513-Calc!F29)))/100+((Inputs!$B$23+1)+((C513=TRUE)*(F513-Calc!F29)))/100)/2</f>
        <v/>
      </c>
      <c r="M495">
        <f>L495*(1+(Inputs!$B$10+((C510=TRUE)*(F510-Calc!F26))+B524)/100)</f>
        <v/>
      </c>
      <c r="N495">
        <f>L495*(1-MIN((Inputs!$B$9+((C509=TRUE)*(F509-Calc!F25))+B517),100)/100)+M495*(MIN((Inputs!$B$9+((C509=TRUE)*(F509-Calc!F25))+B517),100)/100)</f>
        <v/>
      </c>
      <c r="O495">
        <f>(1-Summary!$B$55)*T495+Summary!$B$55*V495</f>
        <v/>
      </c>
      <c r="P495">
        <f>IF(B529=0,0,O495/B529)</f>
        <v/>
      </c>
      <c r="Q495">
        <f>IFERROR(1/IF(Inputs!$B$39="pvp",15,MAX(0.1,Skills!D11-IF(Skills!E11=TRUE,Inputs!$B$32,0))),0)</f>
        <v/>
      </c>
      <c r="R495">
        <f>IF(AND(Inputs!$B$39&lt;&gt;"pvp",Inputs!$B$44&gt;0),IF(MAX(0,Inputs!$B$44-B528)&lt;=0,0,(INT(MAX(0,Inputs!$B$44-B528)/IF(Inputs!$B$39="pvp",15,MAX(0.1,Skills!D11-IF(Skills!E11=TRUE,Inputs!$B$32,0))))+1)),0)</f>
        <v/>
      </c>
      <c r="S495">
        <f>IFERROR(O495/N495,0)</f>
        <v/>
      </c>
      <c r="T495">
        <f>IF(C495,(H495*N495*IF(AND(Inputs!$B$39&lt;&gt;"pvp",Inputs!$B$44&gt;0),((Skills!G11*((R495-1)*IF(Skills!H11&gt;0,Skills!I11/Skills!H11,1)+IF(Skills!H11&gt;0,MIN(Skills!I11,MAX(0,MAX(0,Inputs!$B$44-B528)-((R495-1)*IF(Inputs!$B$39="pvp",15,MAX(0.1,Skills!D11-IF(Skills!E11=TRUE,Inputs!$B$32,0))))))/Skills!H11,1)))/Inputs!$B$44),G495*Q495))*IF(Inputs!$B$39="pvp",1,1+(Inputs!$B$20+0+Skills!P11+B518)/100),0)</f>
        <v/>
      </c>
      <c r="V495">
        <f>IF(C495,(H495*N495*IF(AND(Inputs!$B$39&lt;&gt;"pvp",Inputs!$B$44&gt;0),((Skills!G11*((R495-1)*IF(Skills!H11&gt;0,Skills!I11/Skills!H11,1)+IF(Skills!H11&gt;0,MIN(Skills!I11,MAX(0,MAX(0,Inputs!$B$44-B528)-((R495-1)*IF(Inputs!$B$39="pvp",15,MAX(0.1,Skills!D11-IF(Skills!E11=TRUE,Inputs!$B$32,0))))))/Skills!H11,1)))/Inputs!$B$44),G495*Q495))*IF(Inputs!$B$39="pvp",1,(1+(Inputs!$B$21+Skills!Q11+B518)/100)*(MIN(Skills!W11,Inputs!$B$37))),0)</f>
        <v/>
      </c>
    </row>
    <row r="496">
      <c r="A496">
        <f>Skills!A12</f>
        <v/>
      </c>
      <c r="B496">
        <f>Skills!B12</f>
        <v/>
      </c>
      <c r="C496">
        <f>Inputs!$B$3&gt;=105</f>
        <v/>
      </c>
      <c r="D496">
        <f>IF(Skills!C12=1,60+Inputs!$B$25+Inputs!$B$29,IF(Skills!C12=2,90+Inputs!$B$26+Inputs!$B$29,IF(Skills!C12=3,120+Inputs!$B$27+Inputs!$B$29,MAX(0,(Inputs!$B$3-100)*3)+Inputs!$B$28+Inputs!$B$29)))</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((Inputs!$B$6*(1+Inputs!$B$7/100))+(((Inputs!$B$12*(1+Inputs!$B$13/100))-(Inputs!$B$12*(1+Inputs!$B$13/100)))+0.25*(Inputs!$B$14-Inputs!$B$14))*(1+Inputs!$B$7/100))*(F496/100)</f>
        <v/>
      </c>
      <c r="K496">
        <f>J496*(1+((Inputs!$B$12*(1+Inputs!$B$13/100))*0.01+Inputs!$B$14*0.0025)/100)*(1+Inputs!$B$15/100)*(1+Inputs!$B$16/100)*(5000/(6000+Inputs!$B$43*(1-Inputs!$B$19/100)))*(1+(Inputs!$B$24+((C514=TRUE)*(F514-Calc!F30)))/100)*(1+(IF(Skills!A12="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496)</f>
        <v/>
      </c>
      <c r="L496">
        <f>K496*(MIN(Inputs!$B$22+((C508=TRUE)*(F508-Calc!F24)),(Inputs!$B$23+1)+((C513=TRUE)*(F513-Calc!F29)))/100+((Inputs!$B$23+1)+((C513=TRUE)*(F513-Calc!F29)))/100)/2</f>
        <v/>
      </c>
      <c r="M496">
        <f>L496*(1+(Inputs!$B$10+((C510=TRUE)*(F510-Calc!F26))+B524)/100)</f>
        <v/>
      </c>
      <c r="N496">
        <f>L496*(1-MIN((Inputs!$B$9+((C509=TRUE)*(F509-Calc!F25))+B517),100)/100)+M496*(MIN((Inputs!$B$9+((C509=TRUE)*(F509-Calc!F25))+B517),100)/100)</f>
        <v/>
      </c>
      <c r="O496">
        <f>(1-Summary!$B$55)*T496+Summary!$B$55*V496</f>
        <v/>
      </c>
      <c r="P496">
        <f>IF(B529=0,0,O496/B529)</f>
        <v/>
      </c>
      <c r="Q496">
        <f>IFERROR(1/IF(Inputs!$B$39="pvp",15,MAX(0.1,Skills!D12-IF(Skills!E12=TRUE,Inputs!$B$32,0))),0)</f>
        <v/>
      </c>
      <c r="R496">
        <f>IF(AND(Inputs!$B$39&lt;&gt;"pvp",Inputs!$B$44&gt;0),IF(MAX(0,Inputs!$B$44-B528)&lt;=0,0,(INT(MAX(0,Inputs!$B$44-B528)/IF(Inputs!$B$39="pvp",15,MAX(0.1,Skills!D12-IF(Skills!E12=TRUE,Inputs!$B$32,0))))+1)),0)</f>
        <v/>
      </c>
      <c r="S496">
        <f>IFERROR(O496/N496,0)</f>
        <v/>
      </c>
      <c r="T496">
        <f>IF(C496,(H496*N496*IF(AND(Inputs!$B$39&lt;&gt;"pvp",Inputs!$B$44&gt;0),((Skills!G12*((R496-1)*IF(Skills!H12&gt;0,Skills!I12/Skills!H12,1)+IF(Skills!H12&gt;0,MIN(Skills!I12,MAX(0,MAX(0,Inputs!$B$44-B528)-((R496-1)*IF(Inputs!$B$39="pvp",15,MAX(0.1,Skills!D12-IF(Skills!E12=TRUE,Inputs!$B$32,0))))))/Skills!H12,1)))/Inputs!$B$44),G496*Q496))*IF(Inputs!$B$39="pvp",1,1+(Inputs!$B$20+0+Skills!P12+B518)/100),0)</f>
        <v/>
      </c>
      <c r="V496">
        <f>IF(C496,(H496*N496*IF(AND(Inputs!$B$39&lt;&gt;"pvp",Inputs!$B$44&gt;0),((Skills!G12*((R496-1)*IF(Skills!H12&gt;0,Skills!I12/Skills!H12,1)+IF(Skills!H12&gt;0,MIN(Skills!I12,MAX(0,MAX(0,Inputs!$B$44-B528)-((R496-1)*IF(Inputs!$B$39="pvp",15,MAX(0.1,Skills!D12-IF(Skills!E12=TRUE,Inputs!$B$32,0))))))/Skills!H12,1)))/Inputs!$B$44),G496*Q496))*IF(Inputs!$B$39="pvp",1,(1+(Inputs!$B$21+Skills!Q12+B518)/100)*(MIN(Skills!W12,Inputs!$B$37))),0)</f>
        <v/>
      </c>
    </row>
    <row r="497">
      <c r="A497">
        <f>Skills!A13</f>
        <v/>
      </c>
      <c r="B497">
        <f>Skills!B13</f>
        <v/>
      </c>
      <c r="C497">
        <f>Inputs!$B$3&gt;=105</f>
        <v/>
      </c>
      <c r="D497">
        <f>IF(Skills!C13=1,60+Inputs!$B$25+Inputs!$B$29,IF(Skills!C13=2,90+Inputs!$B$26+Inputs!$B$29,IF(Skills!C13=3,120+Inputs!$B$27+Inputs!$B$29,MAX(0,(Inputs!$B$3-100)*3)+Inputs!$B$28+Inputs!$B$29)))</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((Inputs!$B$6*(1+Inputs!$B$7/100))+(((Inputs!$B$12*(1+Inputs!$B$13/100))-(Inputs!$B$12*(1+Inputs!$B$13/100)))+0.25*(Inputs!$B$14-Inputs!$B$14))*(1+Inputs!$B$7/100))*(F497/100)</f>
        <v/>
      </c>
      <c r="K497">
        <f>J497*(1+((Inputs!$B$12*(1+Inputs!$B$13/100))*0.01+Inputs!$B$14*0.0025)/100)*(1+Inputs!$B$15/100)*(1+Inputs!$B$16/100)*(5000/(6000+Inputs!$B$43*(1-Inputs!$B$19/100)))*(1+(Inputs!$B$24+((C514=TRUE)*(F514-Calc!F30)))/100)*(1+(IF(Skills!A13="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497)</f>
        <v/>
      </c>
      <c r="L497">
        <f>K497*(MIN(Inputs!$B$22+((C508=TRUE)*(F508-Calc!F24)),(Inputs!$B$23+1)+((C513=TRUE)*(F513-Calc!F29)))/100+((Inputs!$B$23+1)+((C513=TRUE)*(F513-Calc!F29)))/100)/2</f>
        <v/>
      </c>
      <c r="M497">
        <f>L497*(1+(Inputs!$B$10+((C510=TRUE)*(F510-Calc!F26))+B524)/100)</f>
        <v/>
      </c>
      <c r="N497">
        <f>L497*(1-MIN((Inputs!$B$9+((C509=TRUE)*(F509-Calc!F25))+B517),100)/100)+M497*(MIN((Inputs!$B$9+((C509=TRUE)*(F509-Calc!F25))+B517),100)/100)</f>
        <v/>
      </c>
      <c r="O497">
        <f>(1-Summary!$B$55)*T497+Summary!$B$55*V497</f>
        <v/>
      </c>
      <c r="P497">
        <f>IF(B529=0,0,O497/B529)</f>
        <v/>
      </c>
      <c r="Q497">
        <f>IFERROR(1/IF(Inputs!$B$39="pvp",15,MAX(0.1,Skills!D13-IF(Skills!E13=TRUE,Inputs!$B$32,0))),0)</f>
        <v/>
      </c>
      <c r="R497">
        <f>IF(AND(Inputs!$B$39&lt;&gt;"pvp",Inputs!$B$44&gt;0),IF(MAX(0,Inputs!$B$44-B528)&lt;=0,0,(INT(MAX(0,Inputs!$B$44-B528)/IF(Inputs!$B$39="pvp",15,MAX(0.1,Skills!D13-IF(Skills!E13=TRUE,Inputs!$B$32,0))))+1)),0)</f>
        <v/>
      </c>
      <c r="S497">
        <f>IFERROR(O497/N497,0)</f>
        <v/>
      </c>
      <c r="T497">
        <f>IF(C497,(H497*N497*IF(AND(Inputs!$B$39&lt;&gt;"pvp",Inputs!$B$44&gt;0),((Skills!G13*((R497-1)*IF(Skills!H13&gt;0,Skills!I13/Skills!H13,1)+IF(Skills!H13&gt;0,MIN(Skills!I13,MAX(0,MAX(0,Inputs!$B$44-B528)-((R497-1)*IF(Inputs!$B$39="pvp",15,MAX(0.1,Skills!D13-IF(Skills!E13=TRUE,Inputs!$B$32,0))))))/Skills!H13,1)))/Inputs!$B$44),G497*Q497))*IF(Inputs!$B$39="pvp",1,1+(Inputs!$B$20+0+Skills!P13+B518)/100),0)</f>
        <v/>
      </c>
      <c r="V497">
        <f>IF(C497,(H497*N497*IF(AND(Inputs!$B$39&lt;&gt;"pvp",Inputs!$B$44&gt;0),((Skills!G13*((R497-1)*IF(Skills!H13&gt;0,Skills!I13/Skills!H13,1)+IF(Skills!H13&gt;0,MIN(Skills!I13,MAX(0,MAX(0,Inputs!$B$44-B528)-((R497-1)*IF(Inputs!$B$39="pvp",15,MAX(0.1,Skills!D13-IF(Skills!E13=TRUE,Inputs!$B$32,0))))))/Skills!H13,1)))/Inputs!$B$44),G497*Q497))*IF(Inputs!$B$39="pvp",1,(1+(Inputs!$B$21+Skills!Q13+B518)/100)*(MIN(Skills!W13,Inputs!$B$37))),0)</f>
        <v/>
      </c>
    </row>
    <row r="498">
      <c r="A498">
        <f>Skills!A14</f>
        <v/>
      </c>
      <c r="B498">
        <f>Skills!B14</f>
        <v/>
      </c>
      <c r="C498">
        <f>Inputs!$B$3&gt;=107</f>
        <v/>
      </c>
      <c r="D498">
        <f>IF(Skills!C14=1,60+Inputs!$B$25+Inputs!$B$29,IF(Skills!C14=2,90+Inputs!$B$26+Inputs!$B$29,IF(Skills!C14=3,120+Inputs!$B$27+Inputs!$B$29,MAX(0,(Inputs!$B$3-100)*3)+Inputs!$B$28+Inputs!$B$29)))</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((Inputs!$B$6*(1+Inputs!$B$7/100))+(((Inputs!$B$12*(1+Inputs!$B$13/100))-(Inputs!$B$12*(1+Inputs!$B$13/100)))+0.25*(Inputs!$B$14-Inputs!$B$14))*(1+Inputs!$B$7/100))*(F498/100)</f>
        <v/>
      </c>
      <c r="K498">
        <f>J498*(1+((Inputs!$B$12*(1+Inputs!$B$13/100))*0.01+Inputs!$B$14*0.0025)/100)*(1+Inputs!$B$15/100)*(1+Inputs!$B$16/100)*(5000/(6000+Inputs!$B$43*(1-Inputs!$B$19/100)))*(1+(Inputs!$B$24+((C514=TRUE)*(F514-Calc!F30)))/100)*(1+(IF(Skills!A14="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498)</f>
        <v/>
      </c>
      <c r="L498">
        <f>K498*(MIN(Inputs!$B$22+((C508=TRUE)*(F508-Calc!F24)),(Inputs!$B$23+1)+((C513=TRUE)*(F513-Calc!F29)))/100+((Inputs!$B$23+1)+((C513=TRUE)*(F513-Calc!F29)))/100)/2</f>
        <v/>
      </c>
      <c r="M498">
        <f>L498*(1+(Inputs!$B$10+((C510=TRUE)*(F510-Calc!F26))+B524)/100)</f>
        <v/>
      </c>
      <c r="N498">
        <f>L498*(1-MIN((Inputs!$B$9+((C509=TRUE)*(F509-Calc!F25))+B517),100)/100)+M498*(MIN((Inputs!$B$9+((C509=TRUE)*(F509-Calc!F25))+B517),100)/100)</f>
        <v/>
      </c>
      <c r="O498">
        <f>(1-Summary!$B$55)*T498+Summary!$B$55*V498</f>
        <v/>
      </c>
      <c r="P498">
        <f>IF(B529=0,0,O498/B529)</f>
        <v/>
      </c>
      <c r="Q498">
        <f>IFERROR(1/IF(Inputs!$B$39="pvp",15,MAX(0.1,Skills!D14-IF(Skills!E14=TRUE,Inputs!$B$32,0))),0)</f>
        <v/>
      </c>
      <c r="R498">
        <f>IF(AND(Inputs!$B$39&lt;&gt;"pvp",Inputs!$B$44&gt;0),IF(MAX(0,Inputs!$B$44-B528)&lt;=0,0,(INT(MAX(0,Inputs!$B$44-B528)/IF(Inputs!$B$39="pvp",15,MAX(0.1,Skills!D14-IF(Skills!E14=TRUE,Inputs!$B$32,0))))+1)),0)</f>
        <v/>
      </c>
      <c r="S498">
        <f>IFERROR(O498/N498,0)</f>
        <v/>
      </c>
      <c r="T498">
        <f>IF(C498,(H498*N498*IF(AND(Inputs!$B$39&lt;&gt;"pvp",Inputs!$B$44&gt;0),((Skills!G14*((R498-1)*IF(Skills!H14&gt;0,Skills!I14/Skills!H14,1)+IF(Skills!H14&gt;0,MIN(Skills!I14,MAX(0,MAX(0,Inputs!$B$44-B528)-((R498-1)*IF(Inputs!$B$39="pvp",15,MAX(0.1,Skills!D14-IF(Skills!E14=TRUE,Inputs!$B$32,0))))))/Skills!H14,1)))/Inputs!$B$44),G498*Q498))*IF(Inputs!$B$39="pvp",1,1+(Inputs!$B$20+0+Skills!P14+B518)/100),0)</f>
        <v/>
      </c>
      <c r="V498">
        <f>IF(C498,(H498*N498*IF(AND(Inputs!$B$39&lt;&gt;"pvp",Inputs!$B$44&gt;0),((Skills!G14*((R498-1)*IF(Skills!H14&gt;0,Skills!I14/Skills!H14,1)+IF(Skills!H14&gt;0,MIN(Skills!I14,MAX(0,MAX(0,Inputs!$B$44-B528)-((R498-1)*IF(Inputs!$B$39="pvp",15,MAX(0.1,Skills!D14-IF(Skills!E14=TRUE,Inputs!$B$32,0))))))/Skills!H14,1)))/Inputs!$B$44),G498*Q498))*IF(Inputs!$B$39="pvp",1,(1+(Inputs!$B$21+Skills!Q14+B518)/100)*(MIN(MIN(5,0.25*B521*Skills!D4)*Skills!V14,Inputs!$B$37))),0)</f>
        <v/>
      </c>
    </row>
    <row r="499">
      <c r="A499">
        <f>Skills!A15</f>
        <v/>
      </c>
      <c r="B499">
        <f>Skills!B15</f>
        <v/>
      </c>
      <c r="C499">
        <f>Inputs!$B$3&gt;=110</f>
        <v/>
      </c>
      <c r="D499">
        <f>IF(Skills!C15=1,60+Inputs!$B$25+Inputs!$B$29,IF(Skills!C15=2,90+Inputs!$B$26+Inputs!$B$29,IF(Skills!C15=3,120+Inputs!$B$27+Inputs!$B$29,MAX(0,(Inputs!$B$3-100)*3)+Inputs!$B$28+Inputs!$B$29)))</f>
        <v/>
      </c>
      <c r="E499">
        <f>INDEX(FactorTable!$B$2:$Y$301, MATCH(ROUND(MIN(300,MAX(1,D499)),0), FactorTable!$A$2:$A$301,0), Skills!M15+1)</f>
        <v/>
      </c>
      <c r="F499">
        <f>IF(Skills!N15=TRUE,(Skills!L15/10)*(E499/1000),Skills!L15/10)+Skills!O15</f>
        <v/>
      </c>
      <c r="G499">
        <f>Skills!G15*IF(Skills!H15&gt;0,Skills!I15/Skills!H15,1)</f>
        <v/>
      </c>
      <c r="H499">
        <f>1-(1-Skills!J15/100)^Skills!K15</f>
        <v/>
      </c>
      <c r="I499" t="inlineStr">
        <is>
          <t>1</t>
        </is>
      </c>
      <c r="J499" t="inlineStr"/>
      <c r="K499" t="inlineStr"/>
      <c r="L499" t="inlineStr"/>
      <c r="M499" t="inlineStr"/>
      <c r="N499" t="inlineStr"/>
      <c r="O499">
        <f>(1-Summary!$B$55)*T499+Summary!$B$55*V499</f>
        <v/>
      </c>
      <c r="P499">
        <f>IF(B529=0,0,O499/B529)</f>
        <v/>
      </c>
      <c r="Q499">
        <f>IFERROR(1/IF(Inputs!$B$39="pvp",15,MAX(0.1,Skills!D15-IF(Skills!E15=TRUE,Inputs!$B$32,0))),0)</f>
        <v/>
      </c>
      <c r="R499">
        <f>IF(AND(Inputs!$B$39&lt;&gt;"pvp",Inputs!$B$44&gt;0),IF(Inputs!$B$44&lt;=0,0,(INT(Inputs!$B$44/IF(Inputs!$B$39="pvp",15,MAX(0.1,Skills!D15-IF(Skills!E15=TRUE,Inputs!$B$32,0))))+1)),0)</f>
        <v/>
      </c>
      <c r="S499">
        <f>IFERROR(O499/N499,0)</f>
        <v/>
      </c>
      <c r="T499" t="n">
        <v>0</v>
      </c>
      <c r="V499" t="n">
        <v>0</v>
      </c>
    </row>
    <row r="500">
      <c r="A500">
        <f>Skills!A16</f>
        <v/>
      </c>
      <c r="B500">
        <f>Skills!B16</f>
        <v/>
      </c>
      <c r="C500">
        <f>Inputs!$B$3&gt;=115</f>
        <v/>
      </c>
      <c r="D500">
        <f>IF(Skills!C16=1,60+Inputs!$B$25+Inputs!$B$29,IF(Skills!C16=2,90+Inputs!$B$26+Inputs!$B$29,IF(Skills!C16=3,120+Inputs!$B$27+Inputs!$B$29,MAX(0,(Inputs!$B$3-100)*3)+Inputs!$B$28+Inputs!$B$29)))</f>
        <v/>
      </c>
      <c r="E500">
        <f>INDEX(FactorTable!$B$2:$Y$301, MATCH(ROUND(MIN(300,MAX(1,D500)),0), FactorTable!$A$2:$A$301,0), Skills!M16+1)</f>
        <v/>
      </c>
      <c r="F500">
        <f>IF(Skills!N16=TRUE,(Skills!L16/10)*(E500/1000),Skills!L16/10)+Skills!O16</f>
        <v/>
      </c>
      <c r="G500">
        <f>Skills!G16*IF(Skills!H16&gt;0,Skills!I16/Skills!H16,1)</f>
        <v/>
      </c>
      <c r="H500">
        <f>1-(1-Skills!J16/100)^Skills!K16</f>
        <v/>
      </c>
      <c r="I500" t="inlineStr">
        <is>
          <t>1</t>
        </is>
      </c>
      <c r="J500">
        <f>((Inputs!$B$6*(1+Inputs!$B$7/100))+(((Inputs!$B$12*(1+Inputs!$B$13/100))-(Inputs!$B$12*(1+Inputs!$B$13/100)))+0.25*(Inputs!$B$14-Inputs!$B$14))*(1+Inputs!$B$7/100))*(F500/100)</f>
        <v/>
      </c>
      <c r="K500">
        <f>J500*(1+((Inputs!$B$12*(1+Inputs!$B$13/100))*0.01+Inputs!$B$14*0.0025)/100)*(1+Inputs!$B$15/100)*(1+Inputs!$B$16/100)*(5000/(6000+Inputs!$B$43*(1-Inputs!$B$19/100)))*(1+(Inputs!$B$24+((C514=TRUE)*(F514-Calc!F30)))/100)*(1+(IF(Skills!A16="CRUEL_STAB",Inputs!$B$17+((C511=TRUE)*(F511-Calc!F27)),Inputs!$B$18+((C512=TRUE)*(F512-Calc!F28))))/100)*(((1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B519*I500)</f>
        <v/>
      </c>
      <c r="L500">
        <f>K500*(MIN(Inputs!$B$22+((C508=TRUE)*(F508-Calc!F24)),(Inputs!$B$23+1)+((C513=TRUE)*(F513-Calc!F29)))/100+((Inputs!$B$23+1)+((C513=TRUE)*(F513-Calc!F29)))/100)/2</f>
        <v/>
      </c>
      <c r="M500">
        <f>L500*(1+(Inputs!$B$10+((C510=TRUE)*(F510-Calc!F26))+B524)/100)</f>
        <v/>
      </c>
      <c r="N500">
        <f>L500*(1-MIN((Inputs!$B$9+((C509=TRUE)*(F509-Calc!F25))+B517),100)/100)+M500*(MIN((Inputs!$B$9+((C509=TRUE)*(F509-Calc!F25))+B517),100)/100)</f>
        <v/>
      </c>
      <c r="O500">
        <f>(1-Summary!$B$55)*T500+Summary!$B$55*V500</f>
        <v/>
      </c>
      <c r="P500">
        <f>IF(B529=0,0,O500/B529)</f>
        <v/>
      </c>
      <c r="Q500" t="n">
        <v>0</v>
      </c>
      <c r="R500" t="n">
        <v>0</v>
      </c>
      <c r="S500">
        <f>IFERROR(O500/N500,0)</f>
        <v/>
      </c>
      <c r="T500">
        <f>IF(C500,(Inputs!$B$38*0.2*N500)*IF(Inputs!$B$39="pvp",1,1+(Inputs!$B$20+0+Skills!P16+B518)/100),0)</f>
        <v/>
      </c>
      <c r="V500">
        <f>IF(C500,(Inputs!$B$38*0.2*N500)*IF(Inputs!$B$39="pvp",1,(1+(Inputs!$B$21+Skills!Q16+B518)/100)*(MIN(Skills!W16,Inputs!$B$37))),0)</f>
        <v/>
      </c>
    </row>
    <row r="501">
      <c r="A501">
        <f>Skills!A17</f>
        <v/>
      </c>
      <c r="B501">
        <f>Skills!B17</f>
        <v/>
      </c>
      <c r="C501">
        <f>Inputs!$B$3&gt;=115</f>
        <v/>
      </c>
      <c r="D501">
        <f>IF(Skills!C17=1,60+Inputs!$B$25+Inputs!$B$29,IF(Skills!C17=2,90+Inputs!$B$26+Inputs!$B$29,IF(Skills!C17=3,120+Inputs!$B$27+Inputs!$B$29,MAX(0,(Inputs!$B$3-100)*3)+Inputs!$B$28+Inputs!$B$29)))</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f>(1-Summary!$B$55)*T501+Summary!$B$55*V501</f>
        <v/>
      </c>
      <c r="P501">
        <f>IF(B529=0,0,O501/B529)</f>
        <v/>
      </c>
      <c r="Q501" t="n">
        <v>0</v>
      </c>
      <c r="R501" t="n">
        <v>0</v>
      </c>
      <c r="S501">
        <f>IFERROR(O501/N501,0)</f>
        <v/>
      </c>
      <c r="T501" t="n">
        <v>0</v>
      </c>
      <c r="V501" t="n">
        <v>0</v>
      </c>
    </row>
    <row r="502">
      <c r="A502">
        <f>Skills!A18</f>
        <v/>
      </c>
      <c r="B502">
        <f>Skills!B18</f>
        <v/>
      </c>
      <c r="C502">
        <f>Inputs!$B$3&gt;=100</f>
        <v/>
      </c>
      <c r="D502">
        <f>IF(Skills!C18=1,60+Inputs!$B$25+Inputs!$B$29,IF(Skills!C18=2,90+Inputs!$B$26+Inputs!$B$29,IF(Skills!C18=3,120+Inputs!$B$27+Inputs!$B$29,MAX(0,(Inputs!$B$3-100)*3)+Inputs!$B$28+Inputs!$B$29)))</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f>(1-Summary!$B$55)*T502+Summary!$B$55*V502</f>
        <v/>
      </c>
      <c r="P502">
        <f>IF(B529=0,0,O502/B529)</f>
        <v/>
      </c>
      <c r="Q502" t="n">
        <v>0</v>
      </c>
      <c r="R502" t="n">
        <v>0</v>
      </c>
      <c r="S502">
        <f>IFERROR(O502/N502,0)</f>
        <v/>
      </c>
      <c r="T502" t="n">
        <v>0</v>
      </c>
      <c r="V502" t="n">
        <v>0</v>
      </c>
    </row>
    <row r="503">
      <c r="A503">
        <f>Skills!A19</f>
        <v/>
      </c>
      <c r="B503">
        <f>Skills!B19</f>
        <v/>
      </c>
      <c r="C503">
        <f>TRUE</f>
        <v/>
      </c>
      <c r="D503">
        <f>IF(Skills!C19=1,60+Inputs!$B$25+Inputs!$B$29,IF(Skills!C19=2,90+Inputs!$B$26+Inputs!$B$29,IF(Skills!C19=3,120+Inputs!$B$27+Inputs!$B$29,MAX(0,(Inputs!$B$3-100)*3)+Inputs!$B$28+Inputs!$B$29)))</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f>(1-Summary!$B$55)*T503+Summary!$B$55*V503</f>
        <v/>
      </c>
      <c r="P503">
        <f>IF(B529=0,0,O503/B529)</f>
        <v/>
      </c>
      <c r="Q503">
        <f>IFERROR(1/IF(Inputs!$B$39="pvp",15,MAX(0.1,Skills!D19-IF(Skills!E19=TRUE,Inputs!$B$32,0))),0)</f>
        <v/>
      </c>
      <c r="R503">
        <f>IF(AND(Inputs!$B$39&lt;&gt;"pvp",Inputs!$B$44&gt;0),IF(Inputs!$B$44&lt;=0,0,(INT(Inputs!$B$44/IF(Inputs!$B$39="pvp",15,MAX(0.1,Skills!D19-IF(Skills!E19=TRUE,Inputs!$B$32,0))))+1)),0)</f>
        <v/>
      </c>
      <c r="S503">
        <f>IFERROR(O503/N503,0)</f>
        <v/>
      </c>
      <c r="T503" t="n">
        <v>0</v>
      </c>
      <c r="V503" t="n">
        <v>0</v>
      </c>
    </row>
    <row r="504">
      <c r="A504">
        <f>Skills!A20</f>
        <v/>
      </c>
      <c r="B504">
        <f>Skills!B20</f>
        <v/>
      </c>
      <c r="C504">
        <f>Inputs!$B$3&gt;=15</f>
        <v/>
      </c>
      <c r="D504">
        <f>IF(Skills!C20=1,60+Inputs!$B$25+Inputs!$B$29,IF(Skills!C20=2,90+Inputs!$B$26+Inputs!$B$29,IF(Skills!C20=3,120+Inputs!$B$27+Inputs!$B$29,MAX(0,(Inputs!$B$3-100)*3)+Inputs!$B$28+Inputs!$B$29)))</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f>(1-Summary!$B$55)*T504+Summary!$B$55*V504</f>
        <v/>
      </c>
      <c r="P504">
        <f>IF(B529=0,0,O504/B529)</f>
        <v/>
      </c>
      <c r="Q504">
        <f>IFERROR(1/IF(Inputs!$B$39="pvp",15,MAX(0.1,Skills!D20-IF(Skills!E20=TRUE,Inputs!$B$32,0))),0)</f>
        <v/>
      </c>
      <c r="R504">
        <f>IF(AND(Inputs!$B$39&lt;&gt;"pvp",Inputs!$B$44&gt;0),IF(Inputs!$B$44&lt;=0,0,(INT(Inputs!$B$44/IF(Inputs!$B$39="pvp",15,MAX(0.1,Skills!D20-IF(Skills!E20=TRUE,Inputs!$B$32,0))))+1)),0)</f>
        <v/>
      </c>
      <c r="S504">
        <f>IFERROR(O504/N504,0)</f>
        <v/>
      </c>
      <c r="T504" t="n">
        <v>0</v>
      </c>
      <c r="V504" t="n">
        <v>0</v>
      </c>
    </row>
    <row r="505">
      <c r="A505">
        <f>Skills!A21</f>
        <v/>
      </c>
      <c r="B505">
        <f>Skills!B21</f>
        <v/>
      </c>
      <c r="C505">
        <f>Inputs!$B$3&gt;=15</f>
        <v/>
      </c>
      <c r="D505">
        <f>IF(Skills!C21=1,60+Inputs!$B$25+Inputs!$B$29,IF(Skills!C21=2,90+Inputs!$B$26+Inputs!$B$29,IF(Skills!C21=3,120+Inputs!$B$27+Inputs!$B$29,MAX(0,(Inputs!$B$3-100)*3)+Inputs!$B$28+Inputs!$B$29)))</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f>(1-Summary!$B$55)*T505+Summary!$B$55*V505</f>
        <v/>
      </c>
      <c r="P505">
        <f>IF(B529=0,0,O505/B529)</f>
        <v/>
      </c>
      <c r="Q505">
        <f>IFERROR(1/IF(Inputs!$B$39="pvp",15,MAX(0.1,Skills!D21-IF(Skills!E21=TRUE,Inputs!$B$32,0))),0)</f>
        <v/>
      </c>
      <c r="R505">
        <f>IF(AND(Inputs!$B$39&lt;&gt;"pvp",Inputs!$B$44&gt;0),IF(Inputs!$B$44&lt;=0,0,(INT(Inputs!$B$44/IF(Inputs!$B$39="pvp",15,MAX(0.1,Skills!D21-IF(Skills!E21=TRUE,Inputs!$B$32,0))))+1)),0)</f>
        <v/>
      </c>
      <c r="S505">
        <f>IFERROR(O505/N505,0)</f>
        <v/>
      </c>
      <c r="T505" t="n">
        <v>0</v>
      </c>
      <c r="V505" t="n">
        <v>0</v>
      </c>
    </row>
    <row r="506">
      <c r="A506">
        <f>Skills!A22</f>
        <v/>
      </c>
      <c r="B506">
        <f>Skills!B22</f>
        <v/>
      </c>
      <c r="C506">
        <f>Inputs!$B$3&gt;=33</f>
        <v/>
      </c>
      <c r="D506">
        <f>IF(Skills!C22=1,60+Inputs!$B$25+Inputs!$B$29,IF(Skills!C22=2,90+Inputs!$B$26+Inputs!$B$29,IF(Skills!C22=3,120+Inputs!$B$27+Inputs!$B$29,MAX(0,(Inputs!$B$3-100)*3)+Inputs!$B$28+Inputs!$B$29)))</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f>(1-Summary!$B$55)*T506+Summary!$B$55*V506</f>
        <v/>
      </c>
      <c r="P506">
        <f>IF(B529=0,0,O506/B529)</f>
        <v/>
      </c>
      <c r="Q506" t="n">
        <v>0</v>
      </c>
      <c r="R506" t="n">
        <v>0</v>
      </c>
      <c r="S506">
        <f>IFERROR(O506/N506,0)</f>
        <v/>
      </c>
      <c r="T506" t="n">
        <v>0</v>
      </c>
      <c r="V506" t="n">
        <v>0</v>
      </c>
    </row>
    <row r="507">
      <c r="A507">
        <f>Skills!A23</f>
        <v/>
      </c>
      <c r="B507">
        <f>Skills!B23</f>
        <v/>
      </c>
      <c r="C507">
        <f>Inputs!$B$3&gt;=40</f>
        <v/>
      </c>
      <c r="D507">
        <f>IF(Skills!C23=1,60+Inputs!$B$25+Inputs!$B$29,IF(Skills!C23=2,90+Inputs!$B$26+Inputs!$B$29,IF(Skills!C23=3,120+Inputs!$B$27+Inputs!$B$29,MAX(0,(Inputs!$B$3-100)*3)+Inputs!$B$28+Inputs!$B$29)))</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f>(1-Summary!$B$55)*T507+Summary!$B$55*V507</f>
        <v/>
      </c>
      <c r="P507">
        <f>IF(B529=0,0,O507/B529)</f>
        <v/>
      </c>
      <c r="Q507" t="n">
        <v>0</v>
      </c>
      <c r="R507" t="n">
        <v>0</v>
      </c>
      <c r="S507">
        <f>IFERROR(O507/N507,0)</f>
        <v/>
      </c>
      <c r="T507" t="n">
        <v>0</v>
      </c>
      <c r="V507" t="n">
        <v>0</v>
      </c>
    </row>
    <row r="508">
      <c r="A508">
        <f>Skills!A24</f>
        <v/>
      </c>
      <c r="B508">
        <f>Skills!B24</f>
        <v/>
      </c>
      <c r="C508">
        <f>Inputs!$B$3&gt;=43</f>
        <v/>
      </c>
      <c r="D508">
        <f>IF(Skills!C24=1,60+Inputs!$B$25+Inputs!$B$29,IF(Skills!C24=2,90+Inputs!$B$26+Inputs!$B$29,IF(Skills!C24=3,120+Inputs!$B$27+Inputs!$B$29,MAX(0,(Inputs!$B$3-100)*3)+Inputs!$B$28+Inputs!$B$29)))</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f>(1-Summary!$B$55)*T508+Summary!$B$55*V508</f>
        <v/>
      </c>
      <c r="P508">
        <f>IF(B529=0,0,O508/B529)</f>
        <v/>
      </c>
      <c r="Q508" t="n">
        <v>0</v>
      </c>
      <c r="R508" t="n">
        <v>0</v>
      </c>
      <c r="S508">
        <f>IFERROR(O508/N508,0)</f>
        <v/>
      </c>
      <c r="T508" t="n">
        <v>0</v>
      </c>
      <c r="V508" t="n">
        <v>0</v>
      </c>
    </row>
    <row r="509">
      <c r="A509">
        <f>Skills!A25</f>
        <v/>
      </c>
      <c r="B509">
        <f>Skills!B25</f>
        <v/>
      </c>
      <c r="C509">
        <f>Inputs!$B$3&gt;=50</f>
        <v/>
      </c>
      <c r="D509">
        <f>IF(Skills!C25=1,60+Inputs!$B$25+Inputs!$B$29,IF(Skills!C25=2,90+Inputs!$B$26+Inputs!$B$29,IF(Skills!C25=3,120+Inputs!$B$27+Inputs!$B$29,MAX(0,(Inputs!$B$3-100)*3)+Inputs!$B$28+Inputs!$B$29)))</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f>(1-Summary!$B$55)*T509+Summary!$B$55*V509</f>
        <v/>
      </c>
      <c r="P509">
        <f>IF(B529=0,0,O509/B529)</f>
        <v/>
      </c>
      <c r="Q509" t="n">
        <v>0</v>
      </c>
      <c r="R509" t="n">
        <v>0</v>
      </c>
      <c r="S509">
        <f>IFERROR(O509/N509,0)</f>
        <v/>
      </c>
      <c r="T509" t="n">
        <v>0</v>
      </c>
      <c r="V509" t="n">
        <v>0</v>
      </c>
    </row>
    <row r="510">
      <c r="A510">
        <f>Skills!A26</f>
        <v/>
      </c>
      <c r="B510">
        <f>Skills!B26</f>
        <v/>
      </c>
      <c r="C510">
        <f>Inputs!$B$3&gt;=50</f>
        <v/>
      </c>
      <c r="D510">
        <f>IF(Skills!C26=1,60+Inputs!$B$25+Inputs!$B$29,IF(Skills!C26=2,90+Inputs!$B$26+Inputs!$B$29,IF(Skills!C26=3,120+Inputs!$B$27+Inputs!$B$29,MAX(0,(Inputs!$B$3-100)*3)+Inputs!$B$28+Inputs!$B$29)))</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f>(1-Summary!$B$55)*T510+Summary!$B$55*V510</f>
        <v/>
      </c>
      <c r="P510">
        <f>IF(B529=0,0,O510/B529)</f>
        <v/>
      </c>
      <c r="Q510" t="n">
        <v>0</v>
      </c>
      <c r="R510" t="n">
        <v>0</v>
      </c>
      <c r="S510">
        <f>IFERROR(O510/N510,0)</f>
        <v/>
      </c>
      <c r="T510" t="n">
        <v>0</v>
      </c>
      <c r="V510" t="n">
        <v>0</v>
      </c>
    </row>
    <row r="511">
      <c r="A511">
        <f>Skills!A27</f>
        <v/>
      </c>
      <c r="B511">
        <f>Skills!B27</f>
        <v/>
      </c>
      <c r="C511">
        <f>Inputs!$B$3&gt;=38</f>
        <v/>
      </c>
      <c r="D511">
        <f>IF(Skills!C27=1,60+Inputs!$B$25+Inputs!$B$29,IF(Skills!C27=2,90+Inputs!$B$26+Inputs!$B$29,IF(Skills!C27=3,120+Inputs!$B$27+Inputs!$B$29,MAX(0,(Inputs!$B$3-100)*3)+Inputs!$B$28+Inputs!$B$29)))</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f>(1-Summary!$B$55)*T511+Summary!$B$55*V511</f>
        <v/>
      </c>
      <c r="P511">
        <f>IF(B529=0,0,O511/B529)</f>
        <v/>
      </c>
      <c r="Q511" t="n">
        <v>0</v>
      </c>
      <c r="R511" t="n">
        <v>0</v>
      </c>
      <c r="S511">
        <f>IFERROR(O511/N511,0)</f>
        <v/>
      </c>
      <c r="T511" t="n">
        <v>0</v>
      </c>
      <c r="V511" t="n">
        <v>0</v>
      </c>
    </row>
    <row r="512">
      <c r="A512">
        <f>Skills!A28</f>
        <v/>
      </c>
      <c r="B512">
        <f>Skills!B28</f>
        <v/>
      </c>
      <c r="C512">
        <f>Inputs!$B$3&gt;=120</f>
        <v/>
      </c>
      <c r="D512">
        <f>IF(Skills!C28=1,60+Inputs!$B$25+Inputs!$B$29,IF(Skills!C28=2,90+Inputs!$B$26+Inputs!$B$29,IF(Skills!C28=3,120+Inputs!$B$27+Inputs!$B$29,MAX(0,(Inputs!$B$3-100)*3)+Inputs!$B$28+Inputs!$B$29)))</f>
        <v/>
      </c>
      <c r="E512">
        <f>INDEX(FactorTable!$B$2:$Y$301, MATCH(ROUND(MIN(300,MAX(1,D512)),0), FactorTable!$A$2:$A$301,0), Skills!M28+1)</f>
        <v/>
      </c>
      <c r="F512">
        <f>IF(Skills!N28=TRUE,(Skills!L28/10)*(E512/1000),Skills!L28/10)+Skills!O28</f>
        <v/>
      </c>
      <c r="G512">
        <f>Skills!G28*IF(Skills!H28&gt;0,Skills!I28/Skills!H28,1)</f>
        <v/>
      </c>
      <c r="H512">
        <f>1-(1-Skills!J28/100)^Skills!K28</f>
        <v/>
      </c>
      <c r="I512" t="inlineStr">
        <is>
          <t>1</t>
        </is>
      </c>
      <c r="J512" t="inlineStr"/>
      <c r="K512" t="inlineStr"/>
      <c r="L512" t="inlineStr"/>
      <c r="M512" t="inlineStr"/>
      <c r="N512" t="inlineStr"/>
      <c r="O512">
        <f>(1-Summary!$B$55)*T512+Summary!$B$55*V512</f>
        <v/>
      </c>
      <c r="P512">
        <f>IF(B529=0,0,O512/B529)</f>
        <v/>
      </c>
      <c r="Q512" t="n">
        <v>0</v>
      </c>
      <c r="R512" t="n">
        <v>0</v>
      </c>
      <c r="S512">
        <f>IFERROR(O512/N512,0)</f>
        <v/>
      </c>
      <c r="T512" t="n">
        <v>0</v>
      </c>
      <c r="V512" t="n">
        <v>0</v>
      </c>
    </row>
    <row r="513">
      <c r="A513">
        <f>Skills!A29</f>
        <v/>
      </c>
      <c r="B513">
        <f>Skills!B29</f>
        <v/>
      </c>
      <c r="C513">
        <f>Inputs!$B$3&gt;=120</f>
        <v/>
      </c>
      <c r="D513">
        <f>IF(Skills!C29=1,60+Inputs!$B$25+Inputs!$B$29,IF(Skills!C29=2,90+Inputs!$B$26+Inputs!$B$29,IF(Skills!C29=3,120+Inputs!$B$27+Inputs!$B$29,MAX(0,(Inputs!$B$3-100)*3)+Inputs!$B$28+Inputs!$B$29)))</f>
        <v/>
      </c>
      <c r="E513">
        <f>INDEX(FactorTable!$B$2:$Y$301, MATCH(ROUND(MIN(300,MAX(1,D513)),0), FactorTable!$A$2:$A$301,0), Skills!M29+1)</f>
        <v/>
      </c>
      <c r="F513">
        <f>IF(Skills!N29=TRUE,(Skills!L29/10)*(E513/1000),Skills!L29/10)+Skills!O29</f>
        <v/>
      </c>
      <c r="G513">
        <f>Skills!G29*IF(Skills!H29&gt;0,Skills!I29/Skills!H29,1)</f>
        <v/>
      </c>
      <c r="H513">
        <f>1-(1-Skills!J29/100)^Skills!K29</f>
        <v/>
      </c>
      <c r="I513" t="inlineStr">
        <is>
          <t>1</t>
        </is>
      </c>
      <c r="J513" t="inlineStr"/>
      <c r="K513" t="inlineStr"/>
      <c r="L513" t="inlineStr"/>
      <c r="M513" t="inlineStr"/>
      <c r="N513" t="inlineStr"/>
      <c r="O513">
        <f>(1-Summary!$B$55)*T513+Summary!$B$55*V513</f>
        <v/>
      </c>
      <c r="P513">
        <f>IF(B529=0,0,O513/B529)</f>
        <v/>
      </c>
      <c r="Q513" t="n">
        <v>0</v>
      </c>
      <c r="R513" t="n">
        <v>0</v>
      </c>
      <c r="S513">
        <f>IFERROR(O513/N513,0)</f>
        <v/>
      </c>
      <c r="T513" t="n">
        <v>0</v>
      </c>
      <c r="V513" t="n">
        <v>0</v>
      </c>
    </row>
    <row r="514">
      <c r="A514">
        <f>Skills!A30</f>
        <v/>
      </c>
      <c r="B514">
        <f>Skills!B30</f>
        <v/>
      </c>
      <c r="C514">
        <f>Inputs!$B$3&gt;=125</f>
        <v/>
      </c>
      <c r="D514">
        <f>IF(Skills!C30=1,60+Inputs!$B$25+Inputs!$B$29,IF(Skills!C30=2,90+Inputs!$B$26+Inputs!$B$29,IF(Skills!C30=3,120+Inputs!$B$27+Inputs!$B$29,MAX(0,(Inputs!$B$3-100)*3)+Inputs!$B$28+Inputs!$B$29)))</f>
        <v/>
      </c>
      <c r="E514">
        <f>INDEX(FactorTable!$B$2:$Y$301, MATCH(ROUND(MIN(300,MAX(1,D514)),0), FactorTable!$A$2:$A$301,0), Skills!M30+1)</f>
        <v/>
      </c>
      <c r="F514">
        <f>IF(Skills!N30=TRUE,(Skills!L30/10)*(E514/1000),Skills!L30/10)+Skills!O30</f>
        <v/>
      </c>
      <c r="G514">
        <f>Skills!G30*IF(Skills!H30&gt;0,Skills!I30/Skills!H30,1)</f>
        <v/>
      </c>
      <c r="H514">
        <f>1-(1-Skills!J30/100)^Skills!K30</f>
        <v/>
      </c>
      <c r="I514" t="inlineStr">
        <is>
          <t>1</t>
        </is>
      </c>
      <c r="J514" t="inlineStr"/>
      <c r="K514" t="inlineStr"/>
      <c r="L514" t="inlineStr"/>
      <c r="M514" t="inlineStr"/>
      <c r="N514" t="inlineStr"/>
      <c r="O514">
        <f>(1-Summary!$B$55)*T514+Summary!$B$55*V514</f>
        <v/>
      </c>
      <c r="P514">
        <f>IF(B529=0,0,O514/B529)</f>
        <v/>
      </c>
      <c r="Q514" t="n">
        <v>0</v>
      </c>
      <c r="R514" t="n">
        <v>0</v>
      </c>
      <c r="S514">
        <f>IFERROR(O514/N514,0)</f>
        <v/>
      </c>
      <c r="T514" t="n">
        <v>0</v>
      </c>
      <c r="V514" t="n">
        <v>0</v>
      </c>
    </row>
    <row r="516">
      <c r="A516" t="inlineStr">
        <is>
          <t>Average Buff Multiplier</t>
        </is>
      </c>
      <c r="B516">
        <f>(1+(((C505=TRUE)*F505*IF(AND(Inputs!$B$39&lt;&gt;"pvp",Inputs!$B$44&gt;0),(((R505-1)*(Skills!Y21*(1+Inputs!$B$34/100))+MIN((Skills!Y21*(1+Inputs!$B$34/100)),MAX(0,Inputs!$B$44-((R505-1)*Skills!D21))))/Inputs!$B$44),IF(Inputs!$B$39="pvp",MIN((Skills!Y21*(1+Inputs!$B$34/100)),15)/15,(Skills!Y21*(1+Inputs!$B$34/100))/Skills!D21)))+((C507=TRUE)*(F507-Calc!F23))+((C501=TRUE)*(F501-Calc!F17)))/100)*(1+((C494=TRUE)*F494*IF(AND(Inputs!$B$39&lt;&gt;"pvp",Inputs!$B$44&gt;0),(((R494-1)*(Skills!Y10*(1+Inputs!$B$34/100))+MIN((Skills!Y10*(1+Inputs!$B$34/100)),MAX(0,Inputs!$B$44-((R494-1)*Skills!D10))))/Inputs!$B$44),IF(Inputs!$B$39="pvp",MIN((Skills!Y10*(1+Inputs!$B$34/100)),15)/15,(Skills!Y10*(1+Inputs!$B$34/100))/Skills!D10)))/100)*(1+((C499=TRUE)*F499*IF(AND(Inputs!$B$39&lt;&gt;"pvp",Inputs!$B$44&gt;0),(((R499-1)*(Skills!Y15*(1+Inputs!$B$34/100))+MIN((Skills!Y15*(1+Inputs!$B$34/100)),MAX(0,Inputs!$B$44-((R499-1)*Skills!D15))))/Inputs!$B$44),IF(Inputs!$B$39="pvp",MIN((Skills!Y15*(1+Inputs!$B$34/100)),15)/15,(Skills!Y15*(1+Inputs!$B$34/100))/Skills!D15)))/100)</f>
        <v/>
      </c>
    </row>
    <row r="517">
      <c r="A517" t="inlineStr">
        <is>
          <t>Global Crit Rate Bonus %</t>
        </is>
      </c>
      <c r="B517">
        <f>((C504=TRUE)*F504*IF(AND(Inputs!$B$39&lt;&gt;"pvp",Inputs!$B$44&gt;0),(((R504-1)*(Skills!Y20*(1+Inputs!$B$34/100))+MIN((Skills!Y20*(1+Inputs!$B$34/100)),MAX(0,Inputs!$B$44-((R504-1)*Skills!D20))))/Inputs!$B$44),IF(Inputs!$B$39="pvp",MIN((Skills!Y20*(1+Inputs!$B$34/100)),15)/15,(Skills!Y20*(1+Inputs!$B$34/100))/Skills!D20)))</f>
        <v/>
      </c>
    </row>
    <row r="518">
      <c r="A518" t="inlineStr">
        <is>
          <t>Global Monster Damage-Taken Bonus %</t>
        </is>
      </c>
      <c r="B518">
        <f>IF(Inputs!$B$3&gt;=82,15,0)</f>
        <v/>
      </c>
    </row>
    <row r="519">
      <c r="A519" t="inlineStr">
        <is>
          <t>Shadow Partner Average Multiplier</t>
        </is>
      </c>
      <c r="B519">
        <f>1+((C491=TRUE)*F491*(1+3.3333333333333335*IF(C502=TRUE,F502,0)/100)*I491*Skills!J7/100)/100</f>
        <v/>
      </c>
    </row>
    <row r="520">
      <c r="A520" t="inlineStr">
        <is>
          <t>Attack Speed Buff Bonus %</t>
        </is>
      </c>
      <c r="B520">
        <f>((C503=TRUE)*F503*IF(AND(Inputs!$B$39&lt;&gt;"pvp",Inputs!$B$44&gt;0),(((R503-1)*(Skills!Y19*(1+Inputs!$B$34/100))+MIN((Skills!Y19*(1+Inputs!$B$34/100)),MAX(0,Inputs!$B$44-((R503-1)*Skills!D19))))/Inputs!$B$44),IF(Inputs!$B$39="pvp",MIN((Skills!Y19*(1+Inputs!$B$34/100)),15)/15,(Skills!Y19*(1+Inputs!$B$34/100))/Skills!D19)))+((C487=TRUE)*F487*3)</f>
        <v/>
      </c>
    </row>
    <row r="521">
      <c r="A521" t="inlineStr">
        <is>
          <t>Actions Per Second</t>
        </is>
      </c>
      <c r="B521">
        <f>1+MIN(150,150*(1-(1-(Inputs!$B$11+((C506=TRUE)*(F506-Calc!F22)))/150)*(1-B520/150)))/100</f>
        <v/>
      </c>
    </row>
    <row r="522">
      <c r="A522" t="inlineStr">
        <is>
          <t>Skill + Buff Cast Rate</t>
        </is>
      </c>
      <c r="B522">
        <f>IF(AND(Inputs!$B$39&lt;&gt;"pvp",Inputs!$B$44&gt;0),SUMPRODUCT((Skills!E2:E30=TRUE)*(C486:C514=TRUE)*R486:R514*Skills!F2:F30)/Inputs!$B$44,SUMPRODUCT((Skills!E2:E30=TRUE)*(C486:C514=TRUE)*Q486:Q514*Skills!F2:F30))</f>
        <v/>
      </c>
    </row>
    <row r="523">
      <c r="A523" t="inlineStr">
        <is>
          <t>Cruel Stab Casts Per Second</t>
        </is>
      </c>
      <c r="B523">
        <f>MAX(0,B521-B522)</f>
        <v/>
      </c>
    </row>
    <row r="524">
      <c r="A524" t="inlineStr">
        <is>
          <t>Global Critical Damage Bonus % (Smokescreen Mastery Lv.113)</t>
        </is>
      </c>
      <c r="B524">
        <f>IF(Inputs!$B$3&gt;=113,30,0)*IF(AND(Inputs!$B$39&lt;&gt;"pvp",Inputs!$B$44&gt;0),(((R499-1)*(Skills!Y15*(1+Inputs!$B$34/100))+MIN((Skills!Y15*(1+Inputs!$B$34/100)),MAX(0,Inputs!$B$44-((R499-1)*Skills!D15))))/Inputs!$B$44),IF(Inputs!$B$39="pvp",MIN((Skills!Y15*(1+Inputs!$B$34/100)),15)/15,(Skills!Y15*(1+Inputs!$B$34/100))/Skills!D15))</f>
        <v/>
      </c>
    </row>
    <row r="525">
      <c r="A525" t="inlineStr">
        <is>
          <t>Meso Explosion average stack count</t>
        </is>
      </c>
      <c r="B525">
        <f>MIN(10,0.5*B521*Skills!D4)</f>
        <v/>
      </c>
    </row>
    <row r="526">
      <c r="A526" t="inlineStr">
        <is>
          <t>Blood Money average stack count</t>
        </is>
      </c>
      <c r="B526">
        <f>MIN(5,0.25*B521*Skills!D4)</f>
        <v/>
      </c>
    </row>
    <row r="527">
      <c r="A527" t="inlineStr">
        <is>
          <t>Assassinate Murderous Intent Multiplier</t>
        </is>
      </c>
      <c r="B527">
        <f>1+IFERROR(MIN(1,Q498*2/Q495),0)</f>
        <v/>
      </c>
    </row>
    <row r="528">
      <c r="A528" t="inlineStr">
        <is>
          <t>Buff-Casting Startup Delay (s, fixed-duration only)</t>
        </is>
      </c>
      <c r="B528">
        <f>IF(AND(Inputs!$B$39&lt;&gt;"pvp",Inputs!$B$44&gt;0),SUMPRODUCT((Skills!Y2:Y30&gt;0)*(Skills!E2:E30=TRUE)*(C486:C514=TRUE))/B521,0)</f>
        <v/>
      </c>
    </row>
    <row r="529">
      <c r="A529" s="5" t="inlineStr">
        <is>
          <t>TOTAL DPS</t>
        </is>
      </c>
      <c r="B529" s="5">
        <f>SUM(O486:O514)</f>
        <v/>
      </c>
    </row>
    <row r="530">
      <c r="A530" t="inlineStr">
        <is>
          <t>Boss-Only Total DPS (this block's swept value)</t>
        </is>
      </c>
      <c r="B530">
        <f>SUM(T486:T514)</f>
        <v/>
      </c>
    </row>
    <row r="531">
      <c r="A531" t="inlineStr">
        <is>
          <t>Normal-Only Total DPS (this block's swept value)</t>
        </is>
      </c>
      <c r="B531">
        <f>SUM(V486:V514)</f>
        <v/>
      </c>
    </row>
    <row r="534">
      <c r="A534" s="5" t="inlineStr">
        <is>
          <t>Stat: CRIT_RATE %</t>
        </is>
      </c>
    </row>
    <row r="535">
      <c r="A535" s="9" t="inlineStr">
        <is>
          <t>Key</t>
        </is>
      </c>
      <c r="B535" s="9" t="inlineStr">
        <is>
          <t>Name</t>
        </is>
      </c>
      <c r="C535" s="9" t="inlineStr">
        <is>
          <t>Unlocked</t>
        </is>
      </c>
      <c r="D535" s="9" t="inlineStr">
        <is>
          <t>InputLevel</t>
        </is>
      </c>
      <c r="E535" s="9" t="inlineStr">
        <is>
          <t>Factor</t>
        </is>
      </c>
      <c r="F535" s="9" t="inlineStr">
        <is>
          <t>CoefficientPercent</t>
        </is>
      </c>
      <c r="G535" s="9" t="inlineStr">
        <is>
          <t>EffectiveHits</t>
        </is>
      </c>
      <c r="H535" s="9" t="inlineStr">
        <is>
          <t>ProcProbability</t>
        </is>
      </c>
      <c r="I535" s="9" t="inlineStr">
        <is>
          <t>MapleHeroMultiplier</t>
        </is>
      </c>
      <c r="J535" s="9" t="inlineStr">
        <is>
          <t>BaseDamage</t>
        </is>
      </c>
      <c r="K535" s="9" t="inlineStr">
        <is>
          <t>BaseHitDamage</t>
        </is>
      </c>
      <c r="L535" s="9" t="inlineStr">
        <is>
          <t>NonCritAvg</t>
        </is>
      </c>
      <c r="M535" s="9" t="inlineStr">
        <is>
          <t>CritAvg</t>
        </is>
      </c>
      <c r="N535" s="9" t="inlineStr">
        <is>
          <t>ExpectedDamage(perHit)</t>
        </is>
      </c>
      <c r="O535" s="9" t="inlineStr">
        <is>
          <t>DPS</t>
        </is>
      </c>
      <c r="P535" s="9" t="inlineStr">
        <is>
          <t>% of Total</t>
        </is>
      </c>
      <c r="Q535" s="9" t="inlineStr">
        <is>
          <t>InvCooldown</t>
        </is>
      </c>
      <c r="R535" s="9" t="inlineStr">
        <is>
          <t>CastsInFight</t>
        </is>
      </c>
      <c r="S535" s="9" t="inlineStr">
        <is>
          <t>HitRate(perSec)</t>
        </is>
      </c>
      <c r="U535" t="inlineStr">
        <is>
          <t>helpers</t>
        </is>
      </c>
    </row>
    <row r="536">
      <c r="A536">
        <f>Skills!A2</f>
        <v/>
      </c>
      <c r="B536">
        <f>Skills!B2</f>
        <v/>
      </c>
      <c r="C536">
        <f>Inputs!$B$3&gt;=100</f>
        <v/>
      </c>
      <c r="D536" t="inlineStr"/>
      <c r="E536" t="inlineStr"/>
      <c r="F536">
        <f>U538+Skills!O2</f>
        <v/>
      </c>
      <c r="G536">
        <f>Skills!G2*IF(Skills!H2&gt;0,Skills!I2/Skills!H2,1)</f>
        <v/>
      </c>
      <c r="H536">
        <f>1-(1-Skills!J2/100)^Skills!K2</f>
        <v/>
      </c>
      <c r="I536" t="inlineStr">
        <is>
          <t>1</t>
        </is>
      </c>
      <c r="J536">
        <f>((Inputs!$B$6*(1+Inputs!$B$7/100))+(((Inputs!$B$12*(1+Inputs!$B$13/100))-(Inputs!$B$12*(1+Inputs!$B$13/100)))+0.25*(Inputs!$B$14-Inputs!$B$14))*(1+Inputs!$B$7/100))*(F536/100)</f>
        <v/>
      </c>
      <c r="K536">
        <f>J536*(1+((Inputs!$B$12*(1+Inputs!$B$13/100))*0.01+Inputs!$B$14*0.0025)/100)*(1+Inputs!$B$15/100)*(1+Inputs!$B$16/100)*(5000/(6000+Inputs!$B$43*(1-Inputs!$B$19/100)))*(1+(Inputs!$B$24+((C564=TRUE)*(F564-Calc!F30)))/100)*(1+(IF(Skills!A2="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536)</f>
        <v/>
      </c>
      <c r="L536">
        <f>K536*(MIN(Inputs!$B$22+((C558=TRUE)*(F558-Calc!F24)),Inputs!$B$23+((C563=TRUE)*(F563-Calc!F29)))/100+(Inputs!$B$23+((C563=TRUE)*(F563-Calc!F29)))/100)/2</f>
        <v/>
      </c>
      <c r="M536">
        <f>L536*(1+(Inputs!$B$10+((C560=TRUE)*(F560-Calc!F26))+B574)/100)</f>
        <v/>
      </c>
      <c r="N536">
        <f>L536*(1-MIN(((Inputs!$B$9+1)+((C559=TRUE)*(F559-Calc!F25))+B567),100)/100)+M536*(MIN(((Inputs!$B$9+1)+((C559=TRUE)*(F559-Calc!F25))+B567),100)/100)</f>
        <v/>
      </c>
      <c r="O536">
        <f>(1-Summary!$B$55)*T536+Summary!$B$55*V536</f>
        <v/>
      </c>
      <c r="P536">
        <f>IF(B579=0,0,O536/B579)</f>
        <v/>
      </c>
      <c r="Q536" t="n">
        <v>0</v>
      </c>
      <c r="R536" t="n">
        <v>0</v>
      </c>
      <c r="S536">
        <f>IFERROR(O536/N536,0)</f>
        <v/>
      </c>
      <c r="T536">
        <f>IF(C536,(Skills!G2*N536*B573)*IF(Inputs!$B$39="pvp",1,1+(Inputs!$B$20+0+Skills!P2+B568)/100),0)</f>
        <v/>
      </c>
      <c r="U536">
        <f>MAX(0,(Inputs!$B$3-100)*3)+Inputs!$B$28+Inputs!$B$29</f>
        <v/>
      </c>
      <c r="V536">
        <f>IF(C536,(Skills!G2*N536*B573)*IF(Inputs!$B$39="pvp",1,(1+(Inputs!$B$21+Skills!Q2+B568)/100)*(MIN((6+Inputs!$B$33),Inputs!$B$37))),0)</f>
        <v/>
      </c>
    </row>
    <row r="537">
      <c r="A537">
        <f>Skills!A3</f>
        <v/>
      </c>
      <c r="B537">
        <f>Skills!B3</f>
        <v/>
      </c>
      <c r="C537">
        <f>Inputs!$B$3&gt;=35</f>
        <v/>
      </c>
      <c r="D537">
        <f>IF(Skills!C3=1,60+Inputs!$B$25+Inputs!$B$29,IF(Skills!C3=2,90+Inputs!$B$26+Inputs!$B$29,IF(Skills!C3=3,120+Inputs!$B$27+Inputs!$B$29,MAX(0,(Inputs!$B$3-100)*3)+Inputs!$B$28+Inputs!$B$29)))</f>
        <v/>
      </c>
      <c r="E537">
        <f>INDEX(FactorTable!$B$2:$Y$301, MATCH(ROUND(MIN(300,MAX(1,D537)),0), FactorTable!$A$2:$A$301,0), Skills!M3+1)</f>
        <v/>
      </c>
      <c r="F537">
        <f>IF(Skills!N3=TRUE,(Skills!L3/10)*(E537/1000),Skills!L3/10)+Skills!O3</f>
        <v/>
      </c>
      <c r="G537">
        <f>Skills!G3*IF(Skills!H3&gt;0,Skills!I3/Skills!H3,1)</f>
        <v/>
      </c>
      <c r="H537">
        <f>1-(1-Skills!J3/100)^Skills!K3</f>
        <v/>
      </c>
      <c r="I537" t="inlineStr">
        <is>
          <t>1</t>
        </is>
      </c>
      <c r="J537" t="inlineStr"/>
      <c r="K537" t="inlineStr"/>
      <c r="L537" t="inlineStr"/>
      <c r="M537" t="inlineStr"/>
      <c r="N537" t="inlineStr"/>
      <c r="O537">
        <f>(1-Summary!$B$55)*T537+Summary!$B$55*V537</f>
        <v/>
      </c>
      <c r="P537">
        <f>IF(B579=0,0,O537/B579)</f>
        <v/>
      </c>
      <c r="Q537" t="n">
        <v>0</v>
      </c>
      <c r="R537" t="n">
        <v>0</v>
      </c>
      <c r="S537">
        <f>IFERROR(O537/N537,0)</f>
        <v/>
      </c>
      <c r="T537" t="n">
        <v>0</v>
      </c>
      <c r="U537">
        <f>INDEX(FactorTable!$B$2:$Y$301, MATCH(ROUND(MIN(300,MAX(1,U536)),0), FactorTable!$A$2:$A$301,0), 22)</f>
        <v/>
      </c>
      <c r="V537" t="n">
        <v>0</v>
      </c>
    </row>
    <row r="538">
      <c r="A538">
        <f>Skills!A4</f>
        <v/>
      </c>
      <c r="B538">
        <f>Skills!B4</f>
        <v/>
      </c>
      <c r="C538">
        <f>Inputs!$B$3&gt;=66</f>
        <v/>
      </c>
      <c r="D538">
        <f>IF(Skills!C4=1,60+Inputs!$B$25+Inputs!$B$29,IF(Skills!C4=2,90+Inputs!$B$26+Inputs!$B$29,IF(Skills!C4=3,120+Inputs!$B$27+Inputs!$B$29,MAX(0,(Inputs!$B$3-100)*3)+Inputs!$B$28+Inputs!$B$29)))</f>
        <v/>
      </c>
      <c r="E538">
        <f>INDEX(FactorTable!$B$2:$Y$301, MATCH(ROUND(MIN(300,MAX(1,D538)),0), FactorTable!$A$2:$A$301,0), Skills!M4+1)</f>
        <v/>
      </c>
      <c r="F538">
        <f>IF(Skills!N4=TRUE,(Skills!L4/10)*(E538/1000),Skills!L4/10)+Skills!O4</f>
        <v/>
      </c>
      <c r="G538">
        <f>Skills!G4*IF(Skills!H4&gt;0,Skills!I4/Skills!H4,1)</f>
        <v/>
      </c>
      <c r="H538">
        <f>1-(1-Skills!J4/100)^Skills!K4</f>
        <v/>
      </c>
      <c r="I538" t="inlineStr">
        <is>
          <t>1</t>
        </is>
      </c>
      <c r="J538">
        <f>((Inputs!$B$6*(1+Inputs!$B$7/100))+(((Inputs!$B$12*(1+Inputs!$B$13/100))-(Inputs!$B$12*(1+Inputs!$B$13/100)))+0.25*(Inputs!$B$14-Inputs!$B$14))*(1+Inputs!$B$7/100))*(F538/100)</f>
        <v/>
      </c>
      <c r="K538">
        <f>J538*(1+((Inputs!$B$12*(1+Inputs!$B$13/100))*0.01+Inputs!$B$14*0.0025)/100)*(1+Inputs!$B$15/100)*(1+Inputs!$B$16/100)*(5000/(6000+Inputs!$B$43*(1-Inputs!$B$19/100)))*(1+(Inputs!$B$24+((C564=TRUE)*(F564-Calc!F30)))/100)*(1+(IF(Skills!A4="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538)</f>
        <v/>
      </c>
      <c r="L538">
        <f>K538*(MIN(Inputs!$B$22+((C558=TRUE)*(F558-Calc!F24)),Inputs!$B$23+((C563=TRUE)*(F563-Calc!F29)))/100+(Inputs!$B$23+((C563=TRUE)*(F563-Calc!F29)))/100)/2</f>
        <v/>
      </c>
      <c r="M538">
        <f>L538*(1+(Inputs!$B$10+((C560=TRUE)*(F560-Calc!F26))+B574)/100)</f>
        <v/>
      </c>
      <c r="N538">
        <f>L538*(1-MIN(((Inputs!$B$9+1)+((C559=TRUE)*(F559-Calc!F25))+B567),100)/100)+M538*(MIN(((Inputs!$B$9+1)+((C559=TRUE)*(F559-Calc!F25))+B567),100)/100)</f>
        <v/>
      </c>
      <c r="O538">
        <f>(1-Summary!$B$55)*T538+Summary!$B$55*V538</f>
        <v/>
      </c>
      <c r="P538">
        <f>IF(B579=0,0,O538/B579)</f>
        <v/>
      </c>
      <c r="Q538">
        <f>IFERROR(1/IF(Inputs!$B$39="pvp",15,MAX(0.1,Skills!D4-IF(Skills!E4=TRUE,Inputs!$B$32,0))),0)</f>
        <v/>
      </c>
      <c r="R538">
        <f>IF(AND(Inputs!$B$39&lt;&gt;"pvp",Inputs!$B$44&gt;0),IF(MAX(0,Inputs!$B$44-B578)&lt;=0,0,(INT(MAX(0,Inputs!$B$44-B578)/IF(Inputs!$B$39="pvp",15,MAX(0.1,Skills!D4-IF(Skills!E4=TRUE,Inputs!$B$32,0))))+1)),0)</f>
        <v/>
      </c>
      <c r="S538">
        <f>IFERROR(O538/N538,0)</f>
        <v/>
      </c>
      <c r="T538">
        <f>IF(C538,(H538*N538*IF(AND(Inputs!$B$39&lt;&gt;"pvp",Inputs!$B$44&gt;0),((Skills!G4*((R538-1)*IF(Skills!H4&gt;0,Skills!I4/Skills!H4,1)+IF(Skills!H4&gt;0,MIN(Skills!I4,MAX(0,MAX(0,Inputs!$B$44-B578)-((R538-1)*IF(Inputs!$B$39="pvp",15,MAX(0.1,Skills!D4-IF(Skills!E4=TRUE,Inputs!$B$32,0))))))/Skills!H4,1)))/Inputs!$B$44),G538*Q538))*IF(Inputs!$B$39="pvp",1,1+(Inputs!$B$20+0+Skills!P4+B568)/100),0)</f>
        <v/>
      </c>
      <c r="U538">
        <f>290*U537/1000</f>
        <v/>
      </c>
      <c r="V538">
        <f>IF(C538,(H538*N538*IF(AND(Inputs!$B$39&lt;&gt;"pvp",Inputs!$B$44&gt;0),((Skills!G4*((R538-1)*IF(Skills!H4&gt;0,Skills!I4/Skills!H4,1)+IF(Skills!H4&gt;0,MIN(Skills!I4,MAX(0,MAX(0,Inputs!$B$44-B578)-((R538-1)*IF(Inputs!$B$39="pvp",15,MAX(0.1,Skills!D4-IF(Skills!E4=TRUE,Inputs!$B$32,0))))))/Skills!H4,1)))/Inputs!$B$44),G538*Q538))*IF(Inputs!$B$39="pvp",1,(1+(Inputs!$B$21+Skills!Q4+B568)/100)*(MIN(MIN(10,0.5*B571*Skills!D4),Inputs!$B$37))),0)</f>
        <v/>
      </c>
    </row>
    <row r="539">
      <c r="A539">
        <f>Skills!A5</f>
        <v/>
      </c>
      <c r="B539">
        <f>Skills!B5</f>
        <v/>
      </c>
      <c r="C539">
        <f>Inputs!$B$3&gt;=63</f>
        <v/>
      </c>
      <c r="D539">
        <f>IF(Skills!C5=1,60+Inputs!$B$25+Inputs!$B$29,IF(Skills!C5=2,90+Inputs!$B$26+Inputs!$B$29,IF(Skills!C5=3,120+Inputs!$B$27+Inputs!$B$29,MAX(0,(Inputs!$B$3-100)*3)+Inputs!$B$28+Inputs!$B$29)))</f>
        <v/>
      </c>
      <c r="E539">
        <f>INDEX(FactorTable!$B$2:$Y$301, MATCH(ROUND(MIN(300,MAX(1,D539)),0), FactorTable!$A$2:$A$301,0), Skills!M5+1)</f>
        <v/>
      </c>
      <c r="F539">
        <f>IF(Skills!N5=TRUE,(Skills!L5/10)*(E539/1000),Skills!L5/10)+Skills!O5</f>
        <v/>
      </c>
      <c r="G539">
        <f>Skills!G5*IF(Skills!H5&gt;0,Skills!I5/Skills!H5,1)</f>
        <v/>
      </c>
      <c r="H539">
        <f>1-(1-Skills!J5/100)^Skills!K5</f>
        <v/>
      </c>
      <c r="I539" t="inlineStr">
        <is>
          <t>1</t>
        </is>
      </c>
      <c r="J539">
        <f>((Inputs!$B$6*(1+Inputs!$B$7/100))+(((Inputs!$B$12*(1+Inputs!$B$13/100))-(Inputs!$B$12*(1+Inputs!$B$13/100)))+0.25*(Inputs!$B$14-Inputs!$B$14))*(1+Inputs!$B$7/100))*(F539/100)</f>
        <v/>
      </c>
      <c r="K539">
        <f>J539*(1+((Inputs!$B$12*(1+Inputs!$B$13/100))*0.01+Inputs!$B$14*0.0025)/100)*(1+Inputs!$B$15/100)*(1+Inputs!$B$16/100)*(5000/(6000+Inputs!$B$43*(1-Inputs!$B$19/100)))*(1+(Inputs!$B$24+((C564=TRUE)*(F564-Calc!F30)))/100)*(1+2.6666666666666665*IF(C552=TRUE,F552,0)/100)*(1+(IF(Skills!A5="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539)</f>
        <v/>
      </c>
      <c r="L539">
        <f>K539*(MIN(Inputs!$B$22+((C558=TRUE)*(F558-Calc!F24)),Inputs!$B$23+((C563=TRUE)*(F563-Calc!F29)))/100+(Inputs!$B$23+((C563=TRUE)*(F563-Calc!F29)))/100)/2</f>
        <v/>
      </c>
      <c r="M539">
        <f>L539*(1+(Inputs!$B$10+((C560=TRUE)*(F560-Calc!F26))+B574)/100)</f>
        <v/>
      </c>
      <c r="N539">
        <f>L539*(1-MIN(((Inputs!$B$9+1)+((C559=TRUE)*(F559-Calc!F25))+B567),100)/100)+M539*(MIN(((Inputs!$B$9+1)+((C559=TRUE)*(F559-Calc!F25))+B567),100)/100)</f>
        <v/>
      </c>
      <c r="O539">
        <f>(1-Summary!$B$55)*T539+Summary!$B$55*V539</f>
        <v/>
      </c>
      <c r="P539">
        <f>IF(B579=0,0,O539/B579)</f>
        <v/>
      </c>
      <c r="Q539">
        <f>IFERROR(1/IF(Inputs!$B$39="pvp",15,MAX(0.1,Skills!D5-IF(Skills!E5=TRUE,Inputs!$B$32,0))),0)</f>
        <v/>
      </c>
      <c r="R539">
        <f>IF(AND(Inputs!$B$39&lt;&gt;"pvp",Inputs!$B$44&gt;0),IF(MAX(0,Inputs!$B$44-B578)&lt;=0,0,(INT(MAX(0,Inputs!$B$44-B578)/IF(Inputs!$B$39="pvp",15,MAX(0.1,Skills!D5-IF(Skills!E5=TRUE,Inputs!$B$32,0))))+1)),0)</f>
        <v/>
      </c>
      <c r="S539">
        <f>IFERROR(O539/N539,0)</f>
        <v/>
      </c>
      <c r="T539">
        <f>IF(C539,(H539*N539*IF(AND(Inputs!$B$39&lt;&gt;"pvp",Inputs!$B$44&gt;0),((Skills!G5*((R539-1)*IF(Skills!H5&gt;0,Skills!I5/Skills!H5,1)+IF(Skills!H5&gt;0,MIN(Skills!I5,MAX(0,MAX(0,Inputs!$B$44-B578)-((R539-1)*IF(Inputs!$B$39="pvp",15,MAX(0.1,Skills!D5-IF(Skills!E5=TRUE,Inputs!$B$32,0))))))/Skills!H5,1)))/Inputs!$B$44),G539*Q539))*IF(Inputs!$B$39="pvp",1,1+(Inputs!$B$20+0+Skills!P5+B568)/100),0)</f>
        <v/>
      </c>
      <c r="V539">
        <f>IF(C539,(H539*N539*IF(AND(Inputs!$B$39&lt;&gt;"pvp",Inputs!$B$44&gt;0),((Skills!G5*((R539-1)*IF(Skills!H5&gt;0,Skills!I5/Skills!H5,1)+IF(Skills!H5&gt;0,MIN(Skills!I5,MAX(0,MAX(0,Inputs!$B$44-B578)-((R539-1)*IF(Inputs!$B$39="pvp",15,MAX(0.1,Skills!D5-IF(Skills!E5=TRUE,Inputs!$B$32,0))))))/Skills!H5,1)))/Inputs!$B$44),G539*Q539))*IF(Inputs!$B$39="pvp",1,(1+(Inputs!$B$21+Skills!Q5+B568)/100)*(MIN(Skills!W5,Inputs!$B$37))),0)</f>
        <v/>
      </c>
    </row>
    <row r="540">
      <c r="A540">
        <f>Skills!A6</f>
        <v/>
      </c>
      <c r="B540">
        <f>Skills!B6</f>
        <v/>
      </c>
      <c r="C540">
        <f>Inputs!$B$3&gt;=69</f>
        <v/>
      </c>
      <c r="D540">
        <f>IF(Skills!C6=1,60+Inputs!$B$25+Inputs!$B$29,IF(Skills!C6=2,90+Inputs!$B$26+Inputs!$B$29,IF(Skills!C6=3,120+Inputs!$B$27+Inputs!$B$29,MAX(0,(Inputs!$B$3-100)*3)+Inputs!$B$28+Inputs!$B$29)))</f>
        <v/>
      </c>
      <c r="E540">
        <f>INDEX(FactorTable!$B$2:$Y$301, MATCH(ROUND(MIN(300,MAX(1,D540)),0), FactorTable!$A$2:$A$301,0), Skills!M6+1)</f>
        <v/>
      </c>
      <c r="F540">
        <f>IF(Skills!N6=TRUE,(Skills!L6/10)*(E540/1000),Skills!L6/10)+Skills!O6</f>
        <v/>
      </c>
      <c r="G540">
        <f>Skills!G6*IF(Skills!H6&gt;0,Skills!I6/Skills!H6,1)</f>
        <v/>
      </c>
      <c r="H540">
        <f>1-(1-Skills!J6/100)^Skills!K6</f>
        <v/>
      </c>
      <c r="I540" t="inlineStr">
        <is>
          <t>1</t>
        </is>
      </c>
      <c r="J540">
        <f>((Inputs!$B$6*(1+Inputs!$B$7/100))+(((Inputs!$B$12*(1+Inputs!$B$13/100))-(Inputs!$B$12*(1+Inputs!$B$13/100)))+0.25*(Inputs!$B$14-Inputs!$B$14))*(1+Inputs!$B$7/100))*(F540/100)</f>
        <v/>
      </c>
      <c r="K540">
        <f>J540*(1+((Inputs!$B$12*(1+Inputs!$B$13/100))*0.01+Inputs!$B$14*0.0025)/100)*(1+Inputs!$B$15/100)*(1+Inputs!$B$16/100)*(5000/(6000+Inputs!$B$43*(1-Inputs!$B$19/100)))*(1+(Inputs!$B$24+((C564=TRUE)*(F564-Calc!F30)))/100)*(1+1.0*IF(C552=TRUE,F552,0)/100)*(1+(IF(Skills!A6="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540)</f>
        <v/>
      </c>
      <c r="L540">
        <f>K540*(MIN(Inputs!$B$22+((C558=TRUE)*(F558-Calc!F24)),Inputs!$B$23+((C563=TRUE)*(F563-Calc!F29)))/100+(Inputs!$B$23+((C563=TRUE)*(F563-Calc!F29)))/100)/2</f>
        <v/>
      </c>
      <c r="M540">
        <f>L540*(1+(Inputs!$B$10+((C560=TRUE)*(F560-Calc!F26))+B574)/100)</f>
        <v/>
      </c>
      <c r="N540">
        <f>L540*(1-MIN(((Inputs!$B$9+1)+((C559=TRUE)*(F559-Calc!F25))+B567),100)/100)+M540*(MIN(((Inputs!$B$9+1)+((C559=TRUE)*(F559-Calc!F25))+B567),100)/100)</f>
        <v/>
      </c>
      <c r="O540">
        <f>(1-Summary!$B$55)*T540+Summary!$B$55*V540</f>
        <v/>
      </c>
      <c r="P540">
        <f>IF(B579=0,0,O540/B579)</f>
        <v/>
      </c>
      <c r="Q540">
        <f>IFERROR(1/IF(Inputs!$B$39="pvp",15,MAX(0.1,Skills!D6-IF(Skills!E6=TRUE,Inputs!$B$32,0))),0)</f>
        <v/>
      </c>
      <c r="R540">
        <f>IF(AND(Inputs!$B$39&lt;&gt;"pvp",Inputs!$B$44&gt;0),IF(MAX(0,Inputs!$B$44-B578)&lt;=0,0,(INT(MAX(0,Inputs!$B$44-B578)/IF(Inputs!$B$39="pvp",15,MAX(0.1,Skills!D6-IF(Skills!E6=TRUE,Inputs!$B$32,0))))+1)),0)</f>
        <v/>
      </c>
      <c r="S540">
        <f>IFERROR(O540/N540,0)</f>
        <v/>
      </c>
      <c r="T540">
        <f>IF(C540,(H540*N540*IF(AND(Inputs!$B$39&lt;&gt;"pvp",Inputs!$B$44&gt;0),((Skills!G6*((R540-1)*IF(Skills!H6&gt;0,Skills!I6/Skills!H6,1)+IF(Skills!H6&gt;0,MIN(Skills!I6,MAX(0,MAX(0,Inputs!$B$44-B578)-((R540-1)*IF(Inputs!$B$39="pvp",15,MAX(0.1,Skills!D6-IF(Skills!E6=TRUE,Inputs!$B$32,0))))))/Skills!H6,1)))/Inputs!$B$44),G540*Q540))*IF(Inputs!$B$39="pvp",1,1+(Inputs!$B$20+0+Skills!P6+B568)/100),0)</f>
        <v/>
      </c>
      <c r="V540">
        <f>IF(C540,(H540*N540*IF(AND(Inputs!$B$39&lt;&gt;"pvp",Inputs!$B$44&gt;0),((Skills!G6*((R540-1)*IF(Skills!H6&gt;0,Skills!I6/Skills!H6,1)+IF(Skills!H6&gt;0,MIN(Skills!I6,MAX(0,MAX(0,Inputs!$B$44-B578)-((R540-1)*IF(Inputs!$B$39="pvp",15,MAX(0.1,Skills!D6-IF(Skills!E6=TRUE,Inputs!$B$32,0))))))/Skills!H6,1)))/Inputs!$B$44),G540*Q540))*IF(Inputs!$B$39="pvp",1,(1+(Inputs!$B$21+Skills!Q6+B568)/100)*(MIN(Skills!W6,Inputs!$B$37))),0)</f>
        <v/>
      </c>
    </row>
    <row r="541">
      <c r="A541">
        <f>Skills!A7</f>
        <v/>
      </c>
      <c r="B541">
        <f>Skills!B7</f>
        <v/>
      </c>
      <c r="C541">
        <f>Inputs!$B$3&gt;=60</f>
        <v/>
      </c>
      <c r="D541">
        <f>IF(Skills!C7=1,60+Inputs!$B$25+Inputs!$B$29,IF(Skills!C7=2,90+Inputs!$B$26+Inputs!$B$29,IF(Skills!C7=3,120+Inputs!$B$27+Inputs!$B$29,MAX(0,(Inputs!$B$3-100)*3)+Inputs!$B$28+Inputs!$B$29)))</f>
        <v/>
      </c>
      <c r="E541">
        <f>INDEX(FactorTable!$B$2:$Y$301, MATCH(ROUND(MIN(300,MAX(1,D541)),0), FactorTable!$A$2:$A$301,0), Skills!M7+1)</f>
        <v/>
      </c>
      <c r="F541">
        <f>IF(Skills!N7=TRUE,(Skills!L7/10)*(E541/1000),Skills!L7/10)+Skills!O7</f>
        <v/>
      </c>
      <c r="G541">
        <f>Skills!G7*IF(Skills!H7&gt;0,Skills!I7/Skills!H7,1)</f>
        <v/>
      </c>
      <c r="H541">
        <f>1-(1-Skills!J7/100)^Skills!K7</f>
        <v/>
      </c>
      <c r="I541" t="inlineStr">
        <is>
          <t>1</t>
        </is>
      </c>
      <c r="J541" t="inlineStr"/>
      <c r="K541" t="inlineStr"/>
      <c r="L541" t="inlineStr"/>
      <c r="M541" t="inlineStr"/>
      <c r="N541" t="inlineStr"/>
      <c r="O541">
        <f>(1-Summary!$B$55)*T541+Summary!$B$55*V541</f>
        <v/>
      </c>
      <c r="P541">
        <f>IF(B579=0,0,O541/B579)</f>
        <v/>
      </c>
      <c r="Q541" t="n">
        <v>0</v>
      </c>
      <c r="R541" t="n">
        <v>0</v>
      </c>
      <c r="S541">
        <f>IFERROR(O541/N541,0)</f>
        <v/>
      </c>
      <c r="T541" t="n">
        <v>0</v>
      </c>
      <c r="V541" t="n">
        <v>0</v>
      </c>
    </row>
    <row r="542">
      <c r="A542">
        <f>Skills!A8</f>
        <v/>
      </c>
      <c r="B542">
        <f>Skills!B8</f>
        <v/>
      </c>
      <c r="C542">
        <f>Inputs!$B$3&gt;=72</f>
        <v/>
      </c>
      <c r="D542">
        <f>IF(Skills!C8=1,60+Inputs!$B$25+Inputs!$B$29,IF(Skills!C8=2,90+Inputs!$B$26+Inputs!$B$29,IF(Skills!C8=3,120+Inputs!$B$27+Inputs!$B$29,MAX(0,(Inputs!$B$3-100)*3)+Inputs!$B$28+Inputs!$B$29)))</f>
        <v/>
      </c>
      <c r="E542">
        <f>INDEX(FactorTable!$B$2:$Y$301, MATCH(ROUND(MIN(300,MAX(1,D542)),0), FactorTable!$A$2:$A$301,0), Skills!M8+1)</f>
        <v/>
      </c>
      <c r="F542">
        <f>IF(Skills!N8=TRUE,(Skills!L8/10)*(E542/1000),Skills!L8/10)+Skills!O8</f>
        <v/>
      </c>
      <c r="G542">
        <f>Skills!G8*IF(Skills!H8&gt;0,Skills!I8/Skills!H8,1)</f>
        <v/>
      </c>
      <c r="H542">
        <f>1-(1-Skills!J8/100)^Skills!K8</f>
        <v/>
      </c>
      <c r="I542" t="inlineStr">
        <is>
          <t>1</t>
        </is>
      </c>
      <c r="J542">
        <f>((Inputs!$B$6*(1+Inputs!$B$7/100))+(((Inputs!$B$12*(1+Inputs!$B$13/100))-(Inputs!$B$12*(1+Inputs!$B$13/100)))+0.25*(Inputs!$B$14-Inputs!$B$14))*(1+Inputs!$B$7/100))*(F542/100)</f>
        <v/>
      </c>
      <c r="K542">
        <f>J542*(1+((Inputs!$B$12*(1+Inputs!$B$13/100))*0.01+Inputs!$B$14*0.0025)/100)*(1+Inputs!$B$15/100)*(1+Inputs!$B$16/100)*(5000/(6000+Inputs!$B$43*(1-Inputs!$B$19/100)))*(1+(Inputs!$B$24+((C564=TRUE)*(F564-Calc!F30)))/100)*(1+3.3333333333333335*IF(C552=TRUE,F552,0)/100)*(1+(IF(Skills!A8="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542)</f>
        <v/>
      </c>
      <c r="L542">
        <f>K542*(MIN(Inputs!$B$22+((C558=TRUE)*(F558-Calc!F24)),Inputs!$B$23+((C563=TRUE)*(F563-Calc!F29)))/100+(Inputs!$B$23+((C563=TRUE)*(F563-Calc!F29)))/100)/2</f>
        <v/>
      </c>
      <c r="M542">
        <f>L542*(1+(Inputs!$B$10+((C560=TRUE)*(F560-Calc!F26))+B574)/100)</f>
        <v/>
      </c>
      <c r="N542">
        <f>L542*(1-MIN(((Inputs!$B$9+1)+((C559=TRUE)*(F559-Calc!F25))+B567),100)/100)+M542*(MIN(((Inputs!$B$9+1)+((C559=TRUE)*(F559-Calc!F25))+B567),100)/100)</f>
        <v/>
      </c>
      <c r="O542">
        <f>(1-Summary!$B$55)*T542+Summary!$B$55*V542</f>
        <v/>
      </c>
      <c r="P542">
        <f>IF(B579=0,0,O542/B579)</f>
        <v/>
      </c>
      <c r="Q542">
        <f>IFERROR(1/IF(Inputs!$B$39="pvp",15,MAX(0.1,Skills!D8-IF(Skills!E8=TRUE,Inputs!$B$32,0))),0)</f>
        <v/>
      </c>
      <c r="R542">
        <f>IF(AND(Inputs!$B$39&lt;&gt;"pvp",Inputs!$B$44&gt;0),IF(MAX(0,Inputs!$B$44-B578)&lt;=0,0,(INT(MAX(0,Inputs!$B$44-B578)/IF(Inputs!$B$39="pvp",15,MAX(0.1,Skills!D8-IF(Skills!E8=TRUE,Inputs!$B$32,0))))+1)),0)</f>
        <v/>
      </c>
      <c r="S542">
        <f>IFERROR(O542/N542,0)</f>
        <v/>
      </c>
      <c r="T542">
        <f>IF(C542,(H542*N542*IF(AND(Inputs!$B$39&lt;&gt;"pvp",Inputs!$B$44&gt;0),((Skills!G8*((R542-1)*IF(Skills!H8&gt;0,Skills!I8/Skills!H8,1)+IF(Skills!H8&gt;0,MIN(Skills!I8,MAX(0,MAX(0,Inputs!$B$44-B578)-((R542-1)*IF(Inputs!$B$39="pvp",15,MAX(0.1,Skills!D8-IF(Skills!E8=TRUE,Inputs!$B$32,0))))))/Skills!H8,1)))/Inputs!$B$44),G542*Q542))*IF(Inputs!$B$39="pvp",1,1+(Inputs!$B$20+0+Skills!P8+B568)/100),0)</f>
        <v/>
      </c>
      <c r="V542">
        <f>IF(C542,(H542*N542*IF(AND(Inputs!$B$39&lt;&gt;"pvp",Inputs!$B$44&gt;0),((Skills!G8*((R542-1)*IF(Skills!H8&gt;0,Skills!I8/Skills!H8,1)+IF(Skills!H8&gt;0,MIN(Skills!I8,MAX(0,MAX(0,Inputs!$B$44-B578)-((R542-1)*IF(Inputs!$B$39="pvp",15,MAX(0.1,Skills!D8-IF(Skills!E8=TRUE,Inputs!$B$32,0))))))/Skills!H8,1)))/Inputs!$B$44),G542*Q542))*IF(Inputs!$B$39="pvp",1,(1+(Inputs!$B$21+Skills!Q8+B568)/100)*(MIN(Skills!W8,Inputs!$B$37))),0)</f>
        <v/>
      </c>
    </row>
    <row r="543">
      <c r="A543">
        <f>Skills!A9</f>
        <v/>
      </c>
      <c r="B543">
        <f>Skills!B9</f>
        <v/>
      </c>
      <c r="C543">
        <f>Inputs!$B$3&gt;=117</f>
        <v/>
      </c>
      <c r="D543">
        <f>IF(Skills!C9=1,60+Inputs!$B$25+Inputs!$B$29,IF(Skills!C9=2,90+Inputs!$B$26+Inputs!$B$29,IF(Skills!C9=3,120+Inputs!$B$27+Inputs!$B$29,MAX(0,(Inputs!$B$3-100)*3)+Inputs!$B$28+Inputs!$B$29)))</f>
        <v/>
      </c>
      <c r="E543">
        <f>INDEX(FactorTable!$B$2:$Y$301, MATCH(ROUND(MIN(300,MAX(1,D543)),0), FactorTable!$A$2:$A$301,0), Skills!M9+1)</f>
        <v/>
      </c>
      <c r="F543">
        <f>IF(Skills!N9=TRUE,(Skills!L9/10)*(E543/1000),Skills!L9/10)+Skills!O9</f>
        <v/>
      </c>
      <c r="G543">
        <f>Skills!G9*IF(Skills!H9&gt;0,Skills!I9/Skills!H9,1)</f>
        <v/>
      </c>
      <c r="H543">
        <f>1-(1-Skills!J9/100)^Skills!K9</f>
        <v/>
      </c>
      <c r="I543" t="inlineStr">
        <is>
          <t>1</t>
        </is>
      </c>
      <c r="J543">
        <f>((Inputs!$B$6*(1+Inputs!$B$7/100))+(((Inputs!$B$12*(1+Inputs!$B$13/100))-(Inputs!$B$12*(1+Inputs!$B$13/100)))+0.25*(Inputs!$B$14-Inputs!$B$14))*(1+Inputs!$B$7/100))*(F543/100)</f>
        <v/>
      </c>
      <c r="K543">
        <f>J543*(1+((Inputs!$B$12*(1+Inputs!$B$13/100))*0.01+Inputs!$B$14*0.0025)/100)*(1+Inputs!$B$15/100)*(1+Inputs!$B$16/100)*(5000/(6000+Inputs!$B$43*(1-Inputs!$B$19/100)))*(1+(Inputs!$B$24+((C564=TRUE)*(F564-Calc!F30)))/100)*(1+(IF(Skills!A9="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543)</f>
        <v/>
      </c>
      <c r="L543">
        <f>K543*(MIN(Inputs!$B$22+((C558=TRUE)*(F558-Calc!F24)),Inputs!$B$23+((C563=TRUE)*(F563-Calc!F29)))/100+(Inputs!$B$23+((C563=TRUE)*(F563-Calc!F29)))/100)/2</f>
        <v/>
      </c>
      <c r="M543">
        <f>L543*(1+(Inputs!$B$10+((C560=TRUE)*(F560-Calc!F26))+B574)/100)</f>
        <v/>
      </c>
      <c r="N543">
        <f>L543*(1-MIN(((Inputs!$B$9+1)+((C559=TRUE)*(F559-Calc!F25))+B567),100)/100)+M543*(MIN(((Inputs!$B$9+1)+((C559=TRUE)*(F559-Calc!F25))+B567),100)/100)</f>
        <v/>
      </c>
      <c r="O543">
        <f>(1-Summary!$B$55)*T543+Summary!$B$55*V543</f>
        <v/>
      </c>
      <c r="P543">
        <f>IF(B579=0,0,O543/B579)</f>
        <v/>
      </c>
      <c r="Q543" t="n">
        <v>0</v>
      </c>
      <c r="R543" t="n">
        <v>0</v>
      </c>
      <c r="S543" t="n">
        <v>0</v>
      </c>
      <c r="T543">
        <f>IF(C543,(0.2*SUMPRODUCT((Skills!Z2:Z30=TRUE)*(C536:C564=TRUE)*S536:S564)*N543)*IF(Inputs!$B$39="pvp",1,1+(Inputs!$B$20+0+Skills!P9+B568)/100),0)</f>
        <v/>
      </c>
      <c r="V543">
        <f>IF(C543,(0.2*SUMPRODUCT((Skills!Z2:Z30=TRUE)*(C536:C564=TRUE)*S536:S564)*N543)*IF(Inputs!$B$39="pvp",1,(1+(Inputs!$B$21+Skills!Q9+B568)/100)*(MIN(Skills!W9,Inputs!$B$37))),0)</f>
        <v/>
      </c>
    </row>
    <row r="544">
      <c r="A544">
        <f>Skills!A10</f>
        <v/>
      </c>
      <c r="B544">
        <f>Skills!B10</f>
        <v/>
      </c>
      <c r="C544">
        <f>Inputs!$B$3&gt;=74</f>
        <v/>
      </c>
      <c r="D544">
        <f>IF(Skills!C10=1,60+Inputs!$B$25+Inputs!$B$29,IF(Skills!C10=2,90+Inputs!$B$26+Inputs!$B$29,IF(Skills!C10=3,120+Inputs!$B$27+Inputs!$B$29,MAX(0,(Inputs!$B$3-100)*3)+Inputs!$B$28+Inputs!$B$29)))</f>
        <v/>
      </c>
      <c r="E544">
        <f>INDEX(FactorTable!$B$2:$Y$301, MATCH(ROUND(MIN(300,MAX(1,D544)),0), FactorTable!$A$2:$A$301,0), Skills!M10+1)</f>
        <v/>
      </c>
      <c r="F544">
        <f>IF(Skills!N10=TRUE,(Skills!L10/10)*(E544/1000),Skills!L10/10)+Skills!O10</f>
        <v/>
      </c>
      <c r="G544">
        <f>Skills!G10*IF(Skills!H10&gt;0,Skills!I10/Skills!H10,1)</f>
        <v/>
      </c>
      <c r="H544">
        <f>1-(1-Skills!J10/100)^Skills!K10</f>
        <v/>
      </c>
      <c r="I544" t="inlineStr">
        <is>
          <t>1</t>
        </is>
      </c>
      <c r="J544" t="inlineStr"/>
      <c r="K544" t="inlineStr"/>
      <c r="L544" t="inlineStr"/>
      <c r="M544" t="inlineStr"/>
      <c r="N544" t="inlineStr"/>
      <c r="O544">
        <f>(1-Summary!$B$55)*T544+Summary!$B$55*V544</f>
        <v/>
      </c>
      <c r="P544">
        <f>IF(B579=0,0,O544/B579)</f>
        <v/>
      </c>
      <c r="Q544">
        <f>IFERROR(1/IF(Inputs!$B$39="pvp",15,MAX(0.1,Skills!D10-IF(Skills!E10=TRUE,Inputs!$B$32,0))),0)</f>
        <v/>
      </c>
      <c r="R544">
        <f>IF(AND(Inputs!$B$39&lt;&gt;"pvp",Inputs!$B$44&gt;0),IF(Inputs!$B$44&lt;=0,0,(INT(Inputs!$B$44/IF(Inputs!$B$39="pvp",15,MAX(0.1,Skills!D10-IF(Skills!E10=TRUE,Inputs!$B$32,0))))+1)),0)</f>
        <v/>
      </c>
      <c r="S544">
        <f>IFERROR(O544/N544,0)</f>
        <v/>
      </c>
      <c r="T544" t="n">
        <v>0</v>
      </c>
      <c r="V544" t="n">
        <v>0</v>
      </c>
    </row>
    <row r="545">
      <c r="A545">
        <f>Skills!A11</f>
        <v/>
      </c>
      <c r="B545">
        <f>Skills!B11</f>
        <v/>
      </c>
      <c r="C545">
        <f>Inputs!$B$3&gt;=103</f>
        <v/>
      </c>
      <c r="D545">
        <f>IF(Skills!C11=1,60+Inputs!$B$25+Inputs!$B$29,IF(Skills!C11=2,90+Inputs!$B$26+Inputs!$B$29,IF(Skills!C11=3,120+Inputs!$B$27+Inputs!$B$29,MAX(0,(Inputs!$B$3-100)*3)+Inputs!$B$28+Inputs!$B$29)))</f>
        <v/>
      </c>
      <c r="E545">
        <f>INDEX(FactorTable!$B$2:$Y$301, MATCH(ROUND(MIN(300,MAX(1,D545)),0), FactorTable!$A$2:$A$301,0), Skills!M11+1)</f>
        <v/>
      </c>
      <c r="F545">
        <f>(Skills!L11/10)*(E545/1000)+IF(Inputs!$B$3&gt;=134,50,0)+0.5*(30000/10)*(INDEX(FactorTable!$B$2:$Y$301, MATCH(ROUND(MIN(300,MAX(1,D545)),0), FactorTable!$A$2:$A$301,0), 13)/1000)*B577</f>
        <v/>
      </c>
      <c r="G545">
        <f>Skills!G11*IF(Skills!H11&gt;0,Skills!I11/Skills!H11,1)</f>
        <v/>
      </c>
      <c r="H545">
        <f>1-(1-Skills!J11/100)^Skills!K11</f>
        <v/>
      </c>
      <c r="I545" t="inlineStr">
        <is>
          <t>1</t>
        </is>
      </c>
      <c r="J545">
        <f>((Inputs!$B$6*(1+Inputs!$B$7/100))+(((Inputs!$B$12*(1+Inputs!$B$13/100))-(Inputs!$B$12*(1+Inputs!$B$13/100)))+0.25*(Inputs!$B$14-Inputs!$B$14))*(1+Inputs!$B$7/100))*(F545/100)</f>
        <v/>
      </c>
      <c r="K545">
        <f>J545*(1+((Inputs!$B$12*(1+Inputs!$B$13/100))*0.01+Inputs!$B$14*0.0025)/100)*(1+Inputs!$B$15/100)*(1+Inputs!$B$16/100)*(5000/(6000+Inputs!$B$43*(1-Inputs!$B$19/100)))*(1+(Inputs!$B$24+((C564=TRUE)*(F564-Calc!F30)))/100)*(1+(IF(Skills!A11="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545)</f>
        <v/>
      </c>
      <c r="L545">
        <f>K545*(MIN(Inputs!$B$22+((C558=TRUE)*(F558-Calc!F24)),Inputs!$B$23+((C563=TRUE)*(F563-Calc!F29)))/100+(Inputs!$B$23+((C563=TRUE)*(F563-Calc!F29)))/100)/2</f>
        <v/>
      </c>
      <c r="M545">
        <f>L545*(1+(Inputs!$B$10+((C560=TRUE)*(F560-Calc!F26))+B574)/100)</f>
        <v/>
      </c>
      <c r="N545">
        <f>L545*(1-MIN(((Inputs!$B$9+1)+((C559=TRUE)*(F559-Calc!F25))+B567),100)/100)+M545*(MIN(((Inputs!$B$9+1)+((C559=TRUE)*(F559-Calc!F25))+B567),100)/100)</f>
        <v/>
      </c>
      <c r="O545">
        <f>(1-Summary!$B$55)*T545+Summary!$B$55*V545</f>
        <v/>
      </c>
      <c r="P545">
        <f>IF(B579=0,0,O545/B579)</f>
        <v/>
      </c>
      <c r="Q545">
        <f>IFERROR(1/IF(Inputs!$B$39="pvp",15,MAX(0.1,Skills!D11-IF(Skills!E11=TRUE,Inputs!$B$32,0))),0)</f>
        <v/>
      </c>
      <c r="R545">
        <f>IF(AND(Inputs!$B$39&lt;&gt;"pvp",Inputs!$B$44&gt;0),IF(MAX(0,Inputs!$B$44-B578)&lt;=0,0,(INT(MAX(0,Inputs!$B$44-B578)/IF(Inputs!$B$39="pvp",15,MAX(0.1,Skills!D11-IF(Skills!E11=TRUE,Inputs!$B$32,0))))+1)),0)</f>
        <v/>
      </c>
      <c r="S545">
        <f>IFERROR(O545/N545,0)</f>
        <v/>
      </c>
      <c r="T545">
        <f>IF(C545,(H545*N545*IF(AND(Inputs!$B$39&lt;&gt;"pvp",Inputs!$B$44&gt;0),((Skills!G11*((R545-1)*IF(Skills!H11&gt;0,Skills!I11/Skills!H11,1)+IF(Skills!H11&gt;0,MIN(Skills!I11,MAX(0,MAX(0,Inputs!$B$44-B578)-((R545-1)*IF(Inputs!$B$39="pvp",15,MAX(0.1,Skills!D11-IF(Skills!E11=TRUE,Inputs!$B$32,0))))))/Skills!H11,1)))/Inputs!$B$44),G545*Q545))*IF(Inputs!$B$39="pvp",1,1+(Inputs!$B$20+0+Skills!P11+B568)/100),0)</f>
        <v/>
      </c>
      <c r="V545">
        <f>IF(C545,(H545*N545*IF(AND(Inputs!$B$39&lt;&gt;"pvp",Inputs!$B$44&gt;0),((Skills!G11*((R545-1)*IF(Skills!H11&gt;0,Skills!I11/Skills!H11,1)+IF(Skills!H11&gt;0,MIN(Skills!I11,MAX(0,MAX(0,Inputs!$B$44-B578)-((R545-1)*IF(Inputs!$B$39="pvp",15,MAX(0.1,Skills!D11-IF(Skills!E11=TRUE,Inputs!$B$32,0))))))/Skills!H11,1)))/Inputs!$B$44),G545*Q545))*IF(Inputs!$B$39="pvp",1,(1+(Inputs!$B$21+Skills!Q11+B568)/100)*(MIN(Skills!W11,Inputs!$B$37))),0)</f>
        <v/>
      </c>
    </row>
    <row r="546">
      <c r="A546">
        <f>Skills!A12</f>
        <v/>
      </c>
      <c r="B546">
        <f>Skills!B12</f>
        <v/>
      </c>
      <c r="C546">
        <f>Inputs!$B$3&gt;=105</f>
        <v/>
      </c>
      <c r="D546">
        <f>IF(Skills!C12=1,60+Inputs!$B$25+Inputs!$B$29,IF(Skills!C12=2,90+Inputs!$B$26+Inputs!$B$29,IF(Skills!C12=3,120+Inputs!$B$27+Inputs!$B$29,MAX(0,(Inputs!$B$3-100)*3)+Inputs!$B$28+Inputs!$B$29)))</f>
        <v/>
      </c>
      <c r="E546">
        <f>INDEX(FactorTable!$B$2:$Y$301, MATCH(ROUND(MIN(300,MAX(1,D546)),0), FactorTable!$A$2:$A$301,0), Skills!M12+1)</f>
        <v/>
      </c>
      <c r="F546">
        <f>IF(Skills!N12=TRUE,(Skills!L12/10)*(E546/1000),Skills!L12/10)+Skills!O12</f>
        <v/>
      </c>
      <c r="G546">
        <f>Skills!G12*IF(Skills!H12&gt;0,Skills!I12/Skills!H12,1)</f>
        <v/>
      </c>
      <c r="H546">
        <f>1-(1-Skills!J12/100)^Skills!K12</f>
        <v/>
      </c>
      <c r="I546" t="inlineStr">
        <is>
          <t>1</t>
        </is>
      </c>
      <c r="J546">
        <f>((Inputs!$B$6*(1+Inputs!$B$7/100))+(((Inputs!$B$12*(1+Inputs!$B$13/100))-(Inputs!$B$12*(1+Inputs!$B$13/100)))+0.25*(Inputs!$B$14-Inputs!$B$14))*(1+Inputs!$B$7/100))*(F546/100)</f>
        <v/>
      </c>
      <c r="K546">
        <f>J546*(1+((Inputs!$B$12*(1+Inputs!$B$13/100))*0.01+Inputs!$B$14*0.0025)/100)*(1+Inputs!$B$15/100)*(1+Inputs!$B$16/100)*(5000/(6000+Inputs!$B$43*(1-Inputs!$B$19/100)))*(1+(Inputs!$B$24+((C564=TRUE)*(F564-Calc!F30)))/100)*(1+(IF(Skills!A12="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546)</f>
        <v/>
      </c>
      <c r="L546">
        <f>K546*(MIN(Inputs!$B$22+((C558=TRUE)*(F558-Calc!F24)),Inputs!$B$23+((C563=TRUE)*(F563-Calc!F29)))/100+(Inputs!$B$23+((C563=TRUE)*(F563-Calc!F29)))/100)/2</f>
        <v/>
      </c>
      <c r="M546">
        <f>L546*(1+(Inputs!$B$10+((C560=TRUE)*(F560-Calc!F26))+B574)/100)</f>
        <v/>
      </c>
      <c r="N546">
        <f>L546*(1-MIN(((Inputs!$B$9+1)+((C559=TRUE)*(F559-Calc!F25))+B567),100)/100)+M546*(MIN(((Inputs!$B$9+1)+((C559=TRUE)*(F559-Calc!F25))+B567),100)/100)</f>
        <v/>
      </c>
      <c r="O546">
        <f>(1-Summary!$B$55)*T546+Summary!$B$55*V546</f>
        <v/>
      </c>
      <c r="P546">
        <f>IF(B579=0,0,O546/B579)</f>
        <v/>
      </c>
      <c r="Q546">
        <f>IFERROR(1/IF(Inputs!$B$39="pvp",15,MAX(0.1,Skills!D12-IF(Skills!E12=TRUE,Inputs!$B$32,0))),0)</f>
        <v/>
      </c>
      <c r="R546">
        <f>IF(AND(Inputs!$B$39&lt;&gt;"pvp",Inputs!$B$44&gt;0),IF(MAX(0,Inputs!$B$44-B578)&lt;=0,0,(INT(MAX(0,Inputs!$B$44-B578)/IF(Inputs!$B$39="pvp",15,MAX(0.1,Skills!D12-IF(Skills!E12=TRUE,Inputs!$B$32,0))))+1)),0)</f>
        <v/>
      </c>
      <c r="S546">
        <f>IFERROR(O546/N546,0)</f>
        <v/>
      </c>
      <c r="T546">
        <f>IF(C546,(H546*N546*IF(AND(Inputs!$B$39&lt;&gt;"pvp",Inputs!$B$44&gt;0),((Skills!G12*((R546-1)*IF(Skills!H12&gt;0,Skills!I12/Skills!H12,1)+IF(Skills!H12&gt;0,MIN(Skills!I12,MAX(0,MAX(0,Inputs!$B$44-B578)-((R546-1)*IF(Inputs!$B$39="pvp",15,MAX(0.1,Skills!D12-IF(Skills!E12=TRUE,Inputs!$B$32,0))))))/Skills!H12,1)))/Inputs!$B$44),G546*Q546))*IF(Inputs!$B$39="pvp",1,1+(Inputs!$B$20+0+Skills!P12+B568)/100),0)</f>
        <v/>
      </c>
      <c r="V546">
        <f>IF(C546,(H546*N546*IF(AND(Inputs!$B$39&lt;&gt;"pvp",Inputs!$B$44&gt;0),((Skills!G12*((R546-1)*IF(Skills!H12&gt;0,Skills!I12/Skills!H12,1)+IF(Skills!H12&gt;0,MIN(Skills!I12,MAX(0,MAX(0,Inputs!$B$44-B578)-((R546-1)*IF(Inputs!$B$39="pvp",15,MAX(0.1,Skills!D12-IF(Skills!E12=TRUE,Inputs!$B$32,0))))))/Skills!H12,1)))/Inputs!$B$44),G546*Q546))*IF(Inputs!$B$39="pvp",1,(1+(Inputs!$B$21+Skills!Q12+B568)/100)*(MIN(Skills!W12,Inputs!$B$37))),0)</f>
        <v/>
      </c>
    </row>
    <row r="547">
      <c r="A547">
        <f>Skills!A13</f>
        <v/>
      </c>
      <c r="B547">
        <f>Skills!B13</f>
        <v/>
      </c>
      <c r="C547">
        <f>Inputs!$B$3&gt;=105</f>
        <v/>
      </c>
      <c r="D547">
        <f>IF(Skills!C13=1,60+Inputs!$B$25+Inputs!$B$29,IF(Skills!C13=2,90+Inputs!$B$26+Inputs!$B$29,IF(Skills!C13=3,120+Inputs!$B$27+Inputs!$B$29,MAX(0,(Inputs!$B$3-100)*3)+Inputs!$B$28+Inputs!$B$29)))</f>
        <v/>
      </c>
      <c r="E547">
        <f>INDEX(FactorTable!$B$2:$Y$301, MATCH(ROUND(MIN(300,MAX(1,D547)),0), FactorTable!$A$2:$A$301,0), Skills!M13+1)</f>
        <v/>
      </c>
      <c r="F547">
        <f>IF(Skills!N13=TRUE,(Skills!L13/10)*(E547/1000),Skills!L13/10)+Skills!O13</f>
        <v/>
      </c>
      <c r="G547">
        <f>Skills!G13*IF(Skills!H13&gt;0,Skills!I13/Skills!H13,1)</f>
        <v/>
      </c>
      <c r="H547">
        <f>1-(1-Skills!J13/100)^Skills!K13</f>
        <v/>
      </c>
      <c r="I547" t="inlineStr">
        <is>
          <t>1</t>
        </is>
      </c>
      <c r="J547">
        <f>((Inputs!$B$6*(1+Inputs!$B$7/100))+(((Inputs!$B$12*(1+Inputs!$B$13/100))-(Inputs!$B$12*(1+Inputs!$B$13/100)))+0.25*(Inputs!$B$14-Inputs!$B$14))*(1+Inputs!$B$7/100))*(F547/100)</f>
        <v/>
      </c>
      <c r="K547">
        <f>J547*(1+((Inputs!$B$12*(1+Inputs!$B$13/100))*0.01+Inputs!$B$14*0.0025)/100)*(1+Inputs!$B$15/100)*(1+Inputs!$B$16/100)*(5000/(6000+Inputs!$B$43*(1-Inputs!$B$19/100)))*(1+(Inputs!$B$24+((C564=TRUE)*(F564-Calc!F30)))/100)*(1+(IF(Skills!A13="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547)</f>
        <v/>
      </c>
      <c r="L547">
        <f>K547*(MIN(Inputs!$B$22+((C558=TRUE)*(F558-Calc!F24)),Inputs!$B$23+((C563=TRUE)*(F563-Calc!F29)))/100+(Inputs!$B$23+((C563=TRUE)*(F563-Calc!F29)))/100)/2</f>
        <v/>
      </c>
      <c r="M547">
        <f>L547*(1+(Inputs!$B$10+((C560=TRUE)*(F560-Calc!F26))+B574)/100)</f>
        <v/>
      </c>
      <c r="N547">
        <f>L547*(1-MIN(((Inputs!$B$9+1)+((C559=TRUE)*(F559-Calc!F25))+B567),100)/100)+M547*(MIN(((Inputs!$B$9+1)+((C559=TRUE)*(F559-Calc!F25))+B567),100)/100)</f>
        <v/>
      </c>
      <c r="O547">
        <f>(1-Summary!$B$55)*T547+Summary!$B$55*V547</f>
        <v/>
      </c>
      <c r="P547">
        <f>IF(B579=0,0,O547/B579)</f>
        <v/>
      </c>
      <c r="Q547">
        <f>IFERROR(1/IF(Inputs!$B$39="pvp",15,MAX(0.1,Skills!D13-IF(Skills!E13=TRUE,Inputs!$B$32,0))),0)</f>
        <v/>
      </c>
      <c r="R547">
        <f>IF(AND(Inputs!$B$39&lt;&gt;"pvp",Inputs!$B$44&gt;0),IF(MAX(0,Inputs!$B$44-B578)&lt;=0,0,(INT(MAX(0,Inputs!$B$44-B578)/IF(Inputs!$B$39="pvp",15,MAX(0.1,Skills!D13-IF(Skills!E13=TRUE,Inputs!$B$32,0))))+1)),0)</f>
        <v/>
      </c>
      <c r="S547">
        <f>IFERROR(O547/N547,0)</f>
        <v/>
      </c>
      <c r="T547">
        <f>IF(C547,(H547*N547*IF(AND(Inputs!$B$39&lt;&gt;"pvp",Inputs!$B$44&gt;0),((Skills!G13*((R547-1)*IF(Skills!H13&gt;0,Skills!I13/Skills!H13,1)+IF(Skills!H13&gt;0,MIN(Skills!I13,MAX(0,MAX(0,Inputs!$B$44-B578)-((R547-1)*IF(Inputs!$B$39="pvp",15,MAX(0.1,Skills!D13-IF(Skills!E13=TRUE,Inputs!$B$32,0))))))/Skills!H13,1)))/Inputs!$B$44),G547*Q547))*IF(Inputs!$B$39="pvp",1,1+(Inputs!$B$20+0+Skills!P13+B568)/100),0)</f>
        <v/>
      </c>
      <c r="V547">
        <f>IF(C547,(H547*N547*IF(AND(Inputs!$B$39&lt;&gt;"pvp",Inputs!$B$44&gt;0),((Skills!G13*((R547-1)*IF(Skills!H13&gt;0,Skills!I13/Skills!H13,1)+IF(Skills!H13&gt;0,MIN(Skills!I13,MAX(0,MAX(0,Inputs!$B$44-B578)-((R547-1)*IF(Inputs!$B$39="pvp",15,MAX(0.1,Skills!D13-IF(Skills!E13=TRUE,Inputs!$B$32,0))))))/Skills!H13,1)))/Inputs!$B$44),G547*Q547))*IF(Inputs!$B$39="pvp",1,(1+(Inputs!$B$21+Skills!Q13+B568)/100)*(MIN(Skills!W13,Inputs!$B$37))),0)</f>
        <v/>
      </c>
    </row>
    <row r="548">
      <c r="A548">
        <f>Skills!A14</f>
        <v/>
      </c>
      <c r="B548">
        <f>Skills!B14</f>
        <v/>
      </c>
      <c r="C548">
        <f>Inputs!$B$3&gt;=107</f>
        <v/>
      </c>
      <c r="D548">
        <f>IF(Skills!C14=1,60+Inputs!$B$25+Inputs!$B$29,IF(Skills!C14=2,90+Inputs!$B$26+Inputs!$B$29,IF(Skills!C14=3,120+Inputs!$B$27+Inputs!$B$29,MAX(0,(Inputs!$B$3-100)*3)+Inputs!$B$28+Inputs!$B$29)))</f>
        <v/>
      </c>
      <c r="E548">
        <f>INDEX(FactorTable!$B$2:$Y$301, MATCH(ROUND(MIN(300,MAX(1,D548)),0), FactorTable!$A$2:$A$301,0), Skills!M14+1)</f>
        <v/>
      </c>
      <c r="F548">
        <f>IF(Skills!N14=TRUE,(Skills!L14/10)*(E548/1000),Skills!L14/10)+Skills!O14</f>
        <v/>
      </c>
      <c r="G548">
        <f>Skills!G14*IF(Skills!H14&gt;0,Skills!I14/Skills!H14,1)</f>
        <v/>
      </c>
      <c r="H548">
        <f>1-(1-Skills!J14/100)^Skills!K14</f>
        <v/>
      </c>
      <c r="I548" t="inlineStr">
        <is>
          <t>1</t>
        </is>
      </c>
      <c r="J548">
        <f>((Inputs!$B$6*(1+Inputs!$B$7/100))+(((Inputs!$B$12*(1+Inputs!$B$13/100))-(Inputs!$B$12*(1+Inputs!$B$13/100)))+0.25*(Inputs!$B$14-Inputs!$B$14))*(1+Inputs!$B$7/100))*(F548/100)</f>
        <v/>
      </c>
      <c r="K548">
        <f>J548*(1+((Inputs!$B$12*(1+Inputs!$B$13/100))*0.01+Inputs!$B$14*0.0025)/100)*(1+Inputs!$B$15/100)*(1+Inputs!$B$16/100)*(5000/(6000+Inputs!$B$43*(1-Inputs!$B$19/100)))*(1+(Inputs!$B$24+((C564=TRUE)*(F564-Calc!F30)))/100)*(1+(IF(Skills!A14="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548)</f>
        <v/>
      </c>
      <c r="L548">
        <f>K548*(MIN(Inputs!$B$22+((C558=TRUE)*(F558-Calc!F24)),Inputs!$B$23+((C563=TRUE)*(F563-Calc!F29)))/100+(Inputs!$B$23+((C563=TRUE)*(F563-Calc!F29)))/100)/2</f>
        <v/>
      </c>
      <c r="M548">
        <f>L548*(1+(Inputs!$B$10+((C560=TRUE)*(F560-Calc!F26))+B574)/100)</f>
        <v/>
      </c>
      <c r="N548">
        <f>L548*(1-MIN(((Inputs!$B$9+1)+((C559=TRUE)*(F559-Calc!F25))+B567),100)/100)+M548*(MIN(((Inputs!$B$9+1)+((C559=TRUE)*(F559-Calc!F25))+B567),100)/100)</f>
        <v/>
      </c>
      <c r="O548">
        <f>(1-Summary!$B$55)*T548+Summary!$B$55*V548</f>
        <v/>
      </c>
      <c r="P548">
        <f>IF(B579=0,0,O548/B579)</f>
        <v/>
      </c>
      <c r="Q548">
        <f>IFERROR(1/IF(Inputs!$B$39="pvp",15,MAX(0.1,Skills!D14-IF(Skills!E14=TRUE,Inputs!$B$32,0))),0)</f>
        <v/>
      </c>
      <c r="R548">
        <f>IF(AND(Inputs!$B$39&lt;&gt;"pvp",Inputs!$B$44&gt;0),IF(MAX(0,Inputs!$B$44-B578)&lt;=0,0,(INT(MAX(0,Inputs!$B$44-B578)/IF(Inputs!$B$39="pvp",15,MAX(0.1,Skills!D14-IF(Skills!E14=TRUE,Inputs!$B$32,0))))+1)),0)</f>
        <v/>
      </c>
      <c r="S548">
        <f>IFERROR(O548/N548,0)</f>
        <v/>
      </c>
      <c r="T548">
        <f>IF(C548,(H548*N548*IF(AND(Inputs!$B$39&lt;&gt;"pvp",Inputs!$B$44&gt;0),((Skills!G14*((R548-1)*IF(Skills!H14&gt;0,Skills!I14/Skills!H14,1)+IF(Skills!H14&gt;0,MIN(Skills!I14,MAX(0,MAX(0,Inputs!$B$44-B578)-((R548-1)*IF(Inputs!$B$39="pvp",15,MAX(0.1,Skills!D14-IF(Skills!E14=TRUE,Inputs!$B$32,0))))))/Skills!H14,1)))/Inputs!$B$44),G548*Q548))*IF(Inputs!$B$39="pvp",1,1+(Inputs!$B$20+0+Skills!P14+B568)/100),0)</f>
        <v/>
      </c>
      <c r="V548">
        <f>IF(C548,(H548*N548*IF(AND(Inputs!$B$39&lt;&gt;"pvp",Inputs!$B$44&gt;0),((Skills!G14*((R548-1)*IF(Skills!H14&gt;0,Skills!I14/Skills!H14,1)+IF(Skills!H14&gt;0,MIN(Skills!I14,MAX(0,MAX(0,Inputs!$B$44-B578)-((R548-1)*IF(Inputs!$B$39="pvp",15,MAX(0.1,Skills!D14-IF(Skills!E14=TRUE,Inputs!$B$32,0))))))/Skills!H14,1)))/Inputs!$B$44),G548*Q548))*IF(Inputs!$B$39="pvp",1,(1+(Inputs!$B$21+Skills!Q14+B568)/100)*(MIN(MIN(5,0.25*B571*Skills!D4)*Skills!V14,Inputs!$B$37))),0)</f>
        <v/>
      </c>
    </row>
    <row r="549">
      <c r="A549">
        <f>Skills!A15</f>
        <v/>
      </c>
      <c r="B549">
        <f>Skills!B15</f>
        <v/>
      </c>
      <c r="C549">
        <f>Inputs!$B$3&gt;=110</f>
        <v/>
      </c>
      <c r="D549">
        <f>IF(Skills!C15=1,60+Inputs!$B$25+Inputs!$B$29,IF(Skills!C15=2,90+Inputs!$B$26+Inputs!$B$29,IF(Skills!C15=3,120+Inputs!$B$27+Inputs!$B$29,MAX(0,(Inputs!$B$3-100)*3)+Inputs!$B$28+Inputs!$B$29)))</f>
        <v/>
      </c>
      <c r="E549">
        <f>INDEX(FactorTable!$B$2:$Y$301, MATCH(ROUND(MIN(300,MAX(1,D549)),0), FactorTable!$A$2:$A$301,0), Skills!M15+1)</f>
        <v/>
      </c>
      <c r="F549">
        <f>IF(Skills!N15=TRUE,(Skills!L15/10)*(E549/1000),Skills!L15/10)+Skills!O15</f>
        <v/>
      </c>
      <c r="G549">
        <f>Skills!G15*IF(Skills!H15&gt;0,Skills!I15/Skills!H15,1)</f>
        <v/>
      </c>
      <c r="H549">
        <f>1-(1-Skills!J15/100)^Skills!K15</f>
        <v/>
      </c>
      <c r="I549" t="inlineStr">
        <is>
          <t>1</t>
        </is>
      </c>
      <c r="J549" t="inlineStr"/>
      <c r="K549" t="inlineStr"/>
      <c r="L549" t="inlineStr"/>
      <c r="M549" t="inlineStr"/>
      <c r="N549" t="inlineStr"/>
      <c r="O549">
        <f>(1-Summary!$B$55)*T549+Summary!$B$55*V549</f>
        <v/>
      </c>
      <c r="P549">
        <f>IF(B579=0,0,O549/B579)</f>
        <v/>
      </c>
      <c r="Q549">
        <f>IFERROR(1/IF(Inputs!$B$39="pvp",15,MAX(0.1,Skills!D15-IF(Skills!E15=TRUE,Inputs!$B$32,0))),0)</f>
        <v/>
      </c>
      <c r="R549">
        <f>IF(AND(Inputs!$B$39&lt;&gt;"pvp",Inputs!$B$44&gt;0),IF(Inputs!$B$44&lt;=0,0,(INT(Inputs!$B$44/IF(Inputs!$B$39="pvp",15,MAX(0.1,Skills!D15-IF(Skills!E15=TRUE,Inputs!$B$32,0))))+1)),0)</f>
        <v/>
      </c>
      <c r="S549">
        <f>IFERROR(O549/N549,0)</f>
        <v/>
      </c>
      <c r="T549" t="n">
        <v>0</v>
      </c>
      <c r="V549" t="n">
        <v>0</v>
      </c>
    </row>
    <row r="550">
      <c r="A550">
        <f>Skills!A16</f>
        <v/>
      </c>
      <c r="B550">
        <f>Skills!B16</f>
        <v/>
      </c>
      <c r="C550">
        <f>Inputs!$B$3&gt;=115</f>
        <v/>
      </c>
      <c r="D550">
        <f>IF(Skills!C16=1,60+Inputs!$B$25+Inputs!$B$29,IF(Skills!C16=2,90+Inputs!$B$26+Inputs!$B$29,IF(Skills!C16=3,120+Inputs!$B$27+Inputs!$B$29,MAX(0,(Inputs!$B$3-100)*3)+Inputs!$B$28+Inputs!$B$29)))</f>
        <v/>
      </c>
      <c r="E550">
        <f>INDEX(FactorTable!$B$2:$Y$301, MATCH(ROUND(MIN(300,MAX(1,D550)),0), FactorTable!$A$2:$A$301,0), Skills!M16+1)</f>
        <v/>
      </c>
      <c r="F550">
        <f>IF(Skills!N16=TRUE,(Skills!L16/10)*(E550/1000),Skills!L16/10)+Skills!O16</f>
        <v/>
      </c>
      <c r="G550">
        <f>Skills!G16*IF(Skills!H16&gt;0,Skills!I16/Skills!H16,1)</f>
        <v/>
      </c>
      <c r="H550">
        <f>1-(1-Skills!J16/100)^Skills!K16</f>
        <v/>
      </c>
      <c r="I550" t="inlineStr">
        <is>
          <t>1</t>
        </is>
      </c>
      <c r="J550">
        <f>((Inputs!$B$6*(1+Inputs!$B$7/100))+(((Inputs!$B$12*(1+Inputs!$B$13/100))-(Inputs!$B$12*(1+Inputs!$B$13/100)))+0.25*(Inputs!$B$14-Inputs!$B$14))*(1+Inputs!$B$7/100))*(F550/100)</f>
        <v/>
      </c>
      <c r="K550">
        <f>J550*(1+((Inputs!$B$12*(1+Inputs!$B$13/100))*0.01+Inputs!$B$14*0.0025)/100)*(1+Inputs!$B$15/100)*(1+Inputs!$B$16/100)*(5000/(6000+Inputs!$B$43*(1-Inputs!$B$19/100)))*(1+(Inputs!$B$24+((C564=TRUE)*(F564-Calc!F30)))/100)*(1+(IF(Skills!A16="CRUEL_STAB",Inputs!$B$17+((C561=TRUE)*(F561-Calc!F27)),Inputs!$B$18+((C562=TRUE)*(F562-Calc!F28))))/100)*(((1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B569*I550)</f>
        <v/>
      </c>
      <c r="L550">
        <f>K550*(MIN(Inputs!$B$22+((C558=TRUE)*(F558-Calc!F24)),Inputs!$B$23+((C563=TRUE)*(F563-Calc!F29)))/100+(Inputs!$B$23+((C563=TRUE)*(F563-Calc!F29)))/100)/2</f>
        <v/>
      </c>
      <c r="M550">
        <f>L550*(1+(Inputs!$B$10+((C560=TRUE)*(F560-Calc!F26))+B574)/100)</f>
        <v/>
      </c>
      <c r="N550">
        <f>L550*(1-MIN(((Inputs!$B$9+1)+((C559=TRUE)*(F559-Calc!F25))+B567),100)/100)+M550*(MIN(((Inputs!$B$9+1)+((C559=TRUE)*(F559-Calc!F25))+B567),100)/100)</f>
        <v/>
      </c>
      <c r="O550">
        <f>(1-Summary!$B$55)*T550+Summary!$B$55*V550</f>
        <v/>
      </c>
      <c r="P550">
        <f>IF(B579=0,0,O550/B579)</f>
        <v/>
      </c>
      <c r="Q550" t="n">
        <v>0</v>
      </c>
      <c r="R550" t="n">
        <v>0</v>
      </c>
      <c r="S550">
        <f>IFERROR(O550/N550,0)</f>
        <v/>
      </c>
      <c r="T550">
        <f>IF(C550,(Inputs!$B$38*0.2*N550)*IF(Inputs!$B$39="pvp",1,1+(Inputs!$B$20+0+Skills!P16+B568)/100),0)</f>
        <v/>
      </c>
      <c r="V550">
        <f>IF(C550,(Inputs!$B$38*0.2*N550)*IF(Inputs!$B$39="pvp",1,(1+(Inputs!$B$21+Skills!Q16+B568)/100)*(MIN(Skills!W16,Inputs!$B$37))),0)</f>
        <v/>
      </c>
    </row>
    <row r="551">
      <c r="A551">
        <f>Skills!A17</f>
        <v/>
      </c>
      <c r="B551">
        <f>Skills!B17</f>
        <v/>
      </c>
      <c r="C551">
        <f>Inputs!$B$3&gt;=115</f>
        <v/>
      </c>
      <c r="D551">
        <f>IF(Skills!C17=1,60+Inputs!$B$25+Inputs!$B$29,IF(Skills!C17=2,90+Inputs!$B$26+Inputs!$B$29,IF(Skills!C17=3,120+Inputs!$B$27+Inputs!$B$29,MAX(0,(Inputs!$B$3-100)*3)+Inputs!$B$28+Inputs!$B$29)))</f>
        <v/>
      </c>
      <c r="E551">
        <f>INDEX(FactorTable!$B$2:$Y$301, MATCH(ROUND(MIN(300,MAX(1,D551)),0), FactorTable!$A$2:$A$301,0), Skills!M17+1)</f>
        <v/>
      </c>
      <c r="F551">
        <f>IF(Skills!N17=TRUE,(Skills!L17/10)*(E551/1000),Skills!L17/10)+Skills!O17</f>
        <v/>
      </c>
      <c r="G551">
        <f>Skills!G17*IF(Skills!H17&gt;0,Skills!I17/Skills!H17,1)</f>
        <v/>
      </c>
      <c r="H551">
        <f>1-(1-Skills!J17/100)^Skills!K17</f>
        <v/>
      </c>
      <c r="I551" t="inlineStr">
        <is>
          <t>1</t>
        </is>
      </c>
      <c r="J551" t="inlineStr"/>
      <c r="K551" t="inlineStr"/>
      <c r="L551" t="inlineStr"/>
      <c r="M551" t="inlineStr"/>
      <c r="N551" t="inlineStr"/>
      <c r="O551">
        <f>(1-Summary!$B$55)*T551+Summary!$B$55*V551</f>
        <v/>
      </c>
      <c r="P551">
        <f>IF(B579=0,0,O551/B579)</f>
        <v/>
      </c>
      <c r="Q551" t="n">
        <v>0</v>
      </c>
      <c r="R551" t="n">
        <v>0</v>
      </c>
      <c r="S551">
        <f>IFERROR(O551/N551,0)</f>
        <v/>
      </c>
      <c r="T551" t="n">
        <v>0</v>
      </c>
      <c r="V551" t="n">
        <v>0</v>
      </c>
    </row>
    <row r="552">
      <c r="A552">
        <f>Skills!A18</f>
        <v/>
      </c>
      <c r="B552">
        <f>Skills!B18</f>
        <v/>
      </c>
      <c r="C552">
        <f>Inputs!$B$3&gt;=100</f>
        <v/>
      </c>
      <c r="D552">
        <f>IF(Skills!C18=1,60+Inputs!$B$25+Inputs!$B$29,IF(Skills!C18=2,90+Inputs!$B$26+Inputs!$B$29,IF(Skills!C18=3,120+Inputs!$B$27+Inputs!$B$29,MAX(0,(Inputs!$B$3-100)*3)+Inputs!$B$28+Inputs!$B$29)))</f>
        <v/>
      </c>
      <c r="E552">
        <f>INDEX(FactorTable!$B$2:$Y$301, MATCH(ROUND(MIN(300,MAX(1,D552)),0), FactorTable!$A$2:$A$301,0), Skills!M18+1)</f>
        <v/>
      </c>
      <c r="F552">
        <f>IF(Skills!N18=TRUE,(Skills!L18/10)*(E552/1000),Skills!L18/10)+Skills!O18</f>
        <v/>
      </c>
      <c r="G552">
        <f>Skills!G18*IF(Skills!H18&gt;0,Skills!I18/Skills!H18,1)</f>
        <v/>
      </c>
      <c r="H552">
        <f>1-(1-Skills!J18/100)^Skills!K18</f>
        <v/>
      </c>
      <c r="I552" t="inlineStr">
        <is>
          <t>1</t>
        </is>
      </c>
      <c r="J552" t="inlineStr"/>
      <c r="K552" t="inlineStr"/>
      <c r="L552" t="inlineStr"/>
      <c r="M552" t="inlineStr"/>
      <c r="N552" t="inlineStr"/>
      <c r="O552">
        <f>(1-Summary!$B$55)*T552+Summary!$B$55*V552</f>
        <v/>
      </c>
      <c r="P552">
        <f>IF(B579=0,0,O552/B579)</f>
        <v/>
      </c>
      <c r="Q552" t="n">
        <v>0</v>
      </c>
      <c r="R552" t="n">
        <v>0</v>
      </c>
      <c r="S552">
        <f>IFERROR(O552/N552,0)</f>
        <v/>
      </c>
      <c r="T552" t="n">
        <v>0</v>
      </c>
      <c r="V552" t="n">
        <v>0</v>
      </c>
    </row>
    <row r="553">
      <c r="A553">
        <f>Skills!A19</f>
        <v/>
      </c>
      <c r="B553">
        <f>Skills!B19</f>
        <v/>
      </c>
      <c r="C553">
        <f>TRUE</f>
        <v/>
      </c>
      <c r="D553">
        <f>IF(Skills!C19=1,60+Inputs!$B$25+Inputs!$B$29,IF(Skills!C19=2,90+Inputs!$B$26+Inputs!$B$29,IF(Skills!C19=3,120+Inputs!$B$27+Inputs!$B$29,MAX(0,(Inputs!$B$3-100)*3)+Inputs!$B$28+Inputs!$B$29)))</f>
        <v/>
      </c>
      <c r="E553">
        <f>INDEX(FactorTable!$B$2:$Y$301, MATCH(ROUND(MIN(300,MAX(1,D553)),0), FactorTable!$A$2:$A$301,0), Skills!M19+1)</f>
        <v/>
      </c>
      <c r="F553">
        <f>IF(Skills!N19=TRUE,(Skills!L19/10)*(E553/1000),Skills!L19/10)+Skills!O19</f>
        <v/>
      </c>
      <c r="G553">
        <f>Skills!G19*IF(Skills!H19&gt;0,Skills!I19/Skills!H19,1)</f>
        <v/>
      </c>
      <c r="H553">
        <f>1-(1-Skills!J19/100)^Skills!K19</f>
        <v/>
      </c>
      <c r="I553" t="inlineStr">
        <is>
          <t>1</t>
        </is>
      </c>
      <c r="J553" t="inlineStr"/>
      <c r="K553" t="inlineStr"/>
      <c r="L553" t="inlineStr"/>
      <c r="M553" t="inlineStr"/>
      <c r="N553" t="inlineStr"/>
      <c r="O553">
        <f>(1-Summary!$B$55)*T553+Summary!$B$55*V553</f>
        <v/>
      </c>
      <c r="P553">
        <f>IF(B579=0,0,O553/B579)</f>
        <v/>
      </c>
      <c r="Q553">
        <f>IFERROR(1/IF(Inputs!$B$39="pvp",15,MAX(0.1,Skills!D19-IF(Skills!E19=TRUE,Inputs!$B$32,0))),0)</f>
        <v/>
      </c>
      <c r="R553">
        <f>IF(AND(Inputs!$B$39&lt;&gt;"pvp",Inputs!$B$44&gt;0),IF(Inputs!$B$44&lt;=0,0,(INT(Inputs!$B$44/IF(Inputs!$B$39="pvp",15,MAX(0.1,Skills!D19-IF(Skills!E19=TRUE,Inputs!$B$32,0))))+1)),0)</f>
        <v/>
      </c>
      <c r="S553">
        <f>IFERROR(O553/N553,0)</f>
        <v/>
      </c>
      <c r="T553" t="n">
        <v>0</v>
      </c>
      <c r="V553" t="n">
        <v>0</v>
      </c>
    </row>
    <row r="554">
      <c r="A554">
        <f>Skills!A20</f>
        <v/>
      </c>
      <c r="B554">
        <f>Skills!B20</f>
        <v/>
      </c>
      <c r="C554">
        <f>Inputs!$B$3&gt;=15</f>
        <v/>
      </c>
      <c r="D554">
        <f>IF(Skills!C20=1,60+Inputs!$B$25+Inputs!$B$29,IF(Skills!C20=2,90+Inputs!$B$26+Inputs!$B$29,IF(Skills!C20=3,120+Inputs!$B$27+Inputs!$B$29,MAX(0,(Inputs!$B$3-100)*3)+Inputs!$B$28+Inputs!$B$29)))</f>
        <v/>
      </c>
      <c r="E554">
        <f>INDEX(FactorTable!$B$2:$Y$301, MATCH(ROUND(MIN(300,MAX(1,D554)),0), FactorTable!$A$2:$A$301,0), Skills!M20+1)</f>
        <v/>
      </c>
      <c r="F554">
        <f>IF(Skills!N20=TRUE,(Skills!L20/10)*(E554/1000),Skills!L20/10)+Skills!O20</f>
        <v/>
      </c>
      <c r="G554">
        <f>Skills!G20*IF(Skills!H20&gt;0,Skills!I20/Skills!H20,1)</f>
        <v/>
      </c>
      <c r="H554">
        <f>1-(1-Skills!J20/100)^Skills!K20</f>
        <v/>
      </c>
      <c r="I554" t="inlineStr">
        <is>
          <t>1</t>
        </is>
      </c>
      <c r="J554" t="inlineStr"/>
      <c r="K554" t="inlineStr"/>
      <c r="L554" t="inlineStr"/>
      <c r="M554" t="inlineStr"/>
      <c r="N554" t="inlineStr"/>
      <c r="O554">
        <f>(1-Summary!$B$55)*T554+Summary!$B$55*V554</f>
        <v/>
      </c>
      <c r="P554">
        <f>IF(B579=0,0,O554/B579)</f>
        <v/>
      </c>
      <c r="Q554">
        <f>IFERROR(1/IF(Inputs!$B$39="pvp",15,MAX(0.1,Skills!D20-IF(Skills!E20=TRUE,Inputs!$B$32,0))),0)</f>
        <v/>
      </c>
      <c r="R554">
        <f>IF(AND(Inputs!$B$39&lt;&gt;"pvp",Inputs!$B$44&gt;0),IF(Inputs!$B$44&lt;=0,0,(INT(Inputs!$B$44/IF(Inputs!$B$39="pvp",15,MAX(0.1,Skills!D20-IF(Skills!E20=TRUE,Inputs!$B$32,0))))+1)),0)</f>
        <v/>
      </c>
      <c r="S554">
        <f>IFERROR(O554/N554,0)</f>
        <v/>
      </c>
      <c r="T554" t="n">
        <v>0</v>
      </c>
      <c r="V554" t="n">
        <v>0</v>
      </c>
    </row>
    <row r="555">
      <c r="A555">
        <f>Skills!A21</f>
        <v/>
      </c>
      <c r="B555">
        <f>Skills!B21</f>
        <v/>
      </c>
      <c r="C555">
        <f>Inputs!$B$3&gt;=15</f>
        <v/>
      </c>
      <c r="D555">
        <f>IF(Skills!C21=1,60+Inputs!$B$25+Inputs!$B$29,IF(Skills!C21=2,90+Inputs!$B$26+Inputs!$B$29,IF(Skills!C21=3,120+Inputs!$B$27+Inputs!$B$29,MAX(0,(Inputs!$B$3-100)*3)+Inputs!$B$28+Inputs!$B$29)))</f>
        <v/>
      </c>
      <c r="E555">
        <f>INDEX(FactorTable!$B$2:$Y$301, MATCH(ROUND(MIN(300,MAX(1,D555)),0), FactorTable!$A$2:$A$301,0), Skills!M21+1)</f>
        <v/>
      </c>
      <c r="F555">
        <f>IF(Skills!N21=TRUE,(Skills!L21/10)*(E555/1000),Skills!L21/10)+Skills!O21</f>
        <v/>
      </c>
      <c r="G555">
        <f>Skills!G21*IF(Skills!H21&gt;0,Skills!I21/Skills!H21,1)</f>
        <v/>
      </c>
      <c r="H555">
        <f>1-(1-Skills!J21/100)^Skills!K21</f>
        <v/>
      </c>
      <c r="I555" t="inlineStr">
        <is>
          <t>1</t>
        </is>
      </c>
      <c r="J555" t="inlineStr"/>
      <c r="K555" t="inlineStr"/>
      <c r="L555" t="inlineStr"/>
      <c r="M555" t="inlineStr"/>
      <c r="N555" t="inlineStr"/>
      <c r="O555">
        <f>(1-Summary!$B$55)*T555+Summary!$B$55*V555</f>
        <v/>
      </c>
      <c r="P555">
        <f>IF(B579=0,0,O555/B579)</f>
        <v/>
      </c>
      <c r="Q555">
        <f>IFERROR(1/IF(Inputs!$B$39="pvp",15,MAX(0.1,Skills!D21-IF(Skills!E21=TRUE,Inputs!$B$32,0))),0)</f>
        <v/>
      </c>
      <c r="R555">
        <f>IF(AND(Inputs!$B$39&lt;&gt;"pvp",Inputs!$B$44&gt;0),IF(Inputs!$B$44&lt;=0,0,(INT(Inputs!$B$44/IF(Inputs!$B$39="pvp",15,MAX(0.1,Skills!D21-IF(Skills!E21=TRUE,Inputs!$B$32,0))))+1)),0)</f>
        <v/>
      </c>
      <c r="S555">
        <f>IFERROR(O555/N555,0)</f>
        <v/>
      </c>
      <c r="T555" t="n">
        <v>0</v>
      </c>
      <c r="V555" t="n">
        <v>0</v>
      </c>
    </row>
    <row r="556">
      <c r="A556">
        <f>Skills!A22</f>
        <v/>
      </c>
      <c r="B556">
        <f>Skills!B22</f>
        <v/>
      </c>
      <c r="C556">
        <f>Inputs!$B$3&gt;=33</f>
        <v/>
      </c>
      <c r="D556">
        <f>IF(Skills!C22=1,60+Inputs!$B$25+Inputs!$B$29,IF(Skills!C22=2,90+Inputs!$B$26+Inputs!$B$29,IF(Skills!C22=3,120+Inputs!$B$27+Inputs!$B$29,MAX(0,(Inputs!$B$3-100)*3)+Inputs!$B$28+Inputs!$B$29)))</f>
        <v/>
      </c>
      <c r="E556">
        <f>INDEX(FactorTable!$B$2:$Y$301, MATCH(ROUND(MIN(300,MAX(1,D556)),0), FactorTable!$A$2:$A$301,0), Skills!M22+1)</f>
        <v/>
      </c>
      <c r="F556">
        <f>IF(Skills!N22=TRUE,(Skills!L22/10)*(E556/1000),Skills!L22/10)+Skills!O22</f>
        <v/>
      </c>
      <c r="G556">
        <f>Skills!G22*IF(Skills!H22&gt;0,Skills!I22/Skills!H22,1)</f>
        <v/>
      </c>
      <c r="H556">
        <f>1-(1-Skills!J22/100)^Skills!K22</f>
        <v/>
      </c>
      <c r="I556" t="inlineStr">
        <is>
          <t>1</t>
        </is>
      </c>
      <c r="J556" t="inlineStr"/>
      <c r="K556" t="inlineStr"/>
      <c r="L556" t="inlineStr"/>
      <c r="M556" t="inlineStr"/>
      <c r="N556" t="inlineStr"/>
      <c r="O556">
        <f>(1-Summary!$B$55)*T556+Summary!$B$55*V556</f>
        <v/>
      </c>
      <c r="P556">
        <f>IF(B579=0,0,O556/B579)</f>
        <v/>
      </c>
      <c r="Q556" t="n">
        <v>0</v>
      </c>
      <c r="R556" t="n">
        <v>0</v>
      </c>
      <c r="S556">
        <f>IFERROR(O556/N556,0)</f>
        <v/>
      </c>
      <c r="T556" t="n">
        <v>0</v>
      </c>
      <c r="V556" t="n">
        <v>0</v>
      </c>
    </row>
    <row r="557">
      <c r="A557">
        <f>Skills!A23</f>
        <v/>
      </c>
      <c r="B557">
        <f>Skills!B23</f>
        <v/>
      </c>
      <c r="C557">
        <f>Inputs!$B$3&gt;=40</f>
        <v/>
      </c>
      <c r="D557">
        <f>IF(Skills!C23=1,60+Inputs!$B$25+Inputs!$B$29,IF(Skills!C23=2,90+Inputs!$B$26+Inputs!$B$29,IF(Skills!C23=3,120+Inputs!$B$27+Inputs!$B$29,MAX(0,(Inputs!$B$3-100)*3)+Inputs!$B$28+Inputs!$B$29)))</f>
        <v/>
      </c>
      <c r="E557">
        <f>INDEX(FactorTable!$B$2:$Y$301, MATCH(ROUND(MIN(300,MAX(1,D557)),0), FactorTable!$A$2:$A$301,0), Skills!M23+1)</f>
        <v/>
      </c>
      <c r="F557">
        <f>IF(Skills!N23=TRUE,(Skills!L23/10)*(E557/1000),Skills!L23/10)+Skills!O23</f>
        <v/>
      </c>
      <c r="G557">
        <f>Skills!G23*IF(Skills!H23&gt;0,Skills!I23/Skills!H23,1)</f>
        <v/>
      </c>
      <c r="H557">
        <f>1-(1-Skills!J23/100)^Skills!K23</f>
        <v/>
      </c>
      <c r="I557" t="inlineStr">
        <is>
          <t>1</t>
        </is>
      </c>
      <c r="J557" t="inlineStr"/>
      <c r="K557" t="inlineStr"/>
      <c r="L557" t="inlineStr"/>
      <c r="M557" t="inlineStr"/>
      <c r="N557" t="inlineStr"/>
      <c r="O557">
        <f>(1-Summary!$B$55)*T557+Summary!$B$55*V557</f>
        <v/>
      </c>
      <c r="P557">
        <f>IF(B579=0,0,O557/B579)</f>
        <v/>
      </c>
      <c r="Q557" t="n">
        <v>0</v>
      </c>
      <c r="R557" t="n">
        <v>0</v>
      </c>
      <c r="S557">
        <f>IFERROR(O557/N557,0)</f>
        <v/>
      </c>
      <c r="T557" t="n">
        <v>0</v>
      </c>
      <c r="V557" t="n">
        <v>0</v>
      </c>
    </row>
    <row r="558">
      <c r="A558">
        <f>Skills!A24</f>
        <v/>
      </c>
      <c r="B558">
        <f>Skills!B24</f>
        <v/>
      </c>
      <c r="C558">
        <f>Inputs!$B$3&gt;=43</f>
        <v/>
      </c>
      <c r="D558">
        <f>IF(Skills!C24=1,60+Inputs!$B$25+Inputs!$B$29,IF(Skills!C24=2,90+Inputs!$B$26+Inputs!$B$29,IF(Skills!C24=3,120+Inputs!$B$27+Inputs!$B$29,MAX(0,(Inputs!$B$3-100)*3)+Inputs!$B$28+Inputs!$B$29)))</f>
        <v/>
      </c>
      <c r="E558">
        <f>INDEX(FactorTable!$B$2:$Y$301, MATCH(ROUND(MIN(300,MAX(1,D558)),0), FactorTable!$A$2:$A$301,0), Skills!M24+1)</f>
        <v/>
      </c>
      <c r="F558">
        <f>IF(Skills!N24=TRUE,(Skills!L24/10)*(E558/1000),Skills!L24/10)+Skills!O24</f>
        <v/>
      </c>
      <c r="G558">
        <f>Skills!G24*IF(Skills!H24&gt;0,Skills!I24/Skills!H24,1)</f>
        <v/>
      </c>
      <c r="H558">
        <f>1-(1-Skills!J24/100)^Skills!K24</f>
        <v/>
      </c>
      <c r="I558" t="inlineStr">
        <is>
          <t>1</t>
        </is>
      </c>
      <c r="J558" t="inlineStr"/>
      <c r="K558" t="inlineStr"/>
      <c r="L558" t="inlineStr"/>
      <c r="M558" t="inlineStr"/>
      <c r="N558" t="inlineStr"/>
      <c r="O558">
        <f>(1-Summary!$B$55)*T558+Summary!$B$55*V558</f>
        <v/>
      </c>
      <c r="P558">
        <f>IF(B579=0,0,O558/B579)</f>
        <v/>
      </c>
      <c r="Q558" t="n">
        <v>0</v>
      </c>
      <c r="R558" t="n">
        <v>0</v>
      </c>
      <c r="S558">
        <f>IFERROR(O558/N558,0)</f>
        <v/>
      </c>
      <c r="T558" t="n">
        <v>0</v>
      </c>
      <c r="V558" t="n">
        <v>0</v>
      </c>
    </row>
    <row r="559">
      <c r="A559">
        <f>Skills!A25</f>
        <v/>
      </c>
      <c r="B559">
        <f>Skills!B25</f>
        <v/>
      </c>
      <c r="C559">
        <f>Inputs!$B$3&gt;=50</f>
        <v/>
      </c>
      <c r="D559">
        <f>IF(Skills!C25=1,60+Inputs!$B$25+Inputs!$B$29,IF(Skills!C25=2,90+Inputs!$B$26+Inputs!$B$29,IF(Skills!C25=3,120+Inputs!$B$27+Inputs!$B$29,MAX(0,(Inputs!$B$3-100)*3)+Inputs!$B$28+Inputs!$B$29)))</f>
        <v/>
      </c>
      <c r="E559">
        <f>INDEX(FactorTable!$B$2:$Y$301, MATCH(ROUND(MIN(300,MAX(1,D559)),0), FactorTable!$A$2:$A$301,0), Skills!M25+1)</f>
        <v/>
      </c>
      <c r="F559">
        <f>IF(Skills!N25=TRUE,(Skills!L25/10)*(E559/1000),Skills!L25/10)+Skills!O25</f>
        <v/>
      </c>
      <c r="G559">
        <f>Skills!G25*IF(Skills!H25&gt;0,Skills!I25/Skills!H25,1)</f>
        <v/>
      </c>
      <c r="H559">
        <f>1-(1-Skills!J25/100)^Skills!K25</f>
        <v/>
      </c>
      <c r="I559" t="inlineStr">
        <is>
          <t>1</t>
        </is>
      </c>
      <c r="J559" t="inlineStr"/>
      <c r="K559" t="inlineStr"/>
      <c r="L559" t="inlineStr"/>
      <c r="M559" t="inlineStr"/>
      <c r="N559" t="inlineStr"/>
      <c r="O559">
        <f>(1-Summary!$B$55)*T559+Summary!$B$55*V559</f>
        <v/>
      </c>
      <c r="P559">
        <f>IF(B579=0,0,O559/B579)</f>
        <v/>
      </c>
      <c r="Q559" t="n">
        <v>0</v>
      </c>
      <c r="R559" t="n">
        <v>0</v>
      </c>
      <c r="S559">
        <f>IFERROR(O559/N559,0)</f>
        <v/>
      </c>
      <c r="T559" t="n">
        <v>0</v>
      </c>
      <c r="V559" t="n">
        <v>0</v>
      </c>
    </row>
    <row r="560">
      <c r="A560">
        <f>Skills!A26</f>
        <v/>
      </c>
      <c r="B560">
        <f>Skills!B26</f>
        <v/>
      </c>
      <c r="C560">
        <f>Inputs!$B$3&gt;=50</f>
        <v/>
      </c>
      <c r="D560">
        <f>IF(Skills!C26=1,60+Inputs!$B$25+Inputs!$B$29,IF(Skills!C26=2,90+Inputs!$B$26+Inputs!$B$29,IF(Skills!C26=3,120+Inputs!$B$27+Inputs!$B$29,MAX(0,(Inputs!$B$3-100)*3)+Inputs!$B$28+Inputs!$B$29)))</f>
        <v/>
      </c>
      <c r="E560">
        <f>INDEX(FactorTable!$B$2:$Y$301, MATCH(ROUND(MIN(300,MAX(1,D560)),0), FactorTable!$A$2:$A$301,0), Skills!M26+1)</f>
        <v/>
      </c>
      <c r="F560">
        <f>IF(Skills!N26=TRUE,(Skills!L26/10)*(E560/1000),Skills!L26/10)+Skills!O26</f>
        <v/>
      </c>
      <c r="G560">
        <f>Skills!G26*IF(Skills!H26&gt;0,Skills!I26/Skills!H26,1)</f>
        <v/>
      </c>
      <c r="H560">
        <f>1-(1-Skills!J26/100)^Skills!K26</f>
        <v/>
      </c>
      <c r="I560" t="inlineStr">
        <is>
          <t>1</t>
        </is>
      </c>
      <c r="J560" t="inlineStr"/>
      <c r="K560" t="inlineStr"/>
      <c r="L560" t="inlineStr"/>
      <c r="M560" t="inlineStr"/>
      <c r="N560" t="inlineStr"/>
      <c r="O560">
        <f>(1-Summary!$B$55)*T560+Summary!$B$55*V560</f>
        <v/>
      </c>
      <c r="P560">
        <f>IF(B579=0,0,O560/B579)</f>
        <v/>
      </c>
      <c r="Q560" t="n">
        <v>0</v>
      </c>
      <c r="R560" t="n">
        <v>0</v>
      </c>
      <c r="S560">
        <f>IFERROR(O560/N560,0)</f>
        <v/>
      </c>
      <c r="T560" t="n">
        <v>0</v>
      </c>
      <c r="V560" t="n">
        <v>0</v>
      </c>
    </row>
    <row r="561">
      <c r="A561">
        <f>Skills!A27</f>
        <v/>
      </c>
      <c r="B561">
        <f>Skills!B27</f>
        <v/>
      </c>
      <c r="C561">
        <f>Inputs!$B$3&gt;=38</f>
        <v/>
      </c>
      <c r="D561">
        <f>IF(Skills!C27=1,60+Inputs!$B$25+Inputs!$B$29,IF(Skills!C27=2,90+Inputs!$B$26+Inputs!$B$29,IF(Skills!C27=3,120+Inputs!$B$27+Inputs!$B$29,MAX(0,(Inputs!$B$3-100)*3)+Inputs!$B$28+Inputs!$B$29)))</f>
        <v/>
      </c>
      <c r="E561">
        <f>INDEX(FactorTable!$B$2:$Y$301, MATCH(ROUND(MIN(300,MAX(1,D561)),0), FactorTable!$A$2:$A$301,0), Skills!M27+1)</f>
        <v/>
      </c>
      <c r="F561">
        <f>IF(Skills!N27=TRUE,(Skills!L27/10)*(E561/1000),Skills!L27/10)+Skills!O27</f>
        <v/>
      </c>
      <c r="G561">
        <f>Skills!G27*IF(Skills!H27&gt;0,Skills!I27/Skills!H27,1)</f>
        <v/>
      </c>
      <c r="H561">
        <f>1-(1-Skills!J27/100)^Skills!K27</f>
        <v/>
      </c>
      <c r="I561" t="inlineStr">
        <is>
          <t>1</t>
        </is>
      </c>
      <c r="J561" t="inlineStr"/>
      <c r="K561" t="inlineStr"/>
      <c r="L561" t="inlineStr"/>
      <c r="M561" t="inlineStr"/>
      <c r="N561" t="inlineStr"/>
      <c r="O561">
        <f>(1-Summary!$B$55)*T561+Summary!$B$55*V561</f>
        <v/>
      </c>
      <c r="P561">
        <f>IF(B579=0,0,O561/B579)</f>
        <v/>
      </c>
      <c r="Q561" t="n">
        <v>0</v>
      </c>
      <c r="R561" t="n">
        <v>0</v>
      </c>
      <c r="S561">
        <f>IFERROR(O561/N561,0)</f>
        <v/>
      </c>
      <c r="T561" t="n">
        <v>0</v>
      </c>
      <c r="V561" t="n">
        <v>0</v>
      </c>
    </row>
    <row r="562">
      <c r="A562">
        <f>Skills!A28</f>
        <v/>
      </c>
      <c r="B562">
        <f>Skills!B28</f>
        <v/>
      </c>
      <c r="C562">
        <f>Inputs!$B$3&gt;=120</f>
        <v/>
      </c>
      <c r="D562">
        <f>IF(Skills!C28=1,60+Inputs!$B$25+Inputs!$B$29,IF(Skills!C28=2,90+Inputs!$B$26+Inputs!$B$29,IF(Skills!C28=3,120+Inputs!$B$27+Inputs!$B$29,MAX(0,(Inputs!$B$3-100)*3)+Inputs!$B$28+Inputs!$B$29)))</f>
        <v/>
      </c>
      <c r="E562">
        <f>INDEX(FactorTable!$B$2:$Y$301, MATCH(ROUND(MIN(300,MAX(1,D562)),0), FactorTable!$A$2:$A$301,0), Skills!M28+1)</f>
        <v/>
      </c>
      <c r="F562">
        <f>IF(Skills!N28=TRUE,(Skills!L28/10)*(E562/1000),Skills!L28/10)+Skills!O28</f>
        <v/>
      </c>
      <c r="G562">
        <f>Skills!G28*IF(Skills!H28&gt;0,Skills!I28/Skills!H28,1)</f>
        <v/>
      </c>
      <c r="H562">
        <f>1-(1-Skills!J28/100)^Skills!K28</f>
        <v/>
      </c>
      <c r="I562" t="inlineStr">
        <is>
          <t>1</t>
        </is>
      </c>
      <c r="J562" t="inlineStr"/>
      <c r="K562" t="inlineStr"/>
      <c r="L562" t="inlineStr"/>
      <c r="M562" t="inlineStr"/>
      <c r="N562" t="inlineStr"/>
      <c r="O562">
        <f>(1-Summary!$B$55)*T562+Summary!$B$55*V562</f>
        <v/>
      </c>
      <c r="P562">
        <f>IF(B579=0,0,O562/B579)</f>
        <v/>
      </c>
      <c r="Q562" t="n">
        <v>0</v>
      </c>
      <c r="R562" t="n">
        <v>0</v>
      </c>
      <c r="S562">
        <f>IFERROR(O562/N562,0)</f>
        <v/>
      </c>
      <c r="T562" t="n">
        <v>0</v>
      </c>
      <c r="V562" t="n">
        <v>0</v>
      </c>
    </row>
    <row r="563">
      <c r="A563">
        <f>Skills!A29</f>
        <v/>
      </c>
      <c r="B563">
        <f>Skills!B29</f>
        <v/>
      </c>
      <c r="C563">
        <f>Inputs!$B$3&gt;=120</f>
        <v/>
      </c>
      <c r="D563">
        <f>IF(Skills!C29=1,60+Inputs!$B$25+Inputs!$B$29,IF(Skills!C29=2,90+Inputs!$B$26+Inputs!$B$29,IF(Skills!C29=3,120+Inputs!$B$27+Inputs!$B$29,MAX(0,(Inputs!$B$3-100)*3)+Inputs!$B$28+Inputs!$B$29)))</f>
        <v/>
      </c>
      <c r="E563">
        <f>INDEX(FactorTable!$B$2:$Y$301, MATCH(ROUND(MIN(300,MAX(1,D563)),0), FactorTable!$A$2:$A$301,0), Skills!M29+1)</f>
        <v/>
      </c>
      <c r="F563">
        <f>IF(Skills!N29=TRUE,(Skills!L29/10)*(E563/1000),Skills!L29/10)+Skills!O29</f>
        <v/>
      </c>
      <c r="G563">
        <f>Skills!G29*IF(Skills!H29&gt;0,Skills!I29/Skills!H29,1)</f>
        <v/>
      </c>
      <c r="H563">
        <f>1-(1-Skills!J29/100)^Skills!K29</f>
        <v/>
      </c>
      <c r="I563" t="inlineStr">
        <is>
          <t>1</t>
        </is>
      </c>
      <c r="J563" t="inlineStr"/>
      <c r="K563" t="inlineStr"/>
      <c r="L563" t="inlineStr"/>
      <c r="M563" t="inlineStr"/>
      <c r="N563" t="inlineStr"/>
      <c r="O563">
        <f>(1-Summary!$B$55)*T563+Summary!$B$55*V563</f>
        <v/>
      </c>
      <c r="P563">
        <f>IF(B579=0,0,O563/B579)</f>
        <v/>
      </c>
      <c r="Q563" t="n">
        <v>0</v>
      </c>
      <c r="R563" t="n">
        <v>0</v>
      </c>
      <c r="S563">
        <f>IFERROR(O563/N563,0)</f>
        <v/>
      </c>
      <c r="T563" t="n">
        <v>0</v>
      </c>
      <c r="V563" t="n">
        <v>0</v>
      </c>
    </row>
    <row r="564">
      <c r="A564">
        <f>Skills!A30</f>
        <v/>
      </c>
      <c r="B564">
        <f>Skills!B30</f>
        <v/>
      </c>
      <c r="C564">
        <f>Inputs!$B$3&gt;=125</f>
        <v/>
      </c>
      <c r="D564">
        <f>IF(Skills!C30=1,60+Inputs!$B$25+Inputs!$B$29,IF(Skills!C30=2,90+Inputs!$B$26+Inputs!$B$29,IF(Skills!C30=3,120+Inputs!$B$27+Inputs!$B$29,MAX(0,(Inputs!$B$3-100)*3)+Inputs!$B$28+Inputs!$B$29)))</f>
        <v/>
      </c>
      <c r="E564">
        <f>INDEX(FactorTable!$B$2:$Y$301, MATCH(ROUND(MIN(300,MAX(1,D564)),0), FactorTable!$A$2:$A$301,0), Skills!M30+1)</f>
        <v/>
      </c>
      <c r="F564">
        <f>IF(Skills!N30=TRUE,(Skills!L30/10)*(E564/1000),Skills!L30/10)+Skills!O30</f>
        <v/>
      </c>
      <c r="G564">
        <f>Skills!G30*IF(Skills!H30&gt;0,Skills!I30/Skills!H30,1)</f>
        <v/>
      </c>
      <c r="H564">
        <f>1-(1-Skills!J30/100)^Skills!K30</f>
        <v/>
      </c>
      <c r="I564" t="inlineStr">
        <is>
          <t>1</t>
        </is>
      </c>
      <c r="J564" t="inlineStr"/>
      <c r="K564" t="inlineStr"/>
      <c r="L564" t="inlineStr"/>
      <c r="M564" t="inlineStr"/>
      <c r="N564" t="inlineStr"/>
      <c r="O564">
        <f>(1-Summary!$B$55)*T564+Summary!$B$55*V564</f>
        <v/>
      </c>
      <c r="P564">
        <f>IF(B579=0,0,O564/B579)</f>
        <v/>
      </c>
      <c r="Q564" t="n">
        <v>0</v>
      </c>
      <c r="R564" t="n">
        <v>0</v>
      </c>
      <c r="S564">
        <f>IFERROR(O564/N564,0)</f>
        <v/>
      </c>
      <c r="T564" t="n">
        <v>0</v>
      </c>
      <c r="V564" t="n">
        <v>0</v>
      </c>
    </row>
    <row r="566">
      <c r="A566" t="inlineStr">
        <is>
          <t>Average Buff Multiplier</t>
        </is>
      </c>
      <c r="B566">
        <f>(1+(((C555=TRUE)*F555*IF(AND(Inputs!$B$39&lt;&gt;"pvp",Inputs!$B$44&gt;0),(((R555-1)*(Skills!Y21*(1+Inputs!$B$34/100))+MIN((Skills!Y21*(1+Inputs!$B$34/100)),MAX(0,Inputs!$B$44-((R555-1)*Skills!D21))))/Inputs!$B$44),IF(Inputs!$B$39="pvp",MIN((Skills!Y21*(1+Inputs!$B$34/100)),15)/15,(Skills!Y21*(1+Inputs!$B$34/100))/Skills!D21)))+((C557=TRUE)*(F557-Calc!F23))+((C551=TRUE)*(F551-Calc!F17)))/100)*(1+((C544=TRUE)*F544*IF(AND(Inputs!$B$39&lt;&gt;"pvp",Inputs!$B$44&gt;0),(((R544-1)*(Skills!Y10*(1+Inputs!$B$34/100))+MIN((Skills!Y10*(1+Inputs!$B$34/100)),MAX(0,Inputs!$B$44-((R544-1)*Skills!D10))))/Inputs!$B$44),IF(Inputs!$B$39="pvp",MIN((Skills!Y10*(1+Inputs!$B$34/100)),15)/15,(Skills!Y10*(1+Inputs!$B$34/100))/Skills!D10)))/100)*(1+((C549=TRUE)*F549*IF(AND(Inputs!$B$39&lt;&gt;"pvp",Inputs!$B$44&gt;0),(((R549-1)*(Skills!Y15*(1+Inputs!$B$34/100))+MIN((Skills!Y15*(1+Inputs!$B$34/100)),MAX(0,Inputs!$B$44-((R549-1)*Skills!D15))))/Inputs!$B$44),IF(Inputs!$B$39="pvp",MIN((Skills!Y15*(1+Inputs!$B$34/100)),15)/15,(Skills!Y15*(1+Inputs!$B$34/100))/Skills!D15)))/100)</f>
        <v/>
      </c>
    </row>
    <row r="567">
      <c r="A567" t="inlineStr">
        <is>
          <t>Global Crit Rate Bonus %</t>
        </is>
      </c>
      <c r="B567">
        <f>((C554=TRUE)*F554*IF(AND(Inputs!$B$39&lt;&gt;"pvp",Inputs!$B$44&gt;0),(((R554-1)*(Skills!Y20*(1+Inputs!$B$34/100))+MIN((Skills!Y20*(1+Inputs!$B$34/100)),MAX(0,Inputs!$B$44-((R554-1)*Skills!D20))))/Inputs!$B$44),IF(Inputs!$B$39="pvp",MIN((Skills!Y20*(1+Inputs!$B$34/100)),15)/15,(Skills!Y20*(1+Inputs!$B$34/100))/Skills!D20)))</f>
        <v/>
      </c>
    </row>
    <row r="568">
      <c r="A568" t="inlineStr">
        <is>
          <t>Global Monster Damage-Taken Bonus %</t>
        </is>
      </c>
      <c r="B568">
        <f>IF(Inputs!$B$3&gt;=82,15,0)</f>
        <v/>
      </c>
    </row>
    <row r="569">
      <c r="A569" t="inlineStr">
        <is>
          <t>Shadow Partner Average Multiplier</t>
        </is>
      </c>
      <c r="B569">
        <f>1+((C541=TRUE)*F541*(1+3.3333333333333335*IF(C552=TRUE,F552,0)/100)*I541*Skills!J7/100)/100</f>
        <v/>
      </c>
    </row>
    <row r="570">
      <c r="A570" t="inlineStr">
        <is>
          <t>Attack Speed Buff Bonus %</t>
        </is>
      </c>
      <c r="B570">
        <f>((C553=TRUE)*F553*IF(AND(Inputs!$B$39&lt;&gt;"pvp",Inputs!$B$44&gt;0),(((R553-1)*(Skills!Y19*(1+Inputs!$B$34/100))+MIN((Skills!Y19*(1+Inputs!$B$34/100)),MAX(0,Inputs!$B$44-((R553-1)*Skills!D19))))/Inputs!$B$44),IF(Inputs!$B$39="pvp",MIN((Skills!Y19*(1+Inputs!$B$34/100)),15)/15,(Skills!Y19*(1+Inputs!$B$34/100))/Skills!D19)))+((C537=TRUE)*F537*3)</f>
        <v/>
      </c>
    </row>
    <row r="571">
      <c r="A571" t="inlineStr">
        <is>
          <t>Actions Per Second</t>
        </is>
      </c>
      <c r="B571">
        <f>1+MIN(150,150*(1-(1-(Inputs!$B$11+((C556=TRUE)*(F556-Calc!F22)))/150)*(1-B570/150)))/100</f>
        <v/>
      </c>
    </row>
    <row r="572">
      <c r="A572" t="inlineStr">
        <is>
          <t>Skill + Buff Cast Rate</t>
        </is>
      </c>
      <c r="B572">
        <f>IF(AND(Inputs!$B$39&lt;&gt;"pvp",Inputs!$B$44&gt;0),SUMPRODUCT((Skills!E2:E30=TRUE)*(C536:C564=TRUE)*R536:R564*Skills!F2:F30)/Inputs!$B$44,SUMPRODUCT((Skills!E2:E30=TRUE)*(C536:C564=TRUE)*Q536:Q564*Skills!F2:F30))</f>
        <v/>
      </c>
    </row>
    <row r="573">
      <c r="A573" t="inlineStr">
        <is>
          <t>Cruel Stab Casts Per Second</t>
        </is>
      </c>
      <c r="B573">
        <f>MAX(0,B571-B572)</f>
        <v/>
      </c>
    </row>
    <row r="574">
      <c r="A574" t="inlineStr">
        <is>
          <t>Global Critical Damage Bonus % (Smokescreen Mastery Lv.113)</t>
        </is>
      </c>
      <c r="B574">
        <f>IF(Inputs!$B$3&gt;=113,30,0)*IF(AND(Inputs!$B$39&lt;&gt;"pvp",Inputs!$B$44&gt;0),(((R549-1)*(Skills!Y15*(1+Inputs!$B$34/100))+MIN((Skills!Y15*(1+Inputs!$B$34/100)),MAX(0,Inputs!$B$44-((R549-1)*Skills!D15))))/Inputs!$B$44),IF(Inputs!$B$39="pvp",MIN((Skills!Y15*(1+Inputs!$B$34/100)),15)/15,(Skills!Y15*(1+Inputs!$B$34/100))/Skills!D15))</f>
        <v/>
      </c>
    </row>
    <row r="575">
      <c r="A575" t="inlineStr">
        <is>
          <t>Meso Explosion average stack count</t>
        </is>
      </c>
      <c r="B575">
        <f>MIN(10,0.5*B571*Skills!D4)</f>
        <v/>
      </c>
    </row>
    <row r="576">
      <c r="A576" t="inlineStr">
        <is>
          <t>Blood Money average stack count</t>
        </is>
      </c>
      <c r="B576">
        <f>MIN(5,0.25*B571*Skills!D4)</f>
        <v/>
      </c>
    </row>
    <row r="577">
      <c r="A577" t="inlineStr">
        <is>
          <t>Assassinate Murderous Intent Multiplier</t>
        </is>
      </c>
      <c r="B577">
        <f>1+IFERROR(MIN(1,Q548*2/Q545),0)</f>
        <v/>
      </c>
    </row>
    <row r="578">
      <c r="A578" t="inlineStr">
        <is>
          <t>Buff-Casting Startup Delay (s, fixed-duration only)</t>
        </is>
      </c>
      <c r="B578">
        <f>IF(AND(Inputs!$B$39&lt;&gt;"pvp",Inputs!$B$44&gt;0),SUMPRODUCT((Skills!Y2:Y30&gt;0)*(Skills!E2:E30=TRUE)*(C536:C564=TRUE))/B571,0)</f>
        <v/>
      </c>
    </row>
    <row r="579">
      <c r="A579" s="5" t="inlineStr">
        <is>
          <t>TOTAL DPS</t>
        </is>
      </c>
      <c r="B579" s="5">
        <f>SUM(O536:O564)</f>
        <v/>
      </c>
    </row>
    <row r="580">
      <c r="A580" t="inlineStr">
        <is>
          <t>Boss-Only Total DPS (this block's swept value)</t>
        </is>
      </c>
      <c r="B580">
        <f>SUM(T536:T564)</f>
        <v/>
      </c>
    </row>
    <row r="581">
      <c r="A581" t="inlineStr">
        <is>
          <t>Normal-Only Total DPS (this block's swept value)</t>
        </is>
      </c>
      <c r="B581">
        <f>SUM(V536:V564)</f>
        <v/>
      </c>
    </row>
    <row r="584">
      <c r="A584" s="5" t="inlineStr">
        <is>
          <t>Stat: CRIT_DAMAGE %</t>
        </is>
      </c>
    </row>
    <row r="585">
      <c r="A585" s="9" t="inlineStr">
        <is>
          <t>Key</t>
        </is>
      </c>
      <c r="B585" s="9" t="inlineStr">
        <is>
          <t>Name</t>
        </is>
      </c>
      <c r="C585" s="9" t="inlineStr">
        <is>
          <t>Unlocked</t>
        </is>
      </c>
      <c r="D585" s="9" t="inlineStr">
        <is>
          <t>InputLevel</t>
        </is>
      </c>
      <c r="E585" s="9" t="inlineStr">
        <is>
          <t>Factor</t>
        </is>
      </c>
      <c r="F585" s="9" t="inlineStr">
        <is>
          <t>CoefficientPercent</t>
        </is>
      </c>
      <c r="G585" s="9" t="inlineStr">
        <is>
          <t>EffectiveHits</t>
        </is>
      </c>
      <c r="H585" s="9" t="inlineStr">
        <is>
          <t>ProcProbability</t>
        </is>
      </c>
      <c r="I585" s="9" t="inlineStr">
        <is>
          <t>MapleHeroMultiplier</t>
        </is>
      </c>
      <c r="J585" s="9" t="inlineStr">
        <is>
          <t>BaseDamage</t>
        </is>
      </c>
      <c r="K585" s="9" t="inlineStr">
        <is>
          <t>BaseHitDamage</t>
        </is>
      </c>
      <c r="L585" s="9" t="inlineStr">
        <is>
          <t>NonCritAvg</t>
        </is>
      </c>
      <c r="M585" s="9" t="inlineStr">
        <is>
          <t>CritAvg</t>
        </is>
      </c>
      <c r="N585" s="9" t="inlineStr">
        <is>
          <t>ExpectedDamage(perHit)</t>
        </is>
      </c>
      <c r="O585" s="9" t="inlineStr">
        <is>
          <t>DPS</t>
        </is>
      </c>
      <c r="P585" s="9" t="inlineStr">
        <is>
          <t>% of Total</t>
        </is>
      </c>
      <c r="Q585" s="9" t="inlineStr">
        <is>
          <t>InvCooldown</t>
        </is>
      </c>
      <c r="R585" s="9" t="inlineStr">
        <is>
          <t>CastsInFight</t>
        </is>
      </c>
      <c r="S585" s="9" t="inlineStr">
        <is>
          <t>HitRate(perSec)</t>
        </is>
      </c>
      <c r="U585" t="inlineStr">
        <is>
          <t>helpers</t>
        </is>
      </c>
    </row>
    <row r="586">
      <c r="A586">
        <f>Skills!A2</f>
        <v/>
      </c>
      <c r="B586">
        <f>Skills!B2</f>
        <v/>
      </c>
      <c r="C586">
        <f>Inputs!$B$3&gt;=100</f>
        <v/>
      </c>
      <c r="D586" t="inlineStr"/>
      <c r="E586" t="inlineStr"/>
      <c r="F586">
        <f>U588+Skills!O2</f>
        <v/>
      </c>
      <c r="G586">
        <f>Skills!G2*IF(Skills!H2&gt;0,Skills!I2/Skills!H2,1)</f>
        <v/>
      </c>
      <c r="H586">
        <f>1-(1-Skills!J2/100)^Skills!K2</f>
        <v/>
      </c>
      <c r="I586" t="inlineStr">
        <is>
          <t>1</t>
        </is>
      </c>
      <c r="J586">
        <f>((Inputs!$B$6*(1+Inputs!$B$7/100))+(((Inputs!$B$12*(1+Inputs!$B$13/100))-(Inputs!$B$12*(1+Inputs!$B$13/100)))+0.25*(Inputs!$B$14-Inputs!$B$14))*(1+Inputs!$B$7/100))*(F586/100)</f>
        <v/>
      </c>
      <c r="K586">
        <f>J586*(1+((Inputs!$B$12*(1+Inputs!$B$13/100))*0.01+Inputs!$B$14*0.0025)/100)*(1+Inputs!$B$15/100)*(1+Inputs!$B$16/100)*(5000/(6000+Inputs!$B$43*(1-Inputs!$B$19/100)))*(1+(Inputs!$B$24+((C614=TRUE)*(F614-Calc!F30)))/100)*(1+(IF(Skills!A2="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586)</f>
        <v/>
      </c>
      <c r="L586">
        <f>K586*(MIN(Inputs!$B$22+((C608=TRUE)*(F608-Calc!F24)),Inputs!$B$23+((C613=TRUE)*(F613-Calc!F29)))/100+(Inputs!$B$23+((C613=TRUE)*(F613-Calc!F29)))/100)/2</f>
        <v/>
      </c>
      <c r="M586">
        <f>L586*(1+((Inputs!$B$10+1)+((C610=TRUE)*(F610-Calc!F26))+B624)/100)</f>
        <v/>
      </c>
      <c r="N586">
        <f>L586*(1-MIN((Inputs!$B$9+((C609=TRUE)*(F609-Calc!F25))+B617),100)/100)+M586*(MIN((Inputs!$B$9+((C609=TRUE)*(F609-Calc!F25))+B617),100)/100)</f>
        <v/>
      </c>
      <c r="O586">
        <f>(1-Summary!$B$55)*T586+Summary!$B$55*V586</f>
        <v/>
      </c>
      <c r="P586">
        <f>IF(B629=0,0,O586/B629)</f>
        <v/>
      </c>
      <c r="Q586" t="n">
        <v>0</v>
      </c>
      <c r="R586" t="n">
        <v>0</v>
      </c>
      <c r="S586">
        <f>IFERROR(O586/N586,0)</f>
        <v/>
      </c>
      <c r="T586">
        <f>IF(C586,(Skills!G2*N586*B623)*IF(Inputs!$B$39="pvp",1,1+(Inputs!$B$20+0+Skills!P2+B618)/100),0)</f>
        <v/>
      </c>
      <c r="U586">
        <f>MAX(0,(Inputs!$B$3-100)*3)+Inputs!$B$28+Inputs!$B$29</f>
        <v/>
      </c>
      <c r="V586">
        <f>IF(C586,(Skills!G2*N586*B623)*IF(Inputs!$B$39="pvp",1,(1+(Inputs!$B$21+Skills!Q2+B618)/100)*(MIN((6+Inputs!$B$33),Inputs!$B$37))),0)</f>
        <v/>
      </c>
    </row>
    <row r="587">
      <c r="A587">
        <f>Skills!A3</f>
        <v/>
      </c>
      <c r="B587">
        <f>Skills!B3</f>
        <v/>
      </c>
      <c r="C587">
        <f>Inputs!$B$3&gt;=35</f>
        <v/>
      </c>
      <c r="D587">
        <f>IF(Skills!C3=1,60+Inputs!$B$25+Inputs!$B$29,IF(Skills!C3=2,90+Inputs!$B$26+Inputs!$B$29,IF(Skills!C3=3,120+Inputs!$B$27+Inputs!$B$29,MAX(0,(Inputs!$B$3-100)*3)+Inputs!$B$28+Inputs!$B$29)))</f>
        <v/>
      </c>
      <c r="E587">
        <f>INDEX(FactorTable!$B$2:$Y$301, MATCH(ROUND(MIN(300,MAX(1,D587)),0), FactorTable!$A$2:$A$301,0), Skills!M3+1)</f>
        <v/>
      </c>
      <c r="F587">
        <f>IF(Skills!N3=TRUE,(Skills!L3/10)*(E587/1000),Skills!L3/10)+Skills!O3</f>
        <v/>
      </c>
      <c r="G587">
        <f>Skills!G3*IF(Skills!H3&gt;0,Skills!I3/Skills!H3,1)</f>
        <v/>
      </c>
      <c r="H587">
        <f>1-(1-Skills!J3/100)^Skills!K3</f>
        <v/>
      </c>
      <c r="I587" t="inlineStr">
        <is>
          <t>1</t>
        </is>
      </c>
      <c r="J587" t="inlineStr"/>
      <c r="K587" t="inlineStr"/>
      <c r="L587" t="inlineStr"/>
      <c r="M587" t="inlineStr"/>
      <c r="N587" t="inlineStr"/>
      <c r="O587">
        <f>(1-Summary!$B$55)*T587+Summary!$B$55*V587</f>
        <v/>
      </c>
      <c r="P587">
        <f>IF(B629=0,0,O587/B629)</f>
        <v/>
      </c>
      <c r="Q587" t="n">
        <v>0</v>
      </c>
      <c r="R587" t="n">
        <v>0</v>
      </c>
      <c r="S587">
        <f>IFERROR(O587/N587,0)</f>
        <v/>
      </c>
      <c r="T587" t="n">
        <v>0</v>
      </c>
      <c r="U587">
        <f>INDEX(FactorTable!$B$2:$Y$301, MATCH(ROUND(MIN(300,MAX(1,U586)),0), FactorTable!$A$2:$A$301,0), 22)</f>
        <v/>
      </c>
      <c r="V587" t="n">
        <v>0</v>
      </c>
    </row>
    <row r="588">
      <c r="A588">
        <f>Skills!A4</f>
        <v/>
      </c>
      <c r="B588">
        <f>Skills!B4</f>
        <v/>
      </c>
      <c r="C588">
        <f>Inputs!$B$3&gt;=66</f>
        <v/>
      </c>
      <c r="D588">
        <f>IF(Skills!C4=1,60+Inputs!$B$25+Inputs!$B$29,IF(Skills!C4=2,90+Inputs!$B$26+Inputs!$B$29,IF(Skills!C4=3,120+Inputs!$B$27+Inputs!$B$29,MAX(0,(Inputs!$B$3-100)*3)+Inputs!$B$28+Inputs!$B$29)))</f>
        <v/>
      </c>
      <c r="E588">
        <f>INDEX(FactorTable!$B$2:$Y$301, MATCH(ROUND(MIN(300,MAX(1,D588)),0), FactorTable!$A$2:$A$301,0), Skills!M4+1)</f>
        <v/>
      </c>
      <c r="F588">
        <f>IF(Skills!N4=TRUE,(Skills!L4/10)*(E588/1000),Skills!L4/10)+Skills!O4</f>
        <v/>
      </c>
      <c r="G588">
        <f>Skills!G4*IF(Skills!H4&gt;0,Skills!I4/Skills!H4,1)</f>
        <v/>
      </c>
      <c r="H588">
        <f>1-(1-Skills!J4/100)^Skills!K4</f>
        <v/>
      </c>
      <c r="I588" t="inlineStr">
        <is>
          <t>1</t>
        </is>
      </c>
      <c r="J588">
        <f>((Inputs!$B$6*(1+Inputs!$B$7/100))+(((Inputs!$B$12*(1+Inputs!$B$13/100))-(Inputs!$B$12*(1+Inputs!$B$13/100)))+0.25*(Inputs!$B$14-Inputs!$B$14))*(1+Inputs!$B$7/100))*(F588/100)</f>
        <v/>
      </c>
      <c r="K588">
        <f>J588*(1+((Inputs!$B$12*(1+Inputs!$B$13/100))*0.01+Inputs!$B$14*0.0025)/100)*(1+Inputs!$B$15/100)*(1+Inputs!$B$16/100)*(5000/(6000+Inputs!$B$43*(1-Inputs!$B$19/100)))*(1+(Inputs!$B$24+((C614=TRUE)*(F614-Calc!F30)))/100)*(1+(IF(Skills!A4="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588)</f>
        <v/>
      </c>
      <c r="L588">
        <f>K588*(MIN(Inputs!$B$22+((C608=TRUE)*(F608-Calc!F24)),Inputs!$B$23+((C613=TRUE)*(F613-Calc!F29)))/100+(Inputs!$B$23+((C613=TRUE)*(F613-Calc!F29)))/100)/2</f>
        <v/>
      </c>
      <c r="M588">
        <f>L588*(1+((Inputs!$B$10+1)+((C610=TRUE)*(F610-Calc!F26))+B624)/100)</f>
        <v/>
      </c>
      <c r="N588">
        <f>L588*(1-MIN((Inputs!$B$9+((C609=TRUE)*(F609-Calc!F25))+B617),100)/100)+M588*(MIN((Inputs!$B$9+((C609=TRUE)*(F609-Calc!F25))+B617),100)/100)</f>
        <v/>
      </c>
      <c r="O588">
        <f>(1-Summary!$B$55)*T588+Summary!$B$55*V588</f>
        <v/>
      </c>
      <c r="P588">
        <f>IF(B629=0,0,O588/B629)</f>
        <v/>
      </c>
      <c r="Q588">
        <f>IFERROR(1/IF(Inputs!$B$39="pvp",15,MAX(0.1,Skills!D4-IF(Skills!E4=TRUE,Inputs!$B$32,0))),0)</f>
        <v/>
      </c>
      <c r="R588">
        <f>IF(AND(Inputs!$B$39&lt;&gt;"pvp",Inputs!$B$44&gt;0),IF(MAX(0,Inputs!$B$44-B628)&lt;=0,0,(INT(MAX(0,Inputs!$B$44-B628)/IF(Inputs!$B$39="pvp",15,MAX(0.1,Skills!D4-IF(Skills!E4=TRUE,Inputs!$B$32,0))))+1)),0)</f>
        <v/>
      </c>
      <c r="S588">
        <f>IFERROR(O588/N588,0)</f>
        <v/>
      </c>
      <c r="T588">
        <f>IF(C588,(H588*N588*IF(AND(Inputs!$B$39&lt;&gt;"pvp",Inputs!$B$44&gt;0),((Skills!G4*((R588-1)*IF(Skills!H4&gt;0,Skills!I4/Skills!H4,1)+IF(Skills!H4&gt;0,MIN(Skills!I4,MAX(0,MAX(0,Inputs!$B$44-B628)-((R588-1)*IF(Inputs!$B$39="pvp",15,MAX(0.1,Skills!D4-IF(Skills!E4=TRUE,Inputs!$B$32,0))))))/Skills!H4,1)))/Inputs!$B$44),G588*Q588))*IF(Inputs!$B$39="pvp",1,1+(Inputs!$B$20+0+Skills!P4+B618)/100),0)</f>
        <v/>
      </c>
      <c r="U588">
        <f>290*U587/1000</f>
        <v/>
      </c>
      <c r="V588">
        <f>IF(C588,(H588*N588*IF(AND(Inputs!$B$39&lt;&gt;"pvp",Inputs!$B$44&gt;0),((Skills!G4*((R588-1)*IF(Skills!H4&gt;0,Skills!I4/Skills!H4,1)+IF(Skills!H4&gt;0,MIN(Skills!I4,MAX(0,MAX(0,Inputs!$B$44-B628)-((R588-1)*IF(Inputs!$B$39="pvp",15,MAX(0.1,Skills!D4-IF(Skills!E4=TRUE,Inputs!$B$32,0))))))/Skills!H4,1)))/Inputs!$B$44),G588*Q588))*IF(Inputs!$B$39="pvp",1,(1+(Inputs!$B$21+Skills!Q4+B618)/100)*(MIN(MIN(10,0.5*B621*Skills!D4),Inputs!$B$37))),0)</f>
        <v/>
      </c>
    </row>
    <row r="589">
      <c r="A589">
        <f>Skills!A5</f>
        <v/>
      </c>
      <c r="B589">
        <f>Skills!B5</f>
        <v/>
      </c>
      <c r="C589">
        <f>Inputs!$B$3&gt;=63</f>
        <v/>
      </c>
      <c r="D589">
        <f>IF(Skills!C5=1,60+Inputs!$B$25+Inputs!$B$29,IF(Skills!C5=2,90+Inputs!$B$26+Inputs!$B$29,IF(Skills!C5=3,120+Inputs!$B$27+Inputs!$B$29,MAX(0,(Inputs!$B$3-100)*3)+Inputs!$B$28+Inputs!$B$29)))</f>
        <v/>
      </c>
      <c r="E589">
        <f>INDEX(FactorTable!$B$2:$Y$301, MATCH(ROUND(MIN(300,MAX(1,D589)),0), FactorTable!$A$2:$A$301,0), Skills!M5+1)</f>
        <v/>
      </c>
      <c r="F589">
        <f>IF(Skills!N5=TRUE,(Skills!L5/10)*(E589/1000),Skills!L5/10)+Skills!O5</f>
        <v/>
      </c>
      <c r="G589">
        <f>Skills!G5*IF(Skills!H5&gt;0,Skills!I5/Skills!H5,1)</f>
        <v/>
      </c>
      <c r="H589">
        <f>1-(1-Skills!J5/100)^Skills!K5</f>
        <v/>
      </c>
      <c r="I589" t="inlineStr">
        <is>
          <t>1</t>
        </is>
      </c>
      <c r="J589">
        <f>((Inputs!$B$6*(1+Inputs!$B$7/100))+(((Inputs!$B$12*(1+Inputs!$B$13/100))-(Inputs!$B$12*(1+Inputs!$B$13/100)))+0.25*(Inputs!$B$14-Inputs!$B$14))*(1+Inputs!$B$7/100))*(F589/100)</f>
        <v/>
      </c>
      <c r="K589">
        <f>J589*(1+((Inputs!$B$12*(1+Inputs!$B$13/100))*0.01+Inputs!$B$14*0.0025)/100)*(1+Inputs!$B$15/100)*(1+Inputs!$B$16/100)*(5000/(6000+Inputs!$B$43*(1-Inputs!$B$19/100)))*(1+(Inputs!$B$24+((C614=TRUE)*(F614-Calc!F30)))/100)*(1+2.6666666666666665*IF(C602=TRUE,F602,0)/100)*(1+(IF(Skills!A5="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589)</f>
        <v/>
      </c>
      <c r="L589">
        <f>K589*(MIN(Inputs!$B$22+((C608=TRUE)*(F608-Calc!F24)),Inputs!$B$23+((C613=TRUE)*(F613-Calc!F29)))/100+(Inputs!$B$23+((C613=TRUE)*(F613-Calc!F29)))/100)/2</f>
        <v/>
      </c>
      <c r="M589">
        <f>L589*(1+((Inputs!$B$10+1)+((C610=TRUE)*(F610-Calc!F26))+B624)/100)</f>
        <v/>
      </c>
      <c r="N589">
        <f>L589*(1-MIN((Inputs!$B$9+((C609=TRUE)*(F609-Calc!F25))+B617),100)/100)+M589*(MIN((Inputs!$B$9+((C609=TRUE)*(F609-Calc!F25))+B617),100)/100)</f>
        <v/>
      </c>
      <c r="O589">
        <f>(1-Summary!$B$55)*T589+Summary!$B$55*V589</f>
        <v/>
      </c>
      <c r="P589">
        <f>IF(B629=0,0,O589/B629)</f>
        <v/>
      </c>
      <c r="Q589">
        <f>IFERROR(1/IF(Inputs!$B$39="pvp",15,MAX(0.1,Skills!D5-IF(Skills!E5=TRUE,Inputs!$B$32,0))),0)</f>
        <v/>
      </c>
      <c r="R589">
        <f>IF(AND(Inputs!$B$39&lt;&gt;"pvp",Inputs!$B$44&gt;0),IF(MAX(0,Inputs!$B$44-B628)&lt;=0,0,(INT(MAX(0,Inputs!$B$44-B628)/IF(Inputs!$B$39="pvp",15,MAX(0.1,Skills!D5-IF(Skills!E5=TRUE,Inputs!$B$32,0))))+1)),0)</f>
        <v/>
      </c>
      <c r="S589">
        <f>IFERROR(O589/N589,0)</f>
        <v/>
      </c>
      <c r="T589">
        <f>IF(C589,(H589*N589*IF(AND(Inputs!$B$39&lt;&gt;"pvp",Inputs!$B$44&gt;0),((Skills!G5*((R589-1)*IF(Skills!H5&gt;0,Skills!I5/Skills!H5,1)+IF(Skills!H5&gt;0,MIN(Skills!I5,MAX(0,MAX(0,Inputs!$B$44-B628)-((R589-1)*IF(Inputs!$B$39="pvp",15,MAX(0.1,Skills!D5-IF(Skills!E5=TRUE,Inputs!$B$32,0))))))/Skills!H5,1)))/Inputs!$B$44),G589*Q589))*IF(Inputs!$B$39="pvp",1,1+(Inputs!$B$20+0+Skills!P5+B618)/100),0)</f>
        <v/>
      </c>
      <c r="V589">
        <f>IF(C589,(H589*N589*IF(AND(Inputs!$B$39&lt;&gt;"pvp",Inputs!$B$44&gt;0),((Skills!G5*((R589-1)*IF(Skills!H5&gt;0,Skills!I5/Skills!H5,1)+IF(Skills!H5&gt;0,MIN(Skills!I5,MAX(0,MAX(0,Inputs!$B$44-B628)-((R589-1)*IF(Inputs!$B$39="pvp",15,MAX(0.1,Skills!D5-IF(Skills!E5=TRUE,Inputs!$B$32,0))))))/Skills!H5,1)))/Inputs!$B$44),G589*Q589))*IF(Inputs!$B$39="pvp",1,(1+(Inputs!$B$21+Skills!Q5+B618)/100)*(MIN(Skills!W5,Inputs!$B$37))),0)</f>
        <v/>
      </c>
    </row>
    <row r="590">
      <c r="A590">
        <f>Skills!A6</f>
        <v/>
      </c>
      <c r="B590">
        <f>Skills!B6</f>
        <v/>
      </c>
      <c r="C590">
        <f>Inputs!$B$3&gt;=69</f>
        <v/>
      </c>
      <c r="D590">
        <f>IF(Skills!C6=1,60+Inputs!$B$25+Inputs!$B$29,IF(Skills!C6=2,90+Inputs!$B$26+Inputs!$B$29,IF(Skills!C6=3,120+Inputs!$B$27+Inputs!$B$29,MAX(0,(Inputs!$B$3-100)*3)+Inputs!$B$28+Inputs!$B$29)))</f>
        <v/>
      </c>
      <c r="E590">
        <f>INDEX(FactorTable!$B$2:$Y$301, MATCH(ROUND(MIN(300,MAX(1,D590)),0), FactorTable!$A$2:$A$301,0), Skills!M6+1)</f>
        <v/>
      </c>
      <c r="F590">
        <f>IF(Skills!N6=TRUE,(Skills!L6/10)*(E590/1000),Skills!L6/10)+Skills!O6</f>
        <v/>
      </c>
      <c r="G590">
        <f>Skills!G6*IF(Skills!H6&gt;0,Skills!I6/Skills!H6,1)</f>
        <v/>
      </c>
      <c r="H590">
        <f>1-(1-Skills!J6/100)^Skills!K6</f>
        <v/>
      </c>
      <c r="I590" t="inlineStr">
        <is>
          <t>1</t>
        </is>
      </c>
      <c r="J590">
        <f>((Inputs!$B$6*(1+Inputs!$B$7/100))+(((Inputs!$B$12*(1+Inputs!$B$13/100))-(Inputs!$B$12*(1+Inputs!$B$13/100)))+0.25*(Inputs!$B$14-Inputs!$B$14))*(1+Inputs!$B$7/100))*(F590/100)</f>
        <v/>
      </c>
      <c r="K590">
        <f>J590*(1+((Inputs!$B$12*(1+Inputs!$B$13/100))*0.01+Inputs!$B$14*0.0025)/100)*(1+Inputs!$B$15/100)*(1+Inputs!$B$16/100)*(5000/(6000+Inputs!$B$43*(1-Inputs!$B$19/100)))*(1+(Inputs!$B$24+((C614=TRUE)*(F614-Calc!F30)))/100)*(1+1.0*IF(C602=TRUE,F602,0)/100)*(1+(IF(Skills!A6="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590)</f>
        <v/>
      </c>
      <c r="L590">
        <f>K590*(MIN(Inputs!$B$22+((C608=TRUE)*(F608-Calc!F24)),Inputs!$B$23+((C613=TRUE)*(F613-Calc!F29)))/100+(Inputs!$B$23+((C613=TRUE)*(F613-Calc!F29)))/100)/2</f>
        <v/>
      </c>
      <c r="M590">
        <f>L590*(1+((Inputs!$B$10+1)+((C610=TRUE)*(F610-Calc!F26))+B624)/100)</f>
        <v/>
      </c>
      <c r="N590">
        <f>L590*(1-MIN((Inputs!$B$9+((C609=TRUE)*(F609-Calc!F25))+B617),100)/100)+M590*(MIN((Inputs!$B$9+((C609=TRUE)*(F609-Calc!F25))+B617),100)/100)</f>
        <v/>
      </c>
      <c r="O590">
        <f>(1-Summary!$B$55)*T590+Summary!$B$55*V590</f>
        <v/>
      </c>
      <c r="P590">
        <f>IF(B629=0,0,O590/B629)</f>
        <v/>
      </c>
      <c r="Q590">
        <f>IFERROR(1/IF(Inputs!$B$39="pvp",15,MAX(0.1,Skills!D6-IF(Skills!E6=TRUE,Inputs!$B$32,0))),0)</f>
        <v/>
      </c>
      <c r="R590">
        <f>IF(AND(Inputs!$B$39&lt;&gt;"pvp",Inputs!$B$44&gt;0),IF(MAX(0,Inputs!$B$44-B628)&lt;=0,0,(INT(MAX(0,Inputs!$B$44-B628)/IF(Inputs!$B$39="pvp",15,MAX(0.1,Skills!D6-IF(Skills!E6=TRUE,Inputs!$B$32,0))))+1)),0)</f>
        <v/>
      </c>
      <c r="S590">
        <f>IFERROR(O590/N590,0)</f>
        <v/>
      </c>
      <c r="T590">
        <f>IF(C590,(H590*N590*IF(AND(Inputs!$B$39&lt;&gt;"pvp",Inputs!$B$44&gt;0),((Skills!G6*((R590-1)*IF(Skills!H6&gt;0,Skills!I6/Skills!H6,1)+IF(Skills!H6&gt;0,MIN(Skills!I6,MAX(0,MAX(0,Inputs!$B$44-B628)-((R590-1)*IF(Inputs!$B$39="pvp",15,MAX(0.1,Skills!D6-IF(Skills!E6=TRUE,Inputs!$B$32,0))))))/Skills!H6,1)))/Inputs!$B$44),G590*Q590))*IF(Inputs!$B$39="pvp",1,1+(Inputs!$B$20+0+Skills!P6+B618)/100),0)</f>
        <v/>
      </c>
      <c r="V590">
        <f>IF(C590,(H590*N590*IF(AND(Inputs!$B$39&lt;&gt;"pvp",Inputs!$B$44&gt;0),((Skills!G6*((R590-1)*IF(Skills!H6&gt;0,Skills!I6/Skills!H6,1)+IF(Skills!H6&gt;0,MIN(Skills!I6,MAX(0,MAX(0,Inputs!$B$44-B628)-((R590-1)*IF(Inputs!$B$39="pvp",15,MAX(0.1,Skills!D6-IF(Skills!E6=TRUE,Inputs!$B$32,0))))))/Skills!H6,1)))/Inputs!$B$44),G590*Q590))*IF(Inputs!$B$39="pvp",1,(1+(Inputs!$B$21+Skills!Q6+B618)/100)*(MIN(Skills!W6,Inputs!$B$37))),0)</f>
        <v/>
      </c>
    </row>
    <row r="591">
      <c r="A591">
        <f>Skills!A7</f>
        <v/>
      </c>
      <c r="B591">
        <f>Skills!B7</f>
        <v/>
      </c>
      <c r="C591">
        <f>Inputs!$B$3&gt;=60</f>
        <v/>
      </c>
      <c r="D591">
        <f>IF(Skills!C7=1,60+Inputs!$B$25+Inputs!$B$29,IF(Skills!C7=2,90+Inputs!$B$26+Inputs!$B$29,IF(Skills!C7=3,120+Inputs!$B$27+Inputs!$B$29,MAX(0,(Inputs!$B$3-100)*3)+Inputs!$B$28+Inputs!$B$29)))</f>
        <v/>
      </c>
      <c r="E591">
        <f>INDEX(FactorTable!$B$2:$Y$301, MATCH(ROUND(MIN(300,MAX(1,D591)),0), FactorTable!$A$2:$A$301,0), Skills!M7+1)</f>
        <v/>
      </c>
      <c r="F591">
        <f>IF(Skills!N7=TRUE,(Skills!L7/10)*(E591/1000),Skills!L7/10)+Skills!O7</f>
        <v/>
      </c>
      <c r="G591">
        <f>Skills!G7*IF(Skills!H7&gt;0,Skills!I7/Skills!H7,1)</f>
        <v/>
      </c>
      <c r="H591">
        <f>1-(1-Skills!J7/100)^Skills!K7</f>
        <v/>
      </c>
      <c r="I591" t="inlineStr">
        <is>
          <t>1</t>
        </is>
      </c>
      <c r="J591" t="inlineStr"/>
      <c r="K591" t="inlineStr"/>
      <c r="L591" t="inlineStr"/>
      <c r="M591" t="inlineStr"/>
      <c r="N591" t="inlineStr"/>
      <c r="O591">
        <f>(1-Summary!$B$55)*T591+Summary!$B$55*V591</f>
        <v/>
      </c>
      <c r="P591">
        <f>IF(B629=0,0,O591/B629)</f>
        <v/>
      </c>
      <c r="Q591" t="n">
        <v>0</v>
      </c>
      <c r="R591" t="n">
        <v>0</v>
      </c>
      <c r="S591">
        <f>IFERROR(O591/N591,0)</f>
        <v/>
      </c>
      <c r="T591" t="n">
        <v>0</v>
      </c>
      <c r="V591" t="n">
        <v>0</v>
      </c>
    </row>
    <row r="592">
      <c r="A592">
        <f>Skills!A8</f>
        <v/>
      </c>
      <c r="B592">
        <f>Skills!B8</f>
        <v/>
      </c>
      <c r="C592">
        <f>Inputs!$B$3&gt;=72</f>
        <v/>
      </c>
      <c r="D592">
        <f>IF(Skills!C8=1,60+Inputs!$B$25+Inputs!$B$29,IF(Skills!C8=2,90+Inputs!$B$26+Inputs!$B$29,IF(Skills!C8=3,120+Inputs!$B$27+Inputs!$B$29,MAX(0,(Inputs!$B$3-100)*3)+Inputs!$B$28+Inputs!$B$29)))</f>
        <v/>
      </c>
      <c r="E592">
        <f>INDEX(FactorTable!$B$2:$Y$301, MATCH(ROUND(MIN(300,MAX(1,D592)),0), FactorTable!$A$2:$A$301,0), Skills!M8+1)</f>
        <v/>
      </c>
      <c r="F592">
        <f>IF(Skills!N8=TRUE,(Skills!L8/10)*(E592/1000),Skills!L8/10)+Skills!O8</f>
        <v/>
      </c>
      <c r="G592">
        <f>Skills!G8*IF(Skills!H8&gt;0,Skills!I8/Skills!H8,1)</f>
        <v/>
      </c>
      <c r="H592">
        <f>1-(1-Skills!J8/100)^Skills!K8</f>
        <v/>
      </c>
      <c r="I592" t="inlineStr">
        <is>
          <t>1</t>
        </is>
      </c>
      <c r="J592">
        <f>((Inputs!$B$6*(1+Inputs!$B$7/100))+(((Inputs!$B$12*(1+Inputs!$B$13/100))-(Inputs!$B$12*(1+Inputs!$B$13/100)))+0.25*(Inputs!$B$14-Inputs!$B$14))*(1+Inputs!$B$7/100))*(F592/100)</f>
        <v/>
      </c>
      <c r="K592">
        <f>J592*(1+((Inputs!$B$12*(1+Inputs!$B$13/100))*0.01+Inputs!$B$14*0.0025)/100)*(1+Inputs!$B$15/100)*(1+Inputs!$B$16/100)*(5000/(6000+Inputs!$B$43*(1-Inputs!$B$19/100)))*(1+(Inputs!$B$24+((C614=TRUE)*(F614-Calc!F30)))/100)*(1+3.3333333333333335*IF(C602=TRUE,F602,0)/100)*(1+(IF(Skills!A8="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592)</f>
        <v/>
      </c>
      <c r="L592">
        <f>K592*(MIN(Inputs!$B$22+((C608=TRUE)*(F608-Calc!F24)),Inputs!$B$23+((C613=TRUE)*(F613-Calc!F29)))/100+(Inputs!$B$23+((C613=TRUE)*(F613-Calc!F29)))/100)/2</f>
        <v/>
      </c>
      <c r="M592">
        <f>L592*(1+((Inputs!$B$10+1)+((C610=TRUE)*(F610-Calc!F26))+B624)/100)</f>
        <v/>
      </c>
      <c r="N592">
        <f>L592*(1-MIN((Inputs!$B$9+((C609=TRUE)*(F609-Calc!F25))+B617),100)/100)+M592*(MIN((Inputs!$B$9+((C609=TRUE)*(F609-Calc!F25))+B617),100)/100)</f>
        <v/>
      </c>
      <c r="O592">
        <f>(1-Summary!$B$55)*T592+Summary!$B$55*V592</f>
        <v/>
      </c>
      <c r="P592">
        <f>IF(B629=0,0,O592/B629)</f>
        <v/>
      </c>
      <c r="Q592">
        <f>IFERROR(1/IF(Inputs!$B$39="pvp",15,MAX(0.1,Skills!D8-IF(Skills!E8=TRUE,Inputs!$B$32,0))),0)</f>
        <v/>
      </c>
      <c r="R592">
        <f>IF(AND(Inputs!$B$39&lt;&gt;"pvp",Inputs!$B$44&gt;0),IF(MAX(0,Inputs!$B$44-B628)&lt;=0,0,(INT(MAX(0,Inputs!$B$44-B628)/IF(Inputs!$B$39="pvp",15,MAX(0.1,Skills!D8-IF(Skills!E8=TRUE,Inputs!$B$32,0))))+1)),0)</f>
        <v/>
      </c>
      <c r="S592">
        <f>IFERROR(O592/N592,0)</f>
        <v/>
      </c>
      <c r="T592">
        <f>IF(C592,(H592*N592*IF(AND(Inputs!$B$39&lt;&gt;"pvp",Inputs!$B$44&gt;0),((Skills!G8*((R592-1)*IF(Skills!H8&gt;0,Skills!I8/Skills!H8,1)+IF(Skills!H8&gt;0,MIN(Skills!I8,MAX(0,MAX(0,Inputs!$B$44-B628)-((R592-1)*IF(Inputs!$B$39="pvp",15,MAX(0.1,Skills!D8-IF(Skills!E8=TRUE,Inputs!$B$32,0))))))/Skills!H8,1)))/Inputs!$B$44),G592*Q592))*IF(Inputs!$B$39="pvp",1,1+(Inputs!$B$20+0+Skills!P8+B618)/100),0)</f>
        <v/>
      </c>
      <c r="V592">
        <f>IF(C592,(H592*N592*IF(AND(Inputs!$B$39&lt;&gt;"pvp",Inputs!$B$44&gt;0),((Skills!G8*((R592-1)*IF(Skills!H8&gt;0,Skills!I8/Skills!H8,1)+IF(Skills!H8&gt;0,MIN(Skills!I8,MAX(0,MAX(0,Inputs!$B$44-B628)-((R592-1)*IF(Inputs!$B$39="pvp",15,MAX(0.1,Skills!D8-IF(Skills!E8=TRUE,Inputs!$B$32,0))))))/Skills!H8,1)))/Inputs!$B$44),G592*Q592))*IF(Inputs!$B$39="pvp",1,(1+(Inputs!$B$21+Skills!Q8+B618)/100)*(MIN(Skills!W8,Inputs!$B$37))),0)</f>
        <v/>
      </c>
    </row>
    <row r="593">
      <c r="A593">
        <f>Skills!A9</f>
        <v/>
      </c>
      <c r="B593">
        <f>Skills!B9</f>
        <v/>
      </c>
      <c r="C593">
        <f>Inputs!$B$3&gt;=117</f>
        <v/>
      </c>
      <c r="D593">
        <f>IF(Skills!C9=1,60+Inputs!$B$25+Inputs!$B$29,IF(Skills!C9=2,90+Inputs!$B$26+Inputs!$B$29,IF(Skills!C9=3,120+Inputs!$B$27+Inputs!$B$29,MAX(0,(Inputs!$B$3-100)*3)+Inputs!$B$28+Inputs!$B$29)))</f>
        <v/>
      </c>
      <c r="E593">
        <f>INDEX(FactorTable!$B$2:$Y$301, MATCH(ROUND(MIN(300,MAX(1,D593)),0), FactorTable!$A$2:$A$301,0), Skills!M9+1)</f>
        <v/>
      </c>
      <c r="F593">
        <f>IF(Skills!N9=TRUE,(Skills!L9/10)*(E593/1000),Skills!L9/10)+Skills!O9</f>
        <v/>
      </c>
      <c r="G593">
        <f>Skills!G9*IF(Skills!H9&gt;0,Skills!I9/Skills!H9,1)</f>
        <v/>
      </c>
      <c r="H593">
        <f>1-(1-Skills!J9/100)^Skills!K9</f>
        <v/>
      </c>
      <c r="I593" t="inlineStr">
        <is>
          <t>1</t>
        </is>
      </c>
      <c r="J593">
        <f>((Inputs!$B$6*(1+Inputs!$B$7/100))+(((Inputs!$B$12*(1+Inputs!$B$13/100))-(Inputs!$B$12*(1+Inputs!$B$13/100)))+0.25*(Inputs!$B$14-Inputs!$B$14))*(1+Inputs!$B$7/100))*(F593/100)</f>
        <v/>
      </c>
      <c r="K593">
        <f>J593*(1+((Inputs!$B$12*(1+Inputs!$B$13/100))*0.01+Inputs!$B$14*0.0025)/100)*(1+Inputs!$B$15/100)*(1+Inputs!$B$16/100)*(5000/(6000+Inputs!$B$43*(1-Inputs!$B$19/100)))*(1+(Inputs!$B$24+((C614=TRUE)*(F614-Calc!F30)))/100)*(1+(IF(Skills!A9="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593)</f>
        <v/>
      </c>
      <c r="L593">
        <f>K593*(MIN(Inputs!$B$22+((C608=TRUE)*(F608-Calc!F24)),Inputs!$B$23+((C613=TRUE)*(F613-Calc!F29)))/100+(Inputs!$B$23+((C613=TRUE)*(F613-Calc!F29)))/100)/2</f>
        <v/>
      </c>
      <c r="M593">
        <f>L593*(1+((Inputs!$B$10+1)+((C610=TRUE)*(F610-Calc!F26))+B624)/100)</f>
        <v/>
      </c>
      <c r="N593">
        <f>L593*(1-MIN((Inputs!$B$9+((C609=TRUE)*(F609-Calc!F25))+B617),100)/100)+M593*(MIN((Inputs!$B$9+((C609=TRUE)*(F609-Calc!F25))+B617),100)/100)</f>
        <v/>
      </c>
      <c r="O593">
        <f>(1-Summary!$B$55)*T593+Summary!$B$55*V593</f>
        <v/>
      </c>
      <c r="P593">
        <f>IF(B629=0,0,O593/B629)</f>
        <v/>
      </c>
      <c r="Q593" t="n">
        <v>0</v>
      </c>
      <c r="R593" t="n">
        <v>0</v>
      </c>
      <c r="S593" t="n">
        <v>0</v>
      </c>
      <c r="T593">
        <f>IF(C593,(0.2*SUMPRODUCT((Skills!Z2:Z30=TRUE)*(C586:C614=TRUE)*S586:S614)*N593)*IF(Inputs!$B$39="pvp",1,1+(Inputs!$B$20+0+Skills!P9+B618)/100),0)</f>
        <v/>
      </c>
      <c r="V593">
        <f>IF(C593,(0.2*SUMPRODUCT((Skills!Z2:Z30=TRUE)*(C586:C614=TRUE)*S586:S614)*N593)*IF(Inputs!$B$39="pvp",1,(1+(Inputs!$B$21+Skills!Q9+B618)/100)*(MIN(Skills!W9,Inputs!$B$37))),0)</f>
        <v/>
      </c>
    </row>
    <row r="594">
      <c r="A594">
        <f>Skills!A10</f>
        <v/>
      </c>
      <c r="B594">
        <f>Skills!B10</f>
        <v/>
      </c>
      <c r="C594">
        <f>Inputs!$B$3&gt;=74</f>
        <v/>
      </c>
      <c r="D594">
        <f>IF(Skills!C10=1,60+Inputs!$B$25+Inputs!$B$29,IF(Skills!C10=2,90+Inputs!$B$26+Inputs!$B$29,IF(Skills!C10=3,120+Inputs!$B$27+Inputs!$B$29,MAX(0,(Inputs!$B$3-100)*3)+Inputs!$B$28+Inputs!$B$29)))</f>
        <v/>
      </c>
      <c r="E594">
        <f>INDEX(FactorTable!$B$2:$Y$301, MATCH(ROUND(MIN(300,MAX(1,D594)),0), FactorTable!$A$2:$A$301,0), Skills!M10+1)</f>
        <v/>
      </c>
      <c r="F594">
        <f>IF(Skills!N10=TRUE,(Skills!L10/10)*(E594/1000),Skills!L10/10)+Skills!O10</f>
        <v/>
      </c>
      <c r="G594">
        <f>Skills!G10*IF(Skills!H10&gt;0,Skills!I10/Skills!H10,1)</f>
        <v/>
      </c>
      <c r="H594">
        <f>1-(1-Skills!J10/100)^Skills!K10</f>
        <v/>
      </c>
      <c r="I594" t="inlineStr">
        <is>
          <t>1</t>
        </is>
      </c>
      <c r="J594" t="inlineStr"/>
      <c r="K594" t="inlineStr"/>
      <c r="L594" t="inlineStr"/>
      <c r="M594" t="inlineStr"/>
      <c r="N594" t="inlineStr"/>
      <c r="O594">
        <f>(1-Summary!$B$55)*T594+Summary!$B$55*V594</f>
        <v/>
      </c>
      <c r="P594">
        <f>IF(B629=0,0,O594/B629)</f>
        <v/>
      </c>
      <c r="Q594">
        <f>IFERROR(1/IF(Inputs!$B$39="pvp",15,MAX(0.1,Skills!D10-IF(Skills!E10=TRUE,Inputs!$B$32,0))),0)</f>
        <v/>
      </c>
      <c r="R594">
        <f>IF(AND(Inputs!$B$39&lt;&gt;"pvp",Inputs!$B$44&gt;0),IF(Inputs!$B$44&lt;=0,0,(INT(Inputs!$B$44/IF(Inputs!$B$39="pvp",15,MAX(0.1,Skills!D10-IF(Skills!E10=TRUE,Inputs!$B$32,0))))+1)),0)</f>
        <v/>
      </c>
      <c r="S594">
        <f>IFERROR(O594/N594,0)</f>
        <v/>
      </c>
      <c r="T594" t="n">
        <v>0</v>
      </c>
      <c r="V594" t="n">
        <v>0</v>
      </c>
    </row>
    <row r="595">
      <c r="A595">
        <f>Skills!A11</f>
        <v/>
      </c>
      <c r="B595">
        <f>Skills!B11</f>
        <v/>
      </c>
      <c r="C595">
        <f>Inputs!$B$3&gt;=103</f>
        <v/>
      </c>
      <c r="D595">
        <f>IF(Skills!C11=1,60+Inputs!$B$25+Inputs!$B$29,IF(Skills!C11=2,90+Inputs!$B$26+Inputs!$B$29,IF(Skills!C11=3,120+Inputs!$B$27+Inputs!$B$29,MAX(0,(Inputs!$B$3-100)*3)+Inputs!$B$28+Inputs!$B$29)))</f>
        <v/>
      </c>
      <c r="E595">
        <f>INDEX(FactorTable!$B$2:$Y$301, MATCH(ROUND(MIN(300,MAX(1,D595)),0), FactorTable!$A$2:$A$301,0), Skills!M11+1)</f>
        <v/>
      </c>
      <c r="F595">
        <f>(Skills!L11/10)*(E595/1000)+IF(Inputs!$B$3&gt;=134,50,0)+0.5*(30000/10)*(INDEX(FactorTable!$B$2:$Y$301, MATCH(ROUND(MIN(300,MAX(1,D595)),0), FactorTable!$A$2:$A$301,0), 13)/1000)*B627</f>
        <v/>
      </c>
      <c r="G595">
        <f>Skills!G11*IF(Skills!H11&gt;0,Skills!I11/Skills!H11,1)</f>
        <v/>
      </c>
      <c r="H595">
        <f>1-(1-Skills!J11/100)^Skills!K11</f>
        <v/>
      </c>
      <c r="I595" t="inlineStr">
        <is>
          <t>1</t>
        </is>
      </c>
      <c r="J595">
        <f>((Inputs!$B$6*(1+Inputs!$B$7/100))+(((Inputs!$B$12*(1+Inputs!$B$13/100))-(Inputs!$B$12*(1+Inputs!$B$13/100)))+0.25*(Inputs!$B$14-Inputs!$B$14))*(1+Inputs!$B$7/100))*(F595/100)</f>
        <v/>
      </c>
      <c r="K595">
        <f>J595*(1+((Inputs!$B$12*(1+Inputs!$B$13/100))*0.01+Inputs!$B$14*0.0025)/100)*(1+Inputs!$B$15/100)*(1+Inputs!$B$16/100)*(5000/(6000+Inputs!$B$43*(1-Inputs!$B$19/100)))*(1+(Inputs!$B$24+((C614=TRUE)*(F614-Calc!F30)))/100)*(1+(IF(Skills!A11="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595)</f>
        <v/>
      </c>
      <c r="L595">
        <f>K595*(MIN(Inputs!$B$22+((C608=TRUE)*(F608-Calc!F24)),Inputs!$B$23+((C613=TRUE)*(F613-Calc!F29)))/100+(Inputs!$B$23+((C613=TRUE)*(F613-Calc!F29)))/100)/2</f>
        <v/>
      </c>
      <c r="M595">
        <f>L595*(1+((Inputs!$B$10+1)+((C610=TRUE)*(F610-Calc!F26))+B624)/100)</f>
        <v/>
      </c>
      <c r="N595">
        <f>L595*(1-MIN((Inputs!$B$9+((C609=TRUE)*(F609-Calc!F25))+B617),100)/100)+M595*(MIN((Inputs!$B$9+((C609=TRUE)*(F609-Calc!F25))+B617),100)/100)</f>
        <v/>
      </c>
      <c r="O595">
        <f>(1-Summary!$B$55)*T595+Summary!$B$55*V595</f>
        <v/>
      </c>
      <c r="P595">
        <f>IF(B629=0,0,O595/B629)</f>
        <v/>
      </c>
      <c r="Q595">
        <f>IFERROR(1/IF(Inputs!$B$39="pvp",15,MAX(0.1,Skills!D11-IF(Skills!E11=TRUE,Inputs!$B$32,0))),0)</f>
        <v/>
      </c>
      <c r="R595">
        <f>IF(AND(Inputs!$B$39&lt;&gt;"pvp",Inputs!$B$44&gt;0),IF(MAX(0,Inputs!$B$44-B628)&lt;=0,0,(INT(MAX(0,Inputs!$B$44-B628)/IF(Inputs!$B$39="pvp",15,MAX(0.1,Skills!D11-IF(Skills!E11=TRUE,Inputs!$B$32,0))))+1)),0)</f>
        <v/>
      </c>
      <c r="S595">
        <f>IFERROR(O595/N595,0)</f>
        <v/>
      </c>
      <c r="T595">
        <f>IF(C595,(H595*N595*IF(AND(Inputs!$B$39&lt;&gt;"pvp",Inputs!$B$44&gt;0),((Skills!G11*((R595-1)*IF(Skills!H11&gt;0,Skills!I11/Skills!H11,1)+IF(Skills!H11&gt;0,MIN(Skills!I11,MAX(0,MAX(0,Inputs!$B$44-B628)-((R595-1)*IF(Inputs!$B$39="pvp",15,MAX(0.1,Skills!D11-IF(Skills!E11=TRUE,Inputs!$B$32,0))))))/Skills!H11,1)))/Inputs!$B$44),G595*Q595))*IF(Inputs!$B$39="pvp",1,1+(Inputs!$B$20+0+Skills!P11+B618)/100),0)</f>
        <v/>
      </c>
      <c r="V595">
        <f>IF(C595,(H595*N595*IF(AND(Inputs!$B$39&lt;&gt;"pvp",Inputs!$B$44&gt;0),((Skills!G11*((R595-1)*IF(Skills!H11&gt;0,Skills!I11/Skills!H11,1)+IF(Skills!H11&gt;0,MIN(Skills!I11,MAX(0,MAX(0,Inputs!$B$44-B628)-((R595-1)*IF(Inputs!$B$39="pvp",15,MAX(0.1,Skills!D11-IF(Skills!E11=TRUE,Inputs!$B$32,0))))))/Skills!H11,1)))/Inputs!$B$44),G595*Q595))*IF(Inputs!$B$39="pvp",1,(1+(Inputs!$B$21+Skills!Q11+B618)/100)*(MIN(Skills!W11,Inputs!$B$37))),0)</f>
        <v/>
      </c>
    </row>
    <row r="596">
      <c r="A596">
        <f>Skills!A12</f>
        <v/>
      </c>
      <c r="B596">
        <f>Skills!B12</f>
        <v/>
      </c>
      <c r="C596">
        <f>Inputs!$B$3&gt;=105</f>
        <v/>
      </c>
      <c r="D596">
        <f>IF(Skills!C12=1,60+Inputs!$B$25+Inputs!$B$29,IF(Skills!C12=2,90+Inputs!$B$26+Inputs!$B$29,IF(Skills!C12=3,120+Inputs!$B$27+Inputs!$B$29,MAX(0,(Inputs!$B$3-100)*3)+Inputs!$B$28+Inputs!$B$29)))</f>
        <v/>
      </c>
      <c r="E596">
        <f>INDEX(FactorTable!$B$2:$Y$301, MATCH(ROUND(MIN(300,MAX(1,D596)),0), FactorTable!$A$2:$A$301,0), Skills!M12+1)</f>
        <v/>
      </c>
      <c r="F596">
        <f>IF(Skills!N12=TRUE,(Skills!L12/10)*(E596/1000),Skills!L12/10)+Skills!O12</f>
        <v/>
      </c>
      <c r="G596">
        <f>Skills!G12*IF(Skills!H12&gt;0,Skills!I12/Skills!H12,1)</f>
        <v/>
      </c>
      <c r="H596">
        <f>1-(1-Skills!J12/100)^Skills!K12</f>
        <v/>
      </c>
      <c r="I596" t="inlineStr">
        <is>
          <t>1</t>
        </is>
      </c>
      <c r="J596">
        <f>((Inputs!$B$6*(1+Inputs!$B$7/100))+(((Inputs!$B$12*(1+Inputs!$B$13/100))-(Inputs!$B$12*(1+Inputs!$B$13/100)))+0.25*(Inputs!$B$14-Inputs!$B$14))*(1+Inputs!$B$7/100))*(F596/100)</f>
        <v/>
      </c>
      <c r="K596">
        <f>J596*(1+((Inputs!$B$12*(1+Inputs!$B$13/100))*0.01+Inputs!$B$14*0.0025)/100)*(1+Inputs!$B$15/100)*(1+Inputs!$B$16/100)*(5000/(6000+Inputs!$B$43*(1-Inputs!$B$19/100)))*(1+(Inputs!$B$24+((C614=TRUE)*(F614-Calc!F30)))/100)*(1+(IF(Skills!A12="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596)</f>
        <v/>
      </c>
      <c r="L596">
        <f>K596*(MIN(Inputs!$B$22+((C608=TRUE)*(F608-Calc!F24)),Inputs!$B$23+((C613=TRUE)*(F613-Calc!F29)))/100+(Inputs!$B$23+((C613=TRUE)*(F613-Calc!F29)))/100)/2</f>
        <v/>
      </c>
      <c r="M596">
        <f>L596*(1+((Inputs!$B$10+1)+((C610=TRUE)*(F610-Calc!F26))+B624)/100)</f>
        <v/>
      </c>
      <c r="N596">
        <f>L596*(1-MIN((Inputs!$B$9+((C609=TRUE)*(F609-Calc!F25))+B617),100)/100)+M596*(MIN((Inputs!$B$9+((C609=TRUE)*(F609-Calc!F25))+B617),100)/100)</f>
        <v/>
      </c>
      <c r="O596">
        <f>(1-Summary!$B$55)*T596+Summary!$B$55*V596</f>
        <v/>
      </c>
      <c r="P596">
        <f>IF(B629=0,0,O596/B629)</f>
        <v/>
      </c>
      <c r="Q596">
        <f>IFERROR(1/IF(Inputs!$B$39="pvp",15,MAX(0.1,Skills!D12-IF(Skills!E12=TRUE,Inputs!$B$32,0))),0)</f>
        <v/>
      </c>
      <c r="R596">
        <f>IF(AND(Inputs!$B$39&lt;&gt;"pvp",Inputs!$B$44&gt;0),IF(MAX(0,Inputs!$B$44-B628)&lt;=0,0,(INT(MAX(0,Inputs!$B$44-B628)/IF(Inputs!$B$39="pvp",15,MAX(0.1,Skills!D12-IF(Skills!E12=TRUE,Inputs!$B$32,0))))+1)),0)</f>
        <v/>
      </c>
      <c r="S596">
        <f>IFERROR(O596/N596,0)</f>
        <v/>
      </c>
      <c r="T596">
        <f>IF(C596,(H596*N596*IF(AND(Inputs!$B$39&lt;&gt;"pvp",Inputs!$B$44&gt;0),((Skills!G12*((R596-1)*IF(Skills!H12&gt;0,Skills!I12/Skills!H12,1)+IF(Skills!H12&gt;0,MIN(Skills!I12,MAX(0,MAX(0,Inputs!$B$44-B628)-((R596-1)*IF(Inputs!$B$39="pvp",15,MAX(0.1,Skills!D12-IF(Skills!E12=TRUE,Inputs!$B$32,0))))))/Skills!H12,1)))/Inputs!$B$44),G596*Q596))*IF(Inputs!$B$39="pvp",1,1+(Inputs!$B$20+0+Skills!P12+B618)/100),0)</f>
        <v/>
      </c>
      <c r="V596">
        <f>IF(C596,(H596*N596*IF(AND(Inputs!$B$39&lt;&gt;"pvp",Inputs!$B$44&gt;0),((Skills!G12*((R596-1)*IF(Skills!H12&gt;0,Skills!I12/Skills!H12,1)+IF(Skills!H12&gt;0,MIN(Skills!I12,MAX(0,MAX(0,Inputs!$B$44-B628)-((R596-1)*IF(Inputs!$B$39="pvp",15,MAX(0.1,Skills!D12-IF(Skills!E12=TRUE,Inputs!$B$32,0))))))/Skills!H12,1)))/Inputs!$B$44),G596*Q596))*IF(Inputs!$B$39="pvp",1,(1+(Inputs!$B$21+Skills!Q12+B618)/100)*(MIN(Skills!W12,Inputs!$B$37))),0)</f>
        <v/>
      </c>
    </row>
    <row r="597">
      <c r="A597">
        <f>Skills!A13</f>
        <v/>
      </c>
      <c r="B597">
        <f>Skills!B13</f>
        <v/>
      </c>
      <c r="C597">
        <f>Inputs!$B$3&gt;=105</f>
        <v/>
      </c>
      <c r="D597">
        <f>IF(Skills!C13=1,60+Inputs!$B$25+Inputs!$B$29,IF(Skills!C13=2,90+Inputs!$B$26+Inputs!$B$29,IF(Skills!C13=3,120+Inputs!$B$27+Inputs!$B$29,MAX(0,(Inputs!$B$3-100)*3)+Inputs!$B$28+Inputs!$B$29)))</f>
        <v/>
      </c>
      <c r="E597">
        <f>INDEX(FactorTable!$B$2:$Y$301, MATCH(ROUND(MIN(300,MAX(1,D597)),0), FactorTable!$A$2:$A$301,0), Skills!M13+1)</f>
        <v/>
      </c>
      <c r="F597">
        <f>IF(Skills!N13=TRUE,(Skills!L13/10)*(E597/1000),Skills!L13/10)+Skills!O13</f>
        <v/>
      </c>
      <c r="G597">
        <f>Skills!G13*IF(Skills!H13&gt;0,Skills!I13/Skills!H13,1)</f>
        <v/>
      </c>
      <c r="H597">
        <f>1-(1-Skills!J13/100)^Skills!K13</f>
        <v/>
      </c>
      <c r="I597" t="inlineStr">
        <is>
          <t>1</t>
        </is>
      </c>
      <c r="J597">
        <f>((Inputs!$B$6*(1+Inputs!$B$7/100))+(((Inputs!$B$12*(1+Inputs!$B$13/100))-(Inputs!$B$12*(1+Inputs!$B$13/100)))+0.25*(Inputs!$B$14-Inputs!$B$14))*(1+Inputs!$B$7/100))*(F597/100)</f>
        <v/>
      </c>
      <c r="K597">
        <f>J597*(1+((Inputs!$B$12*(1+Inputs!$B$13/100))*0.01+Inputs!$B$14*0.0025)/100)*(1+Inputs!$B$15/100)*(1+Inputs!$B$16/100)*(5000/(6000+Inputs!$B$43*(1-Inputs!$B$19/100)))*(1+(Inputs!$B$24+((C614=TRUE)*(F614-Calc!F30)))/100)*(1+(IF(Skills!A13="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597)</f>
        <v/>
      </c>
      <c r="L597">
        <f>K597*(MIN(Inputs!$B$22+((C608=TRUE)*(F608-Calc!F24)),Inputs!$B$23+((C613=TRUE)*(F613-Calc!F29)))/100+(Inputs!$B$23+((C613=TRUE)*(F613-Calc!F29)))/100)/2</f>
        <v/>
      </c>
      <c r="M597">
        <f>L597*(1+((Inputs!$B$10+1)+((C610=TRUE)*(F610-Calc!F26))+B624)/100)</f>
        <v/>
      </c>
      <c r="N597">
        <f>L597*(1-MIN((Inputs!$B$9+((C609=TRUE)*(F609-Calc!F25))+B617),100)/100)+M597*(MIN((Inputs!$B$9+((C609=TRUE)*(F609-Calc!F25))+B617),100)/100)</f>
        <v/>
      </c>
      <c r="O597">
        <f>(1-Summary!$B$55)*T597+Summary!$B$55*V597</f>
        <v/>
      </c>
      <c r="P597">
        <f>IF(B629=0,0,O597/B629)</f>
        <v/>
      </c>
      <c r="Q597">
        <f>IFERROR(1/IF(Inputs!$B$39="pvp",15,MAX(0.1,Skills!D13-IF(Skills!E13=TRUE,Inputs!$B$32,0))),0)</f>
        <v/>
      </c>
      <c r="R597">
        <f>IF(AND(Inputs!$B$39&lt;&gt;"pvp",Inputs!$B$44&gt;0),IF(MAX(0,Inputs!$B$44-B628)&lt;=0,0,(INT(MAX(0,Inputs!$B$44-B628)/IF(Inputs!$B$39="pvp",15,MAX(0.1,Skills!D13-IF(Skills!E13=TRUE,Inputs!$B$32,0))))+1)),0)</f>
        <v/>
      </c>
      <c r="S597">
        <f>IFERROR(O597/N597,0)</f>
        <v/>
      </c>
      <c r="T597">
        <f>IF(C597,(H597*N597*IF(AND(Inputs!$B$39&lt;&gt;"pvp",Inputs!$B$44&gt;0),((Skills!G13*((R597-1)*IF(Skills!H13&gt;0,Skills!I13/Skills!H13,1)+IF(Skills!H13&gt;0,MIN(Skills!I13,MAX(0,MAX(0,Inputs!$B$44-B628)-((R597-1)*IF(Inputs!$B$39="pvp",15,MAX(0.1,Skills!D13-IF(Skills!E13=TRUE,Inputs!$B$32,0))))))/Skills!H13,1)))/Inputs!$B$44),G597*Q597))*IF(Inputs!$B$39="pvp",1,1+(Inputs!$B$20+0+Skills!P13+B618)/100),0)</f>
        <v/>
      </c>
      <c r="V597">
        <f>IF(C597,(H597*N597*IF(AND(Inputs!$B$39&lt;&gt;"pvp",Inputs!$B$44&gt;0),((Skills!G13*((R597-1)*IF(Skills!H13&gt;0,Skills!I13/Skills!H13,1)+IF(Skills!H13&gt;0,MIN(Skills!I13,MAX(0,MAX(0,Inputs!$B$44-B628)-((R597-1)*IF(Inputs!$B$39="pvp",15,MAX(0.1,Skills!D13-IF(Skills!E13=TRUE,Inputs!$B$32,0))))))/Skills!H13,1)))/Inputs!$B$44),G597*Q597))*IF(Inputs!$B$39="pvp",1,(1+(Inputs!$B$21+Skills!Q13+B618)/100)*(MIN(Skills!W13,Inputs!$B$37))),0)</f>
        <v/>
      </c>
    </row>
    <row r="598">
      <c r="A598">
        <f>Skills!A14</f>
        <v/>
      </c>
      <c r="B598">
        <f>Skills!B14</f>
        <v/>
      </c>
      <c r="C598">
        <f>Inputs!$B$3&gt;=107</f>
        <v/>
      </c>
      <c r="D598">
        <f>IF(Skills!C14=1,60+Inputs!$B$25+Inputs!$B$29,IF(Skills!C14=2,90+Inputs!$B$26+Inputs!$B$29,IF(Skills!C14=3,120+Inputs!$B$27+Inputs!$B$29,MAX(0,(Inputs!$B$3-100)*3)+Inputs!$B$28+Inputs!$B$29)))</f>
        <v/>
      </c>
      <c r="E598">
        <f>INDEX(FactorTable!$B$2:$Y$301, MATCH(ROUND(MIN(300,MAX(1,D598)),0), FactorTable!$A$2:$A$301,0), Skills!M14+1)</f>
        <v/>
      </c>
      <c r="F598">
        <f>IF(Skills!N14=TRUE,(Skills!L14/10)*(E598/1000),Skills!L14/10)+Skills!O14</f>
        <v/>
      </c>
      <c r="G598">
        <f>Skills!G14*IF(Skills!H14&gt;0,Skills!I14/Skills!H14,1)</f>
        <v/>
      </c>
      <c r="H598">
        <f>1-(1-Skills!J14/100)^Skills!K14</f>
        <v/>
      </c>
      <c r="I598" t="inlineStr">
        <is>
          <t>1</t>
        </is>
      </c>
      <c r="J598">
        <f>((Inputs!$B$6*(1+Inputs!$B$7/100))+(((Inputs!$B$12*(1+Inputs!$B$13/100))-(Inputs!$B$12*(1+Inputs!$B$13/100)))+0.25*(Inputs!$B$14-Inputs!$B$14))*(1+Inputs!$B$7/100))*(F598/100)</f>
        <v/>
      </c>
      <c r="K598">
        <f>J598*(1+((Inputs!$B$12*(1+Inputs!$B$13/100))*0.01+Inputs!$B$14*0.0025)/100)*(1+Inputs!$B$15/100)*(1+Inputs!$B$16/100)*(5000/(6000+Inputs!$B$43*(1-Inputs!$B$19/100)))*(1+(Inputs!$B$24+((C614=TRUE)*(F614-Calc!F30)))/100)*(1+(IF(Skills!A14="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598)</f>
        <v/>
      </c>
      <c r="L598">
        <f>K598*(MIN(Inputs!$B$22+((C608=TRUE)*(F608-Calc!F24)),Inputs!$B$23+((C613=TRUE)*(F613-Calc!F29)))/100+(Inputs!$B$23+((C613=TRUE)*(F613-Calc!F29)))/100)/2</f>
        <v/>
      </c>
      <c r="M598">
        <f>L598*(1+((Inputs!$B$10+1)+((C610=TRUE)*(F610-Calc!F26))+B624)/100)</f>
        <v/>
      </c>
      <c r="N598">
        <f>L598*(1-MIN((Inputs!$B$9+((C609=TRUE)*(F609-Calc!F25))+B617),100)/100)+M598*(MIN((Inputs!$B$9+((C609=TRUE)*(F609-Calc!F25))+B617),100)/100)</f>
        <v/>
      </c>
      <c r="O598">
        <f>(1-Summary!$B$55)*T598+Summary!$B$55*V598</f>
        <v/>
      </c>
      <c r="P598">
        <f>IF(B629=0,0,O598/B629)</f>
        <v/>
      </c>
      <c r="Q598">
        <f>IFERROR(1/IF(Inputs!$B$39="pvp",15,MAX(0.1,Skills!D14-IF(Skills!E14=TRUE,Inputs!$B$32,0))),0)</f>
        <v/>
      </c>
      <c r="R598">
        <f>IF(AND(Inputs!$B$39&lt;&gt;"pvp",Inputs!$B$44&gt;0),IF(MAX(0,Inputs!$B$44-B628)&lt;=0,0,(INT(MAX(0,Inputs!$B$44-B628)/IF(Inputs!$B$39="pvp",15,MAX(0.1,Skills!D14-IF(Skills!E14=TRUE,Inputs!$B$32,0))))+1)),0)</f>
        <v/>
      </c>
      <c r="S598">
        <f>IFERROR(O598/N598,0)</f>
        <v/>
      </c>
      <c r="T598">
        <f>IF(C598,(H598*N598*IF(AND(Inputs!$B$39&lt;&gt;"pvp",Inputs!$B$44&gt;0),((Skills!G14*((R598-1)*IF(Skills!H14&gt;0,Skills!I14/Skills!H14,1)+IF(Skills!H14&gt;0,MIN(Skills!I14,MAX(0,MAX(0,Inputs!$B$44-B628)-((R598-1)*IF(Inputs!$B$39="pvp",15,MAX(0.1,Skills!D14-IF(Skills!E14=TRUE,Inputs!$B$32,0))))))/Skills!H14,1)))/Inputs!$B$44),G598*Q598))*IF(Inputs!$B$39="pvp",1,1+(Inputs!$B$20+0+Skills!P14+B618)/100),0)</f>
        <v/>
      </c>
      <c r="V598">
        <f>IF(C598,(H598*N598*IF(AND(Inputs!$B$39&lt;&gt;"pvp",Inputs!$B$44&gt;0),((Skills!G14*((R598-1)*IF(Skills!H14&gt;0,Skills!I14/Skills!H14,1)+IF(Skills!H14&gt;0,MIN(Skills!I14,MAX(0,MAX(0,Inputs!$B$44-B628)-((R598-1)*IF(Inputs!$B$39="pvp",15,MAX(0.1,Skills!D14-IF(Skills!E14=TRUE,Inputs!$B$32,0))))))/Skills!H14,1)))/Inputs!$B$44),G598*Q598))*IF(Inputs!$B$39="pvp",1,(1+(Inputs!$B$21+Skills!Q14+B618)/100)*(MIN(MIN(5,0.25*B621*Skills!D4)*Skills!V14,Inputs!$B$37))),0)</f>
        <v/>
      </c>
    </row>
    <row r="599">
      <c r="A599">
        <f>Skills!A15</f>
        <v/>
      </c>
      <c r="B599">
        <f>Skills!B15</f>
        <v/>
      </c>
      <c r="C599">
        <f>Inputs!$B$3&gt;=110</f>
        <v/>
      </c>
      <c r="D599">
        <f>IF(Skills!C15=1,60+Inputs!$B$25+Inputs!$B$29,IF(Skills!C15=2,90+Inputs!$B$26+Inputs!$B$29,IF(Skills!C15=3,120+Inputs!$B$27+Inputs!$B$29,MAX(0,(Inputs!$B$3-100)*3)+Inputs!$B$28+Inputs!$B$29)))</f>
        <v/>
      </c>
      <c r="E599">
        <f>INDEX(FactorTable!$B$2:$Y$301, MATCH(ROUND(MIN(300,MAX(1,D599)),0), FactorTable!$A$2:$A$301,0), Skills!M15+1)</f>
        <v/>
      </c>
      <c r="F599">
        <f>IF(Skills!N15=TRUE,(Skills!L15/10)*(E599/1000),Skills!L15/10)+Skills!O15</f>
        <v/>
      </c>
      <c r="G599">
        <f>Skills!G15*IF(Skills!H15&gt;0,Skills!I15/Skills!H15,1)</f>
        <v/>
      </c>
      <c r="H599">
        <f>1-(1-Skills!J15/100)^Skills!K15</f>
        <v/>
      </c>
      <c r="I599" t="inlineStr">
        <is>
          <t>1</t>
        </is>
      </c>
      <c r="J599" t="inlineStr"/>
      <c r="K599" t="inlineStr"/>
      <c r="L599" t="inlineStr"/>
      <c r="M599" t="inlineStr"/>
      <c r="N599" t="inlineStr"/>
      <c r="O599">
        <f>(1-Summary!$B$55)*T599+Summary!$B$55*V599</f>
        <v/>
      </c>
      <c r="P599">
        <f>IF(B629=0,0,O599/B629)</f>
        <v/>
      </c>
      <c r="Q599">
        <f>IFERROR(1/IF(Inputs!$B$39="pvp",15,MAX(0.1,Skills!D15-IF(Skills!E15=TRUE,Inputs!$B$32,0))),0)</f>
        <v/>
      </c>
      <c r="R599">
        <f>IF(AND(Inputs!$B$39&lt;&gt;"pvp",Inputs!$B$44&gt;0),IF(Inputs!$B$44&lt;=0,0,(INT(Inputs!$B$44/IF(Inputs!$B$39="pvp",15,MAX(0.1,Skills!D15-IF(Skills!E15=TRUE,Inputs!$B$32,0))))+1)),0)</f>
        <v/>
      </c>
      <c r="S599">
        <f>IFERROR(O599/N599,0)</f>
        <v/>
      </c>
      <c r="T599" t="n">
        <v>0</v>
      </c>
      <c r="V599" t="n">
        <v>0</v>
      </c>
    </row>
    <row r="600">
      <c r="A600">
        <f>Skills!A16</f>
        <v/>
      </c>
      <c r="B600">
        <f>Skills!B16</f>
        <v/>
      </c>
      <c r="C600">
        <f>Inputs!$B$3&gt;=115</f>
        <v/>
      </c>
      <c r="D600">
        <f>IF(Skills!C16=1,60+Inputs!$B$25+Inputs!$B$29,IF(Skills!C16=2,90+Inputs!$B$26+Inputs!$B$29,IF(Skills!C16=3,120+Inputs!$B$27+Inputs!$B$29,MAX(0,(Inputs!$B$3-100)*3)+Inputs!$B$28+Inputs!$B$29)))</f>
        <v/>
      </c>
      <c r="E600">
        <f>INDEX(FactorTable!$B$2:$Y$301, MATCH(ROUND(MIN(300,MAX(1,D600)),0), FactorTable!$A$2:$A$301,0), Skills!M16+1)</f>
        <v/>
      </c>
      <c r="F600">
        <f>IF(Skills!N16=TRUE,(Skills!L16/10)*(E600/1000),Skills!L16/10)+Skills!O16</f>
        <v/>
      </c>
      <c r="G600">
        <f>Skills!G16*IF(Skills!H16&gt;0,Skills!I16/Skills!H16,1)</f>
        <v/>
      </c>
      <c r="H600">
        <f>1-(1-Skills!J16/100)^Skills!K16</f>
        <v/>
      </c>
      <c r="I600" t="inlineStr">
        <is>
          <t>1</t>
        </is>
      </c>
      <c r="J600">
        <f>((Inputs!$B$6*(1+Inputs!$B$7/100))+(((Inputs!$B$12*(1+Inputs!$B$13/100))-(Inputs!$B$12*(1+Inputs!$B$13/100)))+0.25*(Inputs!$B$14-Inputs!$B$14))*(1+Inputs!$B$7/100))*(F600/100)</f>
        <v/>
      </c>
      <c r="K600">
        <f>J600*(1+((Inputs!$B$12*(1+Inputs!$B$13/100))*0.01+Inputs!$B$14*0.0025)/100)*(1+Inputs!$B$15/100)*(1+Inputs!$B$16/100)*(5000/(6000+Inputs!$B$43*(1-Inputs!$B$19/100)))*(1+(Inputs!$B$24+((C614=TRUE)*(F614-Calc!F30)))/100)*(1+(IF(Skills!A16="CRUEL_STAB",Inputs!$B$17+((C611=TRUE)*(F611-Calc!F27)),Inputs!$B$18+((C612=TRUE)*(F612-Calc!F28))))/100)*(((1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B619*I600)</f>
        <v/>
      </c>
      <c r="L600">
        <f>K600*(MIN(Inputs!$B$22+((C608=TRUE)*(F608-Calc!F24)),Inputs!$B$23+((C613=TRUE)*(F613-Calc!F29)))/100+(Inputs!$B$23+((C613=TRUE)*(F613-Calc!F29)))/100)/2</f>
        <v/>
      </c>
      <c r="M600">
        <f>L600*(1+((Inputs!$B$10+1)+((C610=TRUE)*(F610-Calc!F26))+B624)/100)</f>
        <v/>
      </c>
      <c r="N600">
        <f>L600*(1-MIN((Inputs!$B$9+((C609=TRUE)*(F609-Calc!F25))+B617),100)/100)+M600*(MIN((Inputs!$B$9+((C609=TRUE)*(F609-Calc!F25))+B617),100)/100)</f>
        <v/>
      </c>
      <c r="O600">
        <f>(1-Summary!$B$55)*T600+Summary!$B$55*V600</f>
        <v/>
      </c>
      <c r="P600">
        <f>IF(B629=0,0,O600/B629)</f>
        <v/>
      </c>
      <c r="Q600" t="n">
        <v>0</v>
      </c>
      <c r="R600" t="n">
        <v>0</v>
      </c>
      <c r="S600">
        <f>IFERROR(O600/N600,0)</f>
        <v/>
      </c>
      <c r="T600">
        <f>IF(C600,(Inputs!$B$38*0.2*N600)*IF(Inputs!$B$39="pvp",1,1+(Inputs!$B$20+0+Skills!P16+B618)/100),0)</f>
        <v/>
      </c>
      <c r="V600">
        <f>IF(C600,(Inputs!$B$38*0.2*N600)*IF(Inputs!$B$39="pvp",1,(1+(Inputs!$B$21+Skills!Q16+B618)/100)*(MIN(Skills!W16,Inputs!$B$37))),0)</f>
        <v/>
      </c>
    </row>
    <row r="601">
      <c r="A601">
        <f>Skills!A17</f>
        <v/>
      </c>
      <c r="B601">
        <f>Skills!B17</f>
        <v/>
      </c>
      <c r="C601">
        <f>Inputs!$B$3&gt;=115</f>
        <v/>
      </c>
      <c r="D601">
        <f>IF(Skills!C17=1,60+Inputs!$B$25+Inputs!$B$29,IF(Skills!C17=2,90+Inputs!$B$26+Inputs!$B$29,IF(Skills!C17=3,120+Inputs!$B$27+Inputs!$B$29,MAX(0,(Inputs!$B$3-100)*3)+Inputs!$B$28+Inputs!$B$29)))</f>
        <v/>
      </c>
      <c r="E601">
        <f>INDEX(FactorTable!$B$2:$Y$301, MATCH(ROUND(MIN(300,MAX(1,D601)),0), FactorTable!$A$2:$A$301,0), Skills!M17+1)</f>
        <v/>
      </c>
      <c r="F601">
        <f>IF(Skills!N17=TRUE,(Skills!L17/10)*(E601/1000),Skills!L17/10)+Skills!O17</f>
        <v/>
      </c>
      <c r="G601">
        <f>Skills!G17*IF(Skills!H17&gt;0,Skills!I17/Skills!H17,1)</f>
        <v/>
      </c>
      <c r="H601">
        <f>1-(1-Skills!J17/100)^Skills!K17</f>
        <v/>
      </c>
      <c r="I601" t="inlineStr">
        <is>
          <t>1</t>
        </is>
      </c>
      <c r="J601" t="inlineStr"/>
      <c r="K601" t="inlineStr"/>
      <c r="L601" t="inlineStr"/>
      <c r="M601" t="inlineStr"/>
      <c r="N601" t="inlineStr"/>
      <c r="O601">
        <f>(1-Summary!$B$55)*T601+Summary!$B$55*V601</f>
        <v/>
      </c>
      <c r="P601">
        <f>IF(B629=0,0,O601/B629)</f>
        <v/>
      </c>
      <c r="Q601" t="n">
        <v>0</v>
      </c>
      <c r="R601" t="n">
        <v>0</v>
      </c>
      <c r="S601">
        <f>IFERROR(O601/N601,0)</f>
        <v/>
      </c>
      <c r="T601" t="n">
        <v>0</v>
      </c>
      <c r="V601" t="n">
        <v>0</v>
      </c>
    </row>
    <row r="602">
      <c r="A602">
        <f>Skills!A18</f>
        <v/>
      </c>
      <c r="B602">
        <f>Skills!B18</f>
        <v/>
      </c>
      <c r="C602">
        <f>Inputs!$B$3&gt;=100</f>
        <v/>
      </c>
      <c r="D602">
        <f>IF(Skills!C18=1,60+Inputs!$B$25+Inputs!$B$29,IF(Skills!C18=2,90+Inputs!$B$26+Inputs!$B$29,IF(Skills!C18=3,120+Inputs!$B$27+Inputs!$B$29,MAX(0,(Inputs!$B$3-100)*3)+Inputs!$B$28+Inputs!$B$29)))</f>
        <v/>
      </c>
      <c r="E602">
        <f>INDEX(FactorTable!$B$2:$Y$301, MATCH(ROUND(MIN(300,MAX(1,D602)),0), FactorTable!$A$2:$A$301,0), Skills!M18+1)</f>
        <v/>
      </c>
      <c r="F602">
        <f>IF(Skills!N18=TRUE,(Skills!L18/10)*(E602/1000),Skills!L18/10)+Skills!O18</f>
        <v/>
      </c>
      <c r="G602">
        <f>Skills!G18*IF(Skills!H18&gt;0,Skills!I18/Skills!H18,1)</f>
        <v/>
      </c>
      <c r="H602">
        <f>1-(1-Skills!J18/100)^Skills!K18</f>
        <v/>
      </c>
      <c r="I602" t="inlineStr">
        <is>
          <t>1</t>
        </is>
      </c>
      <c r="J602" t="inlineStr"/>
      <c r="K602" t="inlineStr"/>
      <c r="L602" t="inlineStr"/>
      <c r="M602" t="inlineStr"/>
      <c r="N602" t="inlineStr"/>
      <c r="O602">
        <f>(1-Summary!$B$55)*T602+Summary!$B$55*V602</f>
        <v/>
      </c>
      <c r="P602">
        <f>IF(B629=0,0,O602/B629)</f>
        <v/>
      </c>
      <c r="Q602" t="n">
        <v>0</v>
      </c>
      <c r="R602" t="n">
        <v>0</v>
      </c>
      <c r="S602">
        <f>IFERROR(O602/N602,0)</f>
        <v/>
      </c>
      <c r="T602" t="n">
        <v>0</v>
      </c>
      <c r="V602" t="n">
        <v>0</v>
      </c>
    </row>
    <row r="603">
      <c r="A603">
        <f>Skills!A19</f>
        <v/>
      </c>
      <c r="B603">
        <f>Skills!B19</f>
        <v/>
      </c>
      <c r="C603">
        <f>TRUE</f>
        <v/>
      </c>
      <c r="D603">
        <f>IF(Skills!C19=1,60+Inputs!$B$25+Inputs!$B$29,IF(Skills!C19=2,90+Inputs!$B$26+Inputs!$B$29,IF(Skills!C19=3,120+Inputs!$B$27+Inputs!$B$29,MAX(0,(Inputs!$B$3-100)*3)+Inputs!$B$28+Inputs!$B$29)))</f>
        <v/>
      </c>
      <c r="E603">
        <f>INDEX(FactorTable!$B$2:$Y$301, MATCH(ROUND(MIN(300,MAX(1,D603)),0), FactorTable!$A$2:$A$301,0), Skills!M19+1)</f>
        <v/>
      </c>
      <c r="F603">
        <f>IF(Skills!N19=TRUE,(Skills!L19/10)*(E603/1000),Skills!L19/10)+Skills!O19</f>
        <v/>
      </c>
      <c r="G603">
        <f>Skills!G19*IF(Skills!H19&gt;0,Skills!I19/Skills!H19,1)</f>
        <v/>
      </c>
      <c r="H603">
        <f>1-(1-Skills!J19/100)^Skills!K19</f>
        <v/>
      </c>
      <c r="I603" t="inlineStr">
        <is>
          <t>1</t>
        </is>
      </c>
      <c r="J603" t="inlineStr"/>
      <c r="K603" t="inlineStr"/>
      <c r="L603" t="inlineStr"/>
      <c r="M603" t="inlineStr"/>
      <c r="N603" t="inlineStr"/>
      <c r="O603">
        <f>(1-Summary!$B$55)*T603+Summary!$B$55*V603</f>
        <v/>
      </c>
      <c r="P603">
        <f>IF(B629=0,0,O603/B629)</f>
        <v/>
      </c>
      <c r="Q603">
        <f>IFERROR(1/IF(Inputs!$B$39="pvp",15,MAX(0.1,Skills!D19-IF(Skills!E19=TRUE,Inputs!$B$32,0))),0)</f>
        <v/>
      </c>
      <c r="R603">
        <f>IF(AND(Inputs!$B$39&lt;&gt;"pvp",Inputs!$B$44&gt;0),IF(Inputs!$B$44&lt;=0,0,(INT(Inputs!$B$44/IF(Inputs!$B$39="pvp",15,MAX(0.1,Skills!D19-IF(Skills!E19=TRUE,Inputs!$B$32,0))))+1)),0)</f>
        <v/>
      </c>
      <c r="S603">
        <f>IFERROR(O603/N603,0)</f>
        <v/>
      </c>
      <c r="T603" t="n">
        <v>0</v>
      </c>
      <c r="V603" t="n">
        <v>0</v>
      </c>
    </row>
    <row r="604">
      <c r="A604">
        <f>Skills!A20</f>
        <v/>
      </c>
      <c r="B604">
        <f>Skills!B20</f>
        <v/>
      </c>
      <c r="C604">
        <f>Inputs!$B$3&gt;=15</f>
        <v/>
      </c>
      <c r="D604">
        <f>IF(Skills!C20=1,60+Inputs!$B$25+Inputs!$B$29,IF(Skills!C20=2,90+Inputs!$B$26+Inputs!$B$29,IF(Skills!C20=3,120+Inputs!$B$27+Inputs!$B$29,MAX(0,(Inputs!$B$3-100)*3)+Inputs!$B$28+Inputs!$B$29)))</f>
        <v/>
      </c>
      <c r="E604">
        <f>INDEX(FactorTable!$B$2:$Y$301, MATCH(ROUND(MIN(300,MAX(1,D604)),0), FactorTable!$A$2:$A$301,0), Skills!M20+1)</f>
        <v/>
      </c>
      <c r="F604">
        <f>IF(Skills!N20=TRUE,(Skills!L20/10)*(E604/1000),Skills!L20/10)+Skills!O20</f>
        <v/>
      </c>
      <c r="G604">
        <f>Skills!G20*IF(Skills!H20&gt;0,Skills!I20/Skills!H20,1)</f>
        <v/>
      </c>
      <c r="H604">
        <f>1-(1-Skills!J20/100)^Skills!K20</f>
        <v/>
      </c>
      <c r="I604" t="inlineStr">
        <is>
          <t>1</t>
        </is>
      </c>
      <c r="J604" t="inlineStr"/>
      <c r="K604" t="inlineStr"/>
      <c r="L604" t="inlineStr"/>
      <c r="M604" t="inlineStr"/>
      <c r="N604" t="inlineStr"/>
      <c r="O604">
        <f>(1-Summary!$B$55)*T604+Summary!$B$55*V604</f>
        <v/>
      </c>
      <c r="P604">
        <f>IF(B629=0,0,O604/B629)</f>
        <v/>
      </c>
      <c r="Q604">
        <f>IFERROR(1/IF(Inputs!$B$39="pvp",15,MAX(0.1,Skills!D20-IF(Skills!E20=TRUE,Inputs!$B$32,0))),0)</f>
        <v/>
      </c>
      <c r="R604">
        <f>IF(AND(Inputs!$B$39&lt;&gt;"pvp",Inputs!$B$44&gt;0),IF(Inputs!$B$44&lt;=0,0,(INT(Inputs!$B$44/IF(Inputs!$B$39="pvp",15,MAX(0.1,Skills!D20-IF(Skills!E20=TRUE,Inputs!$B$32,0))))+1)),0)</f>
        <v/>
      </c>
      <c r="S604">
        <f>IFERROR(O604/N604,0)</f>
        <v/>
      </c>
      <c r="T604" t="n">
        <v>0</v>
      </c>
      <c r="V604" t="n">
        <v>0</v>
      </c>
    </row>
    <row r="605">
      <c r="A605">
        <f>Skills!A21</f>
        <v/>
      </c>
      <c r="B605">
        <f>Skills!B21</f>
        <v/>
      </c>
      <c r="C605">
        <f>Inputs!$B$3&gt;=15</f>
        <v/>
      </c>
      <c r="D605">
        <f>IF(Skills!C21=1,60+Inputs!$B$25+Inputs!$B$29,IF(Skills!C21=2,90+Inputs!$B$26+Inputs!$B$29,IF(Skills!C21=3,120+Inputs!$B$27+Inputs!$B$29,MAX(0,(Inputs!$B$3-100)*3)+Inputs!$B$28+Inputs!$B$29)))</f>
        <v/>
      </c>
      <c r="E605">
        <f>INDEX(FactorTable!$B$2:$Y$301, MATCH(ROUND(MIN(300,MAX(1,D605)),0), FactorTable!$A$2:$A$301,0), Skills!M21+1)</f>
        <v/>
      </c>
      <c r="F605">
        <f>IF(Skills!N21=TRUE,(Skills!L21/10)*(E605/1000),Skills!L21/10)+Skills!O21</f>
        <v/>
      </c>
      <c r="G605">
        <f>Skills!G21*IF(Skills!H21&gt;0,Skills!I21/Skills!H21,1)</f>
        <v/>
      </c>
      <c r="H605">
        <f>1-(1-Skills!J21/100)^Skills!K21</f>
        <v/>
      </c>
      <c r="I605" t="inlineStr">
        <is>
          <t>1</t>
        </is>
      </c>
      <c r="J605" t="inlineStr"/>
      <c r="K605" t="inlineStr"/>
      <c r="L605" t="inlineStr"/>
      <c r="M605" t="inlineStr"/>
      <c r="N605" t="inlineStr"/>
      <c r="O605">
        <f>(1-Summary!$B$55)*T605+Summary!$B$55*V605</f>
        <v/>
      </c>
      <c r="P605">
        <f>IF(B629=0,0,O605/B629)</f>
        <v/>
      </c>
      <c r="Q605">
        <f>IFERROR(1/IF(Inputs!$B$39="pvp",15,MAX(0.1,Skills!D21-IF(Skills!E21=TRUE,Inputs!$B$32,0))),0)</f>
        <v/>
      </c>
      <c r="R605">
        <f>IF(AND(Inputs!$B$39&lt;&gt;"pvp",Inputs!$B$44&gt;0),IF(Inputs!$B$44&lt;=0,0,(INT(Inputs!$B$44/IF(Inputs!$B$39="pvp",15,MAX(0.1,Skills!D21-IF(Skills!E21=TRUE,Inputs!$B$32,0))))+1)),0)</f>
        <v/>
      </c>
      <c r="S605">
        <f>IFERROR(O605/N605,0)</f>
        <v/>
      </c>
      <c r="T605" t="n">
        <v>0</v>
      </c>
      <c r="V605" t="n">
        <v>0</v>
      </c>
    </row>
    <row r="606">
      <c r="A606">
        <f>Skills!A22</f>
        <v/>
      </c>
      <c r="B606">
        <f>Skills!B22</f>
        <v/>
      </c>
      <c r="C606">
        <f>Inputs!$B$3&gt;=33</f>
        <v/>
      </c>
      <c r="D606">
        <f>IF(Skills!C22=1,60+Inputs!$B$25+Inputs!$B$29,IF(Skills!C22=2,90+Inputs!$B$26+Inputs!$B$29,IF(Skills!C22=3,120+Inputs!$B$27+Inputs!$B$29,MAX(0,(Inputs!$B$3-100)*3)+Inputs!$B$28+Inputs!$B$29)))</f>
        <v/>
      </c>
      <c r="E606">
        <f>INDEX(FactorTable!$B$2:$Y$301, MATCH(ROUND(MIN(300,MAX(1,D606)),0), FactorTable!$A$2:$A$301,0), Skills!M22+1)</f>
        <v/>
      </c>
      <c r="F606">
        <f>IF(Skills!N22=TRUE,(Skills!L22/10)*(E606/1000),Skills!L22/10)+Skills!O22</f>
        <v/>
      </c>
      <c r="G606">
        <f>Skills!G22*IF(Skills!H22&gt;0,Skills!I22/Skills!H22,1)</f>
        <v/>
      </c>
      <c r="H606">
        <f>1-(1-Skills!J22/100)^Skills!K22</f>
        <v/>
      </c>
      <c r="I606" t="inlineStr">
        <is>
          <t>1</t>
        </is>
      </c>
      <c r="J606" t="inlineStr"/>
      <c r="K606" t="inlineStr"/>
      <c r="L606" t="inlineStr"/>
      <c r="M606" t="inlineStr"/>
      <c r="N606" t="inlineStr"/>
      <c r="O606">
        <f>(1-Summary!$B$55)*T606+Summary!$B$55*V606</f>
        <v/>
      </c>
      <c r="P606">
        <f>IF(B629=0,0,O606/B629)</f>
        <v/>
      </c>
      <c r="Q606" t="n">
        <v>0</v>
      </c>
      <c r="R606" t="n">
        <v>0</v>
      </c>
      <c r="S606">
        <f>IFERROR(O606/N606,0)</f>
        <v/>
      </c>
      <c r="T606" t="n">
        <v>0</v>
      </c>
      <c r="V606" t="n">
        <v>0</v>
      </c>
    </row>
    <row r="607">
      <c r="A607">
        <f>Skills!A23</f>
        <v/>
      </c>
      <c r="B607">
        <f>Skills!B23</f>
        <v/>
      </c>
      <c r="C607">
        <f>Inputs!$B$3&gt;=40</f>
        <v/>
      </c>
      <c r="D607">
        <f>IF(Skills!C23=1,60+Inputs!$B$25+Inputs!$B$29,IF(Skills!C23=2,90+Inputs!$B$26+Inputs!$B$29,IF(Skills!C23=3,120+Inputs!$B$27+Inputs!$B$29,MAX(0,(Inputs!$B$3-100)*3)+Inputs!$B$28+Inputs!$B$29)))</f>
        <v/>
      </c>
      <c r="E607">
        <f>INDEX(FactorTable!$B$2:$Y$301, MATCH(ROUND(MIN(300,MAX(1,D607)),0), FactorTable!$A$2:$A$301,0), Skills!M23+1)</f>
        <v/>
      </c>
      <c r="F607">
        <f>IF(Skills!N23=TRUE,(Skills!L23/10)*(E607/1000),Skills!L23/10)+Skills!O23</f>
        <v/>
      </c>
      <c r="G607">
        <f>Skills!G23*IF(Skills!H23&gt;0,Skills!I23/Skills!H23,1)</f>
        <v/>
      </c>
      <c r="H607">
        <f>1-(1-Skills!J23/100)^Skills!K23</f>
        <v/>
      </c>
      <c r="I607" t="inlineStr">
        <is>
          <t>1</t>
        </is>
      </c>
      <c r="J607" t="inlineStr"/>
      <c r="K607" t="inlineStr"/>
      <c r="L607" t="inlineStr"/>
      <c r="M607" t="inlineStr"/>
      <c r="N607" t="inlineStr"/>
      <c r="O607">
        <f>(1-Summary!$B$55)*T607+Summary!$B$55*V607</f>
        <v/>
      </c>
      <c r="P607">
        <f>IF(B629=0,0,O607/B629)</f>
        <v/>
      </c>
      <c r="Q607" t="n">
        <v>0</v>
      </c>
      <c r="R607" t="n">
        <v>0</v>
      </c>
      <c r="S607">
        <f>IFERROR(O607/N607,0)</f>
        <v/>
      </c>
      <c r="T607" t="n">
        <v>0</v>
      </c>
      <c r="V607" t="n">
        <v>0</v>
      </c>
    </row>
    <row r="608">
      <c r="A608">
        <f>Skills!A24</f>
        <v/>
      </c>
      <c r="B608">
        <f>Skills!B24</f>
        <v/>
      </c>
      <c r="C608">
        <f>Inputs!$B$3&gt;=43</f>
        <v/>
      </c>
      <c r="D608">
        <f>IF(Skills!C24=1,60+Inputs!$B$25+Inputs!$B$29,IF(Skills!C24=2,90+Inputs!$B$26+Inputs!$B$29,IF(Skills!C24=3,120+Inputs!$B$27+Inputs!$B$29,MAX(0,(Inputs!$B$3-100)*3)+Inputs!$B$28+Inputs!$B$29)))</f>
        <v/>
      </c>
      <c r="E608">
        <f>INDEX(FactorTable!$B$2:$Y$301, MATCH(ROUND(MIN(300,MAX(1,D608)),0), FactorTable!$A$2:$A$301,0), Skills!M24+1)</f>
        <v/>
      </c>
      <c r="F608">
        <f>IF(Skills!N24=TRUE,(Skills!L24/10)*(E608/1000),Skills!L24/10)+Skills!O24</f>
        <v/>
      </c>
      <c r="G608">
        <f>Skills!G24*IF(Skills!H24&gt;0,Skills!I24/Skills!H24,1)</f>
        <v/>
      </c>
      <c r="H608">
        <f>1-(1-Skills!J24/100)^Skills!K24</f>
        <v/>
      </c>
      <c r="I608" t="inlineStr">
        <is>
          <t>1</t>
        </is>
      </c>
      <c r="J608" t="inlineStr"/>
      <c r="K608" t="inlineStr"/>
      <c r="L608" t="inlineStr"/>
      <c r="M608" t="inlineStr"/>
      <c r="N608" t="inlineStr"/>
      <c r="O608">
        <f>(1-Summary!$B$55)*T608+Summary!$B$55*V608</f>
        <v/>
      </c>
      <c r="P608">
        <f>IF(B629=0,0,O608/B629)</f>
        <v/>
      </c>
      <c r="Q608" t="n">
        <v>0</v>
      </c>
      <c r="R608" t="n">
        <v>0</v>
      </c>
      <c r="S608">
        <f>IFERROR(O608/N608,0)</f>
        <v/>
      </c>
      <c r="T608" t="n">
        <v>0</v>
      </c>
      <c r="V608" t="n">
        <v>0</v>
      </c>
    </row>
    <row r="609">
      <c r="A609">
        <f>Skills!A25</f>
        <v/>
      </c>
      <c r="B609">
        <f>Skills!B25</f>
        <v/>
      </c>
      <c r="C609">
        <f>Inputs!$B$3&gt;=50</f>
        <v/>
      </c>
      <c r="D609">
        <f>IF(Skills!C25=1,60+Inputs!$B$25+Inputs!$B$29,IF(Skills!C25=2,90+Inputs!$B$26+Inputs!$B$29,IF(Skills!C25=3,120+Inputs!$B$27+Inputs!$B$29,MAX(0,(Inputs!$B$3-100)*3)+Inputs!$B$28+Inputs!$B$29)))</f>
        <v/>
      </c>
      <c r="E609">
        <f>INDEX(FactorTable!$B$2:$Y$301, MATCH(ROUND(MIN(300,MAX(1,D609)),0), FactorTable!$A$2:$A$301,0), Skills!M25+1)</f>
        <v/>
      </c>
      <c r="F609">
        <f>IF(Skills!N25=TRUE,(Skills!L25/10)*(E609/1000),Skills!L25/10)+Skills!O25</f>
        <v/>
      </c>
      <c r="G609">
        <f>Skills!G25*IF(Skills!H25&gt;0,Skills!I25/Skills!H25,1)</f>
        <v/>
      </c>
      <c r="H609">
        <f>1-(1-Skills!J25/100)^Skills!K25</f>
        <v/>
      </c>
      <c r="I609" t="inlineStr">
        <is>
          <t>1</t>
        </is>
      </c>
      <c r="J609" t="inlineStr"/>
      <c r="K609" t="inlineStr"/>
      <c r="L609" t="inlineStr"/>
      <c r="M609" t="inlineStr"/>
      <c r="N609" t="inlineStr"/>
      <c r="O609">
        <f>(1-Summary!$B$55)*T609+Summary!$B$55*V609</f>
        <v/>
      </c>
      <c r="P609">
        <f>IF(B629=0,0,O609/B629)</f>
        <v/>
      </c>
      <c r="Q609" t="n">
        <v>0</v>
      </c>
      <c r="R609" t="n">
        <v>0</v>
      </c>
      <c r="S609">
        <f>IFERROR(O609/N609,0)</f>
        <v/>
      </c>
      <c r="T609" t="n">
        <v>0</v>
      </c>
      <c r="V609" t="n">
        <v>0</v>
      </c>
    </row>
    <row r="610">
      <c r="A610">
        <f>Skills!A26</f>
        <v/>
      </c>
      <c r="B610">
        <f>Skills!B26</f>
        <v/>
      </c>
      <c r="C610">
        <f>Inputs!$B$3&gt;=50</f>
        <v/>
      </c>
      <c r="D610">
        <f>IF(Skills!C26=1,60+Inputs!$B$25+Inputs!$B$29,IF(Skills!C26=2,90+Inputs!$B$26+Inputs!$B$29,IF(Skills!C26=3,120+Inputs!$B$27+Inputs!$B$29,MAX(0,(Inputs!$B$3-100)*3)+Inputs!$B$28+Inputs!$B$29)))</f>
        <v/>
      </c>
      <c r="E610">
        <f>INDEX(FactorTable!$B$2:$Y$301, MATCH(ROUND(MIN(300,MAX(1,D610)),0), FactorTable!$A$2:$A$301,0), Skills!M26+1)</f>
        <v/>
      </c>
      <c r="F610">
        <f>IF(Skills!N26=TRUE,(Skills!L26/10)*(E610/1000),Skills!L26/10)+Skills!O26</f>
        <v/>
      </c>
      <c r="G610">
        <f>Skills!G26*IF(Skills!H26&gt;0,Skills!I26/Skills!H26,1)</f>
        <v/>
      </c>
      <c r="H610">
        <f>1-(1-Skills!J26/100)^Skills!K26</f>
        <v/>
      </c>
      <c r="I610" t="inlineStr">
        <is>
          <t>1</t>
        </is>
      </c>
      <c r="J610" t="inlineStr"/>
      <c r="K610" t="inlineStr"/>
      <c r="L610" t="inlineStr"/>
      <c r="M610" t="inlineStr"/>
      <c r="N610" t="inlineStr"/>
      <c r="O610">
        <f>(1-Summary!$B$55)*T610+Summary!$B$55*V610</f>
        <v/>
      </c>
      <c r="P610">
        <f>IF(B629=0,0,O610/B629)</f>
        <v/>
      </c>
      <c r="Q610" t="n">
        <v>0</v>
      </c>
      <c r="R610" t="n">
        <v>0</v>
      </c>
      <c r="S610">
        <f>IFERROR(O610/N610,0)</f>
        <v/>
      </c>
      <c r="T610" t="n">
        <v>0</v>
      </c>
      <c r="V610" t="n">
        <v>0</v>
      </c>
    </row>
    <row r="611">
      <c r="A611">
        <f>Skills!A27</f>
        <v/>
      </c>
      <c r="B611">
        <f>Skills!B27</f>
        <v/>
      </c>
      <c r="C611">
        <f>Inputs!$B$3&gt;=38</f>
        <v/>
      </c>
      <c r="D611">
        <f>IF(Skills!C27=1,60+Inputs!$B$25+Inputs!$B$29,IF(Skills!C27=2,90+Inputs!$B$26+Inputs!$B$29,IF(Skills!C27=3,120+Inputs!$B$27+Inputs!$B$29,MAX(0,(Inputs!$B$3-100)*3)+Inputs!$B$28+Inputs!$B$29)))</f>
        <v/>
      </c>
      <c r="E611">
        <f>INDEX(FactorTable!$B$2:$Y$301, MATCH(ROUND(MIN(300,MAX(1,D611)),0), FactorTable!$A$2:$A$301,0), Skills!M27+1)</f>
        <v/>
      </c>
      <c r="F611">
        <f>IF(Skills!N27=TRUE,(Skills!L27/10)*(E611/1000),Skills!L27/10)+Skills!O27</f>
        <v/>
      </c>
      <c r="G611">
        <f>Skills!G27*IF(Skills!H27&gt;0,Skills!I27/Skills!H27,1)</f>
        <v/>
      </c>
      <c r="H611">
        <f>1-(1-Skills!J27/100)^Skills!K27</f>
        <v/>
      </c>
      <c r="I611" t="inlineStr">
        <is>
          <t>1</t>
        </is>
      </c>
      <c r="J611" t="inlineStr"/>
      <c r="K611" t="inlineStr"/>
      <c r="L611" t="inlineStr"/>
      <c r="M611" t="inlineStr"/>
      <c r="N611" t="inlineStr"/>
      <c r="O611">
        <f>(1-Summary!$B$55)*T611+Summary!$B$55*V611</f>
        <v/>
      </c>
      <c r="P611">
        <f>IF(B629=0,0,O611/B629)</f>
        <v/>
      </c>
      <c r="Q611" t="n">
        <v>0</v>
      </c>
      <c r="R611" t="n">
        <v>0</v>
      </c>
      <c r="S611">
        <f>IFERROR(O611/N611,0)</f>
        <v/>
      </c>
      <c r="T611" t="n">
        <v>0</v>
      </c>
      <c r="V611" t="n">
        <v>0</v>
      </c>
    </row>
    <row r="612">
      <c r="A612">
        <f>Skills!A28</f>
        <v/>
      </c>
      <c r="B612">
        <f>Skills!B28</f>
        <v/>
      </c>
      <c r="C612">
        <f>Inputs!$B$3&gt;=120</f>
        <v/>
      </c>
      <c r="D612">
        <f>IF(Skills!C28=1,60+Inputs!$B$25+Inputs!$B$29,IF(Skills!C28=2,90+Inputs!$B$26+Inputs!$B$29,IF(Skills!C28=3,120+Inputs!$B$27+Inputs!$B$29,MAX(0,(Inputs!$B$3-100)*3)+Inputs!$B$28+Inputs!$B$29)))</f>
        <v/>
      </c>
      <c r="E612">
        <f>INDEX(FactorTable!$B$2:$Y$301, MATCH(ROUND(MIN(300,MAX(1,D612)),0), FactorTable!$A$2:$A$301,0), Skills!M28+1)</f>
        <v/>
      </c>
      <c r="F612">
        <f>IF(Skills!N28=TRUE,(Skills!L28/10)*(E612/1000),Skills!L28/10)+Skills!O28</f>
        <v/>
      </c>
      <c r="G612">
        <f>Skills!G28*IF(Skills!H28&gt;0,Skills!I28/Skills!H28,1)</f>
        <v/>
      </c>
      <c r="H612">
        <f>1-(1-Skills!J28/100)^Skills!K28</f>
        <v/>
      </c>
      <c r="I612" t="inlineStr">
        <is>
          <t>1</t>
        </is>
      </c>
      <c r="J612" t="inlineStr"/>
      <c r="K612" t="inlineStr"/>
      <c r="L612" t="inlineStr"/>
      <c r="M612" t="inlineStr"/>
      <c r="N612" t="inlineStr"/>
      <c r="O612">
        <f>(1-Summary!$B$55)*T612+Summary!$B$55*V612</f>
        <v/>
      </c>
      <c r="P612">
        <f>IF(B629=0,0,O612/B629)</f>
        <v/>
      </c>
      <c r="Q612" t="n">
        <v>0</v>
      </c>
      <c r="R612" t="n">
        <v>0</v>
      </c>
      <c r="S612">
        <f>IFERROR(O612/N612,0)</f>
        <v/>
      </c>
      <c r="T612" t="n">
        <v>0</v>
      </c>
      <c r="V612" t="n">
        <v>0</v>
      </c>
    </row>
    <row r="613">
      <c r="A613">
        <f>Skills!A29</f>
        <v/>
      </c>
      <c r="B613">
        <f>Skills!B29</f>
        <v/>
      </c>
      <c r="C613">
        <f>Inputs!$B$3&gt;=120</f>
        <v/>
      </c>
      <c r="D613">
        <f>IF(Skills!C29=1,60+Inputs!$B$25+Inputs!$B$29,IF(Skills!C29=2,90+Inputs!$B$26+Inputs!$B$29,IF(Skills!C29=3,120+Inputs!$B$27+Inputs!$B$29,MAX(0,(Inputs!$B$3-100)*3)+Inputs!$B$28+Inputs!$B$29)))</f>
        <v/>
      </c>
      <c r="E613">
        <f>INDEX(FactorTable!$B$2:$Y$301, MATCH(ROUND(MIN(300,MAX(1,D613)),0), FactorTable!$A$2:$A$301,0), Skills!M29+1)</f>
        <v/>
      </c>
      <c r="F613">
        <f>IF(Skills!N29=TRUE,(Skills!L29/10)*(E613/1000),Skills!L29/10)+Skills!O29</f>
        <v/>
      </c>
      <c r="G613">
        <f>Skills!G29*IF(Skills!H29&gt;0,Skills!I29/Skills!H29,1)</f>
        <v/>
      </c>
      <c r="H613">
        <f>1-(1-Skills!J29/100)^Skills!K29</f>
        <v/>
      </c>
      <c r="I613" t="inlineStr">
        <is>
          <t>1</t>
        </is>
      </c>
      <c r="J613" t="inlineStr"/>
      <c r="K613" t="inlineStr"/>
      <c r="L613" t="inlineStr"/>
      <c r="M613" t="inlineStr"/>
      <c r="N613" t="inlineStr"/>
      <c r="O613">
        <f>(1-Summary!$B$55)*T613+Summary!$B$55*V613</f>
        <v/>
      </c>
      <c r="P613">
        <f>IF(B629=0,0,O613/B629)</f>
        <v/>
      </c>
      <c r="Q613" t="n">
        <v>0</v>
      </c>
      <c r="R613" t="n">
        <v>0</v>
      </c>
      <c r="S613">
        <f>IFERROR(O613/N613,0)</f>
        <v/>
      </c>
      <c r="T613" t="n">
        <v>0</v>
      </c>
      <c r="V613" t="n">
        <v>0</v>
      </c>
    </row>
    <row r="614">
      <c r="A614">
        <f>Skills!A30</f>
        <v/>
      </c>
      <c r="B614">
        <f>Skills!B30</f>
        <v/>
      </c>
      <c r="C614">
        <f>Inputs!$B$3&gt;=125</f>
        <v/>
      </c>
      <c r="D614">
        <f>IF(Skills!C30=1,60+Inputs!$B$25+Inputs!$B$29,IF(Skills!C30=2,90+Inputs!$B$26+Inputs!$B$29,IF(Skills!C30=3,120+Inputs!$B$27+Inputs!$B$29,MAX(0,(Inputs!$B$3-100)*3)+Inputs!$B$28+Inputs!$B$29)))</f>
        <v/>
      </c>
      <c r="E614">
        <f>INDEX(FactorTable!$B$2:$Y$301, MATCH(ROUND(MIN(300,MAX(1,D614)),0), FactorTable!$A$2:$A$301,0), Skills!M30+1)</f>
        <v/>
      </c>
      <c r="F614">
        <f>IF(Skills!N30=TRUE,(Skills!L30/10)*(E614/1000),Skills!L30/10)+Skills!O30</f>
        <v/>
      </c>
      <c r="G614">
        <f>Skills!G30*IF(Skills!H30&gt;0,Skills!I30/Skills!H30,1)</f>
        <v/>
      </c>
      <c r="H614">
        <f>1-(1-Skills!J30/100)^Skills!K30</f>
        <v/>
      </c>
      <c r="I614" t="inlineStr">
        <is>
          <t>1</t>
        </is>
      </c>
      <c r="J614" t="inlineStr"/>
      <c r="K614" t="inlineStr"/>
      <c r="L614" t="inlineStr"/>
      <c r="M614" t="inlineStr"/>
      <c r="N614" t="inlineStr"/>
      <c r="O614">
        <f>(1-Summary!$B$55)*T614+Summary!$B$55*V614</f>
        <v/>
      </c>
      <c r="P614">
        <f>IF(B629=0,0,O614/B629)</f>
        <v/>
      </c>
      <c r="Q614" t="n">
        <v>0</v>
      </c>
      <c r="R614" t="n">
        <v>0</v>
      </c>
      <c r="S614">
        <f>IFERROR(O614/N614,0)</f>
        <v/>
      </c>
      <c r="T614" t="n">
        <v>0</v>
      </c>
      <c r="V614" t="n">
        <v>0</v>
      </c>
    </row>
    <row r="616">
      <c r="A616" t="inlineStr">
        <is>
          <t>Average Buff Multiplier</t>
        </is>
      </c>
      <c r="B616">
        <f>(1+(((C605=TRUE)*F605*IF(AND(Inputs!$B$39&lt;&gt;"pvp",Inputs!$B$44&gt;0),(((R605-1)*(Skills!Y21*(1+Inputs!$B$34/100))+MIN((Skills!Y21*(1+Inputs!$B$34/100)),MAX(0,Inputs!$B$44-((R605-1)*Skills!D21))))/Inputs!$B$44),IF(Inputs!$B$39="pvp",MIN((Skills!Y21*(1+Inputs!$B$34/100)),15)/15,(Skills!Y21*(1+Inputs!$B$34/100))/Skills!D21)))+((C607=TRUE)*(F607-Calc!F23))+((C601=TRUE)*(F601-Calc!F17)))/100)*(1+((C594=TRUE)*F594*IF(AND(Inputs!$B$39&lt;&gt;"pvp",Inputs!$B$44&gt;0),(((R594-1)*(Skills!Y10*(1+Inputs!$B$34/100))+MIN((Skills!Y10*(1+Inputs!$B$34/100)),MAX(0,Inputs!$B$44-((R594-1)*Skills!D10))))/Inputs!$B$44),IF(Inputs!$B$39="pvp",MIN((Skills!Y10*(1+Inputs!$B$34/100)),15)/15,(Skills!Y10*(1+Inputs!$B$34/100))/Skills!D10)))/100)*(1+((C599=TRUE)*F599*IF(AND(Inputs!$B$39&lt;&gt;"pvp",Inputs!$B$44&gt;0),(((R599-1)*(Skills!Y15*(1+Inputs!$B$34/100))+MIN((Skills!Y15*(1+Inputs!$B$34/100)),MAX(0,Inputs!$B$44-((R599-1)*Skills!D15))))/Inputs!$B$44),IF(Inputs!$B$39="pvp",MIN((Skills!Y15*(1+Inputs!$B$34/100)),15)/15,(Skills!Y15*(1+Inputs!$B$34/100))/Skills!D15)))/100)</f>
        <v/>
      </c>
    </row>
    <row r="617">
      <c r="A617" t="inlineStr">
        <is>
          <t>Global Crit Rate Bonus %</t>
        </is>
      </c>
      <c r="B617">
        <f>((C604=TRUE)*F604*IF(AND(Inputs!$B$39&lt;&gt;"pvp",Inputs!$B$44&gt;0),(((R604-1)*(Skills!Y20*(1+Inputs!$B$34/100))+MIN((Skills!Y20*(1+Inputs!$B$34/100)),MAX(0,Inputs!$B$44-((R604-1)*Skills!D20))))/Inputs!$B$44),IF(Inputs!$B$39="pvp",MIN((Skills!Y20*(1+Inputs!$B$34/100)),15)/15,(Skills!Y20*(1+Inputs!$B$34/100))/Skills!D20)))</f>
        <v/>
      </c>
    </row>
    <row r="618">
      <c r="A618" t="inlineStr">
        <is>
          <t>Global Monster Damage-Taken Bonus %</t>
        </is>
      </c>
      <c r="B618">
        <f>IF(Inputs!$B$3&gt;=82,15,0)</f>
        <v/>
      </c>
    </row>
    <row r="619">
      <c r="A619" t="inlineStr">
        <is>
          <t>Shadow Partner Average Multiplier</t>
        </is>
      </c>
      <c r="B619">
        <f>1+((C591=TRUE)*F591*(1+3.3333333333333335*IF(C602=TRUE,F602,0)/100)*I591*Skills!J7/100)/100</f>
        <v/>
      </c>
    </row>
    <row r="620">
      <c r="A620" t="inlineStr">
        <is>
          <t>Attack Speed Buff Bonus %</t>
        </is>
      </c>
      <c r="B620">
        <f>((C603=TRUE)*F603*IF(AND(Inputs!$B$39&lt;&gt;"pvp",Inputs!$B$44&gt;0),(((R603-1)*(Skills!Y19*(1+Inputs!$B$34/100))+MIN((Skills!Y19*(1+Inputs!$B$34/100)),MAX(0,Inputs!$B$44-((R603-1)*Skills!D19))))/Inputs!$B$44),IF(Inputs!$B$39="pvp",MIN((Skills!Y19*(1+Inputs!$B$34/100)),15)/15,(Skills!Y19*(1+Inputs!$B$34/100))/Skills!D19)))+((C587=TRUE)*F587*3)</f>
        <v/>
      </c>
    </row>
    <row r="621">
      <c r="A621" t="inlineStr">
        <is>
          <t>Actions Per Second</t>
        </is>
      </c>
      <c r="B621">
        <f>1+MIN(150,150*(1-(1-(Inputs!$B$11+((C606=TRUE)*(F606-Calc!F22)))/150)*(1-B620/150)))/100</f>
        <v/>
      </c>
    </row>
    <row r="622">
      <c r="A622" t="inlineStr">
        <is>
          <t>Skill + Buff Cast Rate</t>
        </is>
      </c>
      <c r="B622">
        <f>IF(AND(Inputs!$B$39&lt;&gt;"pvp",Inputs!$B$44&gt;0),SUMPRODUCT((Skills!E2:E30=TRUE)*(C586:C614=TRUE)*R586:R614*Skills!F2:F30)/Inputs!$B$44,SUMPRODUCT((Skills!E2:E30=TRUE)*(C586:C614=TRUE)*Q586:Q614*Skills!F2:F30))</f>
        <v/>
      </c>
    </row>
    <row r="623">
      <c r="A623" t="inlineStr">
        <is>
          <t>Cruel Stab Casts Per Second</t>
        </is>
      </c>
      <c r="B623">
        <f>MAX(0,B621-B622)</f>
        <v/>
      </c>
    </row>
    <row r="624">
      <c r="A624" t="inlineStr">
        <is>
          <t>Global Critical Damage Bonus % (Smokescreen Mastery Lv.113)</t>
        </is>
      </c>
      <c r="B624">
        <f>IF(Inputs!$B$3&gt;=113,30,0)*IF(AND(Inputs!$B$39&lt;&gt;"pvp",Inputs!$B$44&gt;0),(((R599-1)*(Skills!Y15*(1+Inputs!$B$34/100))+MIN((Skills!Y15*(1+Inputs!$B$34/100)),MAX(0,Inputs!$B$44-((R599-1)*Skills!D15))))/Inputs!$B$44),IF(Inputs!$B$39="pvp",MIN((Skills!Y15*(1+Inputs!$B$34/100)),15)/15,(Skills!Y15*(1+Inputs!$B$34/100))/Skills!D15))</f>
        <v/>
      </c>
    </row>
    <row r="625">
      <c r="A625" t="inlineStr">
        <is>
          <t>Meso Explosion average stack count</t>
        </is>
      </c>
      <c r="B625">
        <f>MIN(10,0.5*B621*Skills!D4)</f>
        <v/>
      </c>
    </row>
    <row r="626">
      <c r="A626" t="inlineStr">
        <is>
          <t>Blood Money average stack count</t>
        </is>
      </c>
      <c r="B626">
        <f>MIN(5,0.25*B621*Skills!D4)</f>
        <v/>
      </c>
    </row>
    <row r="627">
      <c r="A627" t="inlineStr">
        <is>
          <t>Assassinate Murderous Intent Multiplier</t>
        </is>
      </c>
      <c r="B627">
        <f>1+IFERROR(MIN(1,Q598*2/Q595),0)</f>
        <v/>
      </c>
    </row>
    <row r="628">
      <c r="A628" t="inlineStr">
        <is>
          <t>Buff-Casting Startup Delay (s, fixed-duration only)</t>
        </is>
      </c>
      <c r="B628">
        <f>IF(AND(Inputs!$B$39&lt;&gt;"pvp",Inputs!$B$44&gt;0),SUMPRODUCT((Skills!Y2:Y30&gt;0)*(Skills!E2:E30=TRUE)*(C586:C614=TRUE))/B621,0)</f>
        <v/>
      </c>
    </row>
    <row r="629">
      <c r="A629" s="5" t="inlineStr">
        <is>
          <t>TOTAL DPS</t>
        </is>
      </c>
      <c r="B629" s="5">
        <f>SUM(O586:O614)</f>
        <v/>
      </c>
    </row>
    <row r="630">
      <c r="A630" t="inlineStr">
        <is>
          <t>Boss-Only Total DPS (this block's swept value)</t>
        </is>
      </c>
      <c r="B630">
        <f>SUM(T586:T614)</f>
        <v/>
      </c>
    </row>
    <row r="631">
      <c r="A631" t="inlineStr">
        <is>
          <t>Normal-Only Total DPS (this block's swept value)</t>
        </is>
      </c>
      <c r="B631">
        <f>SUM(V586:V614)</f>
        <v/>
      </c>
    </row>
    <row r="634">
      <c r="A634" s="5" t="inlineStr">
        <is>
          <t>Stat: ATTACK_SPEED % (diminishing returns, factor 150)</t>
        </is>
      </c>
    </row>
    <row r="635">
      <c r="A635" s="9" t="inlineStr">
        <is>
          <t>Key</t>
        </is>
      </c>
      <c r="B635" s="9" t="inlineStr">
        <is>
          <t>Name</t>
        </is>
      </c>
      <c r="C635" s="9" t="inlineStr">
        <is>
          <t>Unlocked</t>
        </is>
      </c>
      <c r="D635" s="9" t="inlineStr">
        <is>
          <t>InputLevel</t>
        </is>
      </c>
      <c r="E635" s="9" t="inlineStr">
        <is>
          <t>Factor</t>
        </is>
      </c>
      <c r="F635" s="9" t="inlineStr">
        <is>
          <t>CoefficientPercent</t>
        </is>
      </c>
      <c r="G635" s="9" t="inlineStr">
        <is>
          <t>EffectiveHits</t>
        </is>
      </c>
      <c r="H635" s="9" t="inlineStr">
        <is>
          <t>ProcProbability</t>
        </is>
      </c>
      <c r="I635" s="9" t="inlineStr">
        <is>
          <t>MapleHeroMultiplier</t>
        </is>
      </c>
      <c r="J635" s="9" t="inlineStr">
        <is>
          <t>BaseDamage</t>
        </is>
      </c>
      <c r="K635" s="9" t="inlineStr">
        <is>
          <t>BaseHitDamage</t>
        </is>
      </c>
      <c r="L635" s="9" t="inlineStr">
        <is>
          <t>NonCritAvg</t>
        </is>
      </c>
      <c r="M635" s="9" t="inlineStr">
        <is>
          <t>CritAvg</t>
        </is>
      </c>
      <c r="N635" s="9" t="inlineStr">
        <is>
          <t>ExpectedDamage(perHit)</t>
        </is>
      </c>
      <c r="O635" s="9" t="inlineStr">
        <is>
          <t>DPS</t>
        </is>
      </c>
      <c r="P635" s="9" t="inlineStr">
        <is>
          <t>% of Total</t>
        </is>
      </c>
      <c r="Q635" s="9" t="inlineStr">
        <is>
          <t>InvCooldown</t>
        </is>
      </c>
      <c r="R635" s="9" t="inlineStr">
        <is>
          <t>CastsInFight</t>
        </is>
      </c>
      <c r="S635" s="9" t="inlineStr">
        <is>
          <t>HitRate(perSec)</t>
        </is>
      </c>
      <c r="U635" t="inlineStr">
        <is>
          <t>helpers</t>
        </is>
      </c>
    </row>
    <row r="636">
      <c r="A636">
        <f>Skills!A2</f>
        <v/>
      </c>
      <c r="B636">
        <f>Skills!B2</f>
        <v/>
      </c>
      <c r="C636">
        <f>Inputs!$B$3&gt;=100</f>
        <v/>
      </c>
      <c r="D636" t="inlineStr"/>
      <c r="E636" t="inlineStr"/>
      <c r="F636">
        <f>U638+Skills!O2</f>
        <v/>
      </c>
      <c r="G636">
        <f>Skills!G2*IF(Skills!H2&gt;0,Skills!I2/Skills!H2,1)</f>
        <v/>
      </c>
      <c r="H636">
        <f>1-(1-Skills!J2/100)^Skills!K2</f>
        <v/>
      </c>
      <c r="I636" t="inlineStr">
        <is>
          <t>1</t>
        </is>
      </c>
      <c r="J636">
        <f>((Inputs!$B$6*(1+Inputs!$B$7/100))+(((Inputs!$B$12*(1+Inputs!$B$13/100))-(Inputs!$B$12*(1+Inputs!$B$13/100)))+0.25*(Inputs!$B$14-Inputs!$B$14))*(1+Inputs!$B$7/100))*(F636/100)</f>
        <v/>
      </c>
      <c r="K636">
        <f>J636*(1+((Inputs!$B$12*(1+Inputs!$B$13/100))*0.01+Inputs!$B$14*0.0025)/100)*(1+Inputs!$B$15/100)*(1+Inputs!$B$16/100)*(5000/(6000+Inputs!$B$43*(1-Inputs!$B$19/100)))*(1+(Inputs!$B$24+((C664=TRUE)*(F664-Calc!F30)))/100)*(1+(IF(Skills!A2="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636)</f>
        <v/>
      </c>
      <c r="L636">
        <f>K636*(MIN(Inputs!$B$22+((C658=TRUE)*(F658-Calc!F24)),Inputs!$B$23+((C663=TRUE)*(F663-Calc!F29)))/100+(Inputs!$B$23+((C663=TRUE)*(F663-Calc!F29)))/100)/2</f>
        <v/>
      </c>
      <c r="M636">
        <f>L636*(1+(Inputs!$B$10+((C660=TRUE)*(F660-Calc!F26))+B674)/100)</f>
        <v/>
      </c>
      <c r="N636">
        <f>L636*(1-MIN((Inputs!$B$9+((C659=TRUE)*(F659-Calc!F25))+B667),100)/100)+M636*(MIN((Inputs!$B$9+((C659=TRUE)*(F659-Calc!F25))+B667),100)/100)</f>
        <v/>
      </c>
      <c r="O636">
        <f>(1-Summary!$B$55)*T636+Summary!$B$55*V636</f>
        <v/>
      </c>
      <c r="P636">
        <f>IF(B679=0,0,O636/B679)</f>
        <v/>
      </c>
      <c r="Q636" t="n">
        <v>0</v>
      </c>
      <c r="R636" t="n">
        <v>0</v>
      </c>
      <c r="S636">
        <f>IFERROR(O636/N636,0)</f>
        <v/>
      </c>
      <c r="T636">
        <f>IF(C636,(Skills!G2*N636*B673)*IF(Inputs!$B$39="pvp",1,1+(Inputs!$B$20+0+Skills!P2+B668)/100),0)</f>
        <v/>
      </c>
      <c r="U636">
        <f>MAX(0,(Inputs!$B$3-100)*3)+Inputs!$B$28+Inputs!$B$29</f>
        <v/>
      </c>
      <c r="V636">
        <f>IF(C636,(Skills!G2*N636*B673)*IF(Inputs!$B$39="pvp",1,(1+(Inputs!$B$21+Skills!Q2+B668)/100)*(MIN((6+Inputs!$B$33),Inputs!$B$37))),0)</f>
        <v/>
      </c>
    </row>
    <row r="637">
      <c r="A637">
        <f>Skills!A3</f>
        <v/>
      </c>
      <c r="B637">
        <f>Skills!B3</f>
        <v/>
      </c>
      <c r="C637">
        <f>Inputs!$B$3&gt;=35</f>
        <v/>
      </c>
      <c r="D637">
        <f>IF(Skills!C3=1,60+Inputs!$B$25+Inputs!$B$29,IF(Skills!C3=2,90+Inputs!$B$26+Inputs!$B$29,IF(Skills!C3=3,120+Inputs!$B$27+Inputs!$B$29,MAX(0,(Inputs!$B$3-100)*3)+Inputs!$B$28+Inputs!$B$29)))</f>
        <v/>
      </c>
      <c r="E637">
        <f>INDEX(FactorTable!$B$2:$Y$301, MATCH(ROUND(MIN(300,MAX(1,D637)),0), FactorTable!$A$2:$A$301,0), Skills!M3+1)</f>
        <v/>
      </c>
      <c r="F637">
        <f>IF(Skills!N3=TRUE,(Skills!L3/10)*(E637/1000),Skills!L3/10)+Skills!O3</f>
        <v/>
      </c>
      <c r="G637">
        <f>Skills!G3*IF(Skills!H3&gt;0,Skills!I3/Skills!H3,1)</f>
        <v/>
      </c>
      <c r="H637">
        <f>1-(1-Skills!J3/100)^Skills!K3</f>
        <v/>
      </c>
      <c r="I637" t="inlineStr">
        <is>
          <t>1</t>
        </is>
      </c>
      <c r="J637" t="inlineStr"/>
      <c r="K637" t="inlineStr"/>
      <c r="L637" t="inlineStr"/>
      <c r="M637" t="inlineStr"/>
      <c r="N637" t="inlineStr"/>
      <c r="O637">
        <f>(1-Summary!$B$55)*T637+Summary!$B$55*V637</f>
        <v/>
      </c>
      <c r="P637">
        <f>IF(B679=0,0,O637/B679)</f>
        <v/>
      </c>
      <c r="Q637" t="n">
        <v>0</v>
      </c>
      <c r="R637" t="n">
        <v>0</v>
      </c>
      <c r="S637">
        <f>IFERROR(O637/N637,0)</f>
        <v/>
      </c>
      <c r="T637" t="n">
        <v>0</v>
      </c>
      <c r="U637">
        <f>INDEX(FactorTable!$B$2:$Y$301, MATCH(ROUND(MIN(300,MAX(1,U636)),0), FactorTable!$A$2:$A$301,0), 22)</f>
        <v/>
      </c>
      <c r="V637" t="n">
        <v>0</v>
      </c>
    </row>
    <row r="638">
      <c r="A638">
        <f>Skills!A4</f>
        <v/>
      </c>
      <c r="B638">
        <f>Skills!B4</f>
        <v/>
      </c>
      <c r="C638">
        <f>Inputs!$B$3&gt;=66</f>
        <v/>
      </c>
      <c r="D638">
        <f>IF(Skills!C4=1,60+Inputs!$B$25+Inputs!$B$29,IF(Skills!C4=2,90+Inputs!$B$26+Inputs!$B$29,IF(Skills!C4=3,120+Inputs!$B$27+Inputs!$B$29,MAX(0,(Inputs!$B$3-100)*3)+Inputs!$B$28+Inputs!$B$29)))</f>
        <v/>
      </c>
      <c r="E638">
        <f>INDEX(FactorTable!$B$2:$Y$301, MATCH(ROUND(MIN(300,MAX(1,D638)),0), FactorTable!$A$2:$A$301,0), Skills!M4+1)</f>
        <v/>
      </c>
      <c r="F638">
        <f>IF(Skills!N4=TRUE,(Skills!L4/10)*(E638/1000),Skills!L4/10)+Skills!O4</f>
        <v/>
      </c>
      <c r="G638">
        <f>Skills!G4*IF(Skills!H4&gt;0,Skills!I4/Skills!H4,1)</f>
        <v/>
      </c>
      <c r="H638">
        <f>1-(1-Skills!J4/100)^Skills!K4</f>
        <v/>
      </c>
      <c r="I638" t="inlineStr">
        <is>
          <t>1</t>
        </is>
      </c>
      <c r="J638">
        <f>((Inputs!$B$6*(1+Inputs!$B$7/100))+(((Inputs!$B$12*(1+Inputs!$B$13/100))-(Inputs!$B$12*(1+Inputs!$B$13/100)))+0.25*(Inputs!$B$14-Inputs!$B$14))*(1+Inputs!$B$7/100))*(F638/100)</f>
        <v/>
      </c>
      <c r="K638">
        <f>J638*(1+((Inputs!$B$12*(1+Inputs!$B$13/100))*0.01+Inputs!$B$14*0.0025)/100)*(1+Inputs!$B$15/100)*(1+Inputs!$B$16/100)*(5000/(6000+Inputs!$B$43*(1-Inputs!$B$19/100)))*(1+(Inputs!$B$24+((C664=TRUE)*(F664-Calc!F30)))/100)*(1+(IF(Skills!A4="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638)</f>
        <v/>
      </c>
      <c r="L638">
        <f>K638*(MIN(Inputs!$B$22+((C658=TRUE)*(F658-Calc!F24)),Inputs!$B$23+((C663=TRUE)*(F663-Calc!F29)))/100+(Inputs!$B$23+((C663=TRUE)*(F663-Calc!F29)))/100)/2</f>
        <v/>
      </c>
      <c r="M638">
        <f>L638*(1+(Inputs!$B$10+((C660=TRUE)*(F660-Calc!F26))+B674)/100)</f>
        <v/>
      </c>
      <c r="N638">
        <f>L638*(1-MIN((Inputs!$B$9+((C659=TRUE)*(F659-Calc!F25))+B667),100)/100)+M638*(MIN((Inputs!$B$9+((C659=TRUE)*(F659-Calc!F25))+B667),100)/100)</f>
        <v/>
      </c>
      <c r="O638">
        <f>(1-Summary!$B$55)*T638+Summary!$B$55*V638</f>
        <v/>
      </c>
      <c r="P638">
        <f>IF(B679=0,0,O638/B679)</f>
        <v/>
      </c>
      <c r="Q638">
        <f>IFERROR(1/IF(Inputs!$B$39="pvp",15,MAX(0.1,Skills!D4-IF(Skills!E4=TRUE,Inputs!$B$32,0))),0)</f>
        <v/>
      </c>
      <c r="R638">
        <f>IF(AND(Inputs!$B$39&lt;&gt;"pvp",Inputs!$B$44&gt;0),IF(MAX(0,Inputs!$B$44-B678)&lt;=0,0,(INT(MAX(0,Inputs!$B$44-B678)/IF(Inputs!$B$39="pvp",15,MAX(0.1,Skills!D4-IF(Skills!E4=TRUE,Inputs!$B$32,0))))+1)),0)</f>
        <v/>
      </c>
      <c r="S638">
        <f>IFERROR(O638/N638,0)</f>
        <v/>
      </c>
      <c r="T638">
        <f>IF(C638,(H638*N638*IF(AND(Inputs!$B$39&lt;&gt;"pvp",Inputs!$B$44&gt;0),((Skills!G4*((R638-1)*IF(Skills!H4&gt;0,Skills!I4/Skills!H4,1)+IF(Skills!H4&gt;0,MIN(Skills!I4,MAX(0,MAX(0,Inputs!$B$44-B678)-((R638-1)*IF(Inputs!$B$39="pvp",15,MAX(0.1,Skills!D4-IF(Skills!E4=TRUE,Inputs!$B$32,0))))))/Skills!H4,1)))/Inputs!$B$44),G638*Q638))*IF(Inputs!$B$39="pvp",1,1+(Inputs!$B$20+0+Skills!P4+B668)/100),0)</f>
        <v/>
      </c>
      <c r="U638">
        <f>290*U637/1000</f>
        <v/>
      </c>
      <c r="V638">
        <f>IF(C638,(H638*N638*IF(AND(Inputs!$B$39&lt;&gt;"pvp",Inputs!$B$44&gt;0),((Skills!G4*((R638-1)*IF(Skills!H4&gt;0,Skills!I4/Skills!H4,1)+IF(Skills!H4&gt;0,MIN(Skills!I4,MAX(0,MAX(0,Inputs!$B$44-B678)-((R638-1)*IF(Inputs!$B$39="pvp",15,MAX(0.1,Skills!D4-IF(Skills!E4=TRUE,Inputs!$B$32,0))))))/Skills!H4,1)))/Inputs!$B$44),G638*Q638))*IF(Inputs!$B$39="pvp",1,(1+(Inputs!$B$21+Skills!Q4+B668)/100)*(MIN(MIN(10,0.5*B671*Skills!D4),Inputs!$B$37))),0)</f>
        <v/>
      </c>
    </row>
    <row r="639">
      <c r="A639">
        <f>Skills!A5</f>
        <v/>
      </c>
      <c r="B639">
        <f>Skills!B5</f>
        <v/>
      </c>
      <c r="C639">
        <f>Inputs!$B$3&gt;=63</f>
        <v/>
      </c>
      <c r="D639">
        <f>IF(Skills!C5=1,60+Inputs!$B$25+Inputs!$B$29,IF(Skills!C5=2,90+Inputs!$B$26+Inputs!$B$29,IF(Skills!C5=3,120+Inputs!$B$27+Inputs!$B$29,MAX(0,(Inputs!$B$3-100)*3)+Inputs!$B$28+Inputs!$B$29)))</f>
        <v/>
      </c>
      <c r="E639">
        <f>INDEX(FactorTable!$B$2:$Y$301, MATCH(ROUND(MIN(300,MAX(1,D639)),0), FactorTable!$A$2:$A$301,0), Skills!M5+1)</f>
        <v/>
      </c>
      <c r="F639">
        <f>IF(Skills!N5=TRUE,(Skills!L5/10)*(E639/1000),Skills!L5/10)+Skills!O5</f>
        <v/>
      </c>
      <c r="G639">
        <f>Skills!G5*IF(Skills!H5&gt;0,Skills!I5/Skills!H5,1)</f>
        <v/>
      </c>
      <c r="H639">
        <f>1-(1-Skills!J5/100)^Skills!K5</f>
        <v/>
      </c>
      <c r="I639" t="inlineStr">
        <is>
          <t>1</t>
        </is>
      </c>
      <c r="J639">
        <f>((Inputs!$B$6*(1+Inputs!$B$7/100))+(((Inputs!$B$12*(1+Inputs!$B$13/100))-(Inputs!$B$12*(1+Inputs!$B$13/100)))+0.25*(Inputs!$B$14-Inputs!$B$14))*(1+Inputs!$B$7/100))*(F639/100)</f>
        <v/>
      </c>
      <c r="K639">
        <f>J639*(1+((Inputs!$B$12*(1+Inputs!$B$13/100))*0.01+Inputs!$B$14*0.0025)/100)*(1+Inputs!$B$15/100)*(1+Inputs!$B$16/100)*(5000/(6000+Inputs!$B$43*(1-Inputs!$B$19/100)))*(1+(Inputs!$B$24+((C664=TRUE)*(F664-Calc!F30)))/100)*(1+2.6666666666666665*IF(C652=TRUE,F652,0)/100)*(1+(IF(Skills!A5="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639)</f>
        <v/>
      </c>
      <c r="L639">
        <f>K639*(MIN(Inputs!$B$22+((C658=TRUE)*(F658-Calc!F24)),Inputs!$B$23+((C663=TRUE)*(F663-Calc!F29)))/100+(Inputs!$B$23+((C663=TRUE)*(F663-Calc!F29)))/100)/2</f>
        <v/>
      </c>
      <c r="M639">
        <f>L639*(1+(Inputs!$B$10+((C660=TRUE)*(F660-Calc!F26))+B674)/100)</f>
        <v/>
      </c>
      <c r="N639">
        <f>L639*(1-MIN((Inputs!$B$9+((C659=TRUE)*(F659-Calc!F25))+B667),100)/100)+M639*(MIN((Inputs!$B$9+((C659=TRUE)*(F659-Calc!F25))+B667),100)/100)</f>
        <v/>
      </c>
      <c r="O639">
        <f>(1-Summary!$B$55)*T639+Summary!$B$55*V639</f>
        <v/>
      </c>
      <c r="P639">
        <f>IF(B679=0,0,O639/B679)</f>
        <v/>
      </c>
      <c r="Q639">
        <f>IFERROR(1/IF(Inputs!$B$39="pvp",15,MAX(0.1,Skills!D5-IF(Skills!E5=TRUE,Inputs!$B$32,0))),0)</f>
        <v/>
      </c>
      <c r="R639">
        <f>IF(AND(Inputs!$B$39&lt;&gt;"pvp",Inputs!$B$44&gt;0),IF(MAX(0,Inputs!$B$44-B678)&lt;=0,0,(INT(MAX(0,Inputs!$B$44-B678)/IF(Inputs!$B$39="pvp",15,MAX(0.1,Skills!D5-IF(Skills!E5=TRUE,Inputs!$B$32,0))))+1)),0)</f>
        <v/>
      </c>
      <c r="S639">
        <f>IFERROR(O639/N639,0)</f>
        <v/>
      </c>
      <c r="T639">
        <f>IF(C639,(H639*N639*IF(AND(Inputs!$B$39&lt;&gt;"pvp",Inputs!$B$44&gt;0),((Skills!G5*((R639-1)*IF(Skills!H5&gt;0,Skills!I5/Skills!H5,1)+IF(Skills!H5&gt;0,MIN(Skills!I5,MAX(0,MAX(0,Inputs!$B$44-B678)-((R639-1)*IF(Inputs!$B$39="pvp",15,MAX(0.1,Skills!D5-IF(Skills!E5=TRUE,Inputs!$B$32,0))))))/Skills!H5,1)))/Inputs!$B$44),G639*Q639))*IF(Inputs!$B$39="pvp",1,1+(Inputs!$B$20+0+Skills!P5+B668)/100),0)</f>
        <v/>
      </c>
      <c r="V639">
        <f>IF(C639,(H639*N639*IF(AND(Inputs!$B$39&lt;&gt;"pvp",Inputs!$B$44&gt;0),((Skills!G5*((R639-1)*IF(Skills!H5&gt;0,Skills!I5/Skills!H5,1)+IF(Skills!H5&gt;0,MIN(Skills!I5,MAX(0,MAX(0,Inputs!$B$44-B678)-((R639-1)*IF(Inputs!$B$39="pvp",15,MAX(0.1,Skills!D5-IF(Skills!E5=TRUE,Inputs!$B$32,0))))))/Skills!H5,1)))/Inputs!$B$44),G639*Q639))*IF(Inputs!$B$39="pvp",1,(1+(Inputs!$B$21+Skills!Q5+B668)/100)*(MIN(Skills!W5,Inputs!$B$37))),0)</f>
        <v/>
      </c>
    </row>
    <row r="640">
      <c r="A640">
        <f>Skills!A6</f>
        <v/>
      </c>
      <c r="B640">
        <f>Skills!B6</f>
        <v/>
      </c>
      <c r="C640">
        <f>Inputs!$B$3&gt;=69</f>
        <v/>
      </c>
      <c r="D640">
        <f>IF(Skills!C6=1,60+Inputs!$B$25+Inputs!$B$29,IF(Skills!C6=2,90+Inputs!$B$26+Inputs!$B$29,IF(Skills!C6=3,120+Inputs!$B$27+Inputs!$B$29,MAX(0,(Inputs!$B$3-100)*3)+Inputs!$B$28+Inputs!$B$29)))</f>
        <v/>
      </c>
      <c r="E640">
        <f>INDEX(FactorTable!$B$2:$Y$301, MATCH(ROUND(MIN(300,MAX(1,D640)),0), FactorTable!$A$2:$A$301,0), Skills!M6+1)</f>
        <v/>
      </c>
      <c r="F640">
        <f>IF(Skills!N6=TRUE,(Skills!L6/10)*(E640/1000),Skills!L6/10)+Skills!O6</f>
        <v/>
      </c>
      <c r="G640">
        <f>Skills!G6*IF(Skills!H6&gt;0,Skills!I6/Skills!H6,1)</f>
        <v/>
      </c>
      <c r="H640">
        <f>1-(1-Skills!J6/100)^Skills!K6</f>
        <v/>
      </c>
      <c r="I640" t="inlineStr">
        <is>
          <t>1</t>
        </is>
      </c>
      <c r="J640">
        <f>((Inputs!$B$6*(1+Inputs!$B$7/100))+(((Inputs!$B$12*(1+Inputs!$B$13/100))-(Inputs!$B$12*(1+Inputs!$B$13/100)))+0.25*(Inputs!$B$14-Inputs!$B$14))*(1+Inputs!$B$7/100))*(F640/100)</f>
        <v/>
      </c>
      <c r="K640">
        <f>J640*(1+((Inputs!$B$12*(1+Inputs!$B$13/100))*0.01+Inputs!$B$14*0.0025)/100)*(1+Inputs!$B$15/100)*(1+Inputs!$B$16/100)*(5000/(6000+Inputs!$B$43*(1-Inputs!$B$19/100)))*(1+(Inputs!$B$24+((C664=TRUE)*(F664-Calc!F30)))/100)*(1+1.0*IF(C652=TRUE,F652,0)/100)*(1+(IF(Skills!A6="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640)</f>
        <v/>
      </c>
      <c r="L640">
        <f>K640*(MIN(Inputs!$B$22+((C658=TRUE)*(F658-Calc!F24)),Inputs!$B$23+((C663=TRUE)*(F663-Calc!F29)))/100+(Inputs!$B$23+((C663=TRUE)*(F663-Calc!F29)))/100)/2</f>
        <v/>
      </c>
      <c r="M640">
        <f>L640*(1+(Inputs!$B$10+((C660=TRUE)*(F660-Calc!F26))+B674)/100)</f>
        <v/>
      </c>
      <c r="N640">
        <f>L640*(1-MIN((Inputs!$B$9+((C659=TRUE)*(F659-Calc!F25))+B667),100)/100)+M640*(MIN((Inputs!$B$9+((C659=TRUE)*(F659-Calc!F25))+B667),100)/100)</f>
        <v/>
      </c>
      <c r="O640">
        <f>(1-Summary!$B$55)*T640+Summary!$B$55*V640</f>
        <v/>
      </c>
      <c r="P640">
        <f>IF(B679=0,0,O640/B679)</f>
        <v/>
      </c>
      <c r="Q640">
        <f>IFERROR(1/IF(Inputs!$B$39="pvp",15,MAX(0.1,Skills!D6-IF(Skills!E6=TRUE,Inputs!$B$32,0))),0)</f>
        <v/>
      </c>
      <c r="R640">
        <f>IF(AND(Inputs!$B$39&lt;&gt;"pvp",Inputs!$B$44&gt;0),IF(MAX(0,Inputs!$B$44-B678)&lt;=0,0,(INT(MAX(0,Inputs!$B$44-B678)/IF(Inputs!$B$39="pvp",15,MAX(0.1,Skills!D6-IF(Skills!E6=TRUE,Inputs!$B$32,0))))+1)),0)</f>
        <v/>
      </c>
      <c r="S640">
        <f>IFERROR(O640/N640,0)</f>
        <v/>
      </c>
      <c r="T640">
        <f>IF(C640,(H640*N640*IF(AND(Inputs!$B$39&lt;&gt;"pvp",Inputs!$B$44&gt;0),((Skills!G6*((R640-1)*IF(Skills!H6&gt;0,Skills!I6/Skills!H6,1)+IF(Skills!H6&gt;0,MIN(Skills!I6,MAX(0,MAX(0,Inputs!$B$44-B678)-((R640-1)*IF(Inputs!$B$39="pvp",15,MAX(0.1,Skills!D6-IF(Skills!E6=TRUE,Inputs!$B$32,0))))))/Skills!H6,1)))/Inputs!$B$44),G640*Q640))*IF(Inputs!$B$39="pvp",1,1+(Inputs!$B$20+0+Skills!P6+B668)/100),0)</f>
        <v/>
      </c>
      <c r="V640">
        <f>IF(C640,(H640*N640*IF(AND(Inputs!$B$39&lt;&gt;"pvp",Inputs!$B$44&gt;0),((Skills!G6*((R640-1)*IF(Skills!H6&gt;0,Skills!I6/Skills!H6,1)+IF(Skills!H6&gt;0,MIN(Skills!I6,MAX(0,MAX(0,Inputs!$B$44-B678)-((R640-1)*IF(Inputs!$B$39="pvp",15,MAX(0.1,Skills!D6-IF(Skills!E6=TRUE,Inputs!$B$32,0))))))/Skills!H6,1)))/Inputs!$B$44),G640*Q640))*IF(Inputs!$B$39="pvp",1,(1+(Inputs!$B$21+Skills!Q6+B668)/100)*(MIN(Skills!W6,Inputs!$B$37))),0)</f>
        <v/>
      </c>
    </row>
    <row r="641">
      <c r="A641">
        <f>Skills!A7</f>
        <v/>
      </c>
      <c r="B641">
        <f>Skills!B7</f>
        <v/>
      </c>
      <c r="C641">
        <f>Inputs!$B$3&gt;=60</f>
        <v/>
      </c>
      <c r="D641">
        <f>IF(Skills!C7=1,60+Inputs!$B$25+Inputs!$B$29,IF(Skills!C7=2,90+Inputs!$B$26+Inputs!$B$29,IF(Skills!C7=3,120+Inputs!$B$27+Inputs!$B$29,MAX(0,(Inputs!$B$3-100)*3)+Inputs!$B$28+Inputs!$B$29)))</f>
        <v/>
      </c>
      <c r="E641">
        <f>INDEX(FactorTable!$B$2:$Y$301, MATCH(ROUND(MIN(300,MAX(1,D641)),0), FactorTable!$A$2:$A$301,0), Skills!M7+1)</f>
        <v/>
      </c>
      <c r="F641">
        <f>IF(Skills!N7=TRUE,(Skills!L7/10)*(E641/1000),Skills!L7/10)+Skills!O7</f>
        <v/>
      </c>
      <c r="G641">
        <f>Skills!G7*IF(Skills!H7&gt;0,Skills!I7/Skills!H7,1)</f>
        <v/>
      </c>
      <c r="H641">
        <f>1-(1-Skills!J7/100)^Skills!K7</f>
        <v/>
      </c>
      <c r="I641" t="inlineStr">
        <is>
          <t>1</t>
        </is>
      </c>
      <c r="J641" t="inlineStr"/>
      <c r="K641" t="inlineStr"/>
      <c r="L641" t="inlineStr"/>
      <c r="M641" t="inlineStr"/>
      <c r="N641" t="inlineStr"/>
      <c r="O641">
        <f>(1-Summary!$B$55)*T641+Summary!$B$55*V641</f>
        <v/>
      </c>
      <c r="P641">
        <f>IF(B679=0,0,O641/B679)</f>
        <v/>
      </c>
      <c r="Q641" t="n">
        <v>0</v>
      </c>
      <c r="R641" t="n">
        <v>0</v>
      </c>
      <c r="S641">
        <f>IFERROR(O641/N641,0)</f>
        <v/>
      </c>
      <c r="T641" t="n">
        <v>0</v>
      </c>
      <c r="V641" t="n">
        <v>0</v>
      </c>
    </row>
    <row r="642">
      <c r="A642">
        <f>Skills!A8</f>
        <v/>
      </c>
      <c r="B642">
        <f>Skills!B8</f>
        <v/>
      </c>
      <c r="C642">
        <f>Inputs!$B$3&gt;=72</f>
        <v/>
      </c>
      <c r="D642">
        <f>IF(Skills!C8=1,60+Inputs!$B$25+Inputs!$B$29,IF(Skills!C8=2,90+Inputs!$B$26+Inputs!$B$29,IF(Skills!C8=3,120+Inputs!$B$27+Inputs!$B$29,MAX(0,(Inputs!$B$3-100)*3)+Inputs!$B$28+Inputs!$B$29)))</f>
        <v/>
      </c>
      <c r="E642">
        <f>INDEX(FactorTable!$B$2:$Y$301, MATCH(ROUND(MIN(300,MAX(1,D642)),0), FactorTable!$A$2:$A$301,0), Skills!M8+1)</f>
        <v/>
      </c>
      <c r="F642">
        <f>IF(Skills!N8=TRUE,(Skills!L8/10)*(E642/1000),Skills!L8/10)+Skills!O8</f>
        <v/>
      </c>
      <c r="G642">
        <f>Skills!G8*IF(Skills!H8&gt;0,Skills!I8/Skills!H8,1)</f>
        <v/>
      </c>
      <c r="H642">
        <f>1-(1-Skills!J8/100)^Skills!K8</f>
        <v/>
      </c>
      <c r="I642" t="inlineStr">
        <is>
          <t>1</t>
        </is>
      </c>
      <c r="J642">
        <f>((Inputs!$B$6*(1+Inputs!$B$7/100))+(((Inputs!$B$12*(1+Inputs!$B$13/100))-(Inputs!$B$12*(1+Inputs!$B$13/100)))+0.25*(Inputs!$B$14-Inputs!$B$14))*(1+Inputs!$B$7/100))*(F642/100)</f>
        <v/>
      </c>
      <c r="K642">
        <f>J642*(1+((Inputs!$B$12*(1+Inputs!$B$13/100))*0.01+Inputs!$B$14*0.0025)/100)*(1+Inputs!$B$15/100)*(1+Inputs!$B$16/100)*(5000/(6000+Inputs!$B$43*(1-Inputs!$B$19/100)))*(1+(Inputs!$B$24+((C664=TRUE)*(F664-Calc!F30)))/100)*(1+3.3333333333333335*IF(C652=TRUE,F652,0)/100)*(1+(IF(Skills!A8="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642)</f>
        <v/>
      </c>
      <c r="L642">
        <f>K642*(MIN(Inputs!$B$22+((C658=TRUE)*(F658-Calc!F24)),Inputs!$B$23+((C663=TRUE)*(F663-Calc!F29)))/100+(Inputs!$B$23+((C663=TRUE)*(F663-Calc!F29)))/100)/2</f>
        <v/>
      </c>
      <c r="M642">
        <f>L642*(1+(Inputs!$B$10+((C660=TRUE)*(F660-Calc!F26))+B674)/100)</f>
        <v/>
      </c>
      <c r="N642">
        <f>L642*(1-MIN((Inputs!$B$9+((C659=TRUE)*(F659-Calc!F25))+B667),100)/100)+M642*(MIN((Inputs!$B$9+((C659=TRUE)*(F659-Calc!F25))+B667),100)/100)</f>
        <v/>
      </c>
      <c r="O642">
        <f>(1-Summary!$B$55)*T642+Summary!$B$55*V642</f>
        <v/>
      </c>
      <c r="P642">
        <f>IF(B679=0,0,O642/B679)</f>
        <v/>
      </c>
      <c r="Q642">
        <f>IFERROR(1/IF(Inputs!$B$39="pvp",15,MAX(0.1,Skills!D8-IF(Skills!E8=TRUE,Inputs!$B$32,0))),0)</f>
        <v/>
      </c>
      <c r="R642">
        <f>IF(AND(Inputs!$B$39&lt;&gt;"pvp",Inputs!$B$44&gt;0),IF(MAX(0,Inputs!$B$44-B678)&lt;=0,0,(INT(MAX(0,Inputs!$B$44-B678)/IF(Inputs!$B$39="pvp",15,MAX(0.1,Skills!D8-IF(Skills!E8=TRUE,Inputs!$B$32,0))))+1)),0)</f>
        <v/>
      </c>
      <c r="S642">
        <f>IFERROR(O642/N642,0)</f>
        <v/>
      </c>
      <c r="T642">
        <f>IF(C642,(H642*N642*IF(AND(Inputs!$B$39&lt;&gt;"pvp",Inputs!$B$44&gt;0),((Skills!G8*((R642-1)*IF(Skills!H8&gt;0,Skills!I8/Skills!H8,1)+IF(Skills!H8&gt;0,MIN(Skills!I8,MAX(0,MAX(0,Inputs!$B$44-B678)-((R642-1)*IF(Inputs!$B$39="pvp",15,MAX(0.1,Skills!D8-IF(Skills!E8=TRUE,Inputs!$B$32,0))))))/Skills!H8,1)))/Inputs!$B$44),G642*Q642))*IF(Inputs!$B$39="pvp",1,1+(Inputs!$B$20+0+Skills!P8+B668)/100),0)</f>
        <v/>
      </c>
      <c r="V642">
        <f>IF(C642,(H642*N642*IF(AND(Inputs!$B$39&lt;&gt;"pvp",Inputs!$B$44&gt;0),((Skills!G8*((R642-1)*IF(Skills!H8&gt;0,Skills!I8/Skills!H8,1)+IF(Skills!H8&gt;0,MIN(Skills!I8,MAX(0,MAX(0,Inputs!$B$44-B678)-((R642-1)*IF(Inputs!$B$39="pvp",15,MAX(0.1,Skills!D8-IF(Skills!E8=TRUE,Inputs!$B$32,0))))))/Skills!H8,1)))/Inputs!$B$44),G642*Q642))*IF(Inputs!$B$39="pvp",1,(1+(Inputs!$B$21+Skills!Q8+B668)/100)*(MIN(Skills!W8,Inputs!$B$37))),0)</f>
        <v/>
      </c>
    </row>
    <row r="643">
      <c r="A643">
        <f>Skills!A9</f>
        <v/>
      </c>
      <c r="B643">
        <f>Skills!B9</f>
        <v/>
      </c>
      <c r="C643">
        <f>Inputs!$B$3&gt;=117</f>
        <v/>
      </c>
      <c r="D643">
        <f>IF(Skills!C9=1,60+Inputs!$B$25+Inputs!$B$29,IF(Skills!C9=2,90+Inputs!$B$26+Inputs!$B$29,IF(Skills!C9=3,120+Inputs!$B$27+Inputs!$B$29,MAX(0,(Inputs!$B$3-100)*3)+Inputs!$B$28+Inputs!$B$29)))</f>
        <v/>
      </c>
      <c r="E643">
        <f>INDEX(FactorTable!$B$2:$Y$301, MATCH(ROUND(MIN(300,MAX(1,D643)),0), FactorTable!$A$2:$A$301,0), Skills!M9+1)</f>
        <v/>
      </c>
      <c r="F643">
        <f>IF(Skills!N9=TRUE,(Skills!L9/10)*(E643/1000),Skills!L9/10)+Skills!O9</f>
        <v/>
      </c>
      <c r="G643">
        <f>Skills!G9*IF(Skills!H9&gt;0,Skills!I9/Skills!H9,1)</f>
        <v/>
      </c>
      <c r="H643">
        <f>1-(1-Skills!J9/100)^Skills!K9</f>
        <v/>
      </c>
      <c r="I643" t="inlineStr">
        <is>
          <t>1</t>
        </is>
      </c>
      <c r="J643">
        <f>((Inputs!$B$6*(1+Inputs!$B$7/100))+(((Inputs!$B$12*(1+Inputs!$B$13/100))-(Inputs!$B$12*(1+Inputs!$B$13/100)))+0.25*(Inputs!$B$14-Inputs!$B$14))*(1+Inputs!$B$7/100))*(F643/100)</f>
        <v/>
      </c>
      <c r="K643">
        <f>J643*(1+((Inputs!$B$12*(1+Inputs!$B$13/100))*0.01+Inputs!$B$14*0.0025)/100)*(1+Inputs!$B$15/100)*(1+Inputs!$B$16/100)*(5000/(6000+Inputs!$B$43*(1-Inputs!$B$19/100)))*(1+(Inputs!$B$24+((C664=TRUE)*(F664-Calc!F30)))/100)*(1+(IF(Skills!A9="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643)</f>
        <v/>
      </c>
      <c r="L643">
        <f>K643*(MIN(Inputs!$B$22+((C658=TRUE)*(F658-Calc!F24)),Inputs!$B$23+((C663=TRUE)*(F663-Calc!F29)))/100+(Inputs!$B$23+((C663=TRUE)*(F663-Calc!F29)))/100)/2</f>
        <v/>
      </c>
      <c r="M643">
        <f>L643*(1+(Inputs!$B$10+((C660=TRUE)*(F660-Calc!F26))+B674)/100)</f>
        <v/>
      </c>
      <c r="N643">
        <f>L643*(1-MIN((Inputs!$B$9+((C659=TRUE)*(F659-Calc!F25))+B667),100)/100)+M643*(MIN((Inputs!$B$9+((C659=TRUE)*(F659-Calc!F25))+B667),100)/100)</f>
        <v/>
      </c>
      <c r="O643">
        <f>(1-Summary!$B$55)*T643+Summary!$B$55*V643</f>
        <v/>
      </c>
      <c r="P643">
        <f>IF(B679=0,0,O643/B679)</f>
        <v/>
      </c>
      <c r="Q643" t="n">
        <v>0</v>
      </c>
      <c r="R643" t="n">
        <v>0</v>
      </c>
      <c r="S643" t="n">
        <v>0</v>
      </c>
      <c r="T643">
        <f>IF(C643,(0.2*SUMPRODUCT((Skills!Z2:Z30=TRUE)*(C636:C664=TRUE)*S636:S664)*N643)*IF(Inputs!$B$39="pvp",1,1+(Inputs!$B$20+0+Skills!P9+B668)/100),0)</f>
        <v/>
      </c>
      <c r="V643">
        <f>IF(C643,(0.2*SUMPRODUCT((Skills!Z2:Z30=TRUE)*(C636:C664=TRUE)*S636:S664)*N643)*IF(Inputs!$B$39="pvp",1,(1+(Inputs!$B$21+Skills!Q9+B668)/100)*(MIN(Skills!W9,Inputs!$B$37))),0)</f>
        <v/>
      </c>
    </row>
    <row r="644">
      <c r="A644">
        <f>Skills!A10</f>
        <v/>
      </c>
      <c r="B644">
        <f>Skills!B10</f>
        <v/>
      </c>
      <c r="C644">
        <f>Inputs!$B$3&gt;=74</f>
        <v/>
      </c>
      <c r="D644">
        <f>IF(Skills!C10=1,60+Inputs!$B$25+Inputs!$B$29,IF(Skills!C10=2,90+Inputs!$B$26+Inputs!$B$29,IF(Skills!C10=3,120+Inputs!$B$27+Inputs!$B$29,MAX(0,(Inputs!$B$3-100)*3)+Inputs!$B$28+Inputs!$B$29)))</f>
        <v/>
      </c>
      <c r="E644">
        <f>INDEX(FactorTable!$B$2:$Y$301, MATCH(ROUND(MIN(300,MAX(1,D644)),0), FactorTable!$A$2:$A$301,0), Skills!M10+1)</f>
        <v/>
      </c>
      <c r="F644">
        <f>IF(Skills!N10=TRUE,(Skills!L10/10)*(E644/1000),Skills!L10/10)+Skills!O10</f>
        <v/>
      </c>
      <c r="G644">
        <f>Skills!G10*IF(Skills!H10&gt;0,Skills!I10/Skills!H10,1)</f>
        <v/>
      </c>
      <c r="H644">
        <f>1-(1-Skills!J10/100)^Skills!K10</f>
        <v/>
      </c>
      <c r="I644" t="inlineStr">
        <is>
          <t>1</t>
        </is>
      </c>
      <c r="J644" t="inlineStr"/>
      <c r="K644" t="inlineStr"/>
      <c r="L644" t="inlineStr"/>
      <c r="M644" t="inlineStr"/>
      <c r="N644" t="inlineStr"/>
      <c r="O644">
        <f>(1-Summary!$B$55)*T644+Summary!$B$55*V644</f>
        <v/>
      </c>
      <c r="P644">
        <f>IF(B679=0,0,O644/B679)</f>
        <v/>
      </c>
      <c r="Q644">
        <f>IFERROR(1/IF(Inputs!$B$39="pvp",15,MAX(0.1,Skills!D10-IF(Skills!E10=TRUE,Inputs!$B$32,0))),0)</f>
        <v/>
      </c>
      <c r="R644">
        <f>IF(AND(Inputs!$B$39&lt;&gt;"pvp",Inputs!$B$44&gt;0),IF(Inputs!$B$44&lt;=0,0,(INT(Inputs!$B$44/IF(Inputs!$B$39="pvp",15,MAX(0.1,Skills!D10-IF(Skills!E10=TRUE,Inputs!$B$32,0))))+1)),0)</f>
        <v/>
      </c>
      <c r="S644">
        <f>IFERROR(O644/N644,0)</f>
        <v/>
      </c>
      <c r="T644" t="n">
        <v>0</v>
      </c>
      <c r="V644" t="n">
        <v>0</v>
      </c>
    </row>
    <row r="645">
      <c r="A645">
        <f>Skills!A11</f>
        <v/>
      </c>
      <c r="B645">
        <f>Skills!B11</f>
        <v/>
      </c>
      <c r="C645">
        <f>Inputs!$B$3&gt;=103</f>
        <v/>
      </c>
      <c r="D645">
        <f>IF(Skills!C11=1,60+Inputs!$B$25+Inputs!$B$29,IF(Skills!C11=2,90+Inputs!$B$26+Inputs!$B$29,IF(Skills!C11=3,120+Inputs!$B$27+Inputs!$B$29,MAX(0,(Inputs!$B$3-100)*3)+Inputs!$B$28+Inputs!$B$29)))</f>
        <v/>
      </c>
      <c r="E645">
        <f>INDEX(FactorTable!$B$2:$Y$301, MATCH(ROUND(MIN(300,MAX(1,D645)),0), FactorTable!$A$2:$A$301,0), Skills!M11+1)</f>
        <v/>
      </c>
      <c r="F645">
        <f>(Skills!L11/10)*(E645/1000)+IF(Inputs!$B$3&gt;=134,50,0)+0.5*(30000/10)*(INDEX(FactorTable!$B$2:$Y$301, MATCH(ROUND(MIN(300,MAX(1,D645)),0), FactorTable!$A$2:$A$301,0), 13)/1000)*B677</f>
        <v/>
      </c>
      <c r="G645">
        <f>Skills!G11*IF(Skills!H11&gt;0,Skills!I11/Skills!H11,1)</f>
        <v/>
      </c>
      <c r="H645">
        <f>1-(1-Skills!J11/100)^Skills!K11</f>
        <v/>
      </c>
      <c r="I645" t="inlineStr">
        <is>
          <t>1</t>
        </is>
      </c>
      <c r="J645">
        <f>((Inputs!$B$6*(1+Inputs!$B$7/100))+(((Inputs!$B$12*(1+Inputs!$B$13/100))-(Inputs!$B$12*(1+Inputs!$B$13/100)))+0.25*(Inputs!$B$14-Inputs!$B$14))*(1+Inputs!$B$7/100))*(F645/100)</f>
        <v/>
      </c>
      <c r="K645">
        <f>J645*(1+((Inputs!$B$12*(1+Inputs!$B$13/100))*0.01+Inputs!$B$14*0.0025)/100)*(1+Inputs!$B$15/100)*(1+Inputs!$B$16/100)*(5000/(6000+Inputs!$B$43*(1-Inputs!$B$19/100)))*(1+(Inputs!$B$24+((C664=TRUE)*(F664-Calc!F30)))/100)*(1+(IF(Skills!A11="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645)</f>
        <v/>
      </c>
      <c r="L645">
        <f>K645*(MIN(Inputs!$B$22+((C658=TRUE)*(F658-Calc!F24)),Inputs!$B$23+((C663=TRUE)*(F663-Calc!F29)))/100+(Inputs!$B$23+((C663=TRUE)*(F663-Calc!F29)))/100)/2</f>
        <v/>
      </c>
      <c r="M645">
        <f>L645*(1+(Inputs!$B$10+((C660=TRUE)*(F660-Calc!F26))+B674)/100)</f>
        <v/>
      </c>
      <c r="N645">
        <f>L645*(1-MIN((Inputs!$B$9+((C659=TRUE)*(F659-Calc!F25))+B667),100)/100)+M645*(MIN((Inputs!$B$9+((C659=TRUE)*(F659-Calc!F25))+B667),100)/100)</f>
        <v/>
      </c>
      <c r="O645">
        <f>(1-Summary!$B$55)*T645+Summary!$B$55*V645</f>
        <v/>
      </c>
      <c r="P645">
        <f>IF(B679=0,0,O645/B679)</f>
        <v/>
      </c>
      <c r="Q645">
        <f>IFERROR(1/IF(Inputs!$B$39="pvp",15,MAX(0.1,Skills!D11-IF(Skills!E11=TRUE,Inputs!$B$32,0))),0)</f>
        <v/>
      </c>
      <c r="R645">
        <f>IF(AND(Inputs!$B$39&lt;&gt;"pvp",Inputs!$B$44&gt;0),IF(MAX(0,Inputs!$B$44-B678)&lt;=0,0,(INT(MAX(0,Inputs!$B$44-B678)/IF(Inputs!$B$39="pvp",15,MAX(0.1,Skills!D11-IF(Skills!E11=TRUE,Inputs!$B$32,0))))+1)),0)</f>
        <v/>
      </c>
      <c r="S645">
        <f>IFERROR(O645/N645,0)</f>
        <v/>
      </c>
      <c r="T645">
        <f>IF(C645,(H645*N645*IF(AND(Inputs!$B$39&lt;&gt;"pvp",Inputs!$B$44&gt;0),((Skills!G11*((R645-1)*IF(Skills!H11&gt;0,Skills!I11/Skills!H11,1)+IF(Skills!H11&gt;0,MIN(Skills!I11,MAX(0,MAX(0,Inputs!$B$44-B678)-((R645-1)*IF(Inputs!$B$39="pvp",15,MAX(0.1,Skills!D11-IF(Skills!E11=TRUE,Inputs!$B$32,0))))))/Skills!H11,1)))/Inputs!$B$44),G645*Q645))*IF(Inputs!$B$39="pvp",1,1+(Inputs!$B$20+0+Skills!P11+B668)/100),0)</f>
        <v/>
      </c>
      <c r="V645">
        <f>IF(C645,(H645*N645*IF(AND(Inputs!$B$39&lt;&gt;"pvp",Inputs!$B$44&gt;0),((Skills!G11*((R645-1)*IF(Skills!H11&gt;0,Skills!I11/Skills!H11,1)+IF(Skills!H11&gt;0,MIN(Skills!I11,MAX(0,MAX(0,Inputs!$B$44-B678)-((R645-1)*IF(Inputs!$B$39="pvp",15,MAX(0.1,Skills!D11-IF(Skills!E11=TRUE,Inputs!$B$32,0))))))/Skills!H11,1)))/Inputs!$B$44),G645*Q645))*IF(Inputs!$B$39="pvp",1,(1+(Inputs!$B$21+Skills!Q11+B668)/100)*(MIN(Skills!W11,Inputs!$B$37))),0)</f>
        <v/>
      </c>
    </row>
    <row r="646">
      <c r="A646">
        <f>Skills!A12</f>
        <v/>
      </c>
      <c r="B646">
        <f>Skills!B12</f>
        <v/>
      </c>
      <c r="C646">
        <f>Inputs!$B$3&gt;=105</f>
        <v/>
      </c>
      <c r="D646">
        <f>IF(Skills!C12=1,60+Inputs!$B$25+Inputs!$B$29,IF(Skills!C12=2,90+Inputs!$B$26+Inputs!$B$29,IF(Skills!C12=3,120+Inputs!$B$27+Inputs!$B$29,MAX(0,(Inputs!$B$3-100)*3)+Inputs!$B$28+Inputs!$B$29)))</f>
        <v/>
      </c>
      <c r="E646">
        <f>INDEX(FactorTable!$B$2:$Y$301, MATCH(ROUND(MIN(300,MAX(1,D646)),0), FactorTable!$A$2:$A$301,0), Skills!M12+1)</f>
        <v/>
      </c>
      <c r="F646">
        <f>IF(Skills!N12=TRUE,(Skills!L12/10)*(E646/1000),Skills!L12/10)+Skills!O12</f>
        <v/>
      </c>
      <c r="G646">
        <f>Skills!G12*IF(Skills!H12&gt;0,Skills!I12/Skills!H12,1)</f>
        <v/>
      </c>
      <c r="H646">
        <f>1-(1-Skills!J12/100)^Skills!K12</f>
        <v/>
      </c>
      <c r="I646" t="inlineStr">
        <is>
          <t>1</t>
        </is>
      </c>
      <c r="J646">
        <f>((Inputs!$B$6*(1+Inputs!$B$7/100))+(((Inputs!$B$12*(1+Inputs!$B$13/100))-(Inputs!$B$12*(1+Inputs!$B$13/100)))+0.25*(Inputs!$B$14-Inputs!$B$14))*(1+Inputs!$B$7/100))*(F646/100)</f>
        <v/>
      </c>
      <c r="K646">
        <f>J646*(1+((Inputs!$B$12*(1+Inputs!$B$13/100))*0.01+Inputs!$B$14*0.0025)/100)*(1+Inputs!$B$15/100)*(1+Inputs!$B$16/100)*(5000/(6000+Inputs!$B$43*(1-Inputs!$B$19/100)))*(1+(Inputs!$B$24+((C664=TRUE)*(F664-Calc!F30)))/100)*(1+(IF(Skills!A12="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646)</f>
        <v/>
      </c>
      <c r="L646">
        <f>K646*(MIN(Inputs!$B$22+((C658=TRUE)*(F658-Calc!F24)),Inputs!$B$23+((C663=TRUE)*(F663-Calc!F29)))/100+(Inputs!$B$23+((C663=TRUE)*(F663-Calc!F29)))/100)/2</f>
        <v/>
      </c>
      <c r="M646">
        <f>L646*(1+(Inputs!$B$10+((C660=TRUE)*(F660-Calc!F26))+B674)/100)</f>
        <v/>
      </c>
      <c r="N646">
        <f>L646*(1-MIN((Inputs!$B$9+((C659=TRUE)*(F659-Calc!F25))+B667),100)/100)+M646*(MIN((Inputs!$B$9+((C659=TRUE)*(F659-Calc!F25))+B667),100)/100)</f>
        <v/>
      </c>
      <c r="O646">
        <f>(1-Summary!$B$55)*T646+Summary!$B$55*V646</f>
        <v/>
      </c>
      <c r="P646">
        <f>IF(B679=0,0,O646/B679)</f>
        <v/>
      </c>
      <c r="Q646">
        <f>IFERROR(1/IF(Inputs!$B$39="pvp",15,MAX(0.1,Skills!D12-IF(Skills!E12=TRUE,Inputs!$B$32,0))),0)</f>
        <v/>
      </c>
      <c r="R646">
        <f>IF(AND(Inputs!$B$39&lt;&gt;"pvp",Inputs!$B$44&gt;0),IF(MAX(0,Inputs!$B$44-B678)&lt;=0,0,(INT(MAX(0,Inputs!$B$44-B678)/IF(Inputs!$B$39="pvp",15,MAX(0.1,Skills!D12-IF(Skills!E12=TRUE,Inputs!$B$32,0))))+1)),0)</f>
        <v/>
      </c>
      <c r="S646">
        <f>IFERROR(O646/N646,0)</f>
        <v/>
      </c>
      <c r="T646">
        <f>IF(C646,(H646*N646*IF(AND(Inputs!$B$39&lt;&gt;"pvp",Inputs!$B$44&gt;0),((Skills!G12*((R646-1)*IF(Skills!H12&gt;0,Skills!I12/Skills!H12,1)+IF(Skills!H12&gt;0,MIN(Skills!I12,MAX(0,MAX(0,Inputs!$B$44-B678)-((R646-1)*IF(Inputs!$B$39="pvp",15,MAX(0.1,Skills!D12-IF(Skills!E12=TRUE,Inputs!$B$32,0))))))/Skills!H12,1)))/Inputs!$B$44),G646*Q646))*IF(Inputs!$B$39="pvp",1,1+(Inputs!$B$20+0+Skills!P12+B668)/100),0)</f>
        <v/>
      </c>
      <c r="V646">
        <f>IF(C646,(H646*N646*IF(AND(Inputs!$B$39&lt;&gt;"pvp",Inputs!$B$44&gt;0),((Skills!G12*((R646-1)*IF(Skills!H12&gt;0,Skills!I12/Skills!H12,1)+IF(Skills!H12&gt;0,MIN(Skills!I12,MAX(0,MAX(0,Inputs!$B$44-B678)-((R646-1)*IF(Inputs!$B$39="pvp",15,MAX(0.1,Skills!D12-IF(Skills!E12=TRUE,Inputs!$B$32,0))))))/Skills!H12,1)))/Inputs!$B$44),G646*Q646))*IF(Inputs!$B$39="pvp",1,(1+(Inputs!$B$21+Skills!Q12+B668)/100)*(MIN(Skills!W12,Inputs!$B$37))),0)</f>
        <v/>
      </c>
    </row>
    <row r="647">
      <c r="A647">
        <f>Skills!A13</f>
        <v/>
      </c>
      <c r="B647">
        <f>Skills!B13</f>
        <v/>
      </c>
      <c r="C647">
        <f>Inputs!$B$3&gt;=105</f>
        <v/>
      </c>
      <c r="D647">
        <f>IF(Skills!C13=1,60+Inputs!$B$25+Inputs!$B$29,IF(Skills!C13=2,90+Inputs!$B$26+Inputs!$B$29,IF(Skills!C13=3,120+Inputs!$B$27+Inputs!$B$29,MAX(0,(Inputs!$B$3-100)*3)+Inputs!$B$28+Inputs!$B$29)))</f>
        <v/>
      </c>
      <c r="E647">
        <f>INDEX(FactorTable!$B$2:$Y$301, MATCH(ROUND(MIN(300,MAX(1,D647)),0), FactorTable!$A$2:$A$301,0), Skills!M13+1)</f>
        <v/>
      </c>
      <c r="F647">
        <f>IF(Skills!N13=TRUE,(Skills!L13/10)*(E647/1000),Skills!L13/10)+Skills!O13</f>
        <v/>
      </c>
      <c r="G647">
        <f>Skills!G13*IF(Skills!H13&gt;0,Skills!I13/Skills!H13,1)</f>
        <v/>
      </c>
      <c r="H647">
        <f>1-(1-Skills!J13/100)^Skills!K13</f>
        <v/>
      </c>
      <c r="I647" t="inlineStr">
        <is>
          <t>1</t>
        </is>
      </c>
      <c r="J647">
        <f>((Inputs!$B$6*(1+Inputs!$B$7/100))+(((Inputs!$B$12*(1+Inputs!$B$13/100))-(Inputs!$B$12*(1+Inputs!$B$13/100)))+0.25*(Inputs!$B$14-Inputs!$B$14))*(1+Inputs!$B$7/100))*(F647/100)</f>
        <v/>
      </c>
      <c r="K647">
        <f>J647*(1+((Inputs!$B$12*(1+Inputs!$B$13/100))*0.01+Inputs!$B$14*0.0025)/100)*(1+Inputs!$B$15/100)*(1+Inputs!$B$16/100)*(5000/(6000+Inputs!$B$43*(1-Inputs!$B$19/100)))*(1+(Inputs!$B$24+((C664=TRUE)*(F664-Calc!F30)))/100)*(1+(IF(Skills!A13="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647)</f>
        <v/>
      </c>
      <c r="L647">
        <f>K647*(MIN(Inputs!$B$22+((C658=TRUE)*(F658-Calc!F24)),Inputs!$B$23+((C663=TRUE)*(F663-Calc!F29)))/100+(Inputs!$B$23+((C663=TRUE)*(F663-Calc!F29)))/100)/2</f>
        <v/>
      </c>
      <c r="M647">
        <f>L647*(1+(Inputs!$B$10+((C660=TRUE)*(F660-Calc!F26))+B674)/100)</f>
        <v/>
      </c>
      <c r="N647">
        <f>L647*(1-MIN((Inputs!$B$9+((C659=TRUE)*(F659-Calc!F25))+B667),100)/100)+M647*(MIN((Inputs!$B$9+((C659=TRUE)*(F659-Calc!F25))+B667),100)/100)</f>
        <v/>
      </c>
      <c r="O647">
        <f>(1-Summary!$B$55)*T647+Summary!$B$55*V647</f>
        <v/>
      </c>
      <c r="P647">
        <f>IF(B679=0,0,O647/B679)</f>
        <v/>
      </c>
      <c r="Q647">
        <f>IFERROR(1/IF(Inputs!$B$39="pvp",15,MAX(0.1,Skills!D13-IF(Skills!E13=TRUE,Inputs!$B$32,0))),0)</f>
        <v/>
      </c>
      <c r="R647">
        <f>IF(AND(Inputs!$B$39&lt;&gt;"pvp",Inputs!$B$44&gt;0),IF(MAX(0,Inputs!$B$44-B678)&lt;=0,0,(INT(MAX(0,Inputs!$B$44-B678)/IF(Inputs!$B$39="pvp",15,MAX(0.1,Skills!D13-IF(Skills!E13=TRUE,Inputs!$B$32,0))))+1)),0)</f>
        <v/>
      </c>
      <c r="S647">
        <f>IFERROR(O647/N647,0)</f>
        <v/>
      </c>
      <c r="T647">
        <f>IF(C647,(H647*N647*IF(AND(Inputs!$B$39&lt;&gt;"pvp",Inputs!$B$44&gt;0),((Skills!G13*((R647-1)*IF(Skills!H13&gt;0,Skills!I13/Skills!H13,1)+IF(Skills!H13&gt;0,MIN(Skills!I13,MAX(0,MAX(0,Inputs!$B$44-B678)-((R647-1)*IF(Inputs!$B$39="pvp",15,MAX(0.1,Skills!D13-IF(Skills!E13=TRUE,Inputs!$B$32,0))))))/Skills!H13,1)))/Inputs!$B$44),G647*Q647))*IF(Inputs!$B$39="pvp",1,1+(Inputs!$B$20+0+Skills!P13+B668)/100),0)</f>
        <v/>
      </c>
      <c r="V647">
        <f>IF(C647,(H647*N647*IF(AND(Inputs!$B$39&lt;&gt;"pvp",Inputs!$B$44&gt;0),((Skills!G13*((R647-1)*IF(Skills!H13&gt;0,Skills!I13/Skills!H13,1)+IF(Skills!H13&gt;0,MIN(Skills!I13,MAX(0,MAX(0,Inputs!$B$44-B678)-((R647-1)*IF(Inputs!$B$39="pvp",15,MAX(0.1,Skills!D13-IF(Skills!E13=TRUE,Inputs!$B$32,0))))))/Skills!H13,1)))/Inputs!$B$44),G647*Q647))*IF(Inputs!$B$39="pvp",1,(1+(Inputs!$B$21+Skills!Q13+B668)/100)*(MIN(Skills!W13,Inputs!$B$37))),0)</f>
        <v/>
      </c>
    </row>
    <row r="648">
      <c r="A648">
        <f>Skills!A14</f>
        <v/>
      </c>
      <c r="B648">
        <f>Skills!B14</f>
        <v/>
      </c>
      <c r="C648">
        <f>Inputs!$B$3&gt;=107</f>
        <v/>
      </c>
      <c r="D648">
        <f>IF(Skills!C14=1,60+Inputs!$B$25+Inputs!$B$29,IF(Skills!C14=2,90+Inputs!$B$26+Inputs!$B$29,IF(Skills!C14=3,120+Inputs!$B$27+Inputs!$B$29,MAX(0,(Inputs!$B$3-100)*3)+Inputs!$B$28+Inputs!$B$29)))</f>
        <v/>
      </c>
      <c r="E648">
        <f>INDEX(FactorTable!$B$2:$Y$301, MATCH(ROUND(MIN(300,MAX(1,D648)),0), FactorTable!$A$2:$A$301,0), Skills!M14+1)</f>
        <v/>
      </c>
      <c r="F648">
        <f>IF(Skills!N14=TRUE,(Skills!L14/10)*(E648/1000),Skills!L14/10)+Skills!O14</f>
        <v/>
      </c>
      <c r="G648">
        <f>Skills!G14*IF(Skills!H14&gt;0,Skills!I14/Skills!H14,1)</f>
        <v/>
      </c>
      <c r="H648">
        <f>1-(1-Skills!J14/100)^Skills!K14</f>
        <v/>
      </c>
      <c r="I648" t="inlineStr">
        <is>
          <t>1</t>
        </is>
      </c>
      <c r="J648">
        <f>((Inputs!$B$6*(1+Inputs!$B$7/100))+(((Inputs!$B$12*(1+Inputs!$B$13/100))-(Inputs!$B$12*(1+Inputs!$B$13/100)))+0.25*(Inputs!$B$14-Inputs!$B$14))*(1+Inputs!$B$7/100))*(F648/100)</f>
        <v/>
      </c>
      <c r="K648">
        <f>J648*(1+((Inputs!$B$12*(1+Inputs!$B$13/100))*0.01+Inputs!$B$14*0.0025)/100)*(1+Inputs!$B$15/100)*(1+Inputs!$B$16/100)*(5000/(6000+Inputs!$B$43*(1-Inputs!$B$19/100)))*(1+(Inputs!$B$24+((C664=TRUE)*(F664-Calc!F30)))/100)*(1+(IF(Skills!A14="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648)</f>
        <v/>
      </c>
      <c r="L648">
        <f>K648*(MIN(Inputs!$B$22+((C658=TRUE)*(F658-Calc!F24)),Inputs!$B$23+((C663=TRUE)*(F663-Calc!F29)))/100+(Inputs!$B$23+((C663=TRUE)*(F663-Calc!F29)))/100)/2</f>
        <v/>
      </c>
      <c r="M648">
        <f>L648*(1+(Inputs!$B$10+((C660=TRUE)*(F660-Calc!F26))+B674)/100)</f>
        <v/>
      </c>
      <c r="N648">
        <f>L648*(1-MIN((Inputs!$B$9+((C659=TRUE)*(F659-Calc!F25))+B667),100)/100)+M648*(MIN((Inputs!$B$9+((C659=TRUE)*(F659-Calc!F25))+B667),100)/100)</f>
        <v/>
      </c>
      <c r="O648">
        <f>(1-Summary!$B$55)*T648+Summary!$B$55*V648</f>
        <v/>
      </c>
      <c r="P648">
        <f>IF(B679=0,0,O648/B679)</f>
        <v/>
      </c>
      <c r="Q648">
        <f>IFERROR(1/IF(Inputs!$B$39="pvp",15,MAX(0.1,Skills!D14-IF(Skills!E14=TRUE,Inputs!$B$32,0))),0)</f>
        <v/>
      </c>
      <c r="R648">
        <f>IF(AND(Inputs!$B$39&lt;&gt;"pvp",Inputs!$B$44&gt;0),IF(MAX(0,Inputs!$B$44-B678)&lt;=0,0,(INT(MAX(0,Inputs!$B$44-B678)/IF(Inputs!$B$39="pvp",15,MAX(0.1,Skills!D14-IF(Skills!E14=TRUE,Inputs!$B$32,0))))+1)),0)</f>
        <v/>
      </c>
      <c r="S648">
        <f>IFERROR(O648/N648,0)</f>
        <v/>
      </c>
      <c r="T648">
        <f>IF(C648,(H648*N648*IF(AND(Inputs!$B$39&lt;&gt;"pvp",Inputs!$B$44&gt;0),((Skills!G14*((R648-1)*IF(Skills!H14&gt;0,Skills!I14/Skills!H14,1)+IF(Skills!H14&gt;0,MIN(Skills!I14,MAX(0,MAX(0,Inputs!$B$44-B678)-((R648-1)*IF(Inputs!$B$39="pvp",15,MAX(0.1,Skills!D14-IF(Skills!E14=TRUE,Inputs!$B$32,0))))))/Skills!H14,1)))/Inputs!$B$44),G648*Q648))*IF(Inputs!$B$39="pvp",1,1+(Inputs!$B$20+0+Skills!P14+B668)/100),0)</f>
        <v/>
      </c>
      <c r="V648">
        <f>IF(C648,(H648*N648*IF(AND(Inputs!$B$39&lt;&gt;"pvp",Inputs!$B$44&gt;0),((Skills!G14*((R648-1)*IF(Skills!H14&gt;0,Skills!I14/Skills!H14,1)+IF(Skills!H14&gt;0,MIN(Skills!I14,MAX(0,MAX(0,Inputs!$B$44-B678)-((R648-1)*IF(Inputs!$B$39="pvp",15,MAX(0.1,Skills!D14-IF(Skills!E14=TRUE,Inputs!$B$32,0))))))/Skills!H14,1)))/Inputs!$B$44),G648*Q648))*IF(Inputs!$B$39="pvp",1,(1+(Inputs!$B$21+Skills!Q14+B668)/100)*(MIN(MIN(5,0.25*B671*Skills!D4)*Skills!V14,Inputs!$B$37))),0)</f>
        <v/>
      </c>
    </row>
    <row r="649">
      <c r="A649">
        <f>Skills!A15</f>
        <v/>
      </c>
      <c r="B649">
        <f>Skills!B15</f>
        <v/>
      </c>
      <c r="C649">
        <f>Inputs!$B$3&gt;=110</f>
        <v/>
      </c>
      <c r="D649">
        <f>IF(Skills!C15=1,60+Inputs!$B$25+Inputs!$B$29,IF(Skills!C15=2,90+Inputs!$B$26+Inputs!$B$29,IF(Skills!C15=3,120+Inputs!$B$27+Inputs!$B$29,MAX(0,(Inputs!$B$3-100)*3)+Inputs!$B$28+Inputs!$B$29)))</f>
        <v/>
      </c>
      <c r="E649">
        <f>INDEX(FactorTable!$B$2:$Y$301, MATCH(ROUND(MIN(300,MAX(1,D649)),0), FactorTable!$A$2:$A$301,0), Skills!M15+1)</f>
        <v/>
      </c>
      <c r="F649">
        <f>IF(Skills!N15=TRUE,(Skills!L15/10)*(E649/1000),Skills!L15/10)+Skills!O15</f>
        <v/>
      </c>
      <c r="G649">
        <f>Skills!G15*IF(Skills!H15&gt;0,Skills!I15/Skills!H15,1)</f>
        <v/>
      </c>
      <c r="H649">
        <f>1-(1-Skills!J15/100)^Skills!K15</f>
        <v/>
      </c>
      <c r="I649" t="inlineStr">
        <is>
          <t>1</t>
        </is>
      </c>
      <c r="J649" t="inlineStr"/>
      <c r="K649" t="inlineStr"/>
      <c r="L649" t="inlineStr"/>
      <c r="M649" t="inlineStr"/>
      <c r="N649" t="inlineStr"/>
      <c r="O649">
        <f>(1-Summary!$B$55)*T649+Summary!$B$55*V649</f>
        <v/>
      </c>
      <c r="P649">
        <f>IF(B679=0,0,O649/B679)</f>
        <v/>
      </c>
      <c r="Q649">
        <f>IFERROR(1/IF(Inputs!$B$39="pvp",15,MAX(0.1,Skills!D15-IF(Skills!E15=TRUE,Inputs!$B$32,0))),0)</f>
        <v/>
      </c>
      <c r="R649">
        <f>IF(AND(Inputs!$B$39&lt;&gt;"pvp",Inputs!$B$44&gt;0),IF(Inputs!$B$44&lt;=0,0,(INT(Inputs!$B$44/IF(Inputs!$B$39="pvp",15,MAX(0.1,Skills!D15-IF(Skills!E15=TRUE,Inputs!$B$32,0))))+1)),0)</f>
        <v/>
      </c>
      <c r="S649">
        <f>IFERROR(O649/N649,0)</f>
        <v/>
      </c>
      <c r="T649" t="n">
        <v>0</v>
      </c>
      <c r="V649" t="n">
        <v>0</v>
      </c>
    </row>
    <row r="650">
      <c r="A650">
        <f>Skills!A16</f>
        <v/>
      </c>
      <c r="B650">
        <f>Skills!B16</f>
        <v/>
      </c>
      <c r="C650">
        <f>Inputs!$B$3&gt;=115</f>
        <v/>
      </c>
      <c r="D650">
        <f>IF(Skills!C16=1,60+Inputs!$B$25+Inputs!$B$29,IF(Skills!C16=2,90+Inputs!$B$26+Inputs!$B$29,IF(Skills!C16=3,120+Inputs!$B$27+Inputs!$B$29,MAX(0,(Inputs!$B$3-100)*3)+Inputs!$B$28+Inputs!$B$29)))</f>
        <v/>
      </c>
      <c r="E650">
        <f>INDEX(FactorTable!$B$2:$Y$301, MATCH(ROUND(MIN(300,MAX(1,D650)),0), FactorTable!$A$2:$A$301,0), Skills!M16+1)</f>
        <v/>
      </c>
      <c r="F650">
        <f>IF(Skills!N16=TRUE,(Skills!L16/10)*(E650/1000),Skills!L16/10)+Skills!O16</f>
        <v/>
      </c>
      <c r="G650">
        <f>Skills!G16*IF(Skills!H16&gt;0,Skills!I16/Skills!H16,1)</f>
        <v/>
      </c>
      <c r="H650">
        <f>1-(1-Skills!J16/100)^Skills!K16</f>
        <v/>
      </c>
      <c r="I650" t="inlineStr">
        <is>
          <t>1</t>
        </is>
      </c>
      <c r="J650">
        <f>((Inputs!$B$6*(1+Inputs!$B$7/100))+(((Inputs!$B$12*(1+Inputs!$B$13/100))-(Inputs!$B$12*(1+Inputs!$B$13/100)))+0.25*(Inputs!$B$14-Inputs!$B$14))*(1+Inputs!$B$7/100))*(F650/100)</f>
        <v/>
      </c>
      <c r="K650">
        <f>J650*(1+((Inputs!$B$12*(1+Inputs!$B$13/100))*0.01+Inputs!$B$14*0.0025)/100)*(1+Inputs!$B$15/100)*(1+Inputs!$B$16/100)*(5000/(6000+Inputs!$B$43*(1-Inputs!$B$19/100)))*(1+(Inputs!$B$24+((C664=TRUE)*(F664-Calc!F30)))/100)*(1+(IF(Skills!A16="CRUEL_STAB",Inputs!$B$17+((C661=TRUE)*(F661-Calc!F27)),Inputs!$B$18+((C662=TRUE)*(F662-Calc!F28))))/100)*(((1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B669*I650)</f>
        <v/>
      </c>
      <c r="L650">
        <f>K650*(MIN(Inputs!$B$22+((C658=TRUE)*(F658-Calc!F24)),Inputs!$B$23+((C663=TRUE)*(F663-Calc!F29)))/100+(Inputs!$B$23+((C663=TRUE)*(F663-Calc!F29)))/100)/2</f>
        <v/>
      </c>
      <c r="M650">
        <f>L650*(1+(Inputs!$B$10+((C660=TRUE)*(F660-Calc!F26))+B674)/100)</f>
        <v/>
      </c>
      <c r="N650">
        <f>L650*(1-MIN((Inputs!$B$9+((C659=TRUE)*(F659-Calc!F25))+B667),100)/100)+M650*(MIN((Inputs!$B$9+((C659=TRUE)*(F659-Calc!F25))+B667),100)/100)</f>
        <v/>
      </c>
      <c r="O650">
        <f>(1-Summary!$B$55)*T650+Summary!$B$55*V650</f>
        <v/>
      </c>
      <c r="P650">
        <f>IF(B679=0,0,O650/B679)</f>
        <v/>
      </c>
      <c r="Q650" t="n">
        <v>0</v>
      </c>
      <c r="R650" t="n">
        <v>0</v>
      </c>
      <c r="S650">
        <f>IFERROR(O650/N650,0)</f>
        <v/>
      </c>
      <c r="T650">
        <f>IF(C650,(Inputs!$B$38*0.2*N650)*IF(Inputs!$B$39="pvp",1,1+(Inputs!$B$20+0+Skills!P16+B668)/100),0)</f>
        <v/>
      </c>
      <c r="V650">
        <f>IF(C650,(Inputs!$B$38*0.2*N650)*IF(Inputs!$B$39="pvp",1,(1+(Inputs!$B$21+Skills!Q16+B668)/100)*(MIN(Skills!W16,Inputs!$B$37))),0)</f>
        <v/>
      </c>
    </row>
    <row r="651">
      <c r="A651">
        <f>Skills!A17</f>
        <v/>
      </c>
      <c r="B651">
        <f>Skills!B17</f>
        <v/>
      </c>
      <c r="C651">
        <f>Inputs!$B$3&gt;=115</f>
        <v/>
      </c>
      <c r="D651">
        <f>IF(Skills!C17=1,60+Inputs!$B$25+Inputs!$B$29,IF(Skills!C17=2,90+Inputs!$B$26+Inputs!$B$29,IF(Skills!C17=3,120+Inputs!$B$27+Inputs!$B$29,MAX(0,(Inputs!$B$3-100)*3)+Inputs!$B$28+Inputs!$B$29)))</f>
        <v/>
      </c>
      <c r="E651">
        <f>INDEX(FactorTable!$B$2:$Y$301, MATCH(ROUND(MIN(300,MAX(1,D651)),0), FactorTable!$A$2:$A$301,0), Skills!M17+1)</f>
        <v/>
      </c>
      <c r="F651">
        <f>IF(Skills!N17=TRUE,(Skills!L17/10)*(E651/1000),Skills!L17/10)+Skills!O17</f>
        <v/>
      </c>
      <c r="G651">
        <f>Skills!G17*IF(Skills!H17&gt;0,Skills!I17/Skills!H17,1)</f>
        <v/>
      </c>
      <c r="H651">
        <f>1-(1-Skills!J17/100)^Skills!K17</f>
        <v/>
      </c>
      <c r="I651" t="inlineStr">
        <is>
          <t>1</t>
        </is>
      </c>
      <c r="J651" t="inlineStr"/>
      <c r="K651" t="inlineStr"/>
      <c r="L651" t="inlineStr"/>
      <c r="M651" t="inlineStr"/>
      <c r="N651" t="inlineStr"/>
      <c r="O651">
        <f>(1-Summary!$B$55)*T651+Summary!$B$55*V651</f>
        <v/>
      </c>
      <c r="P651">
        <f>IF(B679=0,0,O651/B679)</f>
        <v/>
      </c>
      <c r="Q651" t="n">
        <v>0</v>
      </c>
      <c r="R651" t="n">
        <v>0</v>
      </c>
      <c r="S651">
        <f>IFERROR(O651/N651,0)</f>
        <v/>
      </c>
      <c r="T651" t="n">
        <v>0</v>
      </c>
      <c r="V651" t="n">
        <v>0</v>
      </c>
    </row>
    <row r="652">
      <c r="A652">
        <f>Skills!A18</f>
        <v/>
      </c>
      <c r="B652">
        <f>Skills!B18</f>
        <v/>
      </c>
      <c r="C652">
        <f>Inputs!$B$3&gt;=100</f>
        <v/>
      </c>
      <c r="D652">
        <f>IF(Skills!C18=1,60+Inputs!$B$25+Inputs!$B$29,IF(Skills!C18=2,90+Inputs!$B$26+Inputs!$B$29,IF(Skills!C18=3,120+Inputs!$B$27+Inputs!$B$29,MAX(0,(Inputs!$B$3-100)*3)+Inputs!$B$28+Inputs!$B$29)))</f>
        <v/>
      </c>
      <c r="E652">
        <f>INDEX(FactorTable!$B$2:$Y$301, MATCH(ROUND(MIN(300,MAX(1,D652)),0), FactorTable!$A$2:$A$301,0), Skills!M18+1)</f>
        <v/>
      </c>
      <c r="F652">
        <f>IF(Skills!N18=TRUE,(Skills!L18/10)*(E652/1000),Skills!L18/10)+Skills!O18</f>
        <v/>
      </c>
      <c r="G652">
        <f>Skills!G18*IF(Skills!H18&gt;0,Skills!I18/Skills!H18,1)</f>
        <v/>
      </c>
      <c r="H652">
        <f>1-(1-Skills!J18/100)^Skills!K18</f>
        <v/>
      </c>
      <c r="I652" t="inlineStr">
        <is>
          <t>1</t>
        </is>
      </c>
      <c r="J652" t="inlineStr"/>
      <c r="K652" t="inlineStr"/>
      <c r="L652" t="inlineStr"/>
      <c r="M652" t="inlineStr"/>
      <c r="N652" t="inlineStr"/>
      <c r="O652">
        <f>(1-Summary!$B$55)*T652+Summary!$B$55*V652</f>
        <v/>
      </c>
      <c r="P652">
        <f>IF(B679=0,0,O652/B679)</f>
        <v/>
      </c>
      <c r="Q652" t="n">
        <v>0</v>
      </c>
      <c r="R652" t="n">
        <v>0</v>
      </c>
      <c r="S652">
        <f>IFERROR(O652/N652,0)</f>
        <v/>
      </c>
      <c r="T652" t="n">
        <v>0</v>
      </c>
      <c r="V652" t="n">
        <v>0</v>
      </c>
    </row>
    <row r="653">
      <c r="A653">
        <f>Skills!A19</f>
        <v/>
      </c>
      <c r="B653">
        <f>Skills!B19</f>
        <v/>
      </c>
      <c r="C653">
        <f>TRUE</f>
        <v/>
      </c>
      <c r="D653">
        <f>IF(Skills!C19=1,60+Inputs!$B$25+Inputs!$B$29,IF(Skills!C19=2,90+Inputs!$B$26+Inputs!$B$29,IF(Skills!C19=3,120+Inputs!$B$27+Inputs!$B$29,MAX(0,(Inputs!$B$3-100)*3)+Inputs!$B$28+Inputs!$B$29)))</f>
        <v/>
      </c>
      <c r="E653">
        <f>INDEX(FactorTable!$B$2:$Y$301, MATCH(ROUND(MIN(300,MAX(1,D653)),0), FactorTable!$A$2:$A$301,0), Skills!M19+1)</f>
        <v/>
      </c>
      <c r="F653">
        <f>IF(Skills!N19=TRUE,(Skills!L19/10)*(E653/1000),Skills!L19/10)+Skills!O19</f>
        <v/>
      </c>
      <c r="G653">
        <f>Skills!G19*IF(Skills!H19&gt;0,Skills!I19/Skills!H19,1)</f>
        <v/>
      </c>
      <c r="H653">
        <f>1-(1-Skills!J19/100)^Skills!K19</f>
        <v/>
      </c>
      <c r="I653" t="inlineStr">
        <is>
          <t>1</t>
        </is>
      </c>
      <c r="J653" t="inlineStr"/>
      <c r="K653" t="inlineStr"/>
      <c r="L653" t="inlineStr"/>
      <c r="M653" t="inlineStr"/>
      <c r="N653" t="inlineStr"/>
      <c r="O653">
        <f>(1-Summary!$B$55)*T653+Summary!$B$55*V653</f>
        <v/>
      </c>
      <c r="P653">
        <f>IF(B679=0,0,O653/B679)</f>
        <v/>
      </c>
      <c r="Q653">
        <f>IFERROR(1/IF(Inputs!$B$39="pvp",15,MAX(0.1,Skills!D19-IF(Skills!E19=TRUE,Inputs!$B$32,0))),0)</f>
        <v/>
      </c>
      <c r="R653">
        <f>IF(AND(Inputs!$B$39&lt;&gt;"pvp",Inputs!$B$44&gt;0),IF(Inputs!$B$44&lt;=0,0,(INT(Inputs!$B$44/IF(Inputs!$B$39="pvp",15,MAX(0.1,Skills!D19-IF(Skills!E19=TRUE,Inputs!$B$32,0))))+1)),0)</f>
        <v/>
      </c>
      <c r="S653">
        <f>IFERROR(O653/N653,0)</f>
        <v/>
      </c>
      <c r="T653" t="n">
        <v>0</v>
      </c>
      <c r="V653" t="n">
        <v>0</v>
      </c>
    </row>
    <row r="654">
      <c r="A654">
        <f>Skills!A20</f>
        <v/>
      </c>
      <c r="B654">
        <f>Skills!B20</f>
        <v/>
      </c>
      <c r="C654">
        <f>Inputs!$B$3&gt;=15</f>
        <v/>
      </c>
      <c r="D654">
        <f>IF(Skills!C20=1,60+Inputs!$B$25+Inputs!$B$29,IF(Skills!C20=2,90+Inputs!$B$26+Inputs!$B$29,IF(Skills!C20=3,120+Inputs!$B$27+Inputs!$B$29,MAX(0,(Inputs!$B$3-100)*3)+Inputs!$B$28+Inputs!$B$29)))</f>
        <v/>
      </c>
      <c r="E654">
        <f>INDEX(FactorTable!$B$2:$Y$301, MATCH(ROUND(MIN(300,MAX(1,D654)),0), FactorTable!$A$2:$A$301,0), Skills!M20+1)</f>
        <v/>
      </c>
      <c r="F654">
        <f>IF(Skills!N20=TRUE,(Skills!L20/10)*(E654/1000),Skills!L20/10)+Skills!O20</f>
        <v/>
      </c>
      <c r="G654">
        <f>Skills!G20*IF(Skills!H20&gt;0,Skills!I20/Skills!H20,1)</f>
        <v/>
      </c>
      <c r="H654">
        <f>1-(1-Skills!J20/100)^Skills!K20</f>
        <v/>
      </c>
      <c r="I654" t="inlineStr">
        <is>
          <t>1</t>
        </is>
      </c>
      <c r="J654" t="inlineStr"/>
      <c r="K654" t="inlineStr"/>
      <c r="L654" t="inlineStr"/>
      <c r="M654" t="inlineStr"/>
      <c r="N654" t="inlineStr"/>
      <c r="O654">
        <f>(1-Summary!$B$55)*T654+Summary!$B$55*V654</f>
        <v/>
      </c>
      <c r="P654">
        <f>IF(B679=0,0,O654/B679)</f>
        <v/>
      </c>
      <c r="Q654">
        <f>IFERROR(1/IF(Inputs!$B$39="pvp",15,MAX(0.1,Skills!D20-IF(Skills!E20=TRUE,Inputs!$B$32,0))),0)</f>
        <v/>
      </c>
      <c r="R654">
        <f>IF(AND(Inputs!$B$39&lt;&gt;"pvp",Inputs!$B$44&gt;0),IF(Inputs!$B$44&lt;=0,0,(INT(Inputs!$B$44/IF(Inputs!$B$39="pvp",15,MAX(0.1,Skills!D20-IF(Skills!E20=TRUE,Inputs!$B$32,0))))+1)),0)</f>
        <v/>
      </c>
      <c r="S654">
        <f>IFERROR(O654/N654,0)</f>
        <v/>
      </c>
      <c r="T654" t="n">
        <v>0</v>
      </c>
      <c r="V654" t="n">
        <v>0</v>
      </c>
    </row>
    <row r="655">
      <c r="A655">
        <f>Skills!A21</f>
        <v/>
      </c>
      <c r="B655">
        <f>Skills!B21</f>
        <v/>
      </c>
      <c r="C655">
        <f>Inputs!$B$3&gt;=15</f>
        <v/>
      </c>
      <c r="D655">
        <f>IF(Skills!C21=1,60+Inputs!$B$25+Inputs!$B$29,IF(Skills!C21=2,90+Inputs!$B$26+Inputs!$B$29,IF(Skills!C21=3,120+Inputs!$B$27+Inputs!$B$29,MAX(0,(Inputs!$B$3-100)*3)+Inputs!$B$28+Inputs!$B$29)))</f>
        <v/>
      </c>
      <c r="E655">
        <f>INDEX(FactorTable!$B$2:$Y$301, MATCH(ROUND(MIN(300,MAX(1,D655)),0), FactorTable!$A$2:$A$301,0), Skills!M21+1)</f>
        <v/>
      </c>
      <c r="F655">
        <f>IF(Skills!N21=TRUE,(Skills!L21/10)*(E655/1000),Skills!L21/10)+Skills!O21</f>
        <v/>
      </c>
      <c r="G655">
        <f>Skills!G21*IF(Skills!H21&gt;0,Skills!I21/Skills!H21,1)</f>
        <v/>
      </c>
      <c r="H655">
        <f>1-(1-Skills!J21/100)^Skills!K21</f>
        <v/>
      </c>
      <c r="I655" t="inlineStr">
        <is>
          <t>1</t>
        </is>
      </c>
      <c r="J655" t="inlineStr"/>
      <c r="K655" t="inlineStr"/>
      <c r="L655" t="inlineStr"/>
      <c r="M655" t="inlineStr"/>
      <c r="N655" t="inlineStr"/>
      <c r="O655">
        <f>(1-Summary!$B$55)*T655+Summary!$B$55*V655</f>
        <v/>
      </c>
      <c r="P655">
        <f>IF(B679=0,0,O655/B679)</f>
        <v/>
      </c>
      <c r="Q655">
        <f>IFERROR(1/IF(Inputs!$B$39="pvp",15,MAX(0.1,Skills!D21-IF(Skills!E21=TRUE,Inputs!$B$32,0))),0)</f>
        <v/>
      </c>
      <c r="R655">
        <f>IF(AND(Inputs!$B$39&lt;&gt;"pvp",Inputs!$B$44&gt;0),IF(Inputs!$B$44&lt;=0,0,(INT(Inputs!$B$44/IF(Inputs!$B$39="pvp",15,MAX(0.1,Skills!D21-IF(Skills!E21=TRUE,Inputs!$B$32,0))))+1)),0)</f>
        <v/>
      </c>
      <c r="S655">
        <f>IFERROR(O655/N655,0)</f>
        <v/>
      </c>
      <c r="T655" t="n">
        <v>0</v>
      </c>
      <c r="V655" t="n">
        <v>0</v>
      </c>
    </row>
    <row r="656">
      <c r="A656">
        <f>Skills!A22</f>
        <v/>
      </c>
      <c r="B656">
        <f>Skills!B22</f>
        <v/>
      </c>
      <c r="C656">
        <f>Inputs!$B$3&gt;=33</f>
        <v/>
      </c>
      <c r="D656">
        <f>IF(Skills!C22=1,60+Inputs!$B$25+Inputs!$B$29,IF(Skills!C22=2,90+Inputs!$B$26+Inputs!$B$29,IF(Skills!C22=3,120+Inputs!$B$27+Inputs!$B$29,MAX(0,(Inputs!$B$3-100)*3)+Inputs!$B$28+Inputs!$B$29)))</f>
        <v/>
      </c>
      <c r="E656">
        <f>INDEX(FactorTable!$B$2:$Y$301, MATCH(ROUND(MIN(300,MAX(1,D656)),0), FactorTable!$A$2:$A$301,0), Skills!M22+1)</f>
        <v/>
      </c>
      <c r="F656">
        <f>IF(Skills!N22=TRUE,(Skills!L22/10)*(E656/1000),Skills!L22/10)+Skills!O22</f>
        <v/>
      </c>
      <c r="G656">
        <f>Skills!G22*IF(Skills!H22&gt;0,Skills!I22/Skills!H22,1)</f>
        <v/>
      </c>
      <c r="H656">
        <f>1-(1-Skills!J22/100)^Skills!K22</f>
        <v/>
      </c>
      <c r="I656" t="inlineStr">
        <is>
          <t>1</t>
        </is>
      </c>
      <c r="J656" t="inlineStr"/>
      <c r="K656" t="inlineStr"/>
      <c r="L656" t="inlineStr"/>
      <c r="M656" t="inlineStr"/>
      <c r="N656" t="inlineStr"/>
      <c r="O656">
        <f>(1-Summary!$B$55)*T656+Summary!$B$55*V656</f>
        <v/>
      </c>
      <c r="P656">
        <f>IF(B679=0,0,O656/B679)</f>
        <v/>
      </c>
      <c r="Q656" t="n">
        <v>0</v>
      </c>
      <c r="R656" t="n">
        <v>0</v>
      </c>
      <c r="S656">
        <f>IFERROR(O656/N656,0)</f>
        <v/>
      </c>
      <c r="T656" t="n">
        <v>0</v>
      </c>
      <c r="V656" t="n">
        <v>0</v>
      </c>
    </row>
    <row r="657">
      <c r="A657">
        <f>Skills!A23</f>
        <v/>
      </c>
      <c r="B657">
        <f>Skills!B23</f>
        <v/>
      </c>
      <c r="C657">
        <f>Inputs!$B$3&gt;=40</f>
        <v/>
      </c>
      <c r="D657">
        <f>IF(Skills!C23=1,60+Inputs!$B$25+Inputs!$B$29,IF(Skills!C23=2,90+Inputs!$B$26+Inputs!$B$29,IF(Skills!C23=3,120+Inputs!$B$27+Inputs!$B$29,MAX(0,(Inputs!$B$3-100)*3)+Inputs!$B$28+Inputs!$B$29)))</f>
        <v/>
      </c>
      <c r="E657">
        <f>INDEX(FactorTable!$B$2:$Y$301, MATCH(ROUND(MIN(300,MAX(1,D657)),0), FactorTable!$A$2:$A$301,0), Skills!M23+1)</f>
        <v/>
      </c>
      <c r="F657">
        <f>IF(Skills!N23=TRUE,(Skills!L23/10)*(E657/1000),Skills!L23/10)+Skills!O23</f>
        <v/>
      </c>
      <c r="G657">
        <f>Skills!G23*IF(Skills!H23&gt;0,Skills!I23/Skills!H23,1)</f>
        <v/>
      </c>
      <c r="H657">
        <f>1-(1-Skills!J23/100)^Skills!K23</f>
        <v/>
      </c>
      <c r="I657" t="inlineStr">
        <is>
          <t>1</t>
        </is>
      </c>
      <c r="J657" t="inlineStr"/>
      <c r="K657" t="inlineStr"/>
      <c r="L657" t="inlineStr"/>
      <c r="M657" t="inlineStr"/>
      <c r="N657" t="inlineStr"/>
      <c r="O657">
        <f>(1-Summary!$B$55)*T657+Summary!$B$55*V657</f>
        <v/>
      </c>
      <c r="P657">
        <f>IF(B679=0,0,O657/B679)</f>
        <v/>
      </c>
      <c r="Q657" t="n">
        <v>0</v>
      </c>
      <c r="R657" t="n">
        <v>0</v>
      </c>
      <c r="S657">
        <f>IFERROR(O657/N657,0)</f>
        <v/>
      </c>
      <c r="T657" t="n">
        <v>0</v>
      </c>
      <c r="V657" t="n">
        <v>0</v>
      </c>
    </row>
    <row r="658">
      <c r="A658">
        <f>Skills!A24</f>
        <v/>
      </c>
      <c r="B658">
        <f>Skills!B24</f>
        <v/>
      </c>
      <c r="C658">
        <f>Inputs!$B$3&gt;=43</f>
        <v/>
      </c>
      <c r="D658">
        <f>IF(Skills!C24=1,60+Inputs!$B$25+Inputs!$B$29,IF(Skills!C24=2,90+Inputs!$B$26+Inputs!$B$29,IF(Skills!C24=3,120+Inputs!$B$27+Inputs!$B$29,MAX(0,(Inputs!$B$3-100)*3)+Inputs!$B$28+Inputs!$B$29)))</f>
        <v/>
      </c>
      <c r="E658">
        <f>INDEX(FactorTable!$B$2:$Y$301, MATCH(ROUND(MIN(300,MAX(1,D658)),0), FactorTable!$A$2:$A$301,0), Skills!M24+1)</f>
        <v/>
      </c>
      <c r="F658">
        <f>IF(Skills!N24=TRUE,(Skills!L24/10)*(E658/1000),Skills!L24/10)+Skills!O24</f>
        <v/>
      </c>
      <c r="G658">
        <f>Skills!G24*IF(Skills!H24&gt;0,Skills!I24/Skills!H24,1)</f>
        <v/>
      </c>
      <c r="H658">
        <f>1-(1-Skills!J24/100)^Skills!K24</f>
        <v/>
      </c>
      <c r="I658" t="inlineStr">
        <is>
          <t>1</t>
        </is>
      </c>
      <c r="J658" t="inlineStr"/>
      <c r="K658" t="inlineStr"/>
      <c r="L658" t="inlineStr"/>
      <c r="M658" t="inlineStr"/>
      <c r="N658" t="inlineStr"/>
      <c r="O658">
        <f>(1-Summary!$B$55)*T658+Summary!$B$55*V658</f>
        <v/>
      </c>
      <c r="P658">
        <f>IF(B679=0,0,O658/B679)</f>
        <v/>
      </c>
      <c r="Q658" t="n">
        <v>0</v>
      </c>
      <c r="R658" t="n">
        <v>0</v>
      </c>
      <c r="S658">
        <f>IFERROR(O658/N658,0)</f>
        <v/>
      </c>
      <c r="T658" t="n">
        <v>0</v>
      </c>
      <c r="V658" t="n">
        <v>0</v>
      </c>
    </row>
    <row r="659">
      <c r="A659">
        <f>Skills!A25</f>
        <v/>
      </c>
      <c r="B659">
        <f>Skills!B25</f>
        <v/>
      </c>
      <c r="C659">
        <f>Inputs!$B$3&gt;=50</f>
        <v/>
      </c>
      <c r="D659">
        <f>IF(Skills!C25=1,60+Inputs!$B$25+Inputs!$B$29,IF(Skills!C25=2,90+Inputs!$B$26+Inputs!$B$29,IF(Skills!C25=3,120+Inputs!$B$27+Inputs!$B$29,MAX(0,(Inputs!$B$3-100)*3)+Inputs!$B$28+Inputs!$B$29)))</f>
        <v/>
      </c>
      <c r="E659">
        <f>INDEX(FactorTable!$B$2:$Y$301, MATCH(ROUND(MIN(300,MAX(1,D659)),0), FactorTable!$A$2:$A$301,0), Skills!M25+1)</f>
        <v/>
      </c>
      <c r="F659">
        <f>IF(Skills!N25=TRUE,(Skills!L25/10)*(E659/1000),Skills!L25/10)+Skills!O25</f>
        <v/>
      </c>
      <c r="G659">
        <f>Skills!G25*IF(Skills!H25&gt;0,Skills!I25/Skills!H25,1)</f>
        <v/>
      </c>
      <c r="H659">
        <f>1-(1-Skills!J25/100)^Skills!K25</f>
        <v/>
      </c>
      <c r="I659" t="inlineStr">
        <is>
          <t>1</t>
        </is>
      </c>
      <c r="J659" t="inlineStr"/>
      <c r="K659" t="inlineStr"/>
      <c r="L659" t="inlineStr"/>
      <c r="M659" t="inlineStr"/>
      <c r="N659" t="inlineStr"/>
      <c r="O659">
        <f>(1-Summary!$B$55)*T659+Summary!$B$55*V659</f>
        <v/>
      </c>
      <c r="P659">
        <f>IF(B679=0,0,O659/B679)</f>
        <v/>
      </c>
      <c r="Q659" t="n">
        <v>0</v>
      </c>
      <c r="R659" t="n">
        <v>0</v>
      </c>
      <c r="S659">
        <f>IFERROR(O659/N659,0)</f>
        <v/>
      </c>
      <c r="T659" t="n">
        <v>0</v>
      </c>
      <c r="V659" t="n">
        <v>0</v>
      </c>
    </row>
    <row r="660">
      <c r="A660">
        <f>Skills!A26</f>
        <v/>
      </c>
      <c r="B660">
        <f>Skills!B26</f>
        <v/>
      </c>
      <c r="C660">
        <f>Inputs!$B$3&gt;=50</f>
        <v/>
      </c>
      <c r="D660">
        <f>IF(Skills!C26=1,60+Inputs!$B$25+Inputs!$B$29,IF(Skills!C26=2,90+Inputs!$B$26+Inputs!$B$29,IF(Skills!C26=3,120+Inputs!$B$27+Inputs!$B$29,MAX(0,(Inputs!$B$3-100)*3)+Inputs!$B$28+Inputs!$B$29)))</f>
        <v/>
      </c>
      <c r="E660">
        <f>INDEX(FactorTable!$B$2:$Y$301, MATCH(ROUND(MIN(300,MAX(1,D660)),0), FactorTable!$A$2:$A$301,0), Skills!M26+1)</f>
        <v/>
      </c>
      <c r="F660">
        <f>IF(Skills!N26=TRUE,(Skills!L26/10)*(E660/1000),Skills!L26/10)+Skills!O26</f>
        <v/>
      </c>
      <c r="G660">
        <f>Skills!G26*IF(Skills!H26&gt;0,Skills!I26/Skills!H26,1)</f>
        <v/>
      </c>
      <c r="H660">
        <f>1-(1-Skills!J26/100)^Skills!K26</f>
        <v/>
      </c>
      <c r="I660" t="inlineStr">
        <is>
          <t>1</t>
        </is>
      </c>
      <c r="J660" t="inlineStr"/>
      <c r="K660" t="inlineStr"/>
      <c r="L660" t="inlineStr"/>
      <c r="M660" t="inlineStr"/>
      <c r="N660" t="inlineStr"/>
      <c r="O660">
        <f>(1-Summary!$B$55)*T660+Summary!$B$55*V660</f>
        <v/>
      </c>
      <c r="P660">
        <f>IF(B679=0,0,O660/B679)</f>
        <v/>
      </c>
      <c r="Q660" t="n">
        <v>0</v>
      </c>
      <c r="R660" t="n">
        <v>0</v>
      </c>
      <c r="S660">
        <f>IFERROR(O660/N660,0)</f>
        <v/>
      </c>
      <c r="T660" t="n">
        <v>0</v>
      </c>
      <c r="V660" t="n">
        <v>0</v>
      </c>
    </row>
    <row r="661">
      <c r="A661">
        <f>Skills!A27</f>
        <v/>
      </c>
      <c r="B661">
        <f>Skills!B27</f>
        <v/>
      </c>
      <c r="C661">
        <f>Inputs!$B$3&gt;=38</f>
        <v/>
      </c>
      <c r="D661">
        <f>IF(Skills!C27=1,60+Inputs!$B$25+Inputs!$B$29,IF(Skills!C27=2,90+Inputs!$B$26+Inputs!$B$29,IF(Skills!C27=3,120+Inputs!$B$27+Inputs!$B$29,MAX(0,(Inputs!$B$3-100)*3)+Inputs!$B$28+Inputs!$B$29)))</f>
        <v/>
      </c>
      <c r="E661">
        <f>INDEX(FactorTable!$B$2:$Y$301, MATCH(ROUND(MIN(300,MAX(1,D661)),0), FactorTable!$A$2:$A$301,0), Skills!M27+1)</f>
        <v/>
      </c>
      <c r="F661">
        <f>IF(Skills!N27=TRUE,(Skills!L27/10)*(E661/1000),Skills!L27/10)+Skills!O27</f>
        <v/>
      </c>
      <c r="G661">
        <f>Skills!G27*IF(Skills!H27&gt;0,Skills!I27/Skills!H27,1)</f>
        <v/>
      </c>
      <c r="H661">
        <f>1-(1-Skills!J27/100)^Skills!K27</f>
        <v/>
      </c>
      <c r="I661" t="inlineStr">
        <is>
          <t>1</t>
        </is>
      </c>
      <c r="J661" t="inlineStr"/>
      <c r="K661" t="inlineStr"/>
      <c r="L661" t="inlineStr"/>
      <c r="M661" t="inlineStr"/>
      <c r="N661" t="inlineStr"/>
      <c r="O661">
        <f>(1-Summary!$B$55)*T661+Summary!$B$55*V661</f>
        <v/>
      </c>
      <c r="P661">
        <f>IF(B679=0,0,O661/B679)</f>
        <v/>
      </c>
      <c r="Q661" t="n">
        <v>0</v>
      </c>
      <c r="R661" t="n">
        <v>0</v>
      </c>
      <c r="S661">
        <f>IFERROR(O661/N661,0)</f>
        <v/>
      </c>
      <c r="T661" t="n">
        <v>0</v>
      </c>
      <c r="V661" t="n">
        <v>0</v>
      </c>
    </row>
    <row r="662">
      <c r="A662">
        <f>Skills!A28</f>
        <v/>
      </c>
      <c r="B662">
        <f>Skills!B28</f>
        <v/>
      </c>
      <c r="C662">
        <f>Inputs!$B$3&gt;=120</f>
        <v/>
      </c>
      <c r="D662">
        <f>IF(Skills!C28=1,60+Inputs!$B$25+Inputs!$B$29,IF(Skills!C28=2,90+Inputs!$B$26+Inputs!$B$29,IF(Skills!C28=3,120+Inputs!$B$27+Inputs!$B$29,MAX(0,(Inputs!$B$3-100)*3)+Inputs!$B$28+Inputs!$B$29)))</f>
        <v/>
      </c>
      <c r="E662">
        <f>INDEX(FactorTable!$B$2:$Y$301, MATCH(ROUND(MIN(300,MAX(1,D662)),0), FactorTable!$A$2:$A$301,0), Skills!M28+1)</f>
        <v/>
      </c>
      <c r="F662">
        <f>IF(Skills!N28=TRUE,(Skills!L28/10)*(E662/1000),Skills!L28/10)+Skills!O28</f>
        <v/>
      </c>
      <c r="G662">
        <f>Skills!G28*IF(Skills!H28&gt;0,Skills!I28/Skills!H28,1)</f>
        <v/>
      </c>
      <c r="H662">
        <f>1-(1-Skills!J28/100)^Skills!K28</f>
        <v/>
      </c>
      <c r="I662" t="inlineStr">
        <is>
          <t>1</t>
        </is>
      </c>
      <c r="J662" t="inlineStr"/>
      <c r="K662" t="inlineStr"/>
      <c r="L662" t="inlineStr"/>
      <c r="M662" t="inlineStr"/>
      <c r="N662" t="inlineStr"/>
      <c r="O662">
        <f>(1-Summary!$B$55)*T662+Summary!$B$55*V662</f>
        <v/>
      </c>
      <c r="P662">
        <f>IF(B679=0,0,O662/B679)</f>
        <v/>
      </c>
      <c r="Q662" t="n">
        <v>0</v>
      </c>
      <c r="R662" t="n">
        <v>0</v>
      </c>
      <c r="S662">
        <f>IFERROR(O662/N662,0)</f>
        <v/>
      </c>
      <c r="T662" t="n">
        <v>0</v>
      </c>
      <c r="V662" t="n">
        <v>0</v>
      </c>
    </row>
    <row r="663">
      <c r="A663">
        <f>Skills!A29</f>
        <v/>
      </c>
      <c r="B663">
        <f>Skills!B29</f>
        <v/>
      </c>
      <c r="C663">
        <f>Inputs!$B$3&gt;=120</f>
        <v/>
      </c>
      <c r="D663">
        <f>IF(Skills!C29=1,60+Inputs!$B$25+Inputs!$B$29,IF(Skills!C29=2,90+Inputs!$B$26+Inputs!$B$29,IF(Skills!C29=3,120+Inputs!$B$27+Inputs!$B$29,MAX(0,(Inputs!$B$3-100)*3)+Inputs!$B$28+Inputs!$B$29)))</f>
        <v/>
      </c>
      <c r="E663">
        <f>INDEX(FactorTable!$B$2:$Y$301, MATCH(ROUND(MIN(300,MAX(1,D663)),0), FactorTable!$A$2:$A$301,0), Skills!M29+1)</f>
        <v/>
      </c>
      <c r="F663">
        <f>IF(Skills!N29=TRUE,(Skills!L29/10)*(E663/1000),Skills!L29/10)+Skills!O29</f>
        <v/>
      </c>
      <c r="G663">
        <f>Skills!G29*IF(Skills!H29&gt;0,Skills!I29/Skills!H29,1)</f>
        <v/>
      </c>
      <c r="H663">
        <f>1-(1-Skills!J29/100)^Skills!K29</f>
        <v/>
      </c>
      <c r="I663" t="inlineStr">
        <is>
          <t>1</t>
        </is>
      </c>
      <c r="J663" t="inlineStr"/>
      <c r="K663" t="inlineStr"/>
      <c r="L663" t="inlineStr"/>
      <c r="M663" t="inlineStr"/>
      <c r="N663" t="inlineStr"/>
      <c r="O663">
        <f>(1-Summary!$B$55)*T663+Summary!$B$55*V663</f>
        <v/>
      </c>
      <c r="P663">
        <f>IF(B679=0,0,O663/B679)</f>
        <v/>
      </c>
      <c r="Q663" t="n">
        <v>0</v>
      </c>
      <c r="R663" t="n">
        <v>0</v>
      </c>
      <c r="S663">
        <f>IFERROR(O663/N663,0)</f>
        <v/>
      </c>
      <c r="T663" t="n">
        <v>0</v>
      </c>
      <c r="V663" t="n">
        <v>0</v>
      </c>
    </row>
    <row r="664">
      <c r="A664">
        <f>Skills!A30</f>
        <v/>
      </c>
      <c r="B664">
        <f>Skills!B30</f>
        <v/>
      </c>
      <c r="C664">
        <f>Inputs!$B$3&gt;=125</f>
        <v/>
      </c>
      <c r="D664">
        <f>IF(Skills!C30=1,60+Inputs!$B$25+Inputs!$B$29,IF(Skills!C30=2,90+Inputs!$B$26+Inputs!$B$29,IF(Skills!C30=3,120+Inputs!$B$27+Inputs!$B$29,MAX(0,(Inputs!$B$3-100)*3)+Inputs!$B$28+Inputs!$B$29)))</f>
        <v/>
      </c>
      <c r="E664">
        <f>INDEX(FactorTable!$B$2:$Y$301, MATCH(ROUND(MIN(300,MAX(1,D664)),0), FactorTable!$A$2:$A$301,0), Skills!M30+1)</f>
        <v/>
      </c>
      <c r="F664">
        <f>IF(Skills!N30=TRUE,(Skills!L30/10)*(E664/1000),Skills!L30/10)+Skills!O30</f>
        <v/>
      </c>
      <c r="G664">
        <f>Skills!G30*IF(Skills!H30&gt;0,Skills!I30/Skills!H30,1)</f>
        <v/>
      </c>
      <c r="H664">
        <f>1-(1-Skills!J30/100)^Skills!K30</f>
        <v/>
      </c>
      <c r="I664" t="inlineStr">
        <is>
          <t>1</t>
        </is>
      </c>
      <c r="J664" t="inlineStr"/>
      <c r="K664" t="inlineStr"/>
      <c r="L664" t="inlineStr"/>
      <c r="M664" t="inlineStr"/>
      <c r="N664" t="inlineStr"/>
      <c r="O664">
        <f>(1-Summary!$B$55)*T664+Summary!$B$55*V664</f>
        <v/>
      </c>
      <c r="P664">
        <f>IF(B679=0,0,O664/B679)</f>
        <v/>
      </c>
      <c r="Q664" t="n">
        <v>0</v>
      </c>
      <c r="R664" t="n">
        <v>0</v>
      </c>
      <c r="S664">
        <f>IFERROR(O664/N664,0)</f>
        <v/>
      </c>
      <c r="T664" t="n">
        <v>0</v>
      </c>
      <c r="V664" t="n">
        <v>0</v>
      </c>
    </row>
    <row r="666">
      <c r="A666" t="inlineStr">
        <is>
          <t>Average Buff Multiplier</t>
        </is>
      </c>
      <c r="B666">
        <f>(1+(((C655=TRUE)*F655*IF(AND(Inputs!$B$39&lt;&gt;"pvp",Inputs!$B$44&gt;0),(((R655-1)*(Skills!Y21*(1+Inputs!$B$34/100))+MIN((Skills!Y21*(1+Inputs!$B$34/100)),MAX(0,Inputs!$B$44-((R655-1)*Skills!D21))))/Inputs!$B$44),IF(Inputs!$B$39="pvp",MIN((Skills!Y21*(1+Inputs!$B$34/100)),15)/15,(Skills!Y21*(1+Inputs!$B$34/100))/Skills!D21)))+((C657=TRUE)*(F657-Calc!F23))+((C651=TRUE)*(F651-Calc!F17)))/100)*(1+((C644=TRUE)*F644*IF(AND(Inputs!$B$39&lt;&gt;"pvp",Inputs!$B$44&gt;0),(((R644-1)*(Skills!Y10*(1+Inputs!$B$34/100))+MIN((Skills!Y10*(1+Inputs!$B$34/100)),MAX(0,Inputs!$B$44-((R644-1)*Skills!D10))))/Inputs!$B$44),IF(Inputs!$B$39="pvp",MIN((Skills!Y10*(1+Inputs!$B$34/100)),15)/15,(Skills!Y10*(1+Inputs!$B$34/100))/Skills!D10)))/100)*(1+((C649=TRUE)*F649*IF(AND(Inputs!$B$39&lt;&gt;"pvp",Inputs!$B$44&gt;0),(((R649-1)*(Skills!Y15*(1+Inputs!$B$34/100))+MIN((Skills!Y15*(1+Inputs!$B$34/100)),MAX(0,Inputs!$B$44-((R649-1)*Skills!D15))))/Inputs!$B$44),IF(Inputs!$B$39="pvp",MIN((Skills!Y15*(1+Inputs!$B$34/100)),15)/15,(Skills!Y15*(1+Inputs!$B$34/100))/Skills!D15)))/100)</f>
        <v/>
      </c>
    </row>
    <row r="667">
      <c r="A667" t="inlineStr">
        <is>
          <t>Global Crit Rate Bonus %</t>
        </is>
      </c>
      <c r="B667">
        <f>((C654=TRUE)*F654*IF(AND(Inputs!$B$39&lt;&gt;"pvp",Inputs!$B$44&gt;0),(((R654-1)*(Skills!Y20*(1+Inputs!$B$34/100))+MIN((Skills!Y20*(1+Inputs!$B$34/100)),MAX(0,Inputs!$B$44-((R654-1)*Skills!D20))))/Inputs!$B$44),IF(Inputs!$B$39="pvp",MIN((Skills!Y20*(1+Inputs!$B$34/100)),15)/15,(Skills!Y20*(1+Inputs!$B$34/100))/Skills!D20)))</f>
        <v/>
      </c>
    </row>
    <row r="668">
      <c r="A668" t="inlineStr">
        <is>
          <t>Global Monster Damage-Taken Bonus %</t>
        </is>
      </c>
      <c r="B668">
        <f>IF(Inputs!$B$3&gt;=82,15,0)</f>
        <v/>
      </c>
    </row>
    <row r="669">
      <c r="A669" t="inlineStr">
        <is>
          <t>Shadow Partner Average Multiplier</t>
        </is>
      </c>
      <c r="B669">
        <f>1+((C641=TRUE)*F641*(1+3.3333333333333335*IF(C652=TRUE,F652,0)/100)*I641*Skills!J7/100)/100</f>
        <v/>
      </c>
    </row>
    <row r="670">
      <c r="A670" t="inlineStr">
        <is>
          <t>Attack Speed Buff Bonus %</t>
        </is>
      </c>
      <c r="B670">
        <f>((C653=TRUE)*F653*IF(AND(Inputs!$B$39&lt;&gt;"pvp",Inputs!$B$44&gt;0),(((R653-1)*(Skills!Y19*(1+Inputs!$B$34/100))+MIN((Skills!Y19*(1+Inputs!$B$34/100)),MAX(0,Inputs!$B$44-((R653-1)*Skills!D19))))/Inputs!$B$44),IF(Inputs!$B$39="pvp",MIN((Skills!Y19*(1+Inputs!$B$34/100)),15)/15,(Skills!Y19*(1+Inputs!$B$34/100))/Skills!D19)))+((C637=TRUE)*F637*3)</f>
        <v/>
      </c>
    </row>
    <row r="671">
      <c r="A671" t="inlineStr">
        <is>
          <t>Actions Per Second</t>
        </is>
      </c>
      <c r="B671">
        <f>1+MIN(150,150*(1-(1-(((1-(1-Inputs!$B$11/150)*(1-1/150))*150)+((C656=TRUE)*(F656-Calc!F22)))/150)*(1-B670/150)))/100</f>
        <v/>
      </c>
    </row>
    <row r="672">
      <c r="A672" t="inlineStr">
        <is>
          <t>Skill + Buff Cast Rate</t>
        </is>
      </c>
      <c r="B672">
        <f>IF(AND(Inputs!$B$39&lt;&gt;"pvp",Inputs!$B$44&gt;0),SUMPRODUCT((Skills!E2:E30=TRUE)*(C636:C664=TRUE)*R636:R664*Skills!F2:F30)/Inputs!$B$44,SUMPRODUCT((Skills!E2:E30=TRUE)*(C636:C664=TRUE)*Q636:Q664*Skills!F2:F30))</f>
        <v/>
      </c>
    </row>
    <row r="673">
      <c r="A673" t="inlineStr">
        <is>
          <t>Cruel Stab Casts Per Second</t>
        </is>
      </c>
      <c r="B673">
        <f>MAX(0,B671-B672)</f>
        <v/>
      </c>
    </row>
    <row r="674">
      <c r="A674" t="inlineStr">
        <is>
          <t>Global Critical Damage Bonus % (Smokescreen Mastery Lv.113)</t>
        </is>
      </c>
      <c r="B674">
        <f>IF(Inputs!$B$3&gt;=113,30,0)*IF(AND(Inputs!$B$39&lt;&gt;"pvp",Inputs!$B$44&gt;0),(((R649-1)*(Skills!Y15*(1+Inputs!$B$34/100))+MIN((Skills!Y15*(1+Inputs!$B$34/100)),MAX(0,Inputs!$B$44-((R649-1)*Skills!D15))))/Inputs!$B$44),IF(Inputs!$B$39="pvp",MIN((Skills!Y15*(1+Inputs!$B$34/100)),15)/15,(Skills!Y15*(1+Inputs!$B$34/100))/Skills!D15))</f>
        <v/>
      </c>
    </row>
    <row r="675">
      <c r="A675" t="inlineStr">
        <is>
          <t>Meso Explosion average stack count</t>
        </is>
      </c>
      <c r="B675">
        <f>MIN(10,0.5*B671*Skills!D4)</f>
        <v/>
      </c>
    </row>
    <row r="676">
      <c r="A676" t="inlineStr">
        <is>
          <t>Blood Money average stack count</t>
        </is>
      </c>
      <c r="B676">
        <f>MIN(5,0.25*B671*Skills!D4)</f>
        <v/>
      </c>
    </row>
    <row r="677">
      <c r="A677" t="inlineStr">
        <is>
          <t>Assassinate Murderous Intent Multiplier</t>
        </is>
      </c>
      <c r="B677">
        <f>1+IFERROR(MIN(1,Q648*2/Q645),0)</f>
        <v/>
      </c>
    </row>
    <row r="678">
      <c r="A678" t="inlineStr">
        <is>
          <t>Buff-Casting Startup Delay (s, fixed-duration only)</t>
        </is>
      </c>
      <c r="B678">
        <f>IF(AND(Inputs!$B$39&lt;&gt;"pvp",Inputs!$B$44&gt;0),SUMPRODUCT((Skills!Y2:Y30&gt;0)*(Skills!E2:E30=TRUE)*(C636:C664=TRUE))/B671,0)</f>
        <v/>
      </c>
    </row>
    <row r="679">
      <c r="A679" s="5" t="inlineStr">
        <is>
          <t>TOTAL DPS</t>
        </is>
      </c>
      <c r="B679" s="5">
        <f>SUM(O636:O664)</f>
        <v/>
      </c>
    </row>
    <row r="680">
      <c r="A680" t="inlineStr">
        <is>
          <t>Boss-Only Total DPS (this block's swept value)</t>
        </is>
      </c>
      <c r="B680">
        <f>SUM(T636:T664)</f>
        <v/>
      </c>
    </row>
    <row r="681">
      <c r="A681" t="inlineStr">
        <is>
          <t>Normal-Only Total DPS (this block's swept value)</t>
        </is>
      </c>
      <c r="B681">
        <f>SUM(V636:V664)</f>
        <v/>
      </c>
    </row>
    <row r="684">
      <c r="A684" s="5" t="inlineStr">
        <is>
          <t>Stat: DEF_PEN % (diminishing returns, factor 100)</t>
        </is>
      </c>
    </row>
    <row r="685">
      <c r="A685" s="9" t="inlineStr">
        <is>
          <t>Key</t>
        </is>
      </c>
      <c r="B685" s="9" t="inlineStr">
        <is>
          <t>Name</t>
        </is>
      </c>
      <c r="C685" s="9" t="inlineStr">
        <is>
          <t>Unlocked</t>
        </is>
      </c>
      <c r="D685" s="9" t="inlineStr">
        <is>
          <t>InputLevel</t>
        </is>
      </c>
      <c r="E685" s="9" t="inlineStr">
        <is>
          <t>Factor</t>
        </is>
      </c>
      <c r="F685" s="9" t="inlineStr">
        <is>
          <t>CoefficientPercent</t>
        </is>
      </c>
      <c r="G685" s="9" t="inlineStr">
        <is>
          <t>EffectiveHits</t>
        </is>
      </c>
      <c r="H685" s="9" t="inlineStr">
        <is>
          <t>ProcProbability</t>
        </is>
      </c>
      <c r="I685" s="9" t="inlineStr">
        <is>
          <t>MapleHeroMultiplier</t>
        </is>
      </c>
      <c r="J685" s="9" t="inlineStr">
        <is>
          <t>BaseDamage</t>
        </is>
      </c>
      <c r="K685" s="9" t="inlineStr">
        <is>
          <t>BaseHitDamage</t>
        </is>
      </c>
      <c r="L685" s="9" t="inlineStr">
        <is>
          <t>NonCritAvg</t>
        </is>
      </c>
      <c r="M685" s="9" t="inlineStr">
        <is>
          <t>CritAvg</t>
        </is>
      </c>
      <c r="N685" s="9" t="inlineStr">
        <is>
          <t>ExpectedDamage(perHit)</t>
        </is>
      </c>
      <c r="O685" s="9" t="inlineStr">
        <is>
          <t>DPS</t>
        </is>
      </c>
      <c r="P685" s="9" t="inlineStr">
        <is>
          <t>% of Total</t>
        </is>
      </c>
      <c r="Q685" s="9" t="inlineStr">
        <is>
          <t>InvCooldown</t>
        </is>
      </c>
      <c r="R685" s="9" t="inlineStr">
        <is>
          <t>CastsInFight</t>
        </is>
      </c>
      <c r="S685" s="9" t="inlineStr">
        <is>
          <t>HitRate(perSec)</t>
        </is>
      </c>
      <c r="U685" t="inlineStr">
        <is>
          <t>helpers</t>
        </is>
      </c>
    </row>
    <row r="686">
      <c r="A686">
        <f>Skills!A2</f>
        <v/>
      </c>
      <c r="B686">
        <f>Skills!B2</f>
        <v/>
      </c>
      <c r="C686">
        <f>Inputs!$B$3&gt;=100</f>
        <v/>
      </c>
      <c r="D686" t="inlineStr"/>
      <c r="E686" t="inlineStr"/>
      <c r="F686">
        <f>U688+Skills!O2</f>
        <v/>
      </c>
      <c r="G686">
        <f>Skills!G2*IF(Skills!H2&gt;0,Skills!I2/Skills!H2,1)</f>
        <v/>
      </c>
      <c r="H686">
        <f>1-(1-Skills!J2/100)^Skills!K2</f>
        <v/>
      </c>
      <c r="I686" t="inlineStr">
        <is>
          <t>1</t>
        </is>
      </c>
      <c r="J686">
        <f>((Inputs!$B$6*(1+Inputs!$B$7/100))+(((Inputs!$B$12*(1+Inputs!$B$13/100))-(Inputs!$B$12*(1+Inputs!$B$13/100)))+0.25*(Inputs!$B$14-Inputs!$B$14))*(1+Inputs!$B$7/100))*(F686/100)</f>
        <v/>
      </c>
      <c r="K686">
        <f>J686*(1+((Inputs!$B$12*(1+Inputs!$B$13/100))*0.01+Inputs!$B$14*0.0025)/100)*(1+Inputs!$B$15/100)*(1+Inputs!$B$16/100)*(5000/(6000+Inputs!$B$43*(1-((1-(1-Inputs!$B$19/100)*(1-1/100))*100)/100)))*(1+(Inputs!$B$24+((C714=TRUE)*(F714-Calc!F30)))/100)*(1+(IF(Skills!A2="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686)</f>
        <v/>
      </c>
      <c r="L686">
        <f>K686*(MIN(Inputs!$B$22+((C708=TRUE)*(F708-Calc!F24)),Inputs!$B$23+((C713=TRUE)*(F713-Calc!F29)))/100+(Inputs!$B$23+((C713=TRUE)*(F713-Calc!F29)))/100)/2</f>
        <v/>
      </c>
      <c r="M686">
        <f>L686*(1+(Inputs!$B$10+((C710=TRUE)*(F710-Calc!F26))+B724)/100)</f>
        <v/>
      </c>
      <c r="N686">
        <f>L686*(1-MIN((Inputs!$B$9+((C709=TRUE)*(F709-Calc!F25))+B717),100)/100)+M686*(MIN((Inputs!$B$9+((C709=TRUE)*(F709-Calc!F25))+B717),100)/100)</f>
        <v/>
      </c>
      <c r="O686">
        <f>(1-Summary!$B$55)*T686+Summary!$B$55*V686</f>
        <v/>
      </c>
      <c r="P686">
        <f>IF(B729=0,0,O686/B729)</f>
        <v/>
      </c>
      <c r="Q686" t="n">
        <v>0</v>
      </c>
      <c r="R686" t="n">
        <v>0</v>
      </c>
      <c r="S686">
        <f>IFERROR(O686/N686,0)</f>
        <v/>
      </c>
      <c r="T686">
        <f>IF(C686,(Skills!G2*N686*B723)*IF(Inputs!$B$39="pvp",1,1+(Inputs!$B$20+0+Skills!P2+B718)/100),0)</f>
        <v/>
      </c>
      <c r="U686">
        <f>MAX(0,(Inputs!$B$3-100)*3)+Inputs!$B$28+Inputs!$B$29</f>
        <v/>
      </c>
      <c r="V686">
        <f>IF(C686,(Skills!G2*N686*B723)*IF(Inputs!$B$39="pvp",1,(1+(Inputs!$B$21+Skills!Q2+B718)/100)*(MIN((6+Inputs!$B$33),Inputs!$B$37))),0)</f>
        <v/>
      </c>
    </row>
    <row r="687">
      <c r="A687">
        <f>Skills!A3</f>
        <v/>
      </c>
      <c r="B687">
        <f>Skills!B3</f>
        <v/>
      </c>
      <c r="C687">
        <f>Inputs!$B$3&gt;=35</f>
        <v/>
      </c>
      <c r="D687">
        <f>IF(Skills!C3=1,60+Inputs!$B$25+Inputs!$B$29,IF(Skills!C3=2,90+Inputs!$B$26+Inputs!$B$29,IF(Skills!C3=3,120+Inputs!$B$27+Inputs!$B$29,MAX(0,(Inputs!$B$3-100)*3)+Inputs!$B$28+Inputs!$B$29)))</f>
        <v/>
      </c>
      <c r="E687">
        <f>INDEX(FactorTable!$B$2:$Y$301, MATCH(ROUND(MIN(300,MAX(1,D687)),0), FactorTable!$A$2:$A$301,0), Skills!M3+1)</f>
        <v/>
      </c>
      <c r="F687">
        <f>IF(Skills!N3=TRUE,(Skills!L3/10)*(E687/1000),Skills!L3/10)+Skills!O3</f>
        <v/>
      </c>
      <c r="G687">
        <f>Skills!G3*IF(Skills!H3&gt;0,Skills!I3/Skills!H3,1)</f>
        <v/>
      </c>
      <c r="H687">
        <f>1-(1-Skills!J3/100)^Skills!K3</f>
        <v/>
      </c>
      <c r="I687" t="inlineStr">
        <is>
          <t>1</t>
        </is>
      </c>
      <c r="J687" t="inlineStr"/>
      <c r="K687" t="inlineStr"/>
      <c r="L687" t="inlineStr"/>
      <c r="M687" t="inlineStr"/>
      <c r="N687" t="inlineStr"/>
      <c r="O687">
        <f>(1-Summary!$B$55)*T687+Summary!$B$55*V687</f>
        <v/>
      </c>
      <c r="P687">
        <f>IF(B729=0,0,O687/B729)</f>
        <v/>
      </c>
      <c r="Q687" t="n">
        <v>0</v>
      </c>
      <c r="R687" t="n">
        <v>0</v>
      </c>
      <c r="S687">
        <f>IFERROR(O687/N687,0)</f>
        <v/>
      </c>
      <c r="T687" t="n">
        <v>0</v>
      </c>
      <c r="U687">
        <f>INDEX(FactorTable!$B$2:$Y$301, MATCH(ROUND(MIN(300,MAX(1,U686)),0), FactorTable!$A$2:$A$301,0), 22)</f>
        <v/>
      </c>
      <c r="V687" t="n">
        <v>0</v>
      </c>
    </row>
    <row r="688">
      <c r="A688">
        <f>Skills!A4</f>
        <v/>
      </c>
      <c r="B688">
        <f>Skills!B4</f>
        <v/>
      </c>
      <c r="C688">
        <f>Inputs!$B$3&gt;=66</f>
        <v/>
      </c>
      <c r="D688">
        <f>IF(Skills!C4=1,60+Inputs!$B$25+Inputs!$B$29,IF(Skills!C4=2,90+Inputs!$B$26+Inputs!$B$29,IF(Skills!C4=3,120+Inputs!$B$27+Inputs!$B$29,MAX(0,(Inputs!$B$3-100)*3)+Inputs!$B$28+Inputs!$B$29)))</f>
        <v/>
      </c>
      <c r="E688">
        <f>INDEX(FactorTable!$B$2:$Y$301, MATCH(ROUND(MIN(300,MAX(1,D688)),0), FactorTable!$A$2:$A$301,0), Skills!M4+1)</f>
        <v/>
      </c>
      <c r="F688">
        <f>IF(Skills!N4=TRUE,(Skills!L4/10)*(E688/1000),Skills!L4/10)+Skills!O4</f>
        <v/>
      </c>
      <c r="G688">
        <f>Skills!G4*IF(Skills!H4&gt;0,Skills!I4/Skills!H4,1)</f>
        <v/>
      </c>
      <c r="H688">
        <f>1-(1-Skills!J4/100)^Skills!K4</f>
        <v/>
      </c>
      <c r="I688" t="inlineStr">
        <is>
          <t>1</t>
        </is>
      </c>
      <c r="J688">
        <f>((Inputs!$B$6*(1+Inputs!$B$7/100))+(((Inputs!$B$12*(1+Inputs!$B$13/100))-(Inputs!$B$12*(1+Inputs!$B$13/100)))+0.25*(Inputs!$B$14-Inputs!$B$14))*(1+Inputs!$B$7/100))*(F688/100)</f>
        <v/>
      </c>
      <c r="K688">
        <f>J688*(1+((Inputs!$B$12*(1+Inputs!$B$13/100))*0.01+Inputs!$B$14*0.0025)/100)*(1+Inputs!$B$15/100)*(1+Inputs!$B$16/100)*(5000/(6000+Inputs!$B$43*(1-((1-(1-Inputs!$B$19/100)*(1-1/100))*100)/100)))*(1+(Inputs!$B$24+((C714=TRUE)*(F714-Calc!F30)))/100)*(1+(IF(Skills!A4="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688)</f>
        <v/>
      </c>
      <c r="L688">
        <f>K688*(MIN(Inputs!$B$22+((C708=TRUE)*(F708-Calc!F24)),Inputs!$B$23+((C713=TRUE)*(F713-Calc!F29)))/100+(Inputs!$B$23+((C713=TRUE)*(F713-Calc!F29)))/100)/2</f>
        <v/>
      </c>
      <c r="M688">
        <f>L688*(1+(Inputs!$B$10+((C710=TRUE)*(F710-Calc!F26))+B724)/100)</f>
        <v/>
      </c>
      <c r="N688">
        <f>L688*(1-MIN((Inputs!$B$9+((C709=TRUE)*(F709-Calc!F25))+B717),100)/100)+M688*(MIN((Inputs!$B$9+((C709=TRUE)*(F709-Calc!F25))+B717),100)/100)</f>
        <v/>
      </c>
      <c r="O688">
        <f>(1-Summary!$B$55)*T688+Summary!$B$55*V688</f>
        <v/>
      </c>
      <c r="P688">
        <f>IF(B729=0,0,O688/B729)</f>
        <v/>
      </c>
      <c r="Q688">
        <f>IFERROR(1/IF(Inputs!$B$39="pvp",15,MAX(0.1,Skills!D4-IF(Skills!E4=TRUE,Inputs!$B$32,0))),0)</f>
        <v/>
      </c>
      <c r="R688">
        <f>IF(AND(Inputs!$B$39&lt;&gt;"pvp",Inputs!$B$44&gt;0),IF(MAX(0,Inputs!$B$44-B728)&lt;=0,0,(INT(MAX(0,Inputs!$B$44-B728)/IF(Inputs!$B$39="pvp",15,MAX(0.1,Skills!D4-IF(Skills!E4=TRUE,Inputs!$B$32,0))))+1)),0)</f>
        <v/>
      </c>
      <c r="S688">
        <f>IFERROR(O688/N688,0)</f>
        <v/>
      </c>
      <c r="T688">
        <f>IF(C688,(H688*N688*IF(AND(Inputs!$B$39&lt;&gt;"pvp",Inputs!$B$44&gt;0),((Skills!G4*((R688-1)*IF(Skills!H4&gt;0,Skills!I4/Skills!H4,1)+IF(Skills!H4&gt;0,MIN(Skills!I4,MAX(0,MAX(0,Inputs!$B$44-B728)-((R688-1)*IF(Inputs!$B$39="pvp",15,MAX(0.1,Skills!D4-IF(Skills!E4=TRUE,Inputs!$B$32,0))))))/Skills!H4,1)))/Inputs!$B$44),G688*Q688))*IF(Inputs!$B$39="pvp",1,1+(Inputs!$B$20+0+Skills!P4+B718)/100),0)</f>
        <v/>
      </c>
      <c r="U688">
        <f>290*U687/1000</f>
        <v/>
      </c>
      <c r="V688">
        <f>IF(C688,(H688*N688*IF(AND(Inputs!$B$39&lt;&gt;"pvp",Inputs!$B$44&gt;0),((Skills!G4*((R688-1)*IF(Skills!H4&gt;0,Skills!I4/Skills!H4,1)+IF(Skills!H4&gt;0,MIN(Skills!I4,MAX(0,MAX(0,Inputs!$B$44-B728)-((R688-1)*IF(Inputs!$B$39="pvp",15,MAX(0.1,Skills!D4-IF(Skills!E4=TRUE,Inputs!$B$32,0))))))/Skills!H4,1)))/Inputs!$B$44),G688*Q688))*IF(Inputs!$B$39="pvp",1,(1+(Inputs!$B$21+Skills!Q4+B718)/100)*(MIN(MIN(10,0.5*B721*Skills!D4),Inputs!$B$37))),0)</f>
        <v/>
      </c>
    </row>
    <row r="689">
      <c r="A689">
        <f>Skills!A5</f>
        <v/>
      </c>
      <c r="B689">
        <f>Skills!B5</f>
        <v/>
      </c>
      <c r="C689">
        <f>Inputs!$B$3&gt;=63</f>
        <v/>
      </c>
      <c r="D689">
        <f>IF(Skills!C5=1,60+Inputs!$B$25+Inputs!$B$29,IF(Skills!C5=2,90+Inputs!$B$26+Inputs!$B$29,IF(Skills!C5=3,120+Inputs!$B$27+Inputs!$B$29,MAX(0,(Inputs!$B$3-100)*3)+Inputs!$B$28+Inputs!$B$29)))</f>
        <v/>
      </c>
      <c r="E689">
        <f>INDEX(FactorTable!$B$2:$Y$301, MATCH(ROUND(MIN(300,MAX(1,D689)),0), FactorTable!$A$2:$A$301,0), Skills!M5+1)</f>
        <v/>
      </c>
      <c r="F689">
        <f>IF(Skills!N5=TRUE,(Skills!L5/10)*(E689/1000),Skills!L5/10)+Skills!O5</f>
        <v/>
      </c>
      <c r="G689">
        <f>Skills!G5*IF(Skills!H5&gt;0,Skills!I5/Skills!H5,1)</f>
        <v/>
      </c>
      <c r="H689">
        <f>1-(1-Skills!J5/100)^Skills!K5</f>
        <v/>
      </c>
      <c r="I689" t="inlineStr">
        <is>
          <t>1</t>
        </is>
      </c>
      <c r="J689">
        <f>((Inputs!$B$6*(1+Inputs!$B$7/100))+(((Inputs!$B$12*(1+Inputs!$B$13/100))-(Inputs!$B$12*(1+Inputs!$B$13/100)))+0.25*(Inputs!$B$14-Inputs!$B$14))*(1+Inputs!$B$7/100))*(F689/100)</f>
        <v/>
      </c>
      <c r="K689">
        <f>J689*(1+((Inputs!$B$12*(1+Inputs!$B$13/100))*0.01+Inputs!$B$14*0.0025)/100)*(1+Inputs!$B$15/100)*(1+Inputs!$B$16/100)*(5000/(6000+Inputs!$B$43*(1-((1-(1-Inputs!$B$19/100)*(1-1/100))*100)/100)))*(1+(Inputs!$B$24+((C714=TRUE)*(F714-Calc!F30)))/100)*(1+2.6666666666666665*IF(C702=TRUE,F702,0)/100)*(1+(IF(Skills!A5="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689)</f>
        <v/>
      </c>
      <c r="L689">
        <f>K689*(MIN(Inputs!$B$22+((C708=TRUE)*(F708-Calc!F24)),Inputs!$B$23+((C713=TRUE)*(F713-Calc!F29)))/100+(Inputs!$B$23+((C713=TRUE)*(F713-Calc!F29)))/100)/2</f>
        <v/>
      </c>
      <c r="M689">
        <f>L689*(1+(Inputs!$B$10+((C710=TRUE)*(F710-Calc!F26))+B724)/100)</f>
        <v/>
      </c>
      <c r="N689">
        <f>L689*(1-MIN((Inputs!$B$9+((C709=TRUE)*(F709-Calc!F25))+B717),100)/100)+M689*(MIN((Inputs!$B$9+((C709=TRUE)*(F709-Calc!F25))+B717),100)/100)</f>
        <v/>
      </c>
      <c r="O689">
        <f>(1-Summary!$B$55)*T689+Summary!$B$55*V689</f>
        <v/>
      </c>
      <c r="P689">
        <f>IF(B729=0,0,O689/B729)</f>
        <v/>
      </c>
      <c r="Q689">
        <f>IFERROR(1/IF(Inputs!$B$39="pvp",15,MAX(0.1,Skills!D5-IF(Skills!E5=TRUE,Inputs!$B$32,0))),0)</f>
        <v/>
      </c>
      <c r="R689">
        <f>IF(AND(Inputs!$B$39&lt;&gt;"pvp",Inputs!$B$44&gt;0),IF(MAX(0,Inputs!$B$44-B728)&lt;=0,0,(INT(MAX(0,Inputs!$B$44-B728)/IF(Inputs!$B$39="pvp",15,MAX(0.1,Skills!D5-IF(Skills!E5=TRUE,Inputs!$B$32,0))))+1)),0)</f>
        <v/>
      </c>
      <c r="S689">
        <f>IFERROR(O689/N689,0)</f>
        <v/>
      </c>
      <c r="T689">
        <f>IF(C689,(H689*N689*IF(AND(Inputs!$B$39&lt;&gt;"pvp",Inputs!$B$44&gt;0),((Skills!G5*((R689-1)*IF(Skills!H5&gt;0,Skills!I5/Skills!H5,1)+IF(Skills!H5&gt;0,MIN(Skills!I5,MAX(0,MAX(0,Inputs!$B$44-B728)-((R689-1)*IF(Inputs!$B$39="pvp",15,MAX(0.1,Skills!D5-IF(Skills!E5=TRUE,Inputs!$B$32,0))))))/Skills!H5,1)))/Inputs!$B$44),G689*Q689))*IF(Inputs!$B$39="pvp",1,1+(Inputs!$B$20+0+Skills!P5+B718)/100),0)</f>
        <v/>
      </c>
      <c r="V689">
        <f>IF(C689,(H689*N689*IF(AND(Inputs!$B$39&lt;&gt;"pvp",Inputs!$B$44&gt;0),((Skills!G5*((R689-1)*IF(Skills!H5&gt;0,Skills!I5/Skills!H5,1)+IF(Skills!H5&gt;0,MIN(Skills!I5,MAX(0,MAX(0,Inputs!$B$44-B728)-((R689-1)*IF(Inputs!$B$39="pvp",15,MAX(0.1,Skills!D5-IF(Skills!E5=TRUE,Inputs!$B$32,0))))))/Skills!H5,1)))/Inputs!$B$44),G689*Q689))*IF(Inputs!$B$39="pvp",1,(1+(Inputs!$B$21+Skills!Q5+B718)/100)*(MIN(Skills!W5,Inputs!$B$37))),0)</f>
        <v/>
      </c>
    </row>
    <row r="690">
      <c r="A690">
        <f>Skills!A6</f>
        <v/>
      </c>
      <c r="B690">
        <f>Skills!B6</f>
        <v/>
      </c>
      <c r="C690">
        <f>Inputs!$B$3&gt;=69</f>
        <v/>
      </c>
      <c r="D690">
        <f>IF(Skills!C6=1,60+Inputs!$B$25+Inputs!$B$29,IF(Skills!C6=2,90+Inputs!$B$26+Inputs!$B$29,IF(Skills!C6=3,120+Inputs!$B$27+Inputs!$B$29,MAX(0,(Inputs!$B$3-100)*3)+Inputs!$B$28+Inputs!$B$29)))</f>
        <v/>
      </c>
      <c r="E690">
        <f>INDEX(FactorTable!$B$2:$Y$301, MATCH(ROUND(MIN(300,MAX(1,D690)),0), FactorTable!$A$2:$A$301,0), Skills!M6+1)</f>
        <v/>
      </c>
      <c r="F690">
        <f>IF(Skills!N6=TRUE,(Skills!L6/10)*(E690/1000),Skills!L6/10)+Skills!O6</f>
        <v/>
      </c>
      <c r="G690">
        <f>Skills!G6*IF(Skills!H6&gt;0,Skills!I6/Skills!H6,1)</f>
        <v/>
      </c>
      <c r="H690">
        <f>1-(1-Skills!J6/100)^Skills!K6</f>
        <v/>
      </c>
      <c r="I690" t="inlineStr">
        <is>
          <t>1</t>
        </is>
      </c>
      <c r="J690">
        <f>((Inputs!$B$6*(1+Inputs!$B$7/100))+(((Inputs!$B$12*(1+Inputs!$B$13/100))-(Inputs!$B$12*(1+Inputs!$B$13/100)))+0.25*(Inputs!$B$14-Inputs!$B$14))*(1+Inputs!$B$7/100))*(F690/100)</f>
        <v/>
      </c>
      <c r="K690">
        <f>J690*(1+((Inputs!$B$12*(1+Inputs!$B$13/100))*0.01+Inputs!$B$14*0.0025)/100)*(1+Inputs!$B$15/100)*(1+Inputs!$B$16/100)*(5000/(6000+Inputs!$B$43*(1-((1-(1-Inputs!$B$19/100)*(1-1/100))*100)/100)))*(1+(Inputs!$B$24+((C714=TRUE)*(F714-Calc!F30)))/100)*(1+1.0*IF(C702=TRUE,F702,0)/100)*(1+(IF(Skills!A6="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690)</f>
        <v/>
      </c>
      <c r="L690">
        <f>K690*(MIN(Inputs!$B$22+((C708=TRUE)*(F708-Calc!F24)),Inputs!$B$23+((C713=TRUE)*(F713-Calc!F29)))/100+(Inputs!$B$23+((C713=TRUE)*(F713-Calc!F29)))/100)/2</f>
        <v/>
      </c>
      <c r="M690">
        <f>L690*(1+(Inputs!$B$10+((C710=TRUE)*(F710-Calc!F26))+B724)/100)</f>
        <v/>
      </c>
      <c r="N690">
        <f>L690*(1-MIN((Inputs!$B$9+((C709=TRUE)*(F709-Calc!F25))+B717),100)/100)+M690*(MIN((Inputs!$B$9+((C709=TRUE)*(F709-Calc!F25))+B717),100)/100)</f>
        <v/>
      </c>
      <c r="O690">
        <f>(1-Summary!$B$55)*T690+Summary!$B$55*V690</f>
        <v/>
      </c>
      <c r="P690">
        <f>IF(B729=0,0,O690/B729)</f>
        <v/>
      </c>
      <c r="Q690">
        <f>IFERROR(1/IF(Inputs!$B$39="pvp",15,MAX(0.1,Skills!D6-IF(Skills!E6=TRUE,Inputs!$B$32,0))),0)</f>
        <v/>
      </c>
      <c r="R690">
        <f>IF(AND(Inputs!$B$39&lt;&gt;"pvp",Inputs!$B$44&gt;0),IF(MAX(0,Inputs!$B$44-B728)&lt;=0,0,(INT(MAX(0,Inputs!$B$44-B728)/IF(Inputs!$B$39="pvp",15,MAX(0.1,Skills!D6-IF(Skills!E6=TRUE,Inputs!$B$32,0))))+1)),0)</f>
        <v/>
      </c>
      <c r="S690">
        <f>IFERROR(O690/N690,0)</f>
        <v/>
      </c>
      <c r="T690">
        <f>IF(C690,(H690*N690*IF(AND(Inputs!$B$39&lt;&gt;"pvp",Inputs!$B$44&gt;0),((Skills!G6*((R690-1)*IF(Skills!H6&gt;0,Skills!I6/Skills!H6,1)+IF(Skills!H6&gt;0,MIN(Skills!I6,MAX(0,MAX(0,Inputs!$B$44-B728)-((R690-1)*IF(Inputs!$B$39="pvp",15,MAX(0.1,Skills!D6-IF(Skills!E6=TRUE,Inputs!$B$32,0))))))/Skills!H6,1)))/Inputs!$B$44),G690*Q690))*IF(Inputs!$B$39="pvp",1,1+(Inputs!$B$20+0+Skills!P6+B718)/100),0)</f>
        <v/>
      </c>
      <c r="V690">
        <f>IF(C690,(H690*N690*IF(AND(Inputs!$B$39&lt;&gt;"pvp",Inputs!$B$44&gt;0),((Skills!G6*((R690-1)*IF(Skills!H6&gt;0,Skills!I6/Skills!H6,1)+IF(Skills!H6&gt;0,MIN(Skills!I6,MAX(0,MAX(0,Inputs!$B$44-B728)-((R690-1)*IF(Inputs!$B$39="pvp",15,MAX(0.1,Skills!D6-IF(Skills!E6=TRUE,Inputs!$B$32,0))))))/Skills!H6,1)))/Inputs!$B$44),G690*Q690))*IF(Inputs!$B$39="pvp",1,(1+(Inputs!$B$21+Skills!Q6+B718)/100)*(MIN(Skills!W6,Inputs!$B$37))),0)</f>
        <v/>
      </c>
    </row>
    <row r="691">
      <c r="A691">
        <f>Skills!A7</f>
        <v/>
      </c>
      <c r="B691">
        <f>Skills!B7</f>
        <v/>
      </c>
      <c r="C691">
        <f>Inputs!$B$3&gt;=60</f>
        <v/>
      </c>
      <c r="D691">
        <f>IF(Skills!C7=1,60+Inputs!$B$25+Inputs!$B$29,IF(Skills!C7=2,90+Inputs!$B$26+Inputs!$B$29,IF(Skills!C7=3,120+Inputs!$B$27+Inputs!$B$29,MAX(0,(Inputs!$B$3-100)*3)+Inputs!$B$28+Inputs!$B$29)))</f>
        <v/>
      </c>
      <c r="E691">
        <f>INDEX(FactorTable!$B$2:$Y$301, MATCH(ROUND(MIN(300,MAX(1,D691)),0), FactorTable!$A$2:$A$301,0), Skills!M7+1)</f>
        <v/>
      </c>
      <c r="F691">
        <f>IF(Skills!N7=TRUE,(Skills!L7/10)*(E691/1000),Skills!L7/10)+Skills!O7</f>
        <v/>
      </c>
      <c r="G691">
        <f>Skills!G7*IF(Skills!H7&gt;0,Skills!I7/Skills!H7,1)</f>
        <v/>
      </c>
      <c r="H691">
        <f>1-(1-Skills!J7/100)^Skills!K7</f>
        <v/>
      </c>
      <c r="I691" t="inlineStr">
        <is>
          <t>1</t>
        </is>
      </c>
      <c r="J691" t="inlineStr"/>
      <c r="K691" t="inlineStr"/>
      <c r="L691" t="inlineStr"/>
      <c r="M691" t="inlineStr"/>
      <c r="N691" t="inlineStr"/>
      <c r="O691">
        <f>(1-Summary!$B$55)*T691+Summary!$B$55*V691</f>
        <v/>
      </c>
      <c r="P691">
        <f>IF(B729=0,0,O691/B729)</f>
        <v/>
      </c>
      <c r="Q691" t="n">
        <v>0</v>
      </c>
      <c r="R691" t="n">
        <v>0</v>
      </c>
      <c r="S691">
        <f>IFERROR(O691/N691,0)</f>
        <v/>
      </c>
      <c r="T691" t="n">
        <v>0</v>
      </c>
      <c r="V691" t="n">
        <v>0</v>
      </c>
    </row>
    <row r="692">
      <c r="A692">
        <f>Skills!A8</f>
        <v/>
      </c>
      <c r="B692">
        <f>Skills!B8</f>
        <v/>
      </c>
      <c r="C692">
        <f>Inputs!$B$3&gt;=72</f>
        <v/>
      </c>
      <c r="D692">
        <f>IF(Skills!C8=1,60+Inputs!$B$25+Inputs!$B$29,IF(Skills!C8=2,90+Inputs!$B$26+Inputs!$B$29,IF(Skills!C8=3,120+Inputs!$B$27+Inputs!$B$29,MAX(0,(Inputs!$B$3-100)*3)+Inputs!$B$28+Inputs!$B$29)))</f>
        <v/>
      </c>
      <c r="E692">
        <f>INDEX(FactorTable!$B$2:$Y$301, MATCH(ROUND(MIN(300,MAX(1,D692)),0), FactorTable!$A$2:$A$301,0), Skills!M8+1)</f>
        <v/>
      </c>
      <c r="F692">
        <f>IF(Skills!N8=TRUE,(Skills!L8/10)*(E692/1000),Skills!L8/10)+Skills!O8</f>
        <v/>
      </c>
      <c r="G692">
        <f>Skills!G8*IF(Skills!H8&gt;0,Skills!I8/Skills!H8,1)</f>
        <v/>
      </c>
      <c r="H692">
        <f>1-(1-Skills!J8/100)^Skills!K8</f>
        <v/>
      </c>
      <c r="I692" t="inlineStr">
        <is>
          <t>1</t>
        </is>
      </c>
      <c r="J692">
        <f>((Inputs!$B$6*(1+Inputs!$B$7/100))+(((Inputs!$B$12*(1+Inputs!$B$13/100))-(Inputs!$B$12*(1+Inputs!$B$13/100)))+0.25*(Inputs!$B$14-Inputs!$B$14))*(1+Inputs!$B$7/100))*(F692/100)</f>
        <v/>
      </c>
      <c r="K692">
        <f>J692*(1+((Inputs!$B$12*(1+Inputs!$B$13/100))*0.01+Inputs!$B$14*0.0025)/100)*(1+Inputs!$B$15/100)*(1+Inputs!$B$16/100)*(5000/(6000+Inputs!$B$43*(1-((1-(1-Inputs!$B$19/100)*(1-1/100))*100)/100)))*(1+(Inputs!$B$24+((C714=TRUE)*(F714-Calc!F30)))/100)*(1+3.3333333333333335*IF(C702=TRUE,F702,0)/100)*(1+(IF(Skills!A8="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692)</f>
        <v/>
      </c>
      <c r="L692">
        <f>K692*(MIN(Inputs!$B$22+((C708=TRUE)*(F708-Calc!F24)),Inputs!$B$23+((C713=TRUE)*(F713-Calc!F29)))/100+(Inputs!$B$23+((C713=TRUE)*(F713-Calc!F29)))/100)/2</f>
        <v/>
      </c>
      <c r="M692">
        <f>L692*(1+(Inputs!$B$10+((C710=TRUE)*(F710-Calc!F26))+B724)/100)</f>
        <v/>
      </c>
      <c r="N692">
        <f>L692*(1-MIN((Inputs!$B$9+((C709=TRUE)*(F709-Calc!F25))+B717),100)/100)+M692*(MIN((Inputs!$B$9+((C709=TRUE)*(F709-Calc!F25))+B717),100)/100)</f>
        <v/>
      </c>
      <c r="O692">
        <f>(1-Summary!$B$55)*T692+Summary!$B$55*V692</f>
        <v/>
      </c>
      <c r="P692">
        <f>IF(B729=0,0,O692/B729)</f>
        <v/>
      </c>
      <c r="Q692">
        <f>IFERROR(1/IF(Inputs!$B$39="pvp",15,MAX(0.1,Skills!D8-IF(Skills!E8=TRUE,Inputs!$B$32,0))),0)</f>
        <v/>
      </c>
      <c r="R692">
        <f>IF(AND(Inputs!$B$39&lt;&gt;"pvp",Inputs!$B$44&gt;0),IF(MAX(0,Inputs!$B$44-B728)&lt;=0,0,(INT(MAX(0,Inputs!$B$44-B728)/IF(Inputs!$B$39="pvp",15,MAX(0.1,Skills!D8-IF(Skills!E8=TRUE,Inputs!$B$32,0))))+1)),0)</f>
        <v/>
      </c>
      <c r="S692">
        <f>IFERROR(O692/N692,0)</f>
        <v/>
      </c>
      <c r="T692">
        <f>IF(C692,(H692*N692*IF(AND(Inputs!$B$39&lt;&gt;"pvp",Inputs!$B$44&gt;0),((Skills!G8*((R692-1)*IF(Skills!H8&gt;0,Skills!I8/Skills!H8,1)+IF(Skills!H8&gt;0,MIN(Skills!I8,MAX(0,MAX(0,Inputs!$B$44-B728)-((R692-1)*IF(Inputs!$B$39="pvp",15,MAX(0.1,Skills!D8-IF(Skills!E8=TRUE,Inputs!$B$32,0))))))/Skills!H8,1)))/Inputs!$B$44),G692*Q692))*IF(Inputs!$B$39="pvp",1,1+(Inputs!$B$20+0+Skills!P8+B718)/100),0)</f>
        <v/>
      </c>
      <c r="V692">
        <f>IF(C692,(H692*N692*IF(AND(Inputs!$B$39&lt;&gt;"pvp",Inputs!$B$44&gt;0),((Skills!G8*((R692-1)*IF(Skills!H8&gt;0,Skills!I8/Skills!H8,1)+IF(Skills!H8&gt;0,MIN(Skills!I8,MAX(0,MAX(0,Inputs!$B$44-B728)-((R692-1)*IF(Inputs!$B$39="pvp",15,MAX(0.1,Skills!D8-IF(Skills!E8=TRUE,Inputs!$B$32,0))))))/Skills!H8,1)))/Inputs!$B$44),G692*Q692))*IF(Inputs!$B$39="pvp",1,(1+(Inputs!$B$21+Skills!Q8+B718)/100)*(MIN(Skills!W8,Inputs!$B$37))),0)</f>
        <v/>
      </c>
    </row>
    <row r="693">
      <c r="A693">
        <f>Skills!A9</f>
        <v/>
      </c>
      <c r="B693">
        <f>Skills!B9</f>
        <v/>
      </c>
      <c r="C693">
        <f>Inputs!$B$3&gt;=117</f>
        <v/>
      </c>
      <c r="D693">
        <f>IF(Skills!C9=1,60+Inputs!$B$25+Inputs!$B$29,IF(Skills!C9=2,90+Inputs!$B$26+Inputs!$B$29,IF(Skills!C9=3,120+Inputs!$B$27+Inputs!$B$29,MAX(0,(Inputs!$B$3-100)*3)+Inputs!$B$28+Inputs!$B$29)))</f>
        <v/>
      </c>
      <c r="E693">
        <f>INDEX(FactorTable!$B$2:$Y$301, MATCH(ROUND(MIN(300,MAX(1,D693)),0), FactorTable!$A$2:$A$301,0), Skills!M9+1)</f>
        <v/>
      </c>
      <c r="F693">
        <f>IF(Skills!N9=TRUE,(Skills!L9/10)*(E693/1000),Skills!L9/10)+Skills!O9</f>
        <v/>
      </c>
      <c r="G693">
        <f>Skills!G9*IF(Skills!H9&gt;0,Skills!I9/Skills!H9,1)</f>
        <v/>
      </c>
      <c r="H693">
        <f>1-(1-Skills!J9/100)^Skills!K9</f>
        <v/>
      </c>
      <c r="I693" t="inlineStr">
        <is>
          <t>1</t>
        </is>
      </c>
      <c r="J693">
        <f>((Inputs!$B$6*(1+Inputs!$B$7/100))+(((Inputs!$B$12*(1+Inputs!$B$13/100))-(Inputs!$B$12*(1+Inputs!$B$13/100)))+0.25*(Inputs!$B$14-Inputs!$B$14))*(1+Inputs!$B$7/100))*(F693/100)</f>
        <v/>
      </c>
      <c r="K693">
        <f>J693*(1+((Inputs!$B$12*(1+Inputs!$B$13/100))*0.01+Inputs!$B$14*0.0025)/100)*(1+Inputs!$B$15/100)*(1+Inputs!$B$16/100)*(5000/(6000+Inputs!$B$43*(1-((1-(1-Inputs!$B$19/100)*(1-1/100))*100)/100)))*(1+(Inputs!$B$24+((C714=TRUE)*(F714-Calc!F30)))/100)*(1+(IF(Skills!A9="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693)</f>
        <v/>
      </c>
      <c r="L693">
        <f>K693*(MIN(Inputs!$B$22+((C708=TRUE)*(F708-Calc!F24)),Inputs!$B$23+((C713=TRUE)*(F713-Calc!F29)))/100+(Inputs!$B$23+((C713=TRUE)*(F713-Calc!F29)))/100)/2</f>
        <v/>
      </c>
      <c r="M693">
        <f>L693*(1+(Inputs!$B$10+((C710=TRUE)*(F710-Calc!F26))+B724)/100)</f>
        <v/>
      </c>
      <c r="N693">
        <f>L693*(1-MIN((Inputs!$B$9+((C709=TRUE)*(F709-Calc!F25))+B717),100)/100)+M693*(MIN((Inputs!$B$9+((C709=TRUE)*(F709-Calc!F25))+B717),100)/100)</f>
        <v/>
      </c>
      <c r="O693">
        <f>(1-Summary!$B$55)*T693+Summary!$B$55*V693</f>
        <v/>
      </c>
      <c r="P693">
        <f>IF(B729=0,0,O693/B729)</f>
        <v/>
      </c>
      <c r="Q693" t="n">
        <v>0</v>
      </c>
      <c r="R693" t="n">
        <v>0</v>
      </c>
      <c r="S693" t="n">
        <v>0</v>
      </c>
      <c r="T693">
        <f>IF(C693,(0.2*SUMPRODUCT((Skills!Z2:Z30=TRUE)*(C686:C714=TRUE)*S686:S714)*N693)*IF(Inputs!$B$39="pvp",1,1+(Inputs!$B$20+0+Skills!P9+B718)/100),0)</f>
        <v/>
      </c>
      <c r="V693">
        <f>IF(C693,(0.2*SUMPRODUCT((Skills!Z2:Z30=TRUE)*(C686:C714=TRUE)*S686:S714)*N693)*IF(Inputs!$B$39="pvp",1,(1+(Inputs!$B$21+Skills!Q9+B718)/100)*(MIN(Skills!W9,Inputs!$B$37))),0)</f>
        <v/>
      </c>
    </row>
    <row r="694">
      <c r="A694">
        <f>Skills!A10</f>
        <v/>
      </c>
      <c r="B694">
        <f>Skills!B10</f>
        <v/>
      </c>
      <c r="C694">
        <f>Inputs!$B$3&gt;=74</f>
        <v/>
      </c>
      <c r="D694">
        <f>IF(Skills!C10=1,60+Inputs!$B$25+Inputs!$B$29,IF(Skills!C10=2,90+Inputs!$B$26+Inputs!$B$29,IF(Skills!C10=3,120+Inputs!$B$27+Inputs!$B$29,MAX(0,(Inputs!$B$3-100)*3)+Inputs!$B$28+Inputs!$B$29)))</f>
        <v/>
      </c>
      <c r="E694">
        <f>INDEX(FactorTable!$B$2:$Y$301, MATCH(ROUND(MIN(300,MAX(1,D694)),0), FactorTable!$A$2:$A$301,0), Skills!M10+1)</f>
        <v/>
      </c>
      <c r="F694">
        <f>IF(Skills!N10=TRUE,(Skills!L10/10)*(E694/1000),Skills!L10/10)+Skills!O10</f>
        <v/>
      </c>
      <c r="G694">
        <f>Skills!G10*IF(Skills!H10&gt;0,Skills!I10/Skills!H10,1)</f>
        <v/>
      </c>
      <c r="H694">
        <f>1-(1-Skills!J10/100)^Skills!K10</f>
        <v/>
      </c>
      <c r="I694" t="inlineStr">
        <is>
          <t>1</t>
        </is>
      </c>
      <c r="J694" t="inlineStr"/>
      <c r="K694" t="inlineStr"/>
      <c r="L694" t="inlineStr"/>
      <c r="M694" t="inlineStr"/>
      <c r="N694" t="inlineStr"/>
      <c r="O694">
        <f>(1-Summary!$B$55)*T694+Summary!$B$55*V694</f>
        <v/>
      </c>
      <c r="P694">
        <f>IF(B729=0,0,O694/B729)</f>
        <v/>
      </c>
      <c r="Q694">
        <f>IFERROR(1/IF(Inputs!$B$39="pvp",15,MAX(0.1,Skills!D10-IF(Skills!E10=TRUE,Inputs!$B$32,0))),0)</f>
        <v/>
      </c>
      <c r="R694">
        <f>IF(AND(Inputs!$B$39&lt;&gt;"pvp",Inputs!$B$44&gt;0),IF(Inputs!$B$44&lt;=0,0,(INT(Inputs!$B$44/IF(Inputs!$B$39="pvp",15,MAX(0.1,Skills!D10-IF(Skills!E10=TRUE,Inputs!$B$32,0))))+1)),0)</f>
        <v/>
      </c>
      <c r="S694">
        <f>IFERROR(O694/N694,0)</f>
        <v/>
      </c>
      <c r="T694" t="n">
        <v>0</v>
      </c>
      <c r="V694" t="n">
        <v>0</v>
      </c>
    </row>
    <row r="695">
      <c r="A695">
        <f>Skills!A11</f>
        <v/>
      </c>
      <c r="B695">
        <f>Skills!B11</f>
        <v/>
      </c>
      <c r="C695">
        <f>Inputs!$B$3&gt;=103</f>
        <v/>
      </c>
      <c r="D695">
        <f>IF(Skills!C11=1,60+Inputs!$B$25+Inputs!$B$29,IF(Skills!C11=2,90+Inputs!$B$26+Inputs!$B$29,IF(Skills!C11=3,120+Inputs!$B$27+Inputs!$B$29,MAX(0,(Inputs!$B$3-100)*3)+Inputs!$B$28+Inputs!$B$29)))</f>
        <v/>
      </c>
      <c r="E695">
        <f>INDEX(FactorTable!$B$2:$Y$301, MATCH(ROUND(MIN(300,MAX(1,D695)),0), FactorTable!$A$2:$A$301,0), Skills!M11+1)</f>
        <v/>
      </c>
      <c r="F695">
        <f>(Skills!L11/10)*(E695/1000)+IF(Inputs!$B$3&gt;=134,50,0)+0.5*(30000/10)*(INDEX(FactorTable!$B$2:$Y$301, MATCH(ROUND(MIN(300,MAX(1,D695)),0), FactorTable!$A$2:$A$301,0), 13)/1000)*B727</f>
        <v/>
      </c>
      <c r="G695">
        <f>Skills!G11*IF(Skills!H11&gt;0,Skills!I11/Skills!H11,1)</f>
        <v/>
      </c>
      <c r="H695">
        <f>1-(1-Skills!J11/100)^Skills!K11</f>
        <v/>
      </c>
      <c r="I695" t="inlineStr">
        <is>
          <t>1</t>
        </is>
      </c>
      <c r="J695">
        <f>((Inputs!$B$6*(1+Inputs!$B$7/100))+(((Inputs!$B$12*(1+Inputs!$B$13/100))-(Inputs!$B$12*(1+Inputs!$B$13/100)))+0.25*(Inputs!$B$14-Inputs!$B$14))*(1+Inputs!$B$7/100))*(F695/100)</f>
        <v/>
      </c>
      <c r="K695">
        <f>J695*(1+((Inputs!$B$12*(1+Inputs!$B$13/100))*0.01+Inputs!$B$14*0.0025)/100)*(1+Inputs!$B$15/100)*(1+Inputs!$B$16/100)*(5000/(6000+Inputs!$B$43*(1-((1-(1-Inputs!$B$19/100)*(1-1/100))*100)/100)))*(1+(Inputs!$B$24+((C714=TRUE)*(F714-Calc!F30)))/100)*(1+(IF(Skills!A11="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695)</f>
        <v/>
      </c>
      <c r="L695">
        <f>K695*(MIN(Inputs!$B$22+((C708=TRUE)*(F708-Calc!F24)),Inputs!$B$23+((C713=TRUE)*(F713-Calc!F29)))/100+(Inputs!$B$23+((C713=TRUE)*(F713-Calc!F29)))/100)/2</f>
        <v/>
      </c>
      <c r="M695">
        <f>L695*(1+(Inputs!$B$10+((C710=TRUE)*(F710-Calc!F26))+B724)/100)</f>
        <v/>
      </c>
      <c r="N695">
        <f>L695*(1-MIN((Inputs!$B$9+((C709=TRUE)*(F709-Calc!F25))+B717),100)/100)+M695*(MIN((Inputs!$B$9+((C709=TRUE)*(F709-Calc!F25))+B717),100)/100)</f>
        <v/>
      </c>
      <c r="O695">
        <f>(1-Summary!$B$55)*T695+Summary!$B$55*V695</f>
        <v/>
      </c>
      <c r="P695">
        <f>IF(B729=0,0,O695/B729)</f>
        <v/>
      </c>
      <c r="Q695">
        <f>IFERROR(1/IF(Inputs!$B$39="pvp",15,MAX(0.1,Skills!D11-IF(Skills!E11=TRUE,Inputs!$B$32,0))),0)</f>
        <v/>
      </c>
      <c r="R695">
        <f>IF(AND(Inputs!$B$39&lt;&gt;"pvp",Inputs!$B$44&gt;0),IF(MAX(0,Inputs!$B$44-B728)&lt;=0,0,(INT(MAX(0,Inputs!$B$44-B728)/IF(Inputs!$B$39="pvp",15,MAX(0.1,Skills!D11-IF(Skills!E11=TRUE,Inputs!$B$32,0))))+1)),0)</f>
        <v/>
      </c>
      <c r="S695">
        <f>IFERROR(O695/N695,0)</f>
        <v/>
      </c>
      <c r="T695">
        <f>IF(C695,(H695*N695*IF(AND(Inputs!$B$39&lt;&gt;"pvp",Inputs!$B$44&gt;0),((Skills!G11*((R695-1)*IF(Skills!H11&gt;0,Skills!I11/Skills!H11,1)+IF(Skills!H11&gt;0,MIN(Skills!I11,MAX(0,MAX(0,Inputs!$B$44-B728)-((R695-1)*IF(Inputs!$B$39="pvp",15,MAX(0.1,Skills!D11-IF(Skills!E11=TRUE,Inputs!$B$32,0))))))/Skills!H11,1)))/Inputs!$B$44),G695*Q695))*IF(Inputs!$B$39="pvp",1,1+(Inputs!$B$20+0+Skills!P11+B718)/100),0)</f>
        <v/>
      </c>
      <c r="V695">
        <f>IF(C695,(H695*N695*IF(AND(Inputs!$B$39&lt;&gt;"pvp",Inputs!$B$44&gt;0),((Skills!G11*((R695-1)*IF(Skills!H11&gt;0,Skills!I11/Skills!H11,1)+IF(Skills!H11&gt;0,MIN(Skills!I11,MAX(0,MAX(0,Inputs!$B$44-B728)-((R695-1)*IF(Inputs!$B$39="pvp",15,MAX(0.1,Skills!D11-IF(Skills!E11=TRUE,Inputs!$B$32,0))))))/Skills!H11,1)))/Inputs!$B$44),G695*Q695))*IF(Inputs!$B$39="pvp",1,(1+(Inputs!$B$21+Skills!Q11+B718)/100)*(MIN(Skills!W11,Inputs!$B$37))),0)</f>
        <v/>
      </c>
    </row>
    <row r="696">
      <c r="A696">
        <f>Skills!A12</f>
        <v/>
      </c>
      <c r="B696">
        <f>Skills!B12</f>
        <v/>
      </c>
      <c r="C696">
        <f>Inputs!$B$3&gt;=105</f>
        <v/>
      </c>
      <c r="D696">
        <f>IF(Skills!C12=1,60+Inputs!$B$25+Inputs!$B$29,IF(Skills!C12=2,90+Inputs!$B$26+Inputs!$B$29,IF(Skills!C12=3,120+Inputs!$B$27+Inputs!$B$29,MAX(0,(Inputs!$B$3-100)*3)+Inputs!$B$28+Inputs!$B$29)))</f>
        <v/>
      </c>
      <c r="E696">
        <f>INDEX(FactorTable!$B$2:$Y$301, MATCH(ROUND(MIN(300,MAX(1,D696)),0), FactorTable!$A$2:$A$301,0), Skills!M12+1)</f>
        <v/>
      </c>
      <c r="F696">
        <f>IF(Skills!N12=TRUE,(Skills!L12/10)*(E696/1000),Skills!L12/10)+Skills!O12</f>
        <v/>
      </c>
      <c r="G696">
        <f>Skills!G12*IF(Skills!H12&gt;0,Skills!I12/Skills!H12,1)</f>
        <v/>
      </c>
      <c r="H696">
        <f>1-(1-Skills!J12/100)^Skills!K12</f>
        <v/>
      </c>
      <c r="I696" t="inlineStr">
        <is>
          <t>1</t>
        </is>
      </c>
      <c r="J696">
        <f>((Inputs!$B$6*(1+Inputs!$B$7/100))+(((Inputs!$B$12*(1+Inputs!$B$13/100))-(Inputs!$B$12*(1+Inputs!$B$13/100)))+0.25*(Inputs!$B$14-Inputs!$B$14))*(1+Inputs!$B$7/100))*(F696/100)</f>
        <v/>
      </c>
      <c r="K696">
        <f>J696*(1+((Inputs!$B$12*(1+Inputs!$B$13/100))*0.01+Inputs!$B$14*0.0025)/100)*(1+Inputs!$B$15/100)*(1+Inputs!$B$16/100)*(5000/(6000+Inputs!$B$43*(1-((1-(1-Inputs!$B$19/100)*(1-1/100))*100)/100)))*(1+(Inputs!$B$24+((C714=TRUE)*(F714-Calc!F30)))/100)*(1+(IF(Skills!A12="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696)</f>
        <v/>
      </c>
      <c r="L696">
        <f>K696*(MIN(Inputs!$B$22+((C708=TRUE)*(F708-Calc!F24)),Inputs!$B$23+((C713=TRUE)*(F713-Calc!F29)))/100+(Inputs!$B$23+((C713=TRUE)*(F713-Calc!F29)))/100)/2</f>
        <v/>
      </c>
      <c r="M696">
        <f>L696*(1+(Inputs!$B$10+((C710=TRUE)*(F710-Calc!F26))+B724)/100)</f>
        <v/>
      </c>
      <c r="N696">
        <f>L696*(1-MIN((Inputs!$B$9+((C709=TRUE)*(F709-Calc!F25))+B717),100)/100)+M696*(MIN((Inputs!$B$9+((C709=TRUE)*(F709-Calc!F25))+B717),100)/100)</f>
        <v/>
      </c>
      <c r="O696">
        <f>(1-Summary!$B$55)*T696+Summary!$B$55*V696</f>
        <v/>
      </c>
      <c r="P696">
        <f>IF(B729=0,0,O696/B729)</f>
        <v/>
      </c>
      <c r="Q696">
        <f>IFERROR(1/IF(Inputs!$B$39="pvp",15,MAX(0.1,Skills!D12-IF(Skills!E12=TRUE,Inputs!$B$32,0))),0)</f>
        <v/>
      </c>
      <c r="R696">
        <f>IF(AND(Inputs!$B$39&lt;&gt;"pvp",Inputs!$B$44&gt;0),IF(MAX(0,Inputs!$B$44-B728)&lt;=0,0,(INT(MAX(0,Inputs!$B$44-B728)/IF(Inputs!$B$39="pvp",15,MAX(0.1,Skills!D12-IF(Skills!E12=TRUE,Inputs!$B$32,0))))+1)),0)</f>
        <v/>
      </c>
      <c r="S696">
        <f>IFERROR(O696/N696,0)</f>
        <v/>
      </c>
      <c r="T696">
        <f>IF(C696,(H696*N696*IF(AND(Inputs!$B$39&lt;&gt;"pvp",Inputs!$B$44&gt;0),((Skills!G12*((R696-1)*IF(Skills!H12&gt;0,Skills!I12/Skills!H12,1)+IF(Skills!H12&gt;0,MIN(Skills!I12,MAX(0,MAX(0,Inputs!$B$44-B728)-((R696-1)*IF(Inputs!$B$39="pvp",15,MAX(0.1,Skills!D12-IF(Skills!E12=TRUE,Inputs!$B$32,0))))))/Skills!H12,1)))/Inputs!$B$44),G696*Q696))*IF(Inputs!$B$39="pvp",1,1+(Inputs!$B$20+0+Skills!P12+B718)/100),0)</f>
        <v/>
      </c>
      <c r="V696">
        <f>IF(C696,(H696*N696*IF(AND(Inputs!$B$39&lt;&gt;"pvp",Inputs!$B$44&gt;0),((Skills!G12*((R696-1)*IF(Skills!H12&gt;0,Skills!I12/Skills!H12,1)+IF(Skills!H12&gt;0,MIN(Skills!I12,MAX(0,MAX(0,Inputs!$B$44-B728)-((R696-1)*IF(Inputs!$B$39="pvp",15,MAX(0.1,Skills!D12-IF(Skills!E12=TRUE,Inputs!$B$32,0))))))/Skills!H12,1)))/Inputs!$B$44),G696*Q696))*IF(Inputs!$B$39="pvp",1,(1+(Inputs!$B$21+Skills!Q12+B718)/100)*(MIN(Skills!W12,Inputs!$B$37))),0)</f>
        <v/>
      </c>
    </row>
    <row r="697">
      <c r="A697">
        <f>Skills!A13</f>
        <v/>
      </c>
      <c r="B697">
        <f>Skills!B13</f>
        <v/>
      </c>
      <c r="C697">
        <f>Inputs!$B$3&gt;=105</f>
        <v/>
      </c>
      <c r="D697">
        <f>IF(Skills!C13=1,60+Inputs!$B$25+Inputs!$B$29,IF(Skills!C13=2,90+Inputs!$B$26+Inputs!$B$29,IF(Skills!C13=3,120+Inputs!$B$27+Inputs!$B$29,MAX(0,(Inputs!$B$3-100)*3)+Inputs!$B$28+Inputs!$B$29)))</f>
        <v/>
      </c>
      <c r="E697">
        <f>INDEX(FactorTable!$B$2:$Y$301, MATCH(ROUND(MIN(300,MAX(1,D697)),0), FactorTable!$A$2:$A$301,0), Skills!M13+1)</f>
        <v/>
      </c>
      <c r="F697">
        <f>IF(Skills!N13=TRUE,(Skills!L13/10)*(E697/1000),Skills!L13/10)+Skills!O13</f>
        <v/>
      </c>
      <c r="G697">
        <f>Skills!G13*IF(Skills!H13&gt;0,Skills!I13/Skills!H13,1)</f>
        <v/>
      </c>
      <c r="H697">
        <f>1-(1-Skills!J13/100)^Skills!K13</f>
        <v/>
      </c>
      <c r="I697" t="inlineStr">
        <is>
          <t>1</t>
        </is>
      </c>
      <c r="J697">
        <f>((Inputs!$B$6*(1+Inputs!$B$7/100))+(((Inputs!$B$12*(1+Inputs!$B$13/100))-(Inputs!$B$12*(1+Inputs!$B$13/100)))+0.25*(Inputs!$B$14-Inputs!$B$14))*(1+Inputs!$B$7/100))*(F697/100)</f>
        <v/>
      </c>
      <c r="K697">
        <f>J697*(1+((Inputs!$B$12*(1+Inputs!$B$13/100))*0.01+Inputs!$B$14*0.0025)/100)*(1+Inputs!$B$15/100)*(1+Inputs!$B$16/100)*(5000/(6000+Inputs!$B$43*(1-((1-(1-Inputs!$B$19/100)*(1-1/100))*100)/100)))*(1+(Inputs!$B$24+((C714=TRUE)*(F714-Calc!F30)))/100)*(1+(IF(Skills!A13="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697)</f>
        <v/>
      </c>
      <c r="L697">
        <f>K697*(MIN(Inputs!$B$22+((C708=TRUE)*(F708-Calc!F24)),Inputs!$B$23+((C713=TRUE)*(F713-Calc!F29)))/100+(Inputs!$B$23+((C713=TRUE)*(F713-Calc!F29)))/100)/2</f>
        <v/>
      </c>
      <c r="M697">
        <f>L697*(1+(Inputs!$B$10+((C710=TRUE)*(F710-Calc!F26))+B724)/100)</f>
        <v/>
      </c>
      <c r="N697">
        <f>L697*(1-MIN((Inputs!$B$9+((C709=TRUE)*(F709-Calc!F25))+B717),100)/100)+M697*(MIN((Inputs!$B$9+((C709=TRUE)*(F709-Calc!F25))+B717),100)/100)</f>
        <v/>
      </c>
      <c r="O697">
        <f>(1-Summary!$B$55)*T697+Summary!$B$55*V697</f>
        <v/>
      </c>
      <c r="P697">
        <f>IF(B729=0,0,O697/B729)</f>
        <v/>
      </c>
      <c r="Q697">
        <f>IFERROR(1/IF(Inputs!$B$39="pvp",15,MAX(0.1,Skills!D13-IF(Skills!E13=TRUE,Inputs!$B$32,0))),0)</f>
        <v/>
      </c>
      <c r="R697">
        <f>IF(AND(Inputs!$B$39&lt;&gt;"pvp",Inputs!$B$44&gt;0),IF(MAX(0,Inputs!$B$44-B728)&lt;=0,0,(INT(MAX(0,Inputs!$B$44-B728)/IF(Inputs!$B$39="pvp",15,MAX(0.1,Skills!D13-IF(Skills!E13=TRUE,Inputs!$B$32,0))))+1)),0)</f>
        <v/>
      </c>
      <c r="S697">
        <f>IFERROR(O697/N697,0)</f>
        <v/>
      </c>
      <c r="T697">
        <f>IF(C697,(H697*N697*IF(AND(Inputs!$B$39&lt;&gt;"pvp",Inputs!$B$44&gt;0),((Skills!G13*((R697-1)*IF(Skills!H13&gt;0,Skills!I13/Skills!H13,1)+IF(Skills!H13&gt;0,MIN(Skills!I13,MAX(0,MAX(0,Inputs!$B$44-B728)-((R697-1)*IF(Inputs!$B$39="pvp",15,MAX(0.1,Skills!D13-IF(Skills!E13=TRUE,Inputs!$B$32,0))))))/Skills!H13,1)))/Inputs!$B$44),G697*Q697))*IF(Inputs!$B$39="pvp",1,1+(Inputs!$B$20+0+Skills!P13+B718)/100),0)</f>
        <v/>
      </c>
      <c r="V697">
        <f>IF(C697,(H697*N697*IF(AND(Inputs!$B$39&lt;&gt;"pvp",Inputs!$B$44&gt;0),((Skills!G13*((R697-1)*IF(Skills!H13&gt;0,Skills!I13/Skills!H13,1)+IF(Skills!H13&gt;0,MIN(Skills!I13,MAX(0,MAX(0,Inputs!$B$44-B728)-((R697-1)*IF(Inputs!$B$39="pvp",15,MAX(0.1,Skills!D13-IF(Skills!E13=TRUE,Inputs!$B$32,0))))))/Skills!H13,1)))/Inputs!$B$44),G697*Q697))*IF(Inputs!$B$39="pvp",1,(1+(Inputs!$B$21+Skills!Q13+B718)/100)*(MIN(Skills!W13,Inputs!$B$37))),0)</f>
        <v/>
      </c>
    </row>
    <row r="698">
      <c r="A698">
        <f>Skills!A14</f>
        <v/>
      </c>
      <c r="B698">
        <f>Skills!B14</f>
        <v/>
      </c>
      <c r="C698">
        <f>Inputs!$B$3&gt;=107</f>
        <v/>
      </c>
      <c r="D698">
        <f>IF(Skills!C14=1,60+Inputs!$B$25+Inputs!$B$29,IF(Skills!C14=2,90+Inputs!$B$26+Inputs!$B$29,IF(Skills!C14=3,120+Inputs!$B$27+Inputs!$B$29,MAX(0,(Inputs!$B$3-100)*3)+Inputs!$B$28+Inputs!$B$29)))</f>
        <v/>
      </c>
      <c r="E698">
        <f>INDEX(FactorTable!$B$2:$Y$301, MATCH(ROUND(MIN(300,MAX(1,D698)),0), FactorTable!$A$2:$A$301,0), Skills!M14+1)</f>
        <v/>
      </c>
      <c r="F698">
        <f>IF(Skills!N14=TRUE,(Skills!L14/10)*(E698/1000),Skills!L14/10)+Skills!O14</f>
        <v/>
      </c>
      <c r="G698">
        <f>Skills!G14*IF(Skills!H14&gt;0,Skills!I14/Skills!H14,1)</f>
        <v/>
      </c>
      <c r="H698">
        <f>1-(1-Skills!J14/100)^Skills!K14</f>
        <v/>
      </c>
      <c r="I698" t="inlineStr">
        <is>
          <t>1</t>
        </is>
      </c>
      <c r="J698">
        <f>((Inputs!$B$6*(1+Inputs!$B$7/100))+(((Inputs!$B$12*(1+Inputs!$B$13/100))-(Inputs!$B$12*(1+Inputs!$B$13/100)))+0.25*(Inputs!$B$14-Inputs!$B$14))*(1+Inputs!$B$7/100))*(F698/100)</f>
        <v/>
      </c>
      <c r="K698">
        <f>J698*(1+((Inputs!$B$12*(1+Inputs!$B$13/100))*0.01+Inputs!$B$14*0.0025)/100)*(1+Inputs!$B$15/100)*(1+Inputs!$B$16/100)*(5000/(6000+Inputs!$B$43*(1-((1-(1-Inputs!$B$19/100)*(1-1/100))*100)/100)))*(1+(Inputs!$B$24+((C714=TRUE)*(F714-Calc!F30)))/100)*(1+(IF(Skills!A14="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698)</f>
        <v/>
      </c>
      <c r="L698">
        <f>K698*(MIN(Inputs!$B$22+((C708=TRUE)*(F708-Calc!F24)),Inputs!$B$23+((C713=TRUE)*(F713-Calc!F29)))/100+(Inputs!$B$23+((C713=TRUE)*(F713-Calc!F29)))/100)/2</f>
        <v/>
      </c>
      <c r="M698">
        <f>L698*(1+(Inputs!$B$10+((C710=TRUE)*(F710-Calc!F26))+B724)/100)</f>
        <v/>
      </c>
      <c r="N698">
        <f>L698*(1-MIN((Inputs!$B$9+((C709=TRUE)*(F709-Calc!F25))+B717),100)/100)+M698*(MIN((Inputs!$B$9+((C709=TRUE)*(F709-Calc!F25))+B717),100)/100)</f>
        <v/>
      </c>
      <c r="O698">
        <f>(1-Summary!$B$55)*T698+Summary!$B$55*V698</f>
        <v/>
      </c>
      <c r="P698">
        <f>IF(B729=0,0,O698/B729)</f>
        <v/>
      </c>
      <c r="Q698">
        <f>IFERROR(1/IF(Inputs!$B$39="pvp",15,MAX(0.1,Skills!D14-IF(Skills!E14=TRUE,Inputs!$B$32,0))),0)</f>
        <v/>
      </c>
      <c r="R698">
        <f>IF(AND(Inputs!$B$39&lt;&gt;"pvp",Inputs!$B$44&gt;0),IF(MAX(0,Inputs!$B$44-B728)&lt;=0,0,(INT(MAX(0,Inputs!$B$44-B728)/IF(Inputs!$B$39="pvp",15,MAX(0.1,Skills!D14-IF(Skills!E14=TRUE,Inputs!$B$32,0))))+1)),0)</f>
        <v/>
      </c>
      <c r="S698">
        <f>IFERROR(O698/N698,0)</f>
        <v/>
      </c>
      <c r="T698">
        <f>IF(C698,(H698*N698*IF(AND(Inputs!$B$39&lt;&gt;"pvp",Inputs!$B$44&gt;0),((Skills!G14*((R698-1)*IF(Skills!H14&gt;0,Skills!I14/Skills!H14,1)+IF(Skills!H14&gt;0,MIN(Skills!I14,MAX(0,MAX(0,Inputs!$B$44-B728)-((R698-1)*IF(Inputs!$B$39="pvp",15,MAX(0.1,Skills!D14-IF(Skills!E14=TRUE,Inputs!$B$32,0))))))/Skills!H14,1)))/Inputs!$B$44),G698*Q698))*IF(Inputs!$B$39="pvp",1,1+(Inputs!$B$20+0+Skills!P14+B718)/100),0)</f>
        <v/>
      </c>
      <c r="V698">
        <f>IF(C698,(H698*N698*IF(AND(Inputs!$B$39&lt;&gt;"pvp",Inputs!$B$44&gt;0),((Skills!G14*((R698-1)*IF(Skills!H14&gt;0,Skills!I14/Skills!H14,1)+IF(Skills!H14&gt;0,MIN(Skills!I14,MAX(0,MAX(0,Inputs!$B$44-B728)-((R698-1)*IF(Inputs!$B$39="pvp",15,MAX(0.1,Skills!D14-IF(Skills!E14=TRUE,Inputs!$B$32,0))))))/Skills!H14,1)))/Inputs!$B$44),G698*Q698))*IF(Inputs!$B$39="pvp",1,(1+(Inputs!$B$21+Skills!Q14+B718)/100)*(MIN(MIN(5,0.25*B721*Skills!D4)*Skills!V14,Inputs!$B$37))),0)</f>
        <v/>
      </c>
    </row>
    <row r="699">
      <c r="A699">
        <f>Skills!A15</f>
        <v/>
      </c>
      <c r="B699">
        <f>Skills!B15</f>
        <v/>
      </c>
      <c r="C699">
        <f>Inputs!$B$3&gt;=110</f>
        <v/>
      </c>
      <c r="D699">
        <f>IF(Skills!C15=1,60+Inputs!$B$25+Inputs!$B$29,IF(Skills!C15=2,90+Inputs!$B$26+Inputs!$B$29,IF(Skills!C15=3,120+Inputs!$B$27+Inputs!$B$29,MAX(0,(Inputs!$B$3-100)*3)+Inputs!$B$28+Inputs!$B$29)))</f>
        <v/>
      </c>
      <c r="E699">
        <f>INDEX(FactorTable!$B$2:$Y$301, MATCH(ROUND(MIN(300,MAX(1,D699)),0), FactorTable!$A$2:$A$301,0), Skills!M15+1)</f>
        <v/>
      </c>
      <c r="F699">
        <f>IF(Skills!N15=TRUE,(Skills!L15/10)*(E699/1000),Skills!L15/10)+Skills!O15</f>
        <v/>
      </c>
      <c r="G699">
        <f>Skills!G15*IF(Skills!H15&gt;0,Skills!I15/Skills!H15,1)</f>
        <v/>
      </c>
      <c r="H699">
        <f>1-(1-Skills!J15/100)^Skills!K15</f>
        <v/>
      </c>
      <c r="I699" t="inlineStr">
        <is>
          <t>1</t>
        </is>
      </c>
      <c r="J699" t="inlineStr"/>
      <c r="K699" t="inlineStr"/>
      <c r="L699" t="inlineStr"/>
      <c r="M699" t="inlineStr"/>
      <c r="N699" t="inlineStr"/>
      <c r="O699">
        <f>(1-Summary!$B$55)*T699+Summary!$B$55*V699</f>
        <v/>
      </c>
      <c r="P699">
        <f>IF(B729=0,0,O699/B729)</f>
        <v/>
      </c>
      <c r="Q699">
        <f>IFERROR(1/IF(Inputs!$B$39="pvp",15,MAX(0.1,Skills!D15-IF(Skills!E15=TRUE,Inputs!$B$32,0))),0)</f>
        <v/>
      </c>
      <c r="R699">
        <f>IF(AND(Inputs!$B$39&lt;&gt;"pvp",Inputs!$B$44&gt;0),IF(Inputs!$B$44&lt;=0,0,(INT(Inputs!$B$44/IF(Inputs!$B$39="pvp",15,MAX(0.1,Skills!D15-IF(Skills!E15=TRUE,Inputs!$B$32,0))))+1)),0)</f>
        <v/>
      </c>
      <c r="S699">
        <f>IFERROR(O699/N699,0)</f>
        <v/>
      </c>
      <c r="T699" t="n">
        <v>0</v>
      </c>
      <c r="V699" t="n">
        <v>0</v>
      </c>
    </row>
    <row r="700">
      <c r="A700">
        <f>Skills!A16</f>
        <v/>
      </c>
      <c r="B700">
        <f>Skills!B16</f>
        <v/>
      </c>
      <c r="C700">
        <f>Inputs!$B$3&gt;=115</f>
        <v/>
      </c>
      <c r="D700">
        <f>IF(Skills!C16=1,60+Inputs!$B$25+Inputs!$B$29,IF(Skills!C16=2,90+Inputs!$B$26+Inputs!$B$29,IF(Skills!C16=3,120+Inputs!$B$27+Inputs!$B$29,MAX(0,(Inputs!$B$3-100)*3)+Inputs!$B$28+Inputs!$B$29)))</f>
        <v/>
      </c>
      <c r="E700">
        <f>INDEX(FactorTable!$B$2:$Y$301, MATCH(ROUND(MIN(300,MAX(1,D700)),0), FactorTable!$A$2:$A$301,0), Skills!M16+1)</f>
        <v/>
      </c>
      <c r="F700">
        <f>IF(Skills!N16=TRUE,(Skills!L16/10)*(E700/1000),Skills!L16/10)+Skills!O16</f>
        <v/>
      </c>
      <c r="G700">
        <f>Skills!G16*IF(Skills!H16&gt;0,Skills!I16/Skills!H16,1)</f>
        <v/>
      </c>
      <c r="H700">
        <f>1-(1-Skills!J16/100)^Skills!K16</f>
        <v/>
      </c>
      <c r="I700" t="inlineStr">
        <is>
          <t>1</t>
        </is>
      </c>
      <c r="J700">
        <f>((Inputs!$B$6*(1+Inputs!$B$7/100))+(((Inputs!$B$12*(1+Inputs!$B$13/100))-(Inputs!$B$12*(1+Inputs!$B$13/100)))+0.25*(Inputs!$B$14-Inputs!$B$14))*(1+Inputs!$B$7/100))*(F700/100)</f>
        <v/>
      </c>
      <c r="K700">
        <f>J700*(1+((Inputs!$B$12*(1+Inputs!$B$13/100))*0.01+Inputs!$B$14*0.0025)/100)*(1+Inputs!$B$15/100)*(1+Inputs!$B$16/100)*(5000/(6000+Inputs!$B$43*(1-((1-(1-Inputs!$B$19/100)*(1-1/100))*100)/100)))*(1+(Inputs!$B$24+((C714=TRUE)*(F714-Calc!F30)))/100)*(1+(IF(Skills!A16="CRUEL_STAB",Inputs!$B$17+((C711=TRUE)*(F711-Calc!F27)),Inputs!$B$18+((C712=TRUE)*(F712-Calc!F28))))/100)*(((1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B719*I700)</f>
        <v/>
      </c>
      <c r="L700">
        <f>K700*(MIN(Inputs!$B$22+((C708=TRUE)*(F708-Calc!F24)),Inputs!$B$23+((C713=TRUE)*(F713-Calc!F29)))/100+(Inputs!$B$23+((C713=TRUE)*(F713-Calc!F29)))/100)/2</f>
        <v/>
      </c>
      <c r="M700">
        <f>L700*(1+(Inputs!$B$10+((C710=TRUE)*(F710-Calc!F26))+B724)/100)</f>
        <v/>
      </c>
      <c r="N700">
        <f>L700*(1-MIN((Inputs!$B$9+((C709=TRUE)*(F709-Calc!F25))+B717),100)/100)+M700*(MIN((Inputs!$B$9+((C709=TRUE)*(F709-Calc!F25))+B717),100)/100)</f>
        <v/>
      </c>
      <c r="O700">
        <f>(1-Summary!$B$55)*T700+Summary!$B$55*V700</f>
        <v/>
      </c>
      <c r="P700">
        <f>IF(B729=0,0,O700/B729)</f>
        <v/>
      </c>
      <c r="Q700" t="n">
        <v>0</v>
      </c>
      <c r="R700" t="n">
        <v>0</v>
      </c>
      <c r="S700">
        <f>IFERROR(O700/N700,0)</f>
        <v/>
      </c>
      <c r="T700">
        <f>IF(C700,(Inputs!$B$38*0.2*N700)*IF(Inputs!$B$39="pvp",1,1+(Inputs!$B$20+0+Skills!P16+B718)/100),0)</f>
        <v/>
      </c>
      <c r="V700">
        <f>IF(C700,(Inputs!$B$38*0.2*N700)*IF(Inputs!$B$39="pvp",1,(1+(Inputs!$B$21+Skills!Q16+B718)/100)*(MIN(Skills!W16,Inputs!$B$37))),0)</f>
        <v/>
      </c>
    </row>
    <row r="701">
      <c r="A701">
        <f>Skills!A17</f>
        <v/>
      </c>
      <c r="B701">
        <f>Skills!B17</f>
        <v/>
      </c>
      <c r="C701">
        <f>Inputs!$B$3&gt;=115</f>
        <v/>
      </c>
      <c r="D701">
        <f>IF(Skills!C17=1,60+Inputs!$B$25+Inputs!$B$29,IF(Skills!C17=2,90+Inputs!$B$26+Inputs!$B$29,IF(Skills!C17=3,120+Inputs!$B$27+Inputs!$B$29,MAX(0,(Inputs!$B$3-100)*3)+Inputs!$B$28+Inputs!$B$29)))</f>
        <v/>
      </c>
      <c r="E701">
        <f>INDEX(FactorTable!$B$2:$Y$301, MATCH(ROUND(MIN(300,MAX(1,D701)),0), FactorTable!$A$2:$A$301,0), Skills!M17+1)</f>
        <v/>
      </c>
      <c r="F701">
        <f>IF(Skills!N17=TRUE,(Skills!L17/10)*(E701/1000),Skills!L17/10)+Skills!O17</f>
        <v/>
      </c>
      <c r="G701">
        <f>Skills!G17*IF(Skills!H17&gt;0,Skills!I17/Skills!H17,1)</f>
        <v/>
      </c>
      <c r="H701">
        <f>1-(1-Skills!J17/100)^Skills!K17</f>
        <v/>
      </c>
      <c r="I701" t="inlineStr">
        <is>
          <t>1</t>
        </is>
      </c>
      <c r="J701" t="inlineStr"/>
      <c r="K701" t="inlineStr"/>
      <c r="L701" t="inlineStr"/>
      <c r="M701" t="inlineStr"/>
      <c r="N701" t="inlineStr"/>
      <c r="O701">
        <f>(1-Summary!$B$55)*T701+Summary!$B$55*V701</f>
        <v/>
      </c>
      <c r="P701">
        <f>IF(B729=0,0,O701/B729)</f>
        <v/>
      </c>
      <c r="Q701" t="n">
        <v>0</v>
      </c>
      <c r="R701" t="n">
        <v>0</v>
      </c>
      <c r="S701">
        <f>IFERROR(O701/N701,0)</f>
        <v/>
      </c>
      <c r="T701" t="n">
        <v>0</v>
      </c>
      <c r="V701" t="n">
        <v>0</v>
      </c>
    </row>
    <row r="702">
      <c r="A702">
        <f>Skills!A18</f>
        <v/>
      </c>
      <c r="B702">
        <f>Skills!B18</f>
        <v/>
      </c>
      <c r="C702">
        <f>Inputs!$B$3&gt;=100</f>
        <v/>
      </c>
      <c r="D702">
        <f>IF(Skills!C18=1,60+Inputs!$B$25+Inputs!$B$29,IF(Skills!C18=2,90+Inputs!$B$26+Inputs!$B$29,IF(Skills!C18=3,120+Inputs!$B$27+Inputs!$B$29,MAX(0,(Inputs!$B$3-100)*3)+Inputs!$B$28+Inputs!$B$29)))</f>
        <v/>
      </c>
      <c r="E702">
        <f>INDEX(FactorTable!$B$2:$Y$301, MATCH(ROUND(MIN(300,MAX(1,D702)),0), FactorTable!$A$2:$A$301,0), Skills!M18+1)</f>
        <v/>
      </c>
      <c r="F702">
        <f>IF(Skills!N18=TRUE,(Skills!L18/10)*(E702/1000),Skills!L18/10)+Skills!O18</f>
        <v/>
      </c>
      <c r="G702">
        <f>Skills!G18*IF(Skills!H18&gt;0,Skills!I18/Skills!H18,1)</f>
        <v/>
      </c>
      <c r="H702">
        <f>1-(1-Skills!J18/100)^Skills!K18</f>
        <v/>
      </c>
      <c r="I702" t="inlineStr">
        <is>
          <t>1</t>
        </is>
      </c>
      <c r="J702" t="inlineStr"/>
      <c r="K702" t="inlineStr"/>
      <c r="L702" t="inlineStr"/>
      <c r="M702" t="inlineStr"/>
      <c r="N702" t="inlineStr"/>
      <c r="O702">
        <f>(1-Summary!$B$55)*T702+Summary!$B$55*V702</f>
        <v/>
      </c>
      <c r="P702">
        <f>IF(B729=0,0,O702/B729)</f>
        <v/>
      </c>
      <c r="Q702" t="n">
        <v>0</v>
      </c>
      <c r="R702" t="n">
        <v>0</v>
      </c>
      <c r="S702">
        <f>IFERROR(O702/N702,0)</f>
        <v/>
      </c>
      <c r="T702" t="n">
        <v>0</v>
      </c>
      <c r="V702" t="n">
        <v>0</v>
      </c>
    </row>
    <row r="703">
      <c r="A703">
        <f>Skills!A19</f>
        <v/>
      </c>
      <c r="B703">
        <f>Skills!B19</f>
        <v/>
      </c>
      <c r="C703">
        <f>TRUE</f>
        <v/>
      </c>
      <c r="D703">
        <f>IF(Skills!C19=1,60+Inputs!$B$25+Inputs!$B$29,IF(Skills!C19=2,90+Inputs!$B$26+Inputs!$B$29,IF(Skills!C19=3,120+Inputs!$B$27+Inputs!$B$29,MAX(0,(Inputs!$B$3-100)*3)+Inputs!$B$28+Inputs!$B$29)))</f>
        <v/>
      </c>
      <c r="E703">
        <f>INDEX(FactorTable!$B$2:$Y$301, MATCH(ROUND(MIN(300,MAX(1,D703)),0), FactorTable!$A$2:$A$301,0), Skills!M19+1)</f>
        <v/>
      </c>
      <c r="F703">
        <f>IF(Skills!N19=TRUE,(Skills!L19/10)*(E703/1000),Skills!L19/10)+Skills!O19</f>
        <v/>
      </c>
      <c r="G703">
        <f>Skills!G19*IF(Skills!H19&gt;0,Skills!I19/Skills!H19,1)</f>
        <v/>
      </c>
      <c r="H703">
        <f>1-(1-Skills!J19/100)^Skills!K19</f>
        <v/>
      </c>
      <c r="I703" t="inlineStr">
        <is>
          <t>1</t>
        </is>
      </c>
      <c r="J703" t="inlineStr"/>
      <c r="K703" t="inlineStr"/>
      <c r="L703" t="inlineStr"/>
      <c r="M703" t="inlineStr"/>
      <c r="N703" t="inlineStr"/>
      <c r="O703">
        <f>(1-Summary!$B$55)*T703+Summary!$B$55*V703</f>
        <v/>
      </c>
      <c r="P703">
        <f>IF(B729=0,0,O703/B729)</f>
        <v/>
      </c>
      <c r="Q703">
        <f>IFERROR(1/IF(Inputs!$B$39="pvp",15,MAX(0.1,Skills!D19-IF(Skills!E19=TRUE,Inputs!$B$32,0))),0)</f>
        <v/>
      </c>
      <c r="R703">
        <f>IF(AND(Inputs!$B$39&lt;&gt;"pvp",Inputs!$B$44&gt;0),IF(Inputs!$B$44&lt;=0,0,(INT(Inputs!$B$44/IF(Inputs!$B$39="pvp",15,MAX(0.1,Skills!D19-IF(Skills!E19=TRUE,Inputs!$B$32,0))))+1)),0)</f>
        <v/>
      </c>
      <c r="S703">
        <f>IFERROR(O703/N703,0)</f>
        <v/>
      </c>
      <c r="T703" t="n">
        <v>0</v>
      </c>
      <c r="V703" t="n">
        <v>0</v>
      </c>
    </row>
    <row r="704">
      <c r="A704">
        <f>Skills!A20</f>
        <v/>
      </c>
      <c r="B704">
        <f>Skills!B20</f>
        <v/>
      </c>
      <c r="C704">
        <f>Inputs!$B$3&gt;=15</f>
        <v/>
      </c>
      <c r="D704">
        <f>IF(Skills!C20=1,60+Inputs!$B$25+Inputs!$B$29,IF(Skills!C20=2,90+Inputs!$B$26+Inputs!$B$29,IF(Skills!C20=3,120+Inputs!$B$27+Inputs!$B$29,MAX(0,(Inputs!$B$3-100)*3)+Inputs!$B$28+Inputs!$B$29)))</f>
        <v/>
      </c>
      <c r="E704">
        <f>INDEX(FactorTable!$B$2:$Y$301, MATCH(ROUND(MIN(300,MAX(1,D704)),0), FactorTable!$A$2:$A$301,0), Skills!M20+1)</f>
        <v/>
      </c>
      <c r="F704">
        <f>IF(Skills!N20=TRUE,(Skills!L20/10)*(E704/1000),Skills!L20/10)+Skills!O20</f>
        <v/>
      </c>
      <c r="G704">
        <f>Skills!G20*IF(Skills!H20&gt;0,Skills!I20/Skills!H20,1)</f>
        <v/>
      </c>
      <c r="H704">
        <f>1-(1-Skills!J20/100)^Skills!K20</f>
        <v/>
      </c>
      <c r="I704" t="inlineStr">
        <is>
          <t>1</t>
        </is>
      </c>
      <c r="J704" t="inlineStr"/>
      <c r="K704" t="inlineStr"/>
      <c r="L704" t="inlineStr"/>
      <c r="M704" t="inlineStr"/>
      <c r="N704" t="inlineStr"/>
      <c r="O704">
        <f>(1-Summary!$B$55)*T704+Summary!$B$55*V704</f>
        <v/>
      </c>
      <c r="P704">
        <f>IF(B729=0,0,O704/B729)</f>
        <v/>
      </c>
      <c r="Q704">
        <f>IFERROR(1/IF(Inputs!$B$39="pvp",15,MAX(0.1,Skills!D20-IF(Skills!E20=TRUE,Inputs!$B$32,0))),0)</f>
        <v/>
      </c>
      <c r="R704">
        <f>IF(AND(Inputs!$B$39&lt;&gt;"pvp",Inputs!$B$44&gt;0),IF(Inputs!$B$44&lt;=0,0,(INT(Inputs!$B$44/IF(Inputs!$B$39="pvp",15,MAX(0.1,Skills!D20-IF(Skills!E20=TRUE,Inputs!$B$32,0))))+1)),0)</f>
        <v/>
      </c>
      <c r="S704">
        <f>IFERROR(O704/N704,0)</f>
        <v/>
      </c>
      <c r="T704" t="n">
        <v>0</v>
      </c>
      <c r="V704" t="n">
        <v>0</v>
      </c>
    </row>
    <row r="705">
      <c r="A705">
        <f>Skills!A21</f>
        <v/>
      </c>
      <c r="B705">
        <f>Skills!B21</f>
        <v/>
      </c>
      <c r="C705">
        <f>Inputs!$B$3&gt;=15</f>
        <v/>
      </c>
      <c r="D705">
        <f>IF(Skills!C21=1,60+Inputs!$B$25+Inputs!$B$29,IF(Skills!C21=2,90+Inputs!$B$26+Inputs!$B$29,IF(Skills!C21=3,120+Inputs!$B$27+Inputs!$B$29,MAX(0,(Inputs!$B$3-100)*3)+Inputs!$B$28+Inputs!$B$29)))</f>
        <v/>
      </c>
      <c r="E705">
        <f>INDEX(FactorTable!$B$2:$Y$301, MATCH(ROUND(MIN(300,MAX(1,D705)),0), FactorTable!$A$2:$A$301,0), Skills!M21+1)</f>
        <v/>
      </c>
      <c r="F705">
        <f>IF(Skills!N21=TRUE,(Skills!L21/10)*(E705/1000),Skills!L21/10)+Skills!O21</f>
        <v/>
      </c>
      <c r="G705">
        <f>Skills!G21*IF(Skills!H21&gt;0,Skills!I21/Skills!H21,1)</f>
        <v/>
      </c>
      <c r="H705">
        <f>1-(1-Skills!J21/100)^Skills!K21</f>
        <v/>
      </c>
      <c r="I705" t="inlineStr">
        <is>
          <t>1</t>
        </is>
      </c>
      <c r="J705" t="inlineStr"/>
      <c r="K705" t="inlineStr"/>
      <c r="L705" t="inlineStr"/>
      <c r="M705" t="inlineStr"/>
      <c r="N705" t="inlineStr"/>
      <c r="O705">
        <f>(1-Summary!$B$55)*T705+Summary!$B$55*V705</f>
        <v/>
      </c>
      <c r="P705">
        <f>IF(B729=0,0,O705/B729)</f>
        <v/>
      </c>
      <c r="Q705">
        <f>IFERROR(1/IF(Inputs!$B$39="pvp",15,MAX(0.1,Skills!D21-IF(Skills!E21=TRUE,Inputs!$B$32,0))),0)</f>
        <v/>
      </c>
      <c r="R705">
        <f>IF(AND(Inputs!$B$39&lt;&gt;"pvp",Inputs!$B$44&gt;0),IF(Inputs!$B$44&lt;=0,0,(INT(Inputs!$B$44/IF(Inputs!$B$39="pvp",15,MAX(0.1,Skills!D21-IF(Skills!E21=TRUE,Inputs!$B$32,0))))+1)),0)</f>
        <v/>
      </c>
      <c r="S705">
        <f>IFERROR(O705/N705,0)</f>
        <v/>
      </c>
      <c r="T705" t="n">
        <v>0</v>
      </c>
      <c r="V705" t="n">
        <v>0</v>
      </c>
    </row>
    <row r="706">
      <c r="A706">
        <f>Skills!A22</f>
        <v/>
      </c>
      <c r="B706">
        <f>Skills!B22</f>
        <v/>
      </c>
      <c r="C706">
        <f>Inputs!$B$3&gt;=33</f>
        <v/>
      </c>
      <c r="D706">
        <f>IF(Skills!C22=1,60+Inputs!$B$25+Inputs!$B$29,IF(Skills!C22=2,90+Inputs!$B$26+Inputs!$B$29,IF(Skills!C22=3,120+Inputs!$B$27+Inputs!$B$29,MAX(0,(Inputs!$B$3-100)*3)+Inputs!$B$28+Inputs!$B$29)))</f>
        <v/>
      </c>
      <c r="E706">
        <f>INDEX(FactorTable!$B$2:$Y$301, MATCH(ROUND(MIN(300,MAX(1,D706)),0), FactorTable!$A$2:$A$301,0), Skills!M22+1)</f>
        <v/>
      </c>
      <c r="F706">
        <f>IF(Skills!N22=TRUE,(Skills!L22/10)*(E706/1000),Skills!L22/10)+Skills!O22</f>
        <v/>
      </c>
      <c r="G706">
        <f>Skills!G22*IF(Skills!H22&gt;0,Skills!I22/Skills!H22,1)</f>
        <v/>
      </c>
      <c r="H706">
        <f>1-(1-Skills!J22/100)^Skills!K22</f>
        <v/>
      </c>
      <c r="I706" t="inlineStr">
        <is>
          <t>1</t>
        </is>
      </c>
      <c r="J706" t="inlineStr"/>
      <c r="K706" t="inlineStr"/>
      <c r="L706" t="inlineStr"/>
      <c r="M706" t="inlineStr"/>
      <c r="N706" t="inlineStr"/>
      <c r="O706">
        <f>(1-Summary!$B$55)*T706+Summary!$B$55*V706</f>
        <v/>
      </c>
      <c r="P706">
        <f>IF(B729=0,0,O706/B729)</f>
        <v/>
      </c>
      <c r="Q706" t="n">
        <v>0</v>
      </c>
      <c r="R706" t="n">
        <v>0</v>
      </c>
      <c r="S706">
        <f>IFERROR(O706/N706,0)</f>
        <v/>
      </c>
      <c r="T706" t="n">
        <v>0</v>
      </c>
      <c r="V706" t="n">
        <v>0</v>
      </c>
    </row>
    <row r="707">
      <c r="A707">
        <f>Skills!A23</f>
        <v/>
      </c>
      <c r="B707">
        <f>Skills!B23</f>
        <v/>
      </c>
      <c r="C707">
        <f>Inputs!$B$3&gt;=40</f>
        <v/>
      </c>
      <c r="D707">
        <f>IF(Skills!C23=1,60+Inputs!$B$25+Inputs!$B$29,IF(Skills!C23=2,90+Inputs!$B$26+Inputs!$B$29,IF(Skills!C23=3,120+Inputs!$B$27+Inputs!$B$29,MAX(0,(Inputs!$B$3-100)*3)+Inputs!$B$28+Inputs!$B$29)))</f>
        <v/>
      </c>
      <c r="E707">
        <f>INDEX(FactorTable!$B$2:$Y$301, MATCH(ROUND(MIN(300,MAX(1,D707)),0), FactorTable!$A$2:$A$301,0), Skills!M23+1)</f>
        <v/>
      </c>
      <c r="F707">
        <f>IF(Skills!N23=TRUE,(Skills!L23/10)*(E707/1000),Skills!L23/10)+Skills!O23</f>
        <v/>
      </c>
      <c r="G707">
        <f>Skills!G23*IF(Skills!H23&gt;0,Skills!I23/Skills!H23,1)</f>
        <v/>
      </c>
      <c r="H707">
        <f>1-(1-Skills!J23/100)^Skills!K23</f>
        <v/>
      </c>
      <c r="I707" t="inlineStr">
        <is>
          <t>1</t>
        </is>
      </c>
      <c r="J707" t="inlineStr"/>
      <c r="K707" t="inlineStr"/>
      <c r="L707" t="inlineStr"/>
      <c r="M707" t="inlineStr"/>
      <c r="N707" t="inlineStr"/>
      <c r="O707">
        <f>(1-Summary!$B$55)*T707+Summary!$B$55*V707</f>
        <v/>
      </c>
      <c r="P707">
        <f>IF(B729=0,0,O707/B729)</f>
        <v/>
      </c>
      <c r="Q707" t="n">
        <v>0</v>
      </c>
      <c r="R707" t="n">
        <v>0</v>
      </c>
      <c r="S707">
        <f>IFERROR(O707/N707,0)</f>
        <v/>
      </c>
      <c r="T707" t="n">
        <v>0</v>
      </c>
      <c r="V707" t="n">
        <v>0</v>
      </c>
    </row>
    <row r="708">
      <c r="A708">
        <f>Skills!A24</f>
        <v/>
      </c>
      <c r="B708">
        <f>Skills!B24</f>
        <v/>
      </c>
      <c r="C708">
        <f>Inputs!$B$3&gt;=43</f>
        <v/>
      </c>
      <c r="D708">
        <f>IF(Skills!C24=1,60+Inputs!$B$25+Inputs!$B$29,IF(Skills!C24=2,90+Inputs!$B$26+Inputs!$B$29,IF(Skills!C24=3,120+Inputs!$B$27+Inputs!$B$29,MAX(0,(Inputs!$B$3-100)*3)+Inputs!$B$28+Inputs!$B$29)))</f>
        <v/>
      </c>
      <c r="E708">
        <f>INDEX(FactorTable!$B$2:$Y$301, MATCH(ROUND(MIN(300,MAX(1,D708)),0), FactorTable!$A$2:$A$301,0), Skills!M24+1)</f>
        <v/>
      </c>
      <c r="F708">
        <f>IF(Skills!N24=TRUE,(Skills!L24/10)*(E708/1000),Skills!L24/10)+Skills!O24</f>
        <v/>
      </c>
      <c r="G708">
        <f>Skills!G24*IF(Skills!H24&gt;0,Skills!I24/Skills!H24,1)</f>
        <v/>
      </c>
      <c r="H708">
        <f>1-(1-Skills!J24/100)^Skills!K24</f>
        <v/>
      </c>
      <c r="I708" t="inlineStr">
        <is>
          <t>1</t>
        </is>
      </c>
      <c r="J708" t="inlineStr"/>
      <c r="K708" t="inlineStr"/>
      <c r="L708" t="inlineStr"/>
      <c r="M708" t="inlineStr"/>
      <c r="N708" t="inlineStr"/>
      <c r="O708">
        <f>(1-Summary!$B$55)*T708+Summary!$B$55*V708</f>
        <v/>
      </c>
      <c r="P708">
        <f>IF(B729=0,0,O708/B729)</f>
        <v/>
      </c>
      <c r="Q708" t="n">
        <v>0</v>
      </c>
      <c r="R708" t="n">
        <v>0</v>
      </c>
      <c r="S708">
        <f>IFERROR(O708/N708,0)</f>
        <v/>
      </c>
      <c r="T708" t="n">
        <v>0</v>
      </c>
      <c r="V708" t="n">
        <v>0</v>
      </c>
    </row>
    <row r="709">
      <c r="A709">
        <f>Skills!A25</f>
        <v/>
      </c>
      <c r="B709">
        <f>Skills!B25</f>
        <v/>
      </c>
      <c r="C709">
        <f>Inputs!$B$3&gt;=50</f>
        <v/>
      </c>
      <c r="D709">
        <f>IF(Skills!C25=1,60+Inputs!$B$25+Inputs!$B$29,IF(Skills!C25=2,90+Inputs!$B$26+Inputs!$B$29,IF(Skills!C25=3,120+Inputs!$B$27+Inputs!$B$29,MAX(0,(Inputs!$B$3-100)*3)+Inputs!$B$28+Inputs!$B$29)))</f>
        <v/>
      </c>
      <c r="E709">
        <f>INDEX(FactorTable!$B$2:$Y$301, MATCH(ROUND(MIN(300,MAX(1,D709)),0), FactorTable!$A$2:$A$301,0), Skills!M25+1)</f>
        <v/>
      </c>
      <c r="F709">
        <f>IF(Skills!N25=TRUE,(Skills!L25/10)*(E709/1000),Skills!L25/10)+Skills!O25</f>
        <v/>
      </c>
      <c r="G709">
        <f>Skills!G25*IF(Skills!H25&gt;0,Skills!I25/Skills!H25,1)</f>
        <v/>
      </c>
      <c r="H709">
        <f>1-(1-Skills!J25/100)^Skills!K25</f>
        <v/>
      </c>
      <c r="I709" t="inlineStr">
        <is>
          <t>1</t>
        </is>
      </c>
      <c r="J709" t="inlineStr"/>
      <c r="K709" t="inlineStr"/>
      <c r="L709" t="inlineStr"/>
      <c r="M709" t="inlineStr"/>
      <c r="N709" t="inlineStr"/>
      <c r="O709">
        <f>(1-Summary!$B$55)*T709+Summary!$B$55*V709</f>
        <v/>
      </c>
      <c r="P709">
        <f>IF(B729=0,0,O709/B729)</f>
        <v/>
      </c>
      <c r="Q709" t="n">
        <v>0</v>
      </c>
      <c r="R709" t="n">
        <v>0</v>
      </c>
      <c r="S709">
        <f>IFERROR(O709/N709,0)</f>
        <v/>
      </c>
      <c r="T709" t="n">
        <v>0</v>
      </c>
      <c r="V709" t="n">
        <v>0</v>
      </c>
    </row>
    <row r="710">
      <c r="A710">
        <f>Skills!A26</f>
        <v/>
      </c>
      <c r="B710">
        <f>Skills!B26</f>
        <v/>
      </c>
      <c r="C710">
        <f>Inputs!$B$3&gt;=50</f>
        <v/>
      </c>
      <c r="D710">
        <f>IF(Skills!C26=1,60+Inputs!$B$25+Inputs!$B$29,IF(Skills!C26=2,90+Inputs!$B$26+Inputs!$B$29,IF(Skills!C26=3,120+Inputs!$B$27+Inputs!$B$29,MAX(0,(Inputs!$B$3-100)*3)+Inputs!$B$28+Inputs!$B$29)))</f>
        <v/>
      </c>
      <c r="E710">
        <f>INDEX(FactorTable!$B$2:$Y$301, MATCH(ROUND(MIN(300,MAX(1,D710)),0), FactorTable!$A$2:$A$301,0), Skills!M26+1)</f>
        <v/>
      </c>
      <c r="F710">
        <f>IF(Skills!N26=TRUE,(Skills!L26/10)*(E710/1000),Skills!L26/10)+Skills!O26</f>
        <v/>
      </c>
      <c r="G710">
        <f>Skills!G26*IF(Skills!H26&gt;0,Skills!I26/Skills!H26,1)</f>
        <v/>
      </c>
      <c r="H710">
        <f>1-(1-Skills!J26/100)^Skills!K26</f>
        <v/>
      </c>
      <c r="I710" t="inlineStr">
        <is>
          <t>1</t>
        </is>
      </c>
      <c r="J710" t="inlineStr"/>
      <c r="K710" t="inlineStr"/>
      <c r="L710" t="inlineStr"/>
      <c r="M710" t="inlineStr"/>
      <c r="N710" t="inlineStr"/>
      <c r="O710">
        <f>(1-Summary!$B$55)*T710+Summary!$B$55*V710</f>
        <v/>
      </c>
      <c r="P710">
        <f>IF(B729=0,0,O710/B729)</f>
        <v/>
      </c>
      <c r="Q710" t="n">
        <v>0</v>
      </c>
      <c r="R710" t="n">
        <v>0</v>
      </c>
      <c r="S710">
        <f>IFERROR(O710/N710,0)</f>
        <v/>
      </c>
      <c r="T710" t="n">
        <v>0</v>
      </c>
      <c r="V710" t="n">
        <v>0</v>
      </c>
    </row>
    <row r="711">
      <c r="A711">
        <f>Skills!A27</f>
        <v/>
      </c>
      <c r="B711">
        <f>Skills!B27</f>
        <v/>
      </c>
      <c r="C711">
        <f>Inputs!$B$3&gt;=38</f>
        <v/>
      </c>
      <c r="D711">
        <f>IF(Skills!C27=1,60+Inputs!$B$25+Inputs!$B$29,IF(Skills!C27=2,90+Inputs!$B$26+Inputs!$B$29,IF(Skills!C27=3,120+Inputs!$B$27+Inputs!$B$29,MAX(0,(Inputs!$B$3-100)*3)+Inputs!$B$28+Inputs!$B$29)))</f>
        <v/>
      </c>
      <c r="E711">
        <f>INDEX(FactorTable!$B$2:$Y$301, MATCH(ROUND(MIN(300,MAX(1,D711)),0), FactorTable!$A$2:$A$301,0), Skills!M27+1)</f>
        <v/>
      </c>
      <c r="F711">
        <f>IF(Skills!N27=TRUE,(Skills!L27/10)*(E711/1000),Skills!L27/10)+Skills!O27</f>
        <v/>
      </c>
      <c r="G711">
        <f>Skills!G27*IF(Skills!H27&gt;0,Skills!I27/Skills!H27,1)</f>
        <v/>
      </c>
      <c r="H711">
        <f>1-(1-Skills!J27/100)^Skills!K27</f>
        <v/>
      </c>
      <c r="I711" t="inlineStr">
        <is>
          <t>1</t>
        </is>
      </c>
      <c r="J711" t="inlineStr"/>
      <c r="K711" t="inlineStr"/>
      <c r="L711" t="inlineStr"/>
      <c r="M711" t="inlineStr"/>
      <c r="N711" t="inlineStr"/>
      <c r="O711">
        <f>(1-Summary!$B$55)*T711+Summary!$B$55*V711</f>
        <v/>
      </c>
      <c r="P711">
        <f>IF(B729=0,0,O711/B729)</f>
        <v/>
      </c>
      <c r="Q711" t="n">
        <v>0</v>
      </c>
      <c r="R711" t="n">
        <v>0</v>
      </c>
      <c r="S711">
        <f>IFERROR(O711/N711,0)</f>
        <v/>
      </c>
      <c r="T711" t="n">
        <v>0</v>
      </c>
      <c r="V711" t="n">
        <v>0</v>
      </c>
    </row>
    <row r="712">
      <c r="A712">
        <f>Skills!A28</f>
        <v/>
      </c>
      <c r="B712">
        <f>Skills!B28</f>
        <v/>
      </c>
      <c r="C712">
        <f>Inputs!$B$3&gt;=120</f>
        <v/>
      </c>
      <c r="D712">
        <f>IF(Skills!C28=1,60+Inputs!$B$25+Inputs!$B$29,IF(Skills!C28=2,90+Inputs!$B$26+Inputs!$B$29,IF(Skills!C28=3,120+Inputs!$B$27+Inputs!$B$29,MAX(0,(Inputs!$B$3-100)*3)+Inputs!$B$28+Inputs!$B$29)))</f>
        <v/>
      </c>
      <c r="E712">
        <f>INDEX(FactorTable!$B$2:$Y$301, MATCH(ROUND(MIN(300,MAX(1,D712)),0), FactorTable!$A$2:$A$301,0), Skills!M28+1)</f>
        <v/>
      </c>
      <c r="F712">
        <f>IF(Skills!N28=TRUE,(Skills!L28/10)*(E712/1000),Skills!L28/10)+Skills!O28</f>
        <v/>
      </c>
      <c r="G712">
        <f>Skills!G28*IF(Skills!H28&gt;0,Skills!I28/Skills!H28,1)</f>
        <v/>
      </c>
      <c r="H712">
        <f>1-(1-Skills!J28/100)^Skills!K28</f>
        <v/>
      </c>
      <c r="I712" t="inlineStr">
        <is>
          <t>1</t>
        </is>
      </c>
      <c r="J712" t="inlineStr"/>
      <c r="K712" t="inlineStr"/>
      <c r="L712" t="inlineStr"/>
      <c r="M712" t="inlineStr"/>
      <c r="N712" t="inlineStr"/>
      <c r="O712">
        <f>(1-Summary!$B$55)*T712+Summary!$B$55*V712</f>
        <v/>
      </c>
      <c r="P712">
        <f>IF(B729=0,0,O712/B729)</f>
        <v/>
      </c>
      <c r="Q712" t="n">
        <v>0</v>
      </c>
      <c r="R712" t="n">
        <v>0</v>
      </c>
      <c r="S712">
        <f>IFERROR(O712/N712,0)</f>
        <v/>
      </c>
      <c r="T712" t="n">
        <v>0</v>
      </c>
      <c r="V712" t="n">
        <v>0</v>
      </c>
    </row>
    <row r="713">
      <c r="A713">
        <f>Skills!A29</f>
        <v/>
      </c>
      <c r="B713">
        <f>Skills!B29</f>
        <v/>
      </c>
      <c r="C713">
        <f>Inputs!$B$3&gt;=120</f>
        <v/>
      </c>
      <c r="D713">
        <f>IF(Skills!C29=1,60+Inputs!$B$25+Inputs!$B$29,IF(Skills!C29=2,90+Inputs!$B$26+Inputs!$B$29,IF(Skills!C29=3,120+Inputs!$B$27+Inputs!$B$29,MAX(0,(Inputs!$B$3-100)*3)+Inputs!$B$28+Inputs!$B$29)))</f>
        <v/>
      </c>
      <c r="E713">
        <f>INDEX(FactorTable!$B$2:$Y$301, MATCH(ROUND(MIN(300,MAX(1,D713)),0), FactorTable!$A$2:$A$301,0), Skills!M29+1)</f>
        <v/>
      </c>
      <c r="F713">
        <f>IF(Skills!N29=TRUE,(Skills!L29/10)*(E713/1000),Skills!L29/10)+Skills!O29</f>
        <v/>
      </c>
      <c r="G713">
        <f>Skills!G29*IF(Skills!H29&gt;0,Skills!I29/Skills!H29,1)</f>
        <v/>
      </c>
      <c r="H713">
        <f>1-(1-Skills!J29/100)^Skills!K29</f>
        <v/>
      </c>
      <c r="I713" t="inlineStr">
        <is>
          <t>1</t>
        </is>
      </c>
      <c r="J713" t="inlineStr"/>
      <c r="K713" t="inlineStr"/>
      <c r="L713" t="inlineStr"/>
      <c r="M713" t="inlineStr"/>
      <c r="N713" t="inlineStr"/>
      <c r="O713">
        <f>(1-Summary!$B$55)*T713+Summary!$B$55*V713</f>
        <v/>
      </c>
      <c r="P713">
        <f>IF(B729=0,0,O713/B729)</f>
        <v/>
      </c>
      <c r="Q713" t="n">
        <v>0</v>
      </c>
      <c r="R713" t="n">
        <v>0</v>
      </c>
      <c r="S713">
        <f>IFERROR(O713/N713,0)</f>
        <v/>
      </c>
      <c r="T713" t="n">
        <v>0</v>
      </c>
      <c r="V713" t="n">
        <v>0</v>
      </c>
    </row>
    <row r="714">
      <c r="A714">
        <f>Skills!A30</f>
        <v/>
      </c>
      <c r="B714">
        <f>Skills!B30</f>
        <v/>
      </c>
      <c r="C714">
        <f>Inputs!$B$3&gt;=125</f>
        <v/>
      </c>
      <c r="D714">
        <f>IF(Skills!C30=1,60+Inputs!$B$25+Inputs!$B$29,IF(Skills!C30=2,90+Inputs!$B$26+Inputs!$B$29,IF(Skills!C30=3,120+Inputs!$B$27+Inputs!$B$29,MAX(0,(Inputs!$B$3-100)*3)+Inputs!$B$28+Inputs!$B$29)))</f>
        <v/>
      </c>
      <c r="E714">
        <f>INDEX(FactorTable!$B$2:$Y$301, MATCH(ROUND(MIN(300,MAX(1,D714)),0), FactorTable!$A$2:$A$301,0), Skills!M30+1)</f>
        <v/>
      </c>
      <c r="F714">
        <f>IF(Skills!N30=TRUE,(Skills!L30/10)*(E714/1000),Skills!L30/10)+Skills!O30</f>
        <v/>
      </c>
      <c r="G714">
        <f>Skills!G30*IF(Skills!H30&gt;0,Skills!I30/Skills!H30,1)</f>
        <v/>
      </c>
      <c r="H714">
        <f>1-(1-Skills!J30/100)^Skills!K30</f>
        <v/>
      </c>
      <c r="I714" t="inlineStr">
        <is>
          <t>1</t>
        </is>
      </c>
      <c r="J714" t="inlineStr"/>
      <c r="K714" t="inlineStr"/>
      <c r="L714" t="inlineStr"/>
      <c r="M714" t="inlineStr"/>
      <c r="N714" t="inlineStr"/>
      <c r="O714">
        <f>(1-Summary!$B$55)*T714+Summary!$B$55*V714</f>
        <v/>
      </c>
      <c r="P714">
        <f>IF(B729=0,0,O714/B729)</f>
        <v/>
      </c>
      <c r="Q714" t="n">
        <v>0</v>
      </c>
      <c r="R714" t="n">
        <v>0</v>
      </c>
      <c r="S714">
        <f>IFERROR(O714/N714,0)</f>
        <v/>
      </c>
      <c r="T714" t="n">
        <v>0</v>
      </c>
      <c r="V714" t="n">
        <v>0</v>
      </c>
    </row>
    <row r="716">
      <c r="A716" t="inlineStr">
        <is>
          <t>Average Buff Multiplier</t>
        </is>
      </c>
      <c r="B716">
        <f>(1+(((C705=TRUE)*F705*IF(AND(Inputs!$B$39&lt;&gt;"pvp",Inputs!$B$44&gt;0),(((R705-1)*(Skills!Y21*(1+Inputs!$B$34/100))+MIN((Skills!Y21*(1+Inputs!$B$34/100)),MAX(0,Inputs!$B$44-((R705-1)*Skills!D21))))/Inputs!$B$44),IF(Inputs!$B$39="pvp",MIN((Skills!Y21*(1+Inputs!$B$34/100)),15)/15,(Skills!Y21*(1+Inputs!$B$34/100))/Skills!D21)))+((C707=TRUE)*(F707-Calc!F23))+((C701=TRUE)*(F701-Calc!F17)))/100)*(1+((C694=TRUE)*F694*IF(AND(Inputs!$B$39&lt;&gt;"pvp",Inputs!$B$44&gt;0),(((R694-1)*(Skills!Y10*(1+Inputs!$B$34/100))+MIN((Skills!Y10*(1+Inputs!$B$34/100)),MAX(0,Inputs!$B$44-((R694-1)*Skills!D10))))/Inputs!$B$44),IF(Inputs!$B$39="pvp",MIN((Skills!Y10*(1+Inputs!$B$34/100)),15)/15,(Skills!Y10*(1+Inputs!$B$34/100))/Skills!D10)))/100)*(1+((C699=TRUE)*F699*IF(AND(Inputs!$B$39&lt;&gt;"pvp",Inputs!$B$44&gt;0),(((R699-1)*(Skills!Y15*(1+Inputs!$B$34/100))+MIN((Skills!Y15*(1+Inputs!$B$34/100)),MAX(0,Inputs!$B$44-((R699-1)*Skills!D15))))/Inputs!$B$44),IF(Inputs!$B$39="pvp",MIN((Skills!Y15*(1+Inputs!$B$34/100)),15)/15,(Skills!Y15*(1+Inputs!$B$34/100))/Skills!D15)))/100)</f>
        <v/>
      </c>
    </row>
    <row r="717">
      <c r="A717" t="inlineStr">
        <is>
          <t>Global Crit Rate Bonus %</t>
        </is>
      </c>
      <c r="B717">
        <f>((C704=TRUE)*F704*IF(AND(Inputs!$B$39&lt;&gt;"pvp",Inputs!$B$44&gt;0),(((R704-1)*(Skills!Y20*(1+Inputs!$B$34/100))+MIN((Skills!Y20*(1+Inputs!$B$34/100)),MAX(0,Inputs!$B$44-((R704-1)*Skills!D20))))/Inputs!$B$44),IF(Inputs!$B$39="pvp",MIN((Skills!Y20*(1+Inputs!$B$34/100)),15)/15,(Skills!Y20*(1+Inputs!$B$34/100))/Skills!D20)))</f>
        <v/>
      </c>
    </row>
    <row r="718">
      <c r="A718" t="inlineStr">
        <is>
          <t>Global Monster Damage-Taken Bonus %</t>
        </is>
      </c>
      <c r="B718">
        <f>IF(Inputs!$B$3&gt;=82,15,0)</f>
        <v/>
      </c>
    </row>
    <row r="719">
      <c r="A719" t="inlineStr">
        <is>
          <t>Shadow Partner Average Multiplier</t>
        </is>
      </c>
      <c r="B719">
        <f>1+((C691=TRUE)*F691*(1+3.3333333333333335*IF(C702=TRUE,F702,0)/100)*I691*Skills!J7/100)/100</f>
        <v/>
      </c>
    </row>
    <row r="720">
      <c r="A720" t="inlineStr">
        <is>
          <t>Attack Speed Buff Bonus %</t>
        </is>
      </c>
      <c r="B720">
        <f>((C703=TRUE)*F703*IF(AND(Inputs!$B$39&lt;&gt;"pvp",Inputs!$B$44&gt;0),(((R703-1)*(Skills!Y19*(1+Inputs!$B$34/100))+MIN((Skills!Y19*(1+Inputs!$B$34/100)),MAX(0,Inputs!$B$44-((R703-1)*Skills!D19))))/Inputs!$B$44),IF(Inputs!$B$39="pvp",MIN((Skills!Y19*(1+Inputs!$B$34/100)),15)/15,(Skills!Y19*(1+Inputs!$B$34/100))/Skills!D19)))+((C687=TRUE)*F687*3)</f>
        <v/>
      </c>
    </row>
    <row r="721">
      <c r="A721" t="inlineStr">
        <is>
          <t>Actions Per Second</t>
        </is>
      </c>
      <c r="B721">
        <f>1+MIN(150,150*(1-(1-(Inputs!$B$11+((C706=TRUE)*(F706-Calc!F22)))/150)*(1-B720/150)))/100</f>
        <v/>
      </c>
    </row>
    <row r="722">
      <c r="A722" t="inlineStr">
        <is>
          <t>Skill + Buff Cast Rate</t>
        </is>
      </c>
      <c r="B722">
        <f>IF(AND(Inputs!$B$39&lt;&gt;"pvp",Inputs!$B$44&gt;0),SUMPRODUCT((Skills!E2:E30=TRUE)*(C686:C714=TRUE)*R686:R714*Skills!F2:F30)/Inputs!$B$44,SUMPRODUCT((Skills!E2:E30=TRUE)*(C686:C714=TRUE)*Q686:Q714*Skills!F2:F30))</f>
        <v/>
      </c>
    </row>
    <row r="723">
      <c r="A723" t="inlineStr">
        <is>
          <t>Cruel Stab Casts Per Second</t>
        </is>
      </c>
      <c r="B723">
        <f>MAX(0,B721-B722)</f>
        <v/>
      </c>
    </row>
    <row r="724">
      <c r="A724" t="inlineStr">
        <is>
          <t>Global Critical Damage Bonus % (Smokescreen Mastery Lv.113)</t>
        </is>
      </c>
      <c r="B724">
        <f>IF(Inputs!$B$3&gt;=113,30,0)*IF(AND(Inputs!$B$39&lt;&gt;"pvp",Inputs!$B$44&gt;0),(((R699-1)*(Skills!Y15*(1+Inputs!$B$34/100))+MIN((Skills!Y15*(1+Inputs!$B$34/100)),MAX(0,Inputs!$B$44-((R699-1)*Skills!D15))))/Inputs!$B$44),IF(Inputs!$B$39="pvp",MIN((Skills!Y15*(1+Inputs!$B$34/100)),15)/15,(Skills!Y15*(1+Inputs!$B$34/100))/Skills!D15))</f>
        <v/>
      </c>
    </row>
    <row r="725">
      <c r="A725" t="inlineStr">
        <is>
          <t>Meso Explosion average stack count</t>
        </is>
      </c>
      <c r="B725">
        <f>MIN(10,0.5*B721*Skills!D4)</f>
        <v/>
      </c>
    </row>
    <row r="726">
      <c r="A726" t="inlineStr">
        <is>
          <t>Blood Money average stack count</t>
        </is>
      </c>
      <c r="B726">
        <f>MIN(5,0.25*B721*Skills!D4)</f>
        <v/>
      </c>
    </row>
    <row r="727">
      <c r="A727" t="inlineStr">
        <is>
          <t>Assassinate Murderous Intent Multiplier</t>
        </is>
      </c>
      <c r="B727">
        <f>1+IFERROR(MIN(1,Q698*2/Q695),0)</f>
        <v/>
      </c>
    </row>
    <row r="728">
      <c r="A728" t="inlineStr">
        <is>
          <t>Buff-Casting Startup Delay (s, fixed-duration only)</t>
        </is>
      </c>
      <c r="B728">
        <f>IF(AND(Inputs!$B$39&lt;&gt;"pvp",Inputs!$B$44&gt;0),SUMPRODUCT((Skills!Y2:Y30&gt;0)*(Skills!E2:E30=TRUE)*(C686:C714=TRUE))/B721,0)</f>
        <v/>
      </c>
    </row>
    <row r="729">
      <c r="A729" s="5" t="inlineStr">
        <is>
          <t>TOTAL DPS</t>
        </is>
      </c>
      <c r="B729" s="5">
        <f>SUM(O686:O714)</f>
        <v/>
      </c>
    </row>
    <row r="730">
      <c r="A730" t="inlineStr">
        <is>
          <t>Boss-Only Total DPS (this block's swept value)</t>
        </is>
      </c>
      <c r="B730">
        <f>SUM(T686:T714)</f>
        <v/>
      </c>
    </row>
    <row r="731">
      <c r="A731" t="inlineStr">
        <is>
          <t>Normal-Only Total DPS (this block's swept value)</t>
        </is>
      </c>
      <c r="B731">
        <f>SUM(V686:V714)</f>
        <v/>
      </c>
    </row>
    <row r="734">
      <c r="A734" s="5" t="inlineStr">
        <is>
          <t>Stat: BASIC_ATTACK_DAMAGE %</t>
        </is>
      </c>
    </row>
    <row r="735">
      <c r="A735" s="9" t="inlineStr">
        <is>
          <t>Key</t>
        </is>
      </c>
      <c r="B735" s="9" t="inlineStr">
        <is>
          <t>Name</t>
        </is>
      </c>
      <c r="C735" s="9" t="inlineStr">
        <is>
          <t>Unlocked</t>
        </is>
      </c>
      <c r="D735" s="9" t="inlineStr">
        <is>
          <t>InputLevel</t>
        </is>
      </c>
      <c r="E735" s="9" t="inlineStr">
        <is>
          <t>Factor</t>
        </is>
      </c>
      <c r="F735" s="9" t="inlineStr">
        <is>
          <t>CoefficientPercent</t>
        </is>
      </c>
      <c r="G735" s="9" t="inlineStr">
        <is>
          <t>EffectiveHits</t>
        </is>
      </c>
      <c r="H735" s="9" t="inlineStr">
        <is>
          <t>ProcProbability</t>
        </is>
      </c>
      <c r="I735" s="9" t="inlineStr">
        <is>
          <t>MapleHeroMultiplier</t>
        </is>
      </c>
      <c r="J735" s="9" t="inlineStr">
        <is>
          <t>BaseDamage</t>
        </is>
      </c>
      <c r="K735" s="9" t="inlineStr">
        <is>
          <t>BaseHitDamage</t>
        </is>
      </c>
      <c r="L735" s="9" t="inlineStr">
        <is>
          <t>NonCritAvg</t>
        </is>
      </c>
      <c r="M735" s="9" t="inlineStr">
        <is>
          <t>CritAvg</t>
        </is>
      </c>
      <c r="N735" s="9" t="inlineStr">
        <is>
          <t>ExpectedDamage(perHit)</t>
        </is>
      </c>
      <c r="O735" s="9" t="inlineStr">
        <is>
          <t>DPS</t>
        </is>
      </c>
      <c r="P735" s="9" t="inlineStr">
        <is>
          <t>% of Total</t>
        </is>
      </c>
      <c r="Q735" s="9" t="inlineStr">
        <is>
          <t>InvCooldown</t>
        </is>
      </c>
      <c r="R735" s="9" t="inlineStr">
        <is>
          <t>CastsInFight</t>
        </is>
      </c>
      <c r="S735" s="9"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$43*(1-Inputs!$B$19/100)))*(1+(Inputs!$B$24+((C764=TRUE)*(F764-Calc!F30)))/100)*(1+(IF(Skills!A2="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736)</f>
        <v/>
      </c>
      <c r="L736">
        <f>K736*(MIN(Inputs!$B$22+((C758=TRUE)*(F758-Calc!F24)),Inputs!$B$23+((C763=TRUE)*(F763-Calc!F29)))/100+(Inputs!$B$23+((C763=TRUE)*(F763-Calc!F29)))/100)/2</f>
        <v/>
      </c>
      <c r="M736">
        <f>L736*(1+(Inputs!$B$10+((C760=TRUE)*(F760-Calc!F26))+B774)/100)</f>
        <v/>
      </c>
      <c r="N736">
        <f>L736*(1-MIN((Inputs!$B$9+((C759=TRUE)*(F759-Calc!F25))+B767),100)/100)+M736*(MIN((Inputs!$B$9+((C759=TRUE)*(F759-Calc!F25))+B767),100)/100)</f>
        <v/>
      </c>
      <c r="O736">
        <f>(1-Summary!$B$55)*T736+Summary!$B$55*V736</f>
        <v/>
      </c>
      <c r="P736">
        <f>IF(B779=0,0,O736/B779)</f>
        <v/>
      </c>
      <c r="Q736" t="n">
        <v>0</v>
      </c>
      <c r="R736" t="n">
        <v>0</v>
      </c>
      <c r="S736">
        <f>IFERROR(O736/N736,0)</f>
        <v/>
      </c>
      <c r="T736">
        <f>IF(C736,(Skills!G2*N736*B773)*IF(Inputs!$B$39="pvp",1,1+(Inputs!$B$20+0+Skills!P2+B768)/100),0)</f>
        <v/>
      </c>
      <c r="U736">
        <f>MAX(0,(Inputs!$B$3-100)*3)+Inputs!$B$28+Inputs!$B$29</f>
        <v/>
      </c>
      <c r="V736">
        <f>IF(C736,(Skills!G2*N736*B773)*IF(Inputs!$B$39="pvp",1,(1+(Inputs!$B$21+Skills!Q2+B768)/100)*(MIN((6+Inputs!$B$33),Inputs!$B$37))),0)</f>
        <v/>
      </c>
    </row>
    <row r="737">
      <c r="A737">
        <f>Skills!A3</f>
        <v/>
      </c>
      <c r="B737">
        <f>Skills!B3</f>
        <v/>
      </c>
      <c r="C737">
        <f>Inputs!$B$3&gt;=35</f>
        <v/>
      </c>
      <c r="D737">
        <f>IF(Skills!C3=1,60+Inputs!$B$25+Inputs!$B$29,IF(Skills!C3=2,90+Inputs!$B$26+Inputs!$B$29,IF(Skills!C3=3,120+Inputs!$B$27+Inputs!$B$29,MAX(0,(Inputs!$B$3-100)*3)+Inputs!$B$28+Inputs!$B$29)))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t="inlineStr"/>
      <c r="K737" t="inlineStr"/>
      <c r="L737" t="inlineStr"/>
      <c r="M737" t="inlineStr"/>
      <c r="N737" t="inlineStr"/>
      <c r="O737">
        <f>(1-Summary!$B$55)*T737+Summary!$B$55*V737</f>
        <v/>
      </c>
      <c r="P737">
        <f>IF(B779=0,0,O737/B779)</f>
        <v/>
      </c>
      <c r="Q737" t="n">
        <v>0</v>
      </c>
      <c r="R737" t="n">
        <v>0</v>
      </c>
      <c r="S737">
        <f>IFERROR(O737/N737,0)</f>
        <v/>
      </c>
      <c r="T737" t="n">
        <v>0</v>
      </c>
      <c r="U737">
        <f>INDEX(FactorTable!$B$2:$Y$301, MATCH(ROUND(MIN(300,MAX(1,U736)),0), FactorTable!$A$2:$A$301,0), 22)</f>
        <v/>
      </c>
      <c r="V737" t="n">
        <v>0</v>
      </c>
    </row>
    <row r="738">
      <c r="A738">
        <f>Skills!A4</f>
        <v/>
      </c>
      <c r="B738">
        <f>Skills!B4</f>
        <v/>
      </c>
      <c r="C738">
        <f>Inputs!$B$3&gt;=66</f>
        <v/>
      </c>
      <c r="D738">
        <f>IF(Skills!C4=1,60+Inputs!$B$25+Inputs!$B$29,IF(Skills!C4=2,90+Inputs!$B$26+Inputs!$B$29,IF(Skills!C4=3,120+Inputs!$B$27+Inputs!$B$29,MAX(0,(Inputs!$B$3-100)*3)+Inputs!$B$28+Inputs!$B$29)))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$43*(1-Inputs!$B$19/100)))*(1+(Inputs!$B$24+((C764=TRUE)*(F764-Calc!F30)))/100)*(1+(IF(Skills!A4="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738)</f>
        <v/>
      </c>
      <c r="L738">
        <f>K738*(MIN(Inputs!$B$22+((C758=TRUE)*(F758-Calc!F24)),Inputs!$B$23+((C763=TRUE)*(F763-Calc!F29)))/100+(Inputs!$B$23+((C763=TRUE)*(F763-Calc!F29)))/100)/2</f>
        <v/>
      </c>
      <c r="M738">
        <f>L738*(1+(Inputs!$B$10+((C760=TRUE)*(F760-Calc!F26))+B774)/100)</f>
        <v/>
      </c>
      <c r="N738">
        <f>L738*(1-MIN((Inputs!$B$9+((C759=TRUE)*(F759-Calc!F25))+B767),100)/100)+M738*(MIN((Inputs!$B$9+((C759=TRUE)*(F759-Calc!F25))+B767),100)/100)</f>
        <v/>
      </c>
      <c r="O738">
        <f>(1-Summary!$B$55)*T738+Summary!$B$55*V738</f>
        <v/>
      </c>
      <c r="P738">
        <f>IF(B779=0,0,O738/B779)</f>
        <v/>
      </c>
      <c r="Q738">
        <f>IFERROR(1/IF(Inputs!$B$39="pvp",15,MAX(0.1,Skills!D4-IF(Skills!E4=TRUE,Inputs!$B$32,0))),0)</f>
        <v/>
      </c>
      <c r="R738">
        <f>IF(AND(Inputs!$B$39&lt;&gt;"pvp",Inputs!$B$44&gt;0),IF(MAX(0,Inputs!$B$44-B778)&lt;=0,0,(INT(MAX(0,Inputs!$B$44-B778)/IF(Inputs!$B$39="pvp",15,MAX(0.1,Skills!D4-IF(Skills!E4=TRUE,Inputs!$B$32,0))))+1)),0)</f>
        <v/>
      </c>
      <c r="S738">
        <f>IFERROR(O738/N738,0)</f>
        <v/>
      </c>
      <c r="T738">
        <f>IF(C738,(H738*N738*IF(AND(Inputs!$B$39&lt;&gt;"pvp",Inputs!$B$44&gt;0),((Skills!G4*((R738-1)*IF(Skills!H4&gt;0,Skills!I4/Skills!H4,1)+IF(Skills!H4&gt;0,MIN(Skills!I4,MAX(0,MAX(0,Inputs!$B$44-B778)-((R738-1)*IF(Inputs!$B$39="pvp",15,MAX(0.1,Skills!D4-IF(Skills!E4=TRUE,Inputs!$B$32,0))))))/Skills!H4,1)))/Inputs!$B$44),G738*Q738))*IF(Inputs!$B$39="pvp",1,1+(Inputs!$B$20+0+Skills!P4+B768)/100),0)</f>
        <v/>
      </c>
      <c r="U738">
        <f>290*U737/1000</f>
        <v/>
      </c>
      <c r="V738">
        <f>IF(C738,(H738*N738*IF(AND(Inputs!$B$39&lt;&gt;"pvp",Inputs!$B$44&gt;0),((Skills!G4*((R738-1)*IF(Skills!H4&gt;0,Skills!I4/Skills!H4,1)+IF(Skills!H4&gt;0,MIN(Skills!I4,MAX(0,MAX(0,Inputs!$B$44-B778)-((R738-1)*IF(Inputs!$B$39="pvp",15,MAX(0.1,Skills!D4-IF(Skills!E4=TRUE,Inputs!$B$32,0))))))/Skills!H4,1)))/Inputs!$B$44),G738*Q738))*IF(Inputs!$B$39="pvp",1,(1+(Inputs!$B$21+Skills!Q4+B768)/100)*(MIN(MIN(10,0.5*B771*Skills!D4),Inputs!$B$37))),0)</f>
        <v/>
      </c>
    </row>
    <row r="739">
      <c r="A739">
        <f>Skills!A5</f>
        <v/>
      </c>
      <c r="B739">
        <f>Skills!B5</f>
        <v/>
      </c>
      <c r="C739">
        <f>Inputs!$B$3&gt;=63</f>
        <v/>
      </c>
      <c r="D739">
        <f>IF(Skills!C5=1,60+Inputs!$B$25+Inputs!$B$29,IF(Skills!C5=2,90+Inputs!$B$26+Inputs!$B$29,IF(Skills!C5=3,120+Inputs!$B$27+Inputs!$B$29,MAX(0,(Inputs!$B$3-100)*3)+Inputs!$B$28+Inputs!$B$29)))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f>((Inputs!$B$6*(1+Inputs!$B$7/100))+(((Inputs!$B$12*(1+Inputs!$B$13/100))-(Inputs!$B$12*(1+Inputs!$B$13/100)))+0.25*(Inputs!$B$14-Inputs!$B$14))*(1+Inputs!$B$7/100))*(F739/100)</f>
        <v/>
      </c>
      <c r="K739">
        <f>J739*(1+((Inputs!$B$12*(1+Inputs!$B$13/100))*0.01+Inputs!$B$14*0.0025)/100)*(1+Inputs!$B$15/100)*(1+Inputs!$B$16/100)*(5000/(6000+Inputs!$B$43*(1-Inputs!$B$19/100)))*(1+(Inputs!$B$24+((C764=TRUE)*(F764-Calc!F30)))/100)*(1+2.6666666666666665*IF(C752=TRUE,F752,0)/100)*(1+(IF(Skills!A5="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739)</f>
        <v/>
      </c>
      <c r="L739">
        <f>K739*(MIN(Inputs!$B$22+((C758=TRUE)*(F758-Calc!F24)),Inputs!$B$23+((C763=TRUE)*(F763-Calc!F29)))/100+(Inputs!$B$23+((C763=TRUE)*(F763-Calc!F29)))/100)/2</f>
        <v/>
      </c>
      <c r="M739">
        <f>L739*(1+(Inputs!$B$10+((C760=TRUE)*(F760-Calc!F26))+B774)/100)</f>
        <v/>
      </c>
      <c r="N739">
        <f>L739*(1-MIN((Inputs!$B$9+((C759=TRUE)*(F759-Calc!F25))+B767),100)/100)+M739*(MIN((Inputs!$B$9+((C759=TRUE)*(F759-Calc!F25))+B767),100)/100)</f>
        <v/>
      </c>
      <c r="O739">
        <f>(1-Summary!$B$55)*T739+Summary!$B$55*V739</f>
        <v/>
      </c>
      <c r="P739">
        <f>IF(B779=0,0,O739/B779)</f>
        <v/>
      </c>
      <c r="Q739">
        <f>IFERROR(1/IF(Inputs!$B$39="pvp",15,MAX(0.1,Skills!D5-IF(Skills!E5=TRUE,Inputs!$B$32,0))),0)</f>
        <v/>
      </c>
      <c r="R739">
        <f>IF(AND(Inputs!$B$39&lt;&gt;"pvp",Inputs!$B$44&gt;0),IF(MAX(0,Inputs!$B$44-B778)&lt;=0,0,(INT(MAX(0,Inputs!$B$44-B778)/IF(Inputs!$B$39="pvp",15,MAX(0.1,Skills!D5-IF(Skills!E5=TRUE,Inputs!$B$32,0))))+1)),0)</f>
        <v/>
      </c>
      <c r="S739">
        <f>IFERROR(O739/N739,0)</f>
        <v/>
      </c>
      <c r="T739">
        <f>IF(C739,(H739*N739*IF(AND(Inputs!$B$39&lt;&gt;"pvp",Inputs!$B$44&gt;0),((Skills!G5*((R739-1)*IF(Skills!H5&gt;0,Skills!I5/Skills!H5,1)+IF(Skills!H5&gt;0,MIN(Skills!I5,MAX(0,MAX(0,Inputs!$B$44-B778)-((R739-1)*IF(Inputs!$B$39="pvp",15,MAX(0.1,Skills!D5-IF(Skills!E5=TRUE,Inputs!$B$32,0))))))/Skills!H5,1)))/Inputs!$B$44),G739*Q739))*IF(Inputs!$B$39="pvp",1,1+(Inputs!$B$20+0+Skills!P5+B768)/100),0)</f>
        <v/>
      </c>
      <c r="V739">
        <f>IF(C739,(H739*N739*IF(AND(Inputs!$B$39&lt;&gt;"pvp",Inputs!$B$44&gt;0),((Skills!G5*((R739-1)*IF(Skills!H5&gt;0,Skills!I5/Skills!H5,1)+IF(Skills!H5&gt;0,MIN(Skills!I5,MAX(0,MAX(0,Inputs!$B$44-B778)-((R739-1)*IF(Inputs!$B$39="pvp",15,MAX(0.1,Skills!D5-IF(Skills!E5=TRUE,Inputs!$B$32,0))))))/Skills!H5,1)))/Inputs!$B$44),G739*Q739))*IF(Inputs!$B$39="pvp",1,(1+(Inputs!$B$21+Skills!Q5+B768)/100)*(MIN(Skills!W5,Inputs!$B$37))),0)</f>
        <v/>
      </c>
    </row>
    <row r="740">
      <c r="A740">
        <f>Skills!A6</f>
        <v/>
      </c>
      <c r="B740">
        <f>Skills!B6</f>
        <v/>
      </c>
      <c r="C740">
        <f>Inputs!$B$3&gt;=69</f>
        <v/>
      </c>
      <c r="D740">
        <f>IF(Skills!C6=1,60+Inputs!$B$25+Inputs!$B$29,IF(Skills!C6=2,90+Inputs!$B$26+Inputs!$B$29,IF(Skills!C6=3,120+Inputs!$B$27+Inputs!$B$29,MAX(0,(Inputs!$B$3-100)*3)+Inputs!$B$28+Inputs!$B$29)))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$43*(1-Inputs!$B$19/100)))*(1+(Inputs!$B$24+((C764=TRUE)*(F764-Calc!F30)))/100)*(1+1.0*IF(C752=TRUE,F752,0)/100)*(1+(IF(Skills!A6="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740)</f>
        <v/>
      </c>
      <c r="L740">
        <f>K740*(MIN(Inputs!$B$22+((C758=TRUE)*(F758-Calc!F24)),Inputs!$B$23+((C763=TRUE)*(F763-Calc!F29)))/100+(Inputs!$B$23+((C763=TRUE)*(F763-Calc!F29)))/100)/2</f>
        <v/>
      </c>
      <c r="M740">
        <f>L740*(1+(Inputs!$B$10+((C760=TRUE)*(F760-Calc!F26))+B774)/100)</f>
        <v/>
      </c>
      <c r="N740">
        <f>L740*(1-MIN((Inputs!$B$9+((C759=TRUE)*(F759-Calc!F25))+B767),100)/100)+M740*(MIN((Inputs!$B$9+((C759=TRUE)*(F759-Calc!F25))+B767),100)/100)</f>
        <v/>
      </c>
      <c r="O740">
        <f>(1-Summary!$B$55)*T740+Summary!$B$55*V740</f>
        <v/>
      </c>
      <c r="P740">
        <f>IF(B779=0,0,O740/B779)</f>
        <v/>
      </c>
      <c r="Q740">
        <f>IFERROR(1/IF(Inputs!$B$39="pvp",15,MAX(0.1,Skills!D6-IF(Skills!E6=TRUE,Inputs!$B$32,0))),0)</f>
        <v/>
      </c>
      <c r="R740">
        <f>IF(AND(Inputs!$B$39&lt;&gt;"pvp",Inputs!$B$44&gt;0),IF(MAX(0,Inputs!$B$44-B778)&lt;=0,0,(INT(MAX(0,Inputs!$B$44-B778)/IF(Inputs!$B$39="pvp",15,MAX(0.1,Skills!D6-IF(Skills!E6=TRUE,Inputs!$B$32,0))))+1)),0)</f>
        <v/>
      </c>
      <c r="S740">
        <f>IFERROR(O740/N740,0)</f>
        <v/>
      </c>
      <c r="T740">
        <f>IF(C740,(H740*N740*IF(AND(Inputs!$B$39&lt;&gt;"pvp",Inputs!$B$44&gt;0),((Skills!G6*((R740-1)*IF(Skills!H6&gt;0,Skills!I6/Skills!H6,1)+IF(Skills!H6&gt;0,MIN(Skills!I6,MAX(0,MAX(0,Inputs!$B$44-B778)-((R740-1)*IF(Inputs!$B$39="pvp",15,MAX(0.1,Skills!D6-IF(Skills!E6=TRUE,Inputs!$B$32,0))))))/Skills!H6,1)))/Inputs!$B$44),G740*Q740))*IF(Inputs!$B$39="pvp",1,1+(Inputs!$B$20+0+Skills!P6+B768)/100),0)</f>
        <v/>
      </c>
      <c r="V740">
        <f>IF(C740,(H740*N740*IF(AND(Inputs!$B$39&lt;&gt;"pvp",Inputs!$B$44&gt;0),((Skills!G6*((R740-1)*IF(Skills!H6&gt;0,Skills!I6/Skills!H6,1)+IF(Skills!H6&gt;0,MIN(Skills!I6,MAX(0,MAX(0,Inputs!$B$44-B778)-((R740-1)*IF(Inputs!$B$39="pvp",15,MAX(0.1,Skills!D6-IF(Skills!E6=TRUE,Inputs!$B$32,0))))))/Skills!H6,1)))/Inputs!$B$44),G740*Q740))*IF(Inputs!$B$39="pvp",1,(1+(Inputs!$B$21+Skills!Q6+B768)/100)*(MIN(Skills!W6,Inputs!$B$37))),0)</f>
        <v/>
      </c>
    </row>
    <row r="741">
      <c r="A741">
        <f>Skills!A7</f>
        <v/>
      </c>
      <c r="B741">
        <f>Skills!B7</f>
        <v/>
      </c>
      <c r="C741">
        <f>Inputs!$B$3&gt;=60</f>
        <v/>
      </c>
      <c r="D741">
        <f>IF(Skills!C7=1,60+Inputs!$B$25+Inputs!$B$29,IF(Skills!C7=2,90+Inputs!$B$26+Inputs!$B$29,IF(Skills!C7=3,120+Inputs!$B$27+Inputs!$B$29,MAX(0,(Inputs!$B$3-100)*3)+Inputs!$B$28+Inputs!$B$29)))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t="inlineStr"/>
      <c r="K741" t="inlineStr"/>
      <c r="L741" t="inlineStr"/>
      <c r="M741" t="inlineStr"/>
      <c r="N741" t="inlineStr"/>
      <c r="O741">
        <f>(1-Summary!$B$55)*T741+Summary!$B$55*V741</f>
        <v/>
      </c>
      <c r="P741">
        <f>IF(B779=0,0,O741/B779)</f>
        <v/>
      </c>
      <c r="Q741" t="n">
        <v>0</v>
      </c>
      <c r="R741" t="n">
        <v>0</v>
      </c>
      <c r="S741">
        <f>IFERROR(O741/N741,0)</f>
        <v/>
      </c>
      <c r="T741" t="n">
        <v>0</v>
      </c>
      <c r="V741" t="n">
        <v>0</v>
      </c>
    </row>
    <row r="742">
      <c r="A742">
        <f>Skills!A8</f>
        <v/>
      </c>
      <c r="B742">
        <f>Skills!B8</f>
        <v/>
      </c>
      <c r="C742">
        <f>Inputs!$B$3&gt;=72</f>
        <v/>
      </c>
      <c r="D742">
        <f>IF(Skills!C8=1,60+Inputs!$B$25+Inputs!$B$29,IF(Skills!C8=2,90+Inputs!$B$26+Inputs!$B$29,IF(Skills!C8=3,120+Inputs!$B$27+Inputs!$B$29,MAX(0,(Inputs!$B$3-100)*3)+Inputs!$B$28+Inputs!$B$29)))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$43*(1-Inputs!$B$19/100)))*(1+(Inputs!$B$24+((C764=TRUE)*(F764-Calc!F30)))/100)*(1+3.3333333333333335*IF(C752=TRUE,F752,0)/100)*(1+(IF(Skills!A8="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742)</f>
        <v/>
      </c>
      <c r="L742">
        <f>K742*(MIN(Inputs!$B$22+((C758=TRUE)*(F758-Calc!F24)),Inputs!$B$23+((C763=TRUE)*(F763-Calc!F29)))/100+(Inputs!$B$23+((C763=TRUE)*(F763-Calc!F29)))/100)/2</f>
        <v/>
      </c>
      <c r="M742">
        <f>L742*(1+(Inputs!$B$10+((C760=TRUE)*(F760-Calc!F26))+B774)/100)</f>
        <v/>
      </c>
      <c r="N742">
        <f>L742*(1-MIN((Inputs!$B$9+((C759=TRUE)*(F759-Calc!F25))+B767),100)/100)+M742*(MIN((Inputs!$B$9+((C759=TRUE)*(F759-Calc!F25))+B767),100)/100)</f>
        <v/>
      </c>
      <c r="O742">
        <f>(1-Summary!$B$55)*T742+Summary!$B$55*V742</f>
        <v/>
      </c>
      <c r="P742">
        <f>IF(B779=0,0,O742/B779)</f>
        <v/>
      </c>
      <c r="Q742">
        <f>IFERROR(1/IF(Inputs!$B$39="pvp",15,MAX(0.1,Skills!D8-IF(Skills!E8=TRUE,Inputs!$B$32,0))),0)</f>
        <v/>
      </c>
      <c r="R742">
        <f>IF(AND(Inputs!$B$39&lt;&gt;"pvp",Inputs!$B$44&gt;0),IF(MAX(0,Inputs!$B$44-B778)&lt;=0,0,(INT(MAX(0,Inputs!$B$44-B778)/IF(Inputs!$B$39="pvp",15,MAX(0.1,Skills!D8-IF(Skills!E8=TRUE,Inputs!$B$32,0))))+1)),0)</f>
        <v/>
      </c>
      <c r="S742">
        <f>IFERROR(O742/N742,0)</f>
        <v/>
      </c>
      <c r="T742">
        <f>IF(C742,(H742*N742*IF(AND(Inputs!$B$39&lt;&gt;"pvp",Inputs!$B$44&gt;0),((Skills!G8*((R742-1)*IF(Skills!H8&gt;0,Skills!I8/Skills!H8,1)+IF(Skills!H8&gt;0,MIN(Skills!I8,MAX(0,MAX(0,Inputs!$B$44-B778)-((R742-1)*IF(Inputs!$B$39="pvp",15,MAX(0.1,Skills!D8-IF(Skills!E8=TRUE,Inputs!$B$32,0))))))/Skills!H8,1)))/Inputs!$B$44),G742*Q742))*IF(Inputs!$B$39="pvp",1,1+(Inputs!$B$20+0+Skills!P8+B768)/100),0)</f>
        <v/>
      </c>
      <c r="V742">
        <f>IF(C742,(H742*N742*IF(AND(Inputs!$B$39&lt;&gt;"pvp",Inputs!$B$44&gt;0),((Skills!G8*((R742-1)*IF(Skills!H8&gt;0,Skills!I8/Skills!H8,1)+IF(Skills!H8&gt;0,MIN(Skills!I8,MAX(0,MAX(0,Inputs!$B$44-B778)-((R742-1)*IF(Inputs!$B$39="pvp",15,MAX(0.1,Skills!D8-IF(Skills!E8=TRUE,Inputs!$B$32,0))))))/Skills!H8,1)))/Inputs!$B$44),G742*Q742))*IF(Inputs!$B$39="pvp",1,(1+(Inputs!$B$21+Skills!Q8+B768)/100)*(MIN(Skills!W8,Inputs!$B$37))),0)</f>
        <v/>
      </c>
    </row>
    <row r="743">
      <c r="A743">
        <f>Skills!A9</f>
        <v/>
      </c>
      <c r="B743">
        <f>Skills!B9</f>
        <v/>
      </c>
      <c r="C743">
        <f>Inputs!$B$3&gt;=117</f>
        <v/>
      </c>
      <c r="D743">
        <f>IF(Skills!C9=1,60+Inputs!$B$25+Inputs!$B$29,IF(Skills!C9=2,90+Inputs!$B$26+Inputs!$B$29,IF(Skills!C9=3,120+Inputs!$B$27+Inputs!$B$29,MAX(0,(Inputs!$B$3-100)*3)+Inputs!$B$28+Inputs!$B$29)))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$43*(1-Inputs!$B$19/100)))*(1+(Inputs!$B$24+((C764=TRUE)*(F764-Calc!F30)))/100)*(1+(IF(Skills!A9="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743)</f>
        <v/>
      </c>
      <c r="L743">
        <f>K743*(MIN(Inputs!$B$22+((C758=TRUE)*(F758-Calc!F24)),Inputs!$B$23+((C763=TRUE)*(F763-Calc!F29)))/100+(Inputs!$B$23+((C763=TRUE)*(F763-Calc!F29)))/100)/2</f>
        <v/>
      </c>
      <c r="M743">
        <f>L743*(1+(Inputs!$B$10+((C760=TRUE)*(F760-Calc!F26))+B774)/100)</f>
        <v/>
      </c>
      <c r="N743">
        <f>L743*(1-MIN((Inputs!$B$9+((C759=TRUE)*(F759-Calc!F25))+B767),100)/100)+M743*(MIN((Inputs!$B$9+((C759=TRUE)*(F759-Calc!F25))+B767),100)/100)</f>
        <v/>
      </c>
      <c r="O743">
        <f>(1-Summary!$B$55)*T743+Summary!$B$55*V743</f>
        <v/>
      </c>
      <c r="P743">
        <f>IF(B779=0,0,O743/B779)</f>
        <v/>
      </c>
      <c r="Q743" t="n">
        <v>0</v>
      </c>
      <c r="R743" t="n">
        <v>0</v>
      </c>
      <c r="S743" t="n">
        <v>0</v>
      </c>
      <c r="T743">
        <f>IF(C743,(0.2*SUMPRODUCT((Skills!Z2:Z30=TRUE)*(C736:C764=TRUE)*S736:S764)*N743)*IF(Inputs!$B$39="pvp",1,1+(Inputs!$B$20+0+Skills!P9+B768)/100),0)</f>
        <v/>
      </c>
      <c r="V743">
        <f>IF(C743,(0.2*SUMPRODUCT((Skills!Z2:Z30=TRUE)*(C736:C764=TRUE)*S736:S764)*N743)*IF(Inputs!$B$39="pvp",1,(1+(Inputs!$B$21+Skills!Q9+B768)/100)*(MIN(Skills!W9,Inputs!$B$37))),0)</f>
        <v/>
      </c>
    </row>
    <row r="744">
      <c r="A744">
        <f>Skills!A10</f>
        <v/>
      </c>
      <c r="B744">
        <f>Skills!B10</f>
        <v/>
      </c>
      <c r="C744">
        <f>Inputs!$B$3&gt;=74</f>
        <v/>
      </c>
      <c r="D744">
        <f>IF(Skills!C10=1,60+Inputs!$B$25+Inputs!$B$29,IF(Skills!C10=2,90+Inputs!$B$26+Inputs!$B$29,IF(Skills!C10=3,120+Inputs!$B$27+Inputs!$B$29,MAX(0,(Inputs!$B$3-100)*3)+Inputs!$B$28+Inputs!$B$29)))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t="inlineStr"/>
      <c r="K744" t="inlineStr"/>
      <c r="L744" t="inlineStr"/>
      <c r="M744" t="inlineStr"/>
      <c r="N744" t="inlineStr"/>
      <c r="O744">
        <f>(1-Summary!$B$55)*T744+Summary!$B$55*V744</f>
        <v/>
      </c>
      <c r="P744">
        <f>IF(B779=0,0,O744/B779)</f>
        <v/>
      </c>
      <c r="Q744">
        <f>IFERROR(1/IF(Inputs!$B$39="pvp",15,MAX(0.1,Skills!D10-IF(Skills!E10=TRUE,Inputs!$B$32,0))),0)</f>
        <v/>
      </c>
      <c r="R744">
        <f>IF(AND(Inputs!$B$39&lt;&gt;"pvp",Inputs!$B$44&gt;0),IF(Inputs!$B$44&lt;=0,0,(INT(Inputs!$B$44/IF(Inputs!$B$39="pvp",15,MAX(0.1,Skills!D10-IF(Skills!E10=TRUE,Inputs!$B$32,0))))+1)),0)</f>
        <v/>
      </c>
      <c r="S744">
        <f>IFERROR(O744/N744,0)</f>
        <v/>
      </c>
      <c r="T744" t="n">
        <v>0</v>
      </c>
      <c r="V744" t="n">
        <v>0</v>
      </c>
    </row>
    <row r="745">
      <c r="A745">
        <f>Skills!A11</f>
        <v/>
      </c>
      <c r="B745">
        <f>Skills!B11</f>
        <v/>
      </c>
      <c r="C745">
        <f>Inputs!$B$3&gt;=103</f>
        <v/>
      </c>
      <c r="D745">
        <f>IF(Skills!C11=1,60+Inputs!$B$25+Inputs!$B$29,IF(Skills!C11=2,90+Inputs!$B$26+Inputs!$B$29,IF(Skills!C11=3,120+Inputs!$B$27+Inputs!$B$29,MAX(0,(Inputs!$B$3-100)*3)+Inputs!$B$28+Inputs!$B$29)))</f>
        <v/>
      </c>
      <c r="E745">
        <f>INDEX(FactorTable!$B$2:$Y$301, MATCH(ROUND(MIN(300,MAX(1,D745)),0), FactorTable!$A$2:$A$301,0), Skills!M11+1)</f>
        <v/>
      </c>
      <c r="F745">
        <f>(Skills!L11/10)*(E745/1000)+IF(Inputs!$B$3&gt;=134,50,0)+0.5*(30000/10)*(INDEX(FactorTable!$B$2:$Y$301, MATCH(ROUND(MIN(300,MAX(1,D745)),0), FactorTable!$A$2:$A$301,0), 13)/1000)*B777</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$43*(1-Inputs!$B$19/100)))*(1+(Inputs!$B$24+((C764=TRUE)*(F764-Calc!F30)))/100)*(1+(IF(Skills!A11="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745)</f>
        <v/>
      </c>
      <c r="L745">
        <f>K745*(MIN(Inputs!$B$22+((C758=TRUE)*(F758-Calc!F24)),Inputs!$B$23+((C763=TRUE)*(F763-Calc!F29)))/100+(Inputs!$B$23+((C763=TRUE)*(F763-Calc!F29)))/100)/2</f>
        <v/>
      </c>
      <c r="M745">
        <f>L745*(1+(Inputs!$B$10+((C760=TRUE)*(F760-Calc!F26))+B774)/100)</f>
        <v/>
      </c>
      <c r="N745">
        <f>L745*(1-MIN((Inputs!$B$9+((C759=TRUE)*(F759-Calc!F25))+B767),100)/100)+M745*(MIN((Inputs!$B$9+((C759=TRUE)*(F759-Calc!F25))+B767),100)/100)</f>
        <v/>
      </c>
      <c r="O745">
        <f>(1-Summary!$B$55)*T745+Summary!$B$55*V745</f>
        <v/>
      </c>
      <c r="P745">
        <f>IF(B779=0,0,O745/B779)</f>
        <v/>
      </c>
      <c r="Q745">
        <f>IFERROR(1/IF(Inputs!$B$39="pvp",15,MAX(0.1,Skills!D11-IF(Skills!E11=TRUE,Inputs!$B$32,0))),0)</f>
        <v/>
      </c>
      <c r="R745">
        <f>IF(AND(Inputs!$B$39&lt;&gt;"pvp",Inputs!$B$44&gt;0),IF(MAX(0,Inputs!$B$44-B778)&lt;=0,0,(INT(MAX(0,Inputs!$B$44-B778)/IF(Inputs!$B$39="pvp",15,MAX(0.1,Skills!D11-IF(Skills!E11=TRUE,Inputs!$B$32,0))))+1)),0)</f>
        <v/>
      </c>
      <c r="S745">
        <f>IFERROR(O745/N745,0)</f>
        <v/>
      </c>
      <c r="T745">
        <f>IF(C745,(H745*N745*IF(AND(Inputs!$B$39&lt;&gt;"pvp",Inputs!$B$44&gt;0),((Skills!G11*((R745-1)*IF(Skills!H11&gt;0,Skills!I11/Skills!H11,1)+IF(Skills!H11&gt;0,MIN(Skills!I11,MAX(0,MAX(0,Inputs!$B$44-B778)-((R745-1)*IF(Inputs!$B$39="pvp",15,MAX(0.1,Skills!D11-IF(Skills!E11=TRUE,Inputs!$B$32,0))))))/Skills!H11,1)))/Inputs!$B$44),G745*Q745))*IF(Inputs!$B$39="pvp",1,1+(Inputs!$B$20+0+Skills!P11+B768)/100),0)</f>
        <v/>
      </c>
      <c r="V745">
        <f>IF(C745,(H745*N745*IF(AND(Inputs!$B$39&lt;&gt;"pvp",Inputs!$B$44&gt;0),((Skills!G11*((R745-1)*IF(Skills!H11&gt;0,Skills!I11/Skills!H11,1)+IF(Skills!H11&gt;0,MIN(Skills!I11,MAX(0,MAX(0,Inputs!$B$44-B778)-((R745-1)*IF(Inputs!$B$39="pvp",15,MAX(0.1,Skills!D11-IF(Skills!E11=TRUE,Inputs!$B$32,0))))))/Skills!H11,1)))/Inputs!$B$44),G745*Q745))*IF(Inputs!$B$39="pvp",1,(1+(Inputs!$B$21+Skills!Q11+B768)/100)*(MIN(Skills!W11,Inputs!$B$37))),0)</f>
        <v/>
      </c>
    </row>
    <row r="746">
      <c r="A746">
        <f>Skills!A12</f>
        <v/>
      </c>
      <c r="B746">
        <f>Skills!B12</f>
        <v/>
      </c>
      <c r="C746">
        <f>Inputs!$B$3&gt;=105</f>
        <v/>
      </c>
      <c r="D746">
        <f>IF(Skills!C12=1,60+Inputs!$B$25+Inputs!$B$29,IF(Skills!C12=2,90+Inputs!$B$26+Inputs!$B$29,IF(Skills!C12=3,120+Inputs!$B$27+Inputs!$B$29,MAX(0,(Inputs!$B$3-100)*3)+Inputs!$B$28+Inputs!$B$29)))</f>
        <v/>
      </c>
      <c r="E746">
        <f>INDEX(FactorTable!$B$2:$Y$301, MATCH(ROUND(MIN(300,MAX(1,D746)),0), FactorTable!$A$2:$A$301,0), Skills!M12+1)</f>
        <v/>
      </c>
      <c r="F746">
        <f>IF(Skills!N12=TRUE,(Skills!L12/10)*(E746/1000),Skills!L12/10)+Skills!O12</f>
        <v/>
      </c>
      <c r="G746">
        <f>Skills!G12*IF(Skills!H12&gt;0,Skills!I12/Skills!H12,1)</f>
        <v/>
      </c>
      <c r="H746">
        <f>1-(1-Skills!J12/100)^Skills!K12</f>
        <v/>
      </c>
      <c r="I746" t="inlineStr">
        <is>
          <t>1</t>
        </is>
      </c>
      <c r="J746">
        <f>((Inputs!$B$6*(1+Inputs!$B$7/100))+(((Inputs!$B$12*(1+Inputs!$B$13/100))-(Inputs!$B$12*(1+Inputs!$B$13/100)))+0.25*(Inputs!$B$14-Inputs!$B$14))*(1+Inputs!$B$7/100))*(F746/100)</f>
        <v/>
      </c>
      <c r="K746">
        <f>J746*(1+((Inputs!$B$12*(1+Inputs!$B$13/100))*0.01+Inputs!$B$14*0.0025)/100)*(1+Inputs!$B$15/100)*(1+Inputs!$B$16/100)*(5000/(6000+Inputs!$B$43*(1-Inputs!$B$19/100)))*(1+(Inputs!$B$24+((C764=TRUE)*(F764-Calc!F30)))/100)*(1+(IF(Skills!A12="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746)</f>
        <v/>
      </c>
      <c r="L746">
        <f>K746*(MIN(Inputs!$B$22+((C758=TRUE)*(F758-Calc!F24)),Inputs!$B$23+((C763=TRUE)*(F763-Calc!F29)))/100+(Inputs!$B$23+((C763=TRUE)*(F763-Calc!F29)))/100)/2</f>
        <v/>
      </c>
      <c r="M746">
        <f>L746*(1+(Inputs!$B$10+((C760=TRUE)*(F760-Calc!F26))+B774)/100)</f>
        <v/>
      </c>
      <c r="N746">
        <f>L746*(1-MIN((Inputs!$B$9+((C759=TRUE)*(F759-Calc!F25))+B767),100)/100)+M746*(MIN((Inputs!$B$9+((C759=TRUE)*(F759-Calc!F25))+B767),100)/100)</f>
        <v/>
      </c>
      <c r="O746">
        <f>(1-Summary!$B$55)*T746+Summary!$B$55*V746</f>
        <v/>
      </c>
      <c r="P746">
        <f>IF(B779=0,0,O746/B779)</f>
        <v/>
      </c>
      <c r="Q746">
        <f>IFERROR(1/IF(Inputs!$B$39="pvp",15,MAX(0.1,Skills!D12-IF(Skills!E12=TRUE,Inputs!$B$32,0))),0)</f>
        <v/>
      </c>
      <c r="R746">
        <f>IF(AND(Inputs!$B$39&lt;&gt;"pvp",Inputs!$B$44&gt;0),IF(MAX(0,Inputs!$B$44-B778)&lt;=0,0,(INT(MAX(0,Inputs!$B$44-B778)/IF(Inputs!$B$39="pvp",15,MAX(0.1,Skills!D12-IF(Skills!E12=TRUE,Inputs!$B$32,0))))+1)),0)</f>
        <v/>
      </c>
      <c r="S746">
        <f>IFERROR(O746/N746,0)</f>
        <v/>
      </c>
      <c r="T746">
        <f>IF(C746,(H746*N746*IF(AND(Inputs!$B$39&lt;&gt;"pvp",Inputs!$B$44&gt;0),((Skills!G12*((R746-1)*IF(Skills!H12&gt;0,Skills!I12/Skills!H12,1)+IF(Skills!H12&gt;0,MIN(Skills!I12,MAX(0,MAX(0,Inputs!$B$44-B778)-((R746-1)*IF(Inputs!$B$39="pvp",15,MAX(0.1,Skills!D12-IF(Skills!E12=TRUE,Inputs!$B$32,0))))))/Skills!H12,1)))/Inputs!$B$44),G746*Q746))*IF(Inputs!$B$39="pvp",1,1+(Inputs!$B$20+0+Skills!P12+B768)/100),0)</f>
        <v/>
      </c>
      <c r="V746">
        <f>IF(C746,(H746*N746*IF(AND(Inputs!$B$39&lt;&gt;"pvp",Inputs!$B$44&gt;0),((Skills!G12*((R746-1)*IF(Skills!H12&gt;0,Skills!I12/Skills!H12,1)+IF(Skills!H12&gt;0,MIN(Skills!I12,MAX(0,MAX(0,Inputs!$B$44-B778)-((R746-1)*IF(Inputs!$B$39="pvp",15,MAX(0.1,Skills!D12-IF(Skills!E12=TRUE,Inputs!$B$32,0))))))/Skills!H12,1)))/Inputs!$B$44),G746*Q746))*IF(Inputs!$B$39="pvp",1,(1+(Inputs!$B$21+Skills!Q12+B768)/100)*(MIN(Skills!W12,Inputs!$B$37))),0)</f>
        <v/>
      </c>
    </row>
    <row r="747">
      <c r="A747">
        <f>Skills!A13</f>
        <v/>
      </c>
      <c r="B747">
        <f>Skills!B13</f>
        <v/>
      </c>
      <c r="C747">
        <f>Inputs!$B$3&gt;=105</f>
        <v/>
      </c>
      <c r="D747">
        <f>IF(Skills!C13=1,60+Inputs!$B$25+Inputs!$B$29,IF(Skills!C13=2,90+Inputs!$B$26+Inputs!$B$29,IF(Skills!C13=3,120+Inputs!$B$27+Inputs!$B$29,MAX(0,(Inputs!$B$3-100)*3)+Inputs!$B$28+Inputs!$B$29)))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f>((Inputs!$B$6*(1+Inputs!$B$7/100))+(((Inputs!$B$12*(1+Inputs!$B$13/100))-(Inputs!$B$12*(1+Inputs!$B$13/100)))+0.25*(Inputs!$B$14-Inputs!$B$14))*(1+Inputs!$B$7/100))*(F747/100)</f>
        <v/>
      </c>
      <c r="K747">
        <f>J747*(1+((Inputs!$B$12*(1+Inputs!$B$13/100))*0.01+Inputs!$B$14*0.0025)/100)*(1+Inputs!$B$15/100)*(1+Inputs!$B$16/100)*(5000/(6000+Inputs!$B$43*(1-Inputs!$B$19/100)))*(1+(Inputs!$B$24+((C764=TRUE)*(F764-Calc!F30)))/100)*(1+(IF(Skills!A13="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747)</f>
        <v/>
      </c>
      <c r="L747">
        <f>K747*(MIN(Inputs!$B$22+((C758=TRUE)*(F758-Calc!F24)),Inputs!$B$23+((C763=TRUE)*(F763-Calc!F29)))/100+(Inputs!$B$23+((C763=TRUE)*(F763-Calc!F29)))/100)/2</f>
        <v/>
      </c>
      <c r="M747">
        <f>L747*(1+(Inputs!$B$10+((C760=TRUE)*(F760-Calc!F26))+B774)/100)</f>
        <v/>
      </c>
      <c r="N747">
        <f>L747*(1-MIN((Inputs!$B$9+((C759=TRUE)*(F759-Calc!F25))+B767),100)/100)+M747*(MIN((Inputs!$B$9+((C759=TRUE)*(F759-Calc!F25))+B767),100)/100)</f>
        <v/>
      </c>
      <c r="O747">
        <f>(1-Summary!$B$55)*T747+Summary!$B$55*V747</f>
        <v/>
      </c>
      <c r="P747">
        <f>IF(B779=0,0,O747/B779)</f>
        <v/>
      </c>
      <c r="Q747">
        <f>IFERROR(1/IF(Inputs!$B$39="pvp",15,MAX(0.1,Skills!D13-IF(Skills!E13=TRUE,Inputs!$B$32,0))),0)</f>
        <v/>
      </c>
      <c r="R747">
        <f>IF(AND(Inputs!$B$39&lt;&gt;"pvp",Inputs!$B$44&gt;0),IF(MAX(0,Inputs!$B$44-B778)&lt;=0,0,(INT(MAX(0,Inputs!$B$44-B778)/IF(Inputs!$B$39="pvp",15,MAX(0.1,Skills!D13-IF(Skills!E13=TRUE,Inputs!$B$32,0))))+1)),0)</f>
        <v/>
      </c>
      <c r="S747">
        <f>IFERROR(O747/N747,0)</f>
        <v/>
      </c>
      <c r="T747">
        <f>IF(C747,(H747*N747*IF(AND(Inputs!$B$39&lt;&gt;"pvp",Inputs!$B$44&gt;0),((Skills!G13*((R747-1)*IF(Skills!H13&gt;0,Skills!I13/Skills!H13,1)+IF(Skills!H13&gt;0,MIN(Skills!I13,MAX(0,MAX(0,Inputs!$B$44-B778)-((R747-1)*IF(Inputs!$B$39="pvp",15,MAX(0.1,Skills!D13-IF(Skills!E13=TRUE,Inputs!$B$32,0))))))/Skills!H13,1)))/Inputs!$B$44),G747*Q747))*IF(Inputs!$B$39="pvp",1,1+(Inputs!$B$20+0+Skills!P13+B768)/100),0)</f>
        <v/>
      </c>
      <c r="V747">
        <f>IF(C747,(H747*N747*IF(AND(Inputs!$B$39&lt;&gt;"pvp",Inputs!$B$44&gt;0),((Skills!G13*((R747-1)*IF(Skills!H13&gt;0,Skills!I13/Skills!H13,1)+IF(Skills!H13&gt;0,MIN(Skills!I13,MAX(0,MAX(0,Inputs!$B$44-B778)-((R747-1)*IF(Inputs!$B$39="pvp",15,MAX(0.1,Skills!D13-IF(Skills!E13=TRUE,Inputs!$B$32,0))))))/Skills!H13,1)))/Inputs!$B$44),G747*Q747))*IF(Inputs!$B$39="pvp",1,(1+(Inputs!$B$21+Skills!Q13+B768)/100)*(MIN(Skills!W13,Inputs!$B$37))),0)</f>
        <v/>
      </c>
    </row>
    <row r="748">
      <c r="A748">
        <f>Skills!A14</f>
        <v/>
      </c>
      <c r="B748">
        <f>Skills!B14</f>
        <v/>
      </c>
      <c r="C748">
        <f>Inputs!$B$3&gt;=107</f>
        <v/>
      </c>
      <c r="D748">
        <f>IF(Skills!C14=1,60+Inputs!$B$25+Inputs!$B$29,IF(Skills!C14=2,90+Inputs!$B$26+Inputs!$B$29,IF(Skills!C14=3,120+Inputs!$B$27+Inputs!$B$29,MAX(0,(Inputs!$B$3-100)*3)+Inputs!$B$28+Inputs!$B$29)))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f>((Inputs!$B$6*(1+Inputs!$B$7/100))+(((Inputs!$B$12*(1+Inputs!$B$13/100))-(Inputs!$B$12*(1+Inputs!$B$13/100)))+0.25*(Inputs!$B$14-Inputs!$B$14))*(1+Inputs!$B$7/100))*(F748/100)</f>
        <v/>
      </c>
      <c r="K748">
        <f>J748*(1+((Inputs!$B$12*(1+Inputs!$B$13/100))*0.01+Inputs!$B$14*0.0025)/100)*(1+Inputs!$B$15/100)*(1+Inputs!$B$16/100)*(5000/(6000+Inputs!$B$43*(1-Inputs!$B$19/100)))*(1+(Inputs!$B$24+((C764=TRUE)*(F764-Calc!F30)))/100)*(1+(IF(Skills!A14="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748)</f>
        <v/>
      </c>
      <c r="L748">
        <f>K748*(MIN(Inputs!$B$22+((C758=TRUE)*(F758-Calc!F24)),Inputs!$B$23+((C763=TRUE)*(F763-Calc!F29)))/100+(Inputs!$B$23+((C763=TRUE)*(F763-Calc!F29)))/100)/2</f>
        <v/>
      </c>
      <c r="M748">
        <f>L748*(1+(Inputs!$B$10+((C760=TRUE)*(F760-Calc!F26))+B774)/100)</f>
        <v/>
      </c>
      <c r="N748">
        <f>L748*(1-MIN((Inputs!$B$9+((C759=TRUE)*(F759-Calc!F25))+B767),100)/100)+M748*(MIN((Inputs!$B$9+((C759=TRUE)*(F759-Calc!F25))+B767),100)/100)</f>
        <v/>
      </c>
      <c r="O748">
        <f>(1-Summary!$B$55)*T748+Summary!$B$55*V748</f>
        <v/>
      </c>
      <c r="P748">
        <f>IF(B779=0,0,O748/B779)</f>
        <v/>
      </c>
      <c r="Q748">
        <f>IFERROR(1/IF(Inputs!$B$39="pvp",15,MAX(0.1,Skills!D14-IF(Skills!E14=TRUE,Inputs!$B$32,0))),0)</f>
        <v/>
      </c>
      <c r="R748">
        <f>IF(AND(Inputs!$B$39&lt;&gt;"pvp",Inputs!$B$44&gt;0),IF(MAX(0,Inputs!$B$44-B778)&lt;=0,0,(INT(MAX(0,Inputs!$B$44-B778)/IF(Inputs!$B$39="pvp",15,MAX(0.1,Skills!D14-IF(Skills!E14=TRUE,Inputs!$B$32,0))))+1)),0)</f>
        <v/>
      </c>
      <c r="S748">
        <f>IFERROR(O748/N748,0)</f>
        <v/>
      </c>
      <c r="T748">
        <f>IF(C748,(H748*N748*IF(AND(Inputs!$B$39&lt;&gt;"pvp",Inputs!$B$44&gt;0),((Skills!G14*((R748-1)*IF(Skills!H14&gt;0,Skills!I14/Skills!H14,1)+IF(Skills!H14&gt;0,MIN(Skills!I14,MAX(0,MAX(0,Inputs!$B$44-B778)-((R748-1)*IF(Inputs!$B$39="pvp",15,MAX(0.1,Skills!D14-IF(Skills!E14=TRUE,Inputs!$B$32,0))))))/Skills!H14,1)))/Inputs!$B$44),G748*Q748))*IF(Inputs!$B$39="pvp",1,1+(Inputs!$B$20+0+Skills!P14+B768)/100),0)</f>
        <v/>
      </c>
      <c r="V748">
        <f>IF(C748,(H748*N748*IF(AND(Inputs!$B$39&lt;&gt;"pvp",Inputs!$B$44&gt;0),((Skills!G14*((R748-1)*IF(Skills!H14&gt;0,Skills!I14/Skills!H14,1)+IF(Skills!H14&gt;0,MIN(Skills!I14,MAX(0,MAX(0,Inputs!$B$44-B778)-((R748-1)*IF(Inputs!$B$39="pvp",15,MAX(0.1,Skills!D14-IF(Skills!E14=TRUE,Inputs!$B$32,0))))))/Skills!H14,1)))/Inputs!$B$44),G748*Q748))*IF(Inputs!$B$39="pvp",1,(1+(Inputs!$B$21+Skills!Q14+B768)/100)*(MIN(MIN(5,0.25*B771*Skills!D4)*Skills!V14,Inputs!$B$37))),0)</f>
        <v/>
      </c>
    </row>
    <row r="749">
      <c r="A749">
        <f>Skills!A15</f>
        <v/>
      </c>
      <c r="B749">
        <f>Skills!B15</f>
        <v/>
      </c>
      <c r="C749">
        <f>Inputs!$B$3&gt;=110</f>
        <v/>
      </c>
      <c r="D749">
        <f>IF(Skills!C15=1,60+Inputs!$B$25+Inputs!$B$29,IF(Skills!C15=2,90+Inputs!$B$26+Inputs!$B$29,IF(Skills!C15=3,120+Inputs!$B$27+Inputs!$B$29,MAX(0,(Inputs!$B$3-100)*3)+Inputs!$B$28+Inputs!$B$29)))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(1-Summary!$B$55)*T749+Summary!$B$55*V749</f>
        <v/>
      </c>
      <c r="P749">
        <f>IF(B779=0,0,O749/B779)</f>
        <v/>
      </c>
      <c r="Q749">
        <f>IFERROR(1/IF(Inputs!$B$39="pvp",15,MAX(0.1,Skills!D15-IF(Skills!E15=TRUE,Inputs!$B$32,0))),0)</f>
        <v/>
      </c>
      <c r="R749">
        <f>IF(AND(Inputs!$B$39&lt;&gt;"pvp",Inputs!$B$44&gt;0),IF(Inputs!$B$44&lt;=0,0,(INT(Inputs!$B$44/IF(Inputs!$B$39="pvp",15,MAX(0.1,Skills!D15-IF(Skills!E15=TRUE,Inputs!$B$32,0))))+1)),0)</f>
        <v/>
      </c>
      <c r="S749">
        <f>IFERROR(O749/N749,0)</f>
        <v/>
      </c>
      <c r="T749" t="n">
        <v>0</v>
      </c>
      <c r="V749" t="n">
        <v>0</v>
      </c>
    </row>
    <row r="750">
      <c r="A750">
        <f>Skills!A16</f>
        <v/>
      </c>
      <c r="B750">
        <f>Skills!B16</f>
        <v/>
      </c>
      <c r="C750">
        <f>Inputs!$B$3&gt;=115</f>
        <v/>
      </c>
      <c r="D750">
        <f>IF(Skills!C16=1,60+Inputs!$B$25+Inputs!$B$29,IF(Skills!C16=2,90+Inputs!$B$26+Inputs!$B$29,IF(Skills!C16=3,120+Inputs!$B$27+Inputs!$B$29,MAX(0,(Inputs!$B$3-100)*3)+Inputs!$B$28+Inputs!$B$29)))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f>((Inputs!$B$6*(1+Inputs!$B$7/100))+(((Inputs!$B$12*(1+Inputs!$B$13/100))-(Inputs!$B$12*(1+Inputs!$B$13/100)))+0.25*(Inputs!$B$14-Inputs!$B$14))*(1+Inputs!$B$7/100))*(F750/100)</f>
        <v/>
      </c>
      <c r="K750">
        <f>J750*(1+((Inputs!$B$12*(1+Inputs!$B$13/100))*0.01+Inputs!$B$14*0.0025)/100)*(1+Inputs!$B$15/100)*(1+Inputs!$B$16/100)*(5000/(6000+Inputs!$B$43*(1-Inputs!$B$19/100)))*(1+(Inputs!$B$24+((C764=TRUE)*(F764-Calc!F30)))/100)*(1+(IF(Skills!A16="CRUEL_STAB",(Inputs!$B$17+1)+((C761=TRUE)*(F761-Calc!F27)),Inputs!$B$18+((C762=TRUE)*(F762-Calc!F28))))/100)*(((1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B769*I750)</f>
        <v/>
      </c>
      <c r="L750">
        <f>K750*(MIN(Inputs!$B$22+((C758=TRUE)*(F758-Calc!F24)),Inputs!$B$23+((C763=TRUE)*(F763-Calc!F29)))/100+(Inputs!$B$23+((C763=TRUE)*(F763-Calc!F29)))/100)/2</f>
        <v/>
      </c>
      <c r="M750">
        <f>L750*(1+(Inputs!$B$10+((C760=TRUE)*(F760-Calc!F26))+B774)/100)</f>
        <v/>
      </c>
      <c r="N750">
        <f>L750*(1-MIN((Inputs!$B$9+((C759=TRUE)*(F759-Calc!F25))+B767),100)/100)+M750*(MIN((Inputs!$B$9+((C759=TRUE)*(F759-Calc!F25))+B767),100)/100)</f>
        <v/>
      </c>
      <c r="O750">
        <f>(1-Summary!$B$55)*T750+Summary!$B$55*V750</f>
        <v/>
      </c>
      <c r="P750">
        <f>IF(B779=0,0,O750/B779)</f>
        <v/>
      </c>
      <c r="Q750" t="n">
        <v>0</v>
      </c>
      <c r="R750" t="n">
        <v>0</v>
      </c>
      <c r="S750">
        <f>IFERROR(O750/N750,0)</f>
        <v/>
      </c>
      <c r="T750">
        <f>IF(C750,(Inputs!$B$38*0.2*N750)*IF(Inputs!$B$39="pvp",1,1+(Inputs!$B$20+0+Skills!P16+B768)/100),0)</f>
        <v/>
      </c>
      <c r="V750">
        <f>IF(C750,(Inputs!$B$38*0.2*N750)*IF(Inputs!$B$39="pvp",1,(1+(Inputs!$B$21+Skills!Q16+B768)/100)*(MIN(Skills!W16,Inputs!$B$37))),0)</f>
        <v/>
      </c>
    </row>
    <row r="751">
      <c r="A751">
        <f>Skills!A17</f>
        <v/>
      </c>
      <c r="B751">
        <f>Skills!B17</f>
        <v/>
      </c>
      <c r="C751">
        <f>Inputs!$B$3&gt;=115</f>
        <v/>
      </c>
      <c r="D751">
        <f>IF(Skills!C17=1,60+Inputs!$B$25+Inputs!$B$29,IF(Skills!C17=2,90+Inputs!$B$26+Inputs!$B$29,IF(Skills!C17=3,120+Inputs!$B$27+Inputs!$B$29,MAX(0,(Inputs!$B$3-100)*3)+Inputs!$B$28+Inputs!$B$29)))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(1-Summary!$B$55)*T751+Summary!$B$55*V751</f>
        <v/>
      </c>
      <c r="P751">
        <f>IF(B779=0,0,O751/B779)</f>
        <v/>
      </c>
      <c r="Q751" t="n">
        <v>0</v>
      </c>
      <c r="R751" t="n">
        <v>0</v>
      </c>
      <c r="S751">
        <f>IFERROR(O751/N751,0)</f>
        <v/>
      </c>
      <c r="T751" t="n">
        <v>0</v>
      </c>
      <c r="V751" t="n">
        <v>0</v>
      </c>
    </row>
    <row r="752">
      <c r="A752">
        <f>Skills!A18</f>
        <v/>
      </c>
      <c r="B752">
        <f>Skills!B18</f>
        <v/>
      </c>
      <c r="C752">
        <f>Inputs!$B$3&gt;=100</f>
        <v/>
      </c>
      <c r="D752">
        <f>IF(Skills!C18=1,60+Inputs!$B$25+Inputs!$B$29,IF(Skills!C18=2,90+Inputs!$B$26+Inputs!$B$29,IF(Skills!C18=3,120+Inputs!$B$27+Inputs!$B$29,MAX(0,(Inputs!$B$3-100)*3)+Inputs!$B$28+Inputs!$B$29)))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(1-Summary!$B$55)*T752+Summary!$B$55*V752</f>
        <v/>
      </c>
      <c r="P752">
        <f>IF(B779=0,0,O752/B779)</f>
        <v/>
      </c>
      <c r="Q752" t="n">
        <v>0</v>
      </c>
      <c r="R752" t="n">
        <v>0</v>
      </c>
      <c r="S752">
        <f>IFERROR(O752/N752,0)</f>
        <v/>
      </c>
      <c r="T752" t="n">
        <v>0</v>
      </c>
      <c r="V752" t="n">
        <v>0</v>
      </c>
    </row>
    <row r="753">
      <c r="A753">
        <f>Skills!A19</f>
        <v/>
      </c>
      <c r="B753">
        <f>Skills!B19</f>
        <v/>
      </c>
      <c r="C753">
        <f>TRUE</f>
        <v/>
      </c>
      <c r="D753">
        <f>IF(Skills!C19=1,60+Inputs!$B$25+Inputs!$B$29,IF(Skills!C19=2,90+Inputs!$B$26+Inputs!$B$29,IF(Skills!C19=3,120+Inputs!$B$27+Inputs!$B$29,MAX(0,(Inputs!$B$3-100)*3)+Inputs!$B$28+Inputs!$B$29)))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(1-Summary!$B$55)*T753+Summary!$B$55*V753</f>
        <v/>
      </c>
      <c r="P753">
        <f>IF(B779=0,0,O753/B779)</f>
        <v/>
      </c>
      <c r="Q753">
        <f>IFERROR(1/IF(Inputs!$B$39="pvp",15,MAX(0.1,Skills!D19-IF(Skills!E19=TRUE,Inputs!$B$32,0))),0)</f>
        <v/>
      </c>
      <c r="R753">
        <f>IF(AND(Inputs!$B$39&lt;&gt;"pvp",Inputs!$B$44&gt;0),IF(Inputs!$B$44&lt;=0,0,(INT(Inputs!$B$44/IF(Inputs!$B$39="pvp",15,MAX(0.1,Skills!D19-IF(Skills!E19=TRUE,Inputs!$B$32,0))))+1)),0)</f>
        <v/>
      </c>
      <c r="S753">
        <f>IFERROR(O753/N753,0)</f>
        <v/>
      </c>
      <c r="T753" t="n">
        <v>0</v>
      </c>
      <c r="V753" t="n">
        <v>0</v>
      </c>
    </row>
    <row r="754">
      <c r="A754">
        <f>Skills!A20</f>
        <v/>
      </c>
      <c r="B754">
        <f>Skills!B20</f>
        <v/>
      </c>
      <c r="C754">
        <f>Inputs!$B$3&gt;=15</f>
        <v/>
      </c>
      <c r="D754">
        <f>IF(Skills!C20=1,60+Inputs!$B$25+Inputs!$B$29,IF(Skills!C20=2,90+Inputs!$B$26+Inputs!$B$29,IF(Skills!C20=3,120+Inputs!$B$27+Inputs!$B$29,MAX(0,(Inputs!$B$3-100)*3)+Inputs!$B$28+Inputs!$B$29)))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(1-Summary!$B$55)*T754+Summary!$B$55*V754</f>
        <v/>
      </c>
      <c r="P754">
        <f>IF(B779=0,0,O754/B779)</f>
        <v/>
      </c>
      <c r="Q754">
        <f>IFERROR(1/IF(Inputs!$B$39="pvp",15,MAX(0.1,Skills!D20-IF(Skills!E20=TRUE,Inputs!$B$32,0))),0)</f>
        <v/>
      </c>
      <c r="R754">
        <f>IF(AND(Inputs!$B$39&lt;&gt;"pvp",Inputs!$B$44&gt;0),IF(Inputs!$B$44&lt;=0,0,(INT(Inputs!$B$44/IF(Inputs!$B$39="pvp",15,MAX(0.1,Skills!D20-IF(Skills!E20=TRUE,Inputs!$B$32,0))))+1)),0)</f>
        <v/>
      </c>
      <c r="S754">
        <f>IFERROR(O754/N754,0)</f>
        <v/>
      </c>
      <c r="T754" t="n">
        <v>0</v>
      </c>
      <c r="V754" t="n">
        <v>0</v>
      </c>
    </row>
    <row r="755">
      <c r="A755">
        <f>Skills!A21</f>
        <v/>
      </c>
      <c r="B755">
        <f>Skills!B21</f>
        <v/>
      </c>
      <c r="C755">
        <f>Inputs!$B$3&gt;=15</f>
        <v/>
      </c>
      <c r="D755">
        <f>IF(Skills!C21=1,60+Inputs!$B$25+Inputs!$B$29,IF(Skills!C21=2,90+Inputs!$B$26+Inputs!$B$29,IF(Skills!C21=3,120+Inputs!$B$27+Inputs!$B$29,MAX(0,(Inputs!$B$3-100)*3)+Inputs!$B$28+Inputs!$B$29)))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(1-Summary!$B$55)*T755+Summary!$B$55*V755</f>
        <v/>
      </c>
      <c r="P755">
        <f>IF(B779=0,0,O755/B779)</f>
        <v/>
      </c>
      <c r="Q755">
        <f>IFERROR(1/IF(Inputs!$B$39="pvp",15,MAX(0.1,Skills!D21-IF(Skills!E21=TRUE,Inputs!$B$32,0))),0)</f>
        <v/>
      </c>
      <c r="R755">
        <f>IF(AND(Inputs!$B$39&lt;&gt;"pvp",Inputs!$B$44&gt;0),IF(Inputs!$B$44&lt;=0,0,(INT(Inputs!$B$44/IF(Inputs!$B$39="pvp",15,MAX(0.1,Skills!D21-IF(Skills!E21=TRUE,Inputs!$B$32,0))))+1)),0)</f>
        <v/>
      </c>
      <c r="S755">
        <f>IFERROR(O755/N755,0)</f>
        <v/>
      </c>
      <c r="T755" t="n">
        <v>0</v>
      </c>
      <c r="V755" t="n">
        <v>0</v>
      </c>
    </row>
    <row r="756">
      <c r="A756">
        <f>Skills!A22</f>
        <v/>
      </c>
      <c r="B756">
        <f>Skills!B22</f>
        <v/>
      </c>
      <c r="C756">
        <f>Inputs!$B$3&gt;=33</f>
        <v/>
      </c>
      <c r="D756">
        <f>IF(Skills!C22=1,60+Inputs!$B$25+Inputs!$B$29,IF(Skills!C22=2,90+Inputs!$B$26+Inputs!$B$29,IF(Skills!C22=3,120+Inputs!$B$27+Inputs!$B$29,MAX(0,(Inputs!$B$3-100)*3)+Inputs!$B$28+Inputs!$B$29)))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(1-Summary!$B$55)*T756+Summary!$B$55*V756</f>
        <v/>
      </c>
      <c r="P756">
        <f>IF(B779=0,0,O756/B779)</f>
        <v/>
      </c>
      <c r="Q756" t="n">
        <v>0</v>
      </c>
      <c r="R756" t="n">
        <v>0</v>
      </c>
      <c r="S756">
        <f>IFERROR(O756/N756,0)</f>
        <v/>
      </c>
      <c r="T756" t="n">
        <v>0</v>
      </c>
      <c r="V756" t="n">
        <v>0</v>
      </c>
    </row>
    <row r="757">
      <c r="A757">
        <f>Skills!A23</f>
        <v/>
      </c>
      <c r="B757">
        <f>Skills!B23</f>
        <v/>
      </c>
      <c r="C757">
        <f>Inputs!$B$3&gt;=40</f>
        <v/>
      </c>
      <c r="D757">
        <f>IF(Skills!C23=1,60+Inputs!$B$25+Inputs!$B$29,IF(Skills!C23=2,90+Inputs!$B$26+Inputs!$B$29,IF(Skills!C23=3,120+Inputs!$B$27+Inputs!$B$29,MAX(0,(Inputs!$B$3-100)*3)+Inputs!$B$28+Inputs!$B$29)))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(1-Summary!$B$55)*T757+Summary!$B$55*V757</f>
        <v/>
      </c>
      <c r="P757">
        <f>IF(B779=0,0,O757/B779)</f>
        <v/>
      </c>
      <c r="Q757" t="n">
        <v>0</v>
      </c>
      <c r="R757" t="n">
        <v>0</v>
      </c>
      <c r="S757">
        <f>IFERROR(O757/N757,0)</f>
        <v/>
      </c>
      <c r="T757" t="n">
        <v>0</v>
      </c>
      <c r="V757" t="n">
        <v>0</v>
      </c>
    </row>
    <row r="758">
      <c r="A758">
        <f>Skills!A24</f>
        <v/>
      </c>
      <c r="B758">
        <f>Skills!B24</f>
        <v/>
      </c>
      <c r="C758">
        <f>Inputs!$B$3&gt;=43</f>
        <v/>
      </c>
      <c r="D758">
        <f>IF(Skills!C24=1,60+Inputs!$B$25+Inputs!$B$29,IF(Skills!C24=2,90+Inputs!$B$26+Inputs!$B$29,IF(Skills!C24=3,120+Inputs!$B$27+Inputs!$B$29,MAX(0,(Inputs!$B$3-100)*3)+Inputs!$B$28+Inputs!$B$29)))</f>
        <v/>
      </c>
      <c r="E758">
        <f>INDEX(FactorTable!$B$2:$Y$301, MATCH(ROUND(MIN(300,MAX(1,D758)),0), FactorTable!$A$2:$A$301,0), Skills!M24+1)</f>
        <v/>
      </c>
      <c r="F758">
        <f>IF(Skills!N24=TRUE,(Skills!L24/10)*(E758/1000),Skills!L24/10)+Skills!O24</f>
        <v/>
      </c>
      <c r="G758">
        <f>Skills!G24*IF(Skills!H24&gt;0,Skills!I24/Skills!H24,1)</f>
        <v/>
      </c>
      <c r="H758">
        <f>1-(1-Skills!J24/100)^Skills!K24</f>
        <v/>
      </c>
      <c r="I758" t="inlineStr">
        <is>
          <t>1</t>
        </is>
      </c>
      <c r="J758" t="inlineStr"/>
      <c r="K758" t="inlineStr"/>
      <c r="L758" t="inlineStr"/>
      <c r="M758" t="inlineStr"/>
      <c r="N758" t="inlineStr"/>
      <c r="O758">
        <f>(1-Summary!$B$55)*T758+Summary!$B$55*V758</f>
        <v/>
      </c>
      <c r="P758">
        <f>IF(B779=0,0,O758/B779)</f>
        <v/>
      </c>
      <c r="Q758" t="n">
        <v>0</v>
      </c>
      <c r="R758" t="n">
        <v>0</v>
      </c>
      <c r="S758">
        <f>IFERROR(O758/N758,0)</f>
        <v/>
      </c>
      <c r="T758" t="n">
        <v>0</v>
      </c>
      <c r="V758" t="n">
        <v>0</v>
      </c>
    </row>
    <row r="759">
      <c r="A759">
        <f>Skills!A25</f>
        <v/>
      </c>
      <c r="B759">
        <f>Skills!B25</f>
        <v/>
      </c>
      <c r="C759">
        <f>Inputs!$B$3&gt;=50</f>
        <v/>
      </c>
      <c r="D759">
        <f>IF(Skills!C25=1,60+Inputs!$B$25+Inputs!$B$29,IF(Skills!C25=2,90+Inputs!$B$26+Inputs!$B$29,IF(Skills!C25=3,120+Inputs!$B$27+Inputs!$B$29,MAX(0,(Inputs!$B$3-100)*3)+Inputs!$B$28+Inputs!$B$29)))</f>
        <v/>
      </c>
      <c r="E759">
        <f>INDEX(FactorTable!$B$2:$Y$301, MATCH(ROUND(MIN(300,MAX(1,D759)),0), FactorTable!$A$2:$A$301,0), Skills!M25+1)</f>
        <v/>
      </c>
      <c r="F759">
        <f>IF(Skills!N25=TRUE,(Skills!L25/10)*(E759/1000),Skills!L25/10)+Skills!O25</f>
        <v/>
      </c>
      <c r="G759">
        <f>Skills!G25*IF(Skills!H25&gt;0,Skills!I25/Skills!H25,1)</f>
        <v/>
      </c>
      <c r="H759">
        <f>1-(1-Skills!J25/100)^Skills!K25</f>
        <v/>
      </c>
      <c r="I759" t="inlineStr">
        <is>
          <t>1</t>
        </is>
      </c>
      <c r="J759" t="inlineStr"/>
      <c r="K759" t="inlineStr"/>
      <c r="L759" t="inlineStr"/>
      <c r="M759" t="inlineStr"/>
      <c r="N759" t="inlineStr"/>
      <c r="O759">
        <f>(1-Summary!$B$55)*T759+Summary!$B$55*V759</f>
        <v/>
      </c>
      <c r="P759">
        <f>IF(B779=0,0,O759/B779)</f>
        <v/>
      </c>
      <c r="Q759" t="n">
        <v>0</v>
      </c>
      <c r="R759" t="n">
        <v>0</v>
      </c>
      <c r="S759">
        <f>IFERROR(O759/N759,0)</f>
        <v/>
      </c>
      <c r="T759" t="n">
        <v>0</v>
      </c>
      <c r="V759" t="n">
        <v>0</v>
      </c>
    </row>
    <row r="760">
      <c r="A760">
        <f>Skills!A26</f>
        <v/>
      </c>
      <c r="B760">
        <f>Skills!B26</f>
        <v/>
      </c>
      <c r="C760">
        <f>Inputs!$B$3&gt;=50</f>
        <v/>
      </c>
      <c r="D760">
        <f>IF(Skills!C26=1,60+Inputs!$B$25+Inputs!$B$29,IF(Skills!C26=2,90+Inputs!$B$26+Inputs!$B$29,IF(Skills!C26=3,120+Inputs!$B$27+Inputs!$B$29,MAX(0,(Inputs!$B$3-100)*3)+Inputs!$B$28+Inputs!$B$29)))</f>
        <v/>
      </c>
      <c r="E760">
        <f>INDEX(FactorTable!$B$2:$Y$301, MATCH(ROUND(MIN(300,MAX(1,D760)),0), FactorTable!$A$2:$A$301,0), Skills!M26+1)</f>
        <v/>
      </c>
      <c r="F760">
        <f>IF(Skills!N26=TRUE,(Skills!L26/10)*(E760/1000),Skills!L26/10)+Skills!O26</f>
        <v/>
      </c>
      <c r="G760">
        <f>Skills!G26*IF(Skills!H26&gt;0,Skills!I26/Skills!H26,1)</f>
        <v/>
      </c>
      <c r="H760">
        <f>1-(1-Skills!J26/100)^Skills!K26</f>
        <v/>
      </c>
      <c r="I760" t="inlineStr">
        <is>
          <t>1</t>
        </is>
      </c>
      <c r="J760" t="inlineStr"/>
      <c r="K760" t="inlineStr"/>
      <c r="L760" t="inlineStr"/>
      <c r="M760" t="inlineStr"/>
      <c r="N760" t="inlineStr"/>
      <c r="O760">
        <f>(1-Summary!$B$55)*T760+Summary!$B$55*V760</f>
        <v/>
      </c>
      <c r="P760">
        <f>IF(B779=0,0,O760/B779)</f>
        <v/>
      </c>
      <c r="Q760" t="n">
        <v>0</v>
      </c>
      <c r="R760" t="n">
        <v>0</v>
      </c>
      <c r="S760">
        <f>IFERROR(O760/N760,0)</f>
        <v/>
      </c>
      <c r="T760" t="n">
        <v>0</v>
      </c>
      <c r="V760" t="n">
        <v>0</v>
      </c>
    </row>
    <row r="761">
      <c r="A761">
        <f>Skills!A27</f>
        <v/>
      </c>
      <c r="B761">
        <f>Skills!B27</f>
        <v/>
      </c>
      <c r="C761">
        <f>Inputs!$B$3&gt;=38</f>
        <v/>
      </c>
      <c r="D761">
        <f>IF(Skills!C27=1,60+Inputs!$B$25+Inputs!$B$29,IF(Skills!C27=2,90+Inputs!$B$26+Inputs!$B$29,IF(Skills!C27=3,120+Inputs!$B$27+Inputs!$B$29,MAX(0,(Inputs!$B$3-100)*3)+Inputs!$B$28+Inputs!$B$29)))</f>
        <v/>
      </c>
      <c r="E761">
        <f>INDEX(FactorTable!$B$2:$Y$301, MATCH(ROUND(MIN(300,MAX(1,D761)),0), FactorTable!$A$2:$A$301,0), Skills!M27+1)</f>
        <v/>
      </c>
      <c r="F761">
        <f>IF(Skills!N27=TRUE,(Skills!L27/10)*(E761/1000),Skills!L27/10)+Skills!O27</f>
        <v/>
      </c>
      <c r="G761">
        <f>Skills!G27*IF(Skills!H27&gt;0,Skills!I27/Skills!H27,1)</f>
        <v/>
      </c>
      <c r="H761">
        <f>1-(1-Skills!J27/100)^Skills!K27</f>
        <v/>
      </c>
      <c r="I761" t="inlineStr">
        <is>
          <t>1</t>
        </is>
      </c>
      <c r="J761" t="inlineStr"/>
      <c r="K761" t="inlineStr"/>
      <c r="L761" t="inlineStr"/>
      <c r="M761" t="inlineStr"/>
      <c r="N761" t="inlineStr"/>
      <c r="O761">
        <f>(1-Summary!$B$55)*T761+Summary!$B$55*V761</f>
        <v/>
      </c>
      <c r="P761">
        <f>IF(B779=0,0,O761/B779)</f>
        <v/>
      </c>
      <c r="Q761" t="n">
        <v>0</v>
      </c>
      <c r="R761" t="n">
        <v>0</v>
      </c>
      <c r="S761">
        <f>IFERROR(O761/N761,0)</f>
        <v/>
      </c>
      <c r="T761" t="n">
        <v>0</v>
      </c>
      <c r="V761" t="n">
        <v>0</v>
      </c>
    </row>
    <row r="762">
      <c r="A762">
        <f>Skills!A28</f>
        <v/>
      </c>
      <c r="B762">
        <f>Skills!B28</f>
        <v/>
      </c>
      <c r="C762">
        <f>Inputs!$B$3&gt;=120</f>
        <v/>
      </c>
      <c r="D762">
        <f>IF(Skills!C28=1,60+Inputs!$B$25+Inputs!$B$29,IF(Skills!C28=2,90+Inputs!$B$26+Inputs!$B$29,IF(Skills!C28=3,120+Inputs!$B$27+Inputs!$B$29,MAX(0,(Inputs!$B$3-100)*3)+Inputs!$B$28+Inputs!$B$29)))</f>
        <v/>
      </c>
      <c r="E762">
        <f>INDEX(FactorTable!$B$2:$Y$301, MATCH(ROUND(MIN(300,MAX(1,D762)),0), FactorTable!$A$2:$A$301,0), Skills!M28+1)</f>
        <v/>
      </c>
      <c r="F762">
        <f>IF(Skills!N28=TRUE,(Skills!L28/10)*(E762/1000),Skills!L28/10)+Skills!O28</f>
        <v/>
      </c>
      <c r="G762">
        <f>Skills!G28*IF(Skills!H28&gt;0,Skills!I28/Skills!H28,1)</f>
        <v/>
      </c>
      <c r="H762">
        <f>1-(1-Skills!J28/100)^Skills!K28</f>
        <v/>
      </c>
      <c r="I762" t="inlineStr">
        <is>
          <t>1</t>
        </is>
      </c>
      <c r="J762" t="inlineStr"/>
      <c r="K762" t="inlineStr"/>
      <c r="L762" t="inlineStr"/>
      <c r="M762" t="inlineStr"/>
      <c r="N762" t="inlineStr"/>
      <c r="O762">
        <f>(1-Summary!$B$55)*T762+Summary!$B$55*V762</f>
        <v/>
      </c>
      <c r="P762">
        <f>IF(B779=0,0,O762/B779)</f>
        <v/>
      </c>
      <c r="Q762" t="n">
        <v>0</v>
      </c>
      <c r="R762" t="n">
        <v>0</v>
      </c>
      <c r="S762">
        <f>IFERROR(O762/N762,0)</f>
        <v/>
      </c>
      <c r="T762" t="n">
        <v>0</v>
      </c>
      <c r="V762" t="n">
        <v>0</v>
      </c>
    </row>
    <row r="763">
      <c r="A763">
        <f>Skills!A29</f>
        <v/>
      </c>
      <c r="B763">
        <f>Skills!B29</f>
        <v/>
      </c>
      <c r="C763">
        <f>Inputs!$B$3&gt;=120</f>
        <v/>
      </c>
      <c r="D763">
        <f>IF(Skills!C29=1,60+Inputs!$B$25+Inputs!$B$29,IF(Skills!C29=2,90+Inputs!$B$26+Inputs!$B$29,IF(Skills!C29=3,120+Inputs!$B$27+Inputs!$B$29,MAX(0,(Inputs!$B$3-100)*3)+Inputs!$B$28+Inputs!$B$29)))</f>
        <v/>
      </c>
      <c r="E763">
        <f>INDEX(FactorTable!$B$2:$Y$301, MATCH(ROUND(MIN(300,MAX(1,D763)),0), FactorTable!$A$2:$A$301,0), Skills!M29+1)</f>
        <v/>
      </c>
      <c r="F763">
        <f>IF(Skills!N29=TRUE,(Skills!L29/10)*(E763/1000),Skills!L29/10)+Skills!O29</f>
        <v/>
      </c>
      <c r="G763">
        <f>Skills!G29*IF(Skills!H29&gt;0,Skills!I29/Skills!H29,1)</f>
        <v/>
      </c>
      <c r="H763">
        <f>1-(1-Skills!J29/100)^Skills!K29</f>
        <v/>
      </c>
      <c r="I763" t="inlineStr">
        <is>
          <t>1</t>
        </is>
      </c>
      <c r="J763" t="inlineStr"/>
      <c r="K763" t="inlineStr"/>
      <c r="L763" t="inlineStr"/>
      <c r="M763" t="inlineStr"/>
      <c r="N763" t="inlineStr"/>
      <c r="O763">
        <f>(1-Summary!$B$55)*T763+Summary!$B$55*V763</f>
        <v/>
      </c>
      <c r="P763">
        <f>IF(B779=0,0,O763/B779)</f>
        <v/>
      </c>
      <c r="Q763" t="n">
        <v>0</v>
      </c>
      <c r="R763" t="n">
        <v>0</v>
      </c>
      <c r="S763">
        <f>IFERROR(O763/N763,0)</f>
        <v/>
      </c>
      <c r="T763" t="n">
        <v>0</v>
      </c>
      <c r="V763" t="n">
        <v>0</v>
      </c>
    </row>
    <row r="764">
      <c r="A764">
        <f>Skills!A30</f>
        <v/>
      </c>
      <c r="B764">
        <f>Skills!B30</f>
        <v/>
      </c>
      <c r="C764">
        <f>Inputs!$B$3&gt;=125</f>
        <v/>
      </c>
      <c r="D764">
        <f>IF(Skills!C30=1,60+Inputs!$B$25+Inputs!$B$29,IF(Skills!C30=2,90+Inputs!$B$26+Inputs!$B$29,IF(Skills!C30=3,120+Inputs!$B$27+Inputs!$B$29,MAX(0,(Inputs!$B$3-100)*3)+Inputs!$B$28+Inputs!$B$29)))</f>
        <v/>
      </c>
      <c r="E764">
        <f>INDEX(FactorTable!$B$2:$Y$301, MATCH(ROUND(MIN(300,MAX(1,D764)),0), FactorTable!$A$2:$A$301,0), Skills!M30+1)</f>
        <v/>
      </c>
      <c r="F764">
        <f>IF(Skills!N30=TRUE,(Skills!L30/10)*(E764/1000),Skills!L30/10)+Skills!O30</f>
        <v/>
      </c>
      <c r="G764">
        <f>Skills!G30*IF(Skills!H30&gt;0,Skills!I30/Skills!H30,1)</f>
        <v/>
      </c>
      <c r="H764">
        <f>1-(1-Skills!J30/100)^Skills!K30</f>
        <v/>
      </c>
      <c r="I764" t="inlineStr">
        <is>
          <t>1</t>
        </is>
      </c>
      <c r="J764" t="inlineStr"/>
      <c r="K764" t="inlineStr"/>
      <c r="L764" t="inlineStr"/>
      <c r="M764" t="inlineStr"/>
      <c r="N764" t="inlineStr"/>
      <c r="O764">
        <f>(1-Summary!$B$55)*T764+Summary!$B$55*V764</f>
        <v/>
      </c>
      <c r="P764">
        <f>IF(B779=0,0,O764/B779)</f>
        <v/>
      </c>
      <c r="Q764" t="n">
        <v>0</v>
      </c>
      <c r="R764" t="n">
        <v>0</v>
      </c>
      <c r="S764">
        <f>IFERROR(O764/N764,0)</f>
        <v/>
      </c>
      <c r="T764" t="n">
        <v>0</v>
      </c>
      <c r="V764" t="n">
        <v>0</v>
      </c>
    </row>
    <row r="766">
      <c r="A766" t="inlineStr">
        <is>
          <t>Average Buff Multiplier</t>
        </is>
      </c>
      <c r="B766">
        <f>(1+(((C755=TRUE)*F755*IF(AND(Inputs!$B$39&lt;&gt;"pvp",Inputs!$B$44&gt;0),(((R755-1)*(Skills!Y21*(1+Inputs!$B$34/100))+MIN((Skills!Y21*(1+Inputs!$B$34/100)),MAX(0,Inputs!$B$44-((R755-1)*Skills!D21))))/Inputs!$B$44),IF(Inputs!$B$39="pvp",MIN((Skills!Y21*(1+Inputs!$B$34/100)),15)/15,(Skills!Y21*(1+Inputs!$B$34/100))/Skills!D21)))+((C757=TRUE)*(F757-Calc!F23))+((C751=TRUE)*(F751-Calc!F17)))/100)*(1+((C744=TRUE)*F744*IF(AND(Inputs!$B$39&lt;&gt;"pvp",Inputs!$B$44&gt;0),(((R744-1)*(Skills!Y10*(1+Inputs!$B$34/100))+MIN((Skills!Y10*(1+Inputs!$B$34/100)),MAX(0,Inputs!$B$44-((R744-1)*Skills!D10))))/Inputs!$B$44),IF(Inputs!$B$39="pvp",MIN((Skills!Y10*(1+Inputs!$B$34/100)),15)/15,(Skills!Y10*(1+Inputs!$B$34/100))/Skills!D10)))/100)*(1+((C749=TRUE)*F749*IF(AND(Inputs!$B$39&lt;&gt;"pvp",Inputs!$B$44&gt;0),(((R749-1)*(Skills!Y15*(1+Inputs!$B$34/100))+MIN((Skills!Y15*(1+Inputs!$B$34/100)),MAX(0,Inputs!$B$44-((R749-1)*Skills!D15))))/Inputs!$B$44),IF(Inputs!$B$39="pvp",MIN((Skills!Y15*(1+Inputs!$B$34/100)),15)/15,(Skills!Y15*(1+Inputs!$B$34/100))/Skills!D15)))/100)</f>
        <v/>
      </c>
    </row>
    <row r="767">
      <c r="A767" t="inlineStr">
        <is>
          <t>Global Crit Rate Bonus %</t>
        </is>
      </c>
      <c r="B767">
        <f>((C754=TRUE)*F754*IF(AND(Inputs!$B$39&lt;&gt;"pvp",Inputs!$B$44&gt;0),(((R754-1)*(Skills!Y20*(1+Inputs!$B$34/100))+MIN((Skills!Y20*(1+Inputs!$B$34/100)),MAX(0,Inputs!$B$44-((R754-1)*Skills!D20))))/Inputs!$B$44),IF(Inputs!$B$39="pvp",MIN((Skills!Y20*(1+Inputs!$B$34/100)),15)/15,(Skills!Y20*(1+Inputs!$B$34/100))/Skills!D20)))</f>
        <v/>
      </c>
    </row>
    <row r="768">
      <c r="A768" t="inlineStr">
        <is>
          <t>Global Monster Damage-Taken Bonus %</t>
        </is>
      </c>
      <c r="B768">
        <f>IF(Inputs!$B$3&gt;=82,15,0)</f>
        <v/>
      </c>
    </row>
    <row r="769">
      <c r="A769" t="inlineStr">
        <is>
          <t>Shadow Partner Average Multiplier</t>
        </is>
      </c>
      <c r="B769">
        <f>1+((C741=TRUE)*F741*(1+3.3333333333333335*IF(C752=TRUE,F752,0)/100)*I741*Skills!J7/100)/100</f>
        <v/>
      </c>
    </row>
    <row r="770">
      <c r="A770" t="inlineStr">
        <is>
          <t>Attack Speed Buff Bonus %</t>
        </is>
      </c>
      <c r="B770">
        <f>((C753=TRUE)*F753*IF(AND(Inputs!$B$39&lt;&gt;"pvp",Inputs!$B$44&gt;0),(((R753-1)*(Skills!Y19*(1+Inputs!$B$34/100))+MIN((Skills!Y19*(1+Inputs!$B$34/100)),MAX(0,Inputs!$B$44-((R753-1)*Skills!D19))))/Inputs!$B$44),IF(Inputs!$B$39="pvp",MIN((Skills!Y19*(1+Inputs!$B$34/100)),15)/15,(Skills!Y19*(1+Inputs!$B$34/100))/Skills!D19)))+((C737=TRUE)*F737*3)</f>
        <v/>
      </c>
    </row>
    <row r="771">
      <c r="A771" t="inlineStr">
        <is>
          <t>Actions Per Second</t>
        </is>
      </c>
      <c r="B771">
        <f>1+MIN(150,150*(1-(1-(Inputs!$B$11+((C756=TRUE)*(F756-Calc!F22)))/150)*(1-B770/150)))/100</f>
        <v/>
      </c>
    </row>
    <row r="772">
      <c r="A772" t="inlineStr">
        <is>
          <t>Skill + Buff Cast Rate</t>
        </is>
      </c>
      <c r="B772">
        <f>IF(AND(Inputs!$B$39&lt;&gt;"pvp",Inputs!$B$44&gt;0),SUMPRODUCT((Skills!E2:E30=TRUE)*(C736:C764=TRUE)*R736:R764*Skills!F2:F30)/Inputs!$B$44,SUMPRODUCT((Skills!E2:E30=TRUE)*(C736:C764=TRUE)*Q736:Q764*Skills!F2:F30))</f>
        <v/>
      </c>
    </row>
    <row r="773">
      <c r="A773" t="inlineStr">
        <is>
          <t>Cruel Stab Casts Per Second</t>
        </is>
      </c>
      <c r="B773">
        <f>MAX(0,B771-B772)</f>
        <v/>
      </c>
    </row>
    <row r="774">
      <c r="A774" t="inlineStr">
        <is>
          <t>Global Critical Damage Bonus % (Smokescreen Mastery Lv.113)</t>
        </is>
      </c>
      <c r="B774">
        <f>IF(Inputs!$B$3&gt;=113,30,0)*IF(AND(Inputs!$B$39&lt;&gt;"pvp",Inputs!$B$44&gt;0),(((R749-1)*(Skills!Y15*(1+Inputs!$B$34/100))+MIN((Skills!Y15*(1+Inputs!$B$34/100)),MAX(0,Inputs!$B$44-((R749-1)*Skills!D15))))/Inputs!$B$44),IF(Inputs!$B$39="pvp",MIN((Skills!Y15*(1+Inputs!$B$34/100)),15)/15,(Skills!Y15*(1+Inputs!$B$34/100))/Skills!D15))</f>
        <v/>
      </c>
    </row>
    <row r="775">
      <c r="A775" t="inlineStr">
        <is>
          <t>Meso Explosion average stack count</t>
        </is>
      </c>
      <c r="B775">
        <f>MIN(10,0.5*B771*Skills!D4)</f>
        <v/>
      </c>
    </row>
    <row r="776">
      <c r="A776" t="inlineStr">
        <is>
          <t>Blood Money average stack count</t>
        </is>
      </c>
      <c r="B776">
        <f>MIN(5,0.25*B771*Skills!D4)</f>
        <v/>
      </c>
    </row>
    <row r="777">
      <c r="A777" t="inlineStr">
        <is>
          <t>Assassinate Murderous Intent Multiplier</t>
        </is>
      </c>
      <c r="B777">
        <f>1+IFERROR(MIN(1,Q748*2/Q745),0)</f>
        <v/>
      </c>
    </row>
    <row r="778">
      <c r="A778" t="inlineStr">
        <is>
          <t>Buff-Casting Startup Delay (s, fixed-duration only)</t>
        </is>
      </c>
      <c r="B778">
        <f>IF(AND(Inputs!$B$39&lt;&gt;"pvp",Inputs!$B$44&gt;0),SUMPRODUCT((Skills!Y2:Y30&gt;0)*(Skills!E2:E30=TRUE)*(C736:C764=TRUE))/B771,0)</f>
        <v/>
      </c>
    </row>
    <row r="779">
      <c r="A779" s="5" t="inlineStr">
        <is>
          <t>TOTAL DPS</t>
        </is>
      </c>
      <c r="B779" s="5">
        <f>SUM(O736:O764)</f>
        <v/>
      </c>
    </row>
    <row r="780">
      <c r="A780" t="inlineStr">
        <is>
          <t>Boss-Only Total DPS (this block's swept value)</t>
        </is>
      </c>
      <c r="B780">
        <f>SUM(T736:T764)</f>
        <v/>
      </c>
    </row>
    <row r="781">
      <c r="A781" t="inlineStr">
        <is>
          <t>Normal-Only Total DPS (this block's swept value)</t>
        </is>
      </c>
      <c r="B781">
        <f>SUM(V736:V764)</f>
        <v/>
      </c>
    </row>
    <row r="784">
      <c r="A784" s="5" t="inlineStr">
        <is>
          <t>Stat: SKILL_DAMAGE %</t>
        </is>
      </c>
    </row>
    <row r="785">
      <c r="A785" s="9" t="inlineStr">
        <is>
          <t>Key</t>
        </is>
      </c>
      <c r="B785" s="9" t="inlineStr">
        <is>
          <t>Name</t>
        </is>
      </c>
      <c r="C785" s="9" t="inlineStr">
        <is>
          <t>Unlocked</t>
        </is>
      </c>
      <c r="D785" s="9" t="inlineStr">
        <is>
          <t>InputLevel</t>
        </is>
      </c>
      <c r="E785" s="9" t="inlineStr">
        <is>
          <t>Factor</t>
        </is>
      </c>
      <c r="F785" s="9" t="inlineStr">
        <is>
          <t>CoefficientPercent</t>
        </is>
      </c>
      <c r="G785" s="9" t="inlineStr">
        <is>
          <t>EffectiveHits</t>
        </is>
      </c>
      <c r="H785" s="9" t="inlineStr">
        <is>
          <t>ProcProbability</t>
        </is>
      </c>
      <c r="I785" s="9" t="inlineStr">
        <is>
          <t>MapleHeroMultiplier</t>
        </is>
      </c>
      <c r="J785" s="9" t="inlineStr">
        <is>
          <t>BaseDamage</t>
        </is>
      </c>
      <c r="K785" s="9" t="inlineStr">
        <is>
          <t>BaseHitDamage</t>
        </is>
      </c>
      <c r="L785" s="9" t="inlineStr">
        <is>
          <t>NonCritAvg</t>
        </is>
      </c>
      <c r="M785" s="9" t="inlineStr">
        <is>
          <t>CritAvg</t>
        </is>
      </c>
      <c r="N785" s="9" t="inlineStr">
        <is>
          <t>ExpectedDamage(perHit)</t>
        </is>
      </c>
      <c r="O785" s="9" t="inlineStr">
        <is>
          <t>DPS</t>
        </is>
      </c>
      <c r="P785" s="9" t="inlineStr">
        <is>
          <t>% of Total</t>
        </is>
      </c>
      <c r="Q785" s="9" t="inlineStr">
        <is>
          <t>InvCooldown</t>
        </is>
      </c>
      <c r="R785" s="9" t="inlineStr">
        <is>
          <t>CastsInFight</t>
        </is>
      </c>
      <c r="S785" s="9" t="inlineStr">
        <is>
          <t>HitRate(perSec)</t>
        </is>
      </c>
      <c r="U785" t="inlineStr">
        <is>
          <t>helpers</t>
        </is>
      </c>
    </row>
    <row r="786">
      <c r="A786">
        <f>Skills!A2</f>
        <v/>
      </c>
      <c r="B786">
        <f>Skills!B2</f>
        <v/>
      </c>
      <c r="C786">
        <f>Inputs!$B$3&gt;=100</f>
        <v/>
      </c>
      <c r="D786" t="inlineStr"/>
      <c r="E786" t="inlineStr"/>
      <c r="F786">
        <f>U788+Skills!O2</f>
        <v/>
      </c>
      <c r="G786">
        <f>Skills!G2*IF(Skills!H2&gt;0,Skills!I2/Skills!H2,1)</f>
        <v/>
      </c>
      <c r="H786">
        <f>1-(1-Skills!J2/100)^Skills!K2</f>
        <v/>
      </c>
      <c r="I786" t="inlineStr">
        <is>
          <t>1</t>
        </is>
      </c>
      <c r="J786">
        <f>((Inputs!$B$6*(1+Inputs!$B$7/100))+(((Inputs!$B$12*(1+Inputs!$B$13/100))-(Inputs!$B$12*(1+Inputs!$B$13/100)))+0.25*(Inputs!$B$14-Inputs!$B$14))*(1+Inputs!$B$7/100))*(F786/100)</f>
        <v/>
      </c>
      <c r="K786">
        <f>J786*(1+((Inputs!$B$12*(1+Inputs!$B$13/100))*0.01+Inputs!$B$14*0.0025)/100)*(1+Inputs!$B$15/100)*(1+Inputs!$B$16/100)*(5000/(6000+Inputs!$B$43*(1-Inputs!$B$19/100)))*(1+(Inputs!$B$24+((C814=TRUE)*(F814-Calc!F30)))/100)*(1+(IF(Skills!A2="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786)</f>
        <v/>
      </c>
      <c r="L786">
        <f>K786*(MIN(Inputs!$B$22+((C808=TRUE)*(F808-Calc!F24)),Inputs!$B$23+((C813=TRUE)*(F813-Calc!F29)))/100+(Inputs!$B$23+((C813=TRUE)*(F813-Calc!F29)))/100)/2</f>
        <v/>
      </c>
      <c r="M786">
        <f>L786*(1+(Inputs!$B$10+((C810=TRUE)*(F810-Calc!F26))+B824)/100)</f>
        <v/>
      </c>
      <c r="N786">
        <f>L786*(1-MIN((Inputs!$B$9+((C809=TRUE)*(F809-Calc!F25))+B817),100)/100)+M786*(MIN((Inputs!$B$9+((C809=TRUE)*(F809-Calc!F25))+B817),100)/100)</f>
        <v/>
      </c>
      <c r="O786">
        <f>(1-Summary!$B$55)*T786+Summary!$B$55*V786</f>
        <v/>
      </c>
      <c r="P786">
        <f>IF(B829=0,0,O786/B829)</f>
        <v/>
      </c>
      <c r="Q786" t="n">
        <v>0</v>
      </c>
      <c r="R786" t="n">
        <v>0</v>
      </c>
      <c r="S786">
        <f>IFERROR(O786/N786,0)</f>
        <v/>
      </c>
      <c r="T786">
        <f>IF(C786,(Skills!G2*N786*B823)*IF(Inputs!$B$39="pvp",1,1+(Inputs!$B$20+0+Skills!P2+B818)/100),0)</f>
        <v/>
      </c>
      <c r="U786">
        <f>MAX(0,(Inputs!$B$3-100)*3)+Inputs!$B$28+Inputs!$B$29</f>
        <v/>
      </c>
      <c r="V786">
        <f>IF(C786,(Skills!G2*N786*B823)*IF(Inputs!$B$39="pvp",1,(1+(Inputs!$B$21+Skills!Q2+B818)/100)*(MIN((6+Inputs!$B$33),Inputs!$B$37))),0)</f>
        <v/>
      </c>
    </row>
    <row r="787">
      <c r="A787">
        <f>Skills!A3</f>
        <v/>
      </c>
      <c r="B787">
        <f>Skills!B3</f>
        <v/>
      </c>
      <c r="C787">
        <f>Inputs!$B$3&gt;=35</f>
        <v/>
      </c>
      <c r="D787">
        <f>IF(Skills!C3=1,60+Inputs!$B$25+Inputs!$B$29,IF(Skills!C3=2,90+Inputs!$B$26+Inputs!$B$29,IF(Skills!C3=3,120+Inputs!$B$27+Inputs!$B$29,MAX(0,(Inputs!$B$3-100)*3)+Inputs!$B$28+Inputs!$B$29)))</f>
        <v/>
      </c>
      <c r="E787">
        <f>INDEX(FactorTable!$B$2:$Y$301, MATCH(ROUND(MIN(300,MAX(1,D787)),0), FactorTable!$A$2:$A$301,0), Skills!M3+1)</f>
        <v/>
      </c>
      <c r="F787">
        <f>IF(Skills!N3=TRUE,(Skills!L3/10)*(E787/1000),Skills!L3/10)+Skills!O3</f>
        <v/>
      </c>
      <c r="G787">
        <f>Skills!G3*IF(Skills!H3&gt;0,Skills!I3/Skills!H3,1)</f>
        <v/>
      </c>
      <c r="H787">
        <f>1-(1-Skills!J3/100)^Skills!K3</f>
        <v/>
      </c>
      <c r="I787" t="inlineStr">
        <is>
          <t>1</t>
        </is>
      </c>
      <c r="J787" t="inlineStr"/>
      <c r="K787" t="inlineStr"/>
      <c r="L787" t="inlineStr"/>
      <c r="M787" t="inlineStr"/>
      <c r="N787" t="inlineStr"/>
      <c r="O787">
        <f>(1-Summary!$B$55)*T787+Summary!$B$55*V787</f>
        <v/>
      </c>
      <c r="P787">
        <f>IF(B829=0,0,O787/B829)</f>
        <v/>
      </c>
      <c r="Q787" t="n">
        <v>0</v>
      </c>
      <c r="R787" t="n">
        <v>0</v>
      </c>
      <c r="S787">
        <f>IFERROR(O787/N787,0)</f>
        <v/>
      </c>
      <c r="T787" t="n">
        <v>0</v>
      </c>
      <c r="U787">
        <f>INDEX(FactorTable!$B$2:$Y$301, MATCH(ROUND(MIN(300,MAX(1,U786)),0), FactorTable!$A$2:$A$301,0), 22)</f>
        <v/>
      </c>
      <c r="V787" t="n">
        <v>0</v>
      </c>
    </row>
    <row r="788">
      <c r="A788">
        <f>Skills!A4</f>
        <v/>
      </c>
      <c r="B788">
        <f>Skills!B4</f>
        <v/>
      </c>
      <c r="C788">
        <f>Inputs!$B$3&gt;=66</f>
        <v/>
      </c>
      <c r="D788">
        <f>IF(Skills!C4=1,60+Inputs!$B$25+Inputs!$B$29,IF(Skills!C4=2,90+Inputs!$B$26+Inputs!$B$29,IF(Skills!C4=3,120+Inputs!$B$27+Inputs!$B$29,MAX(0,(Inputs!$B$3-100)*3)+Inputs!$B$28+Inputs!$B$29)))</f>
        <v/>
      </c>
      <c r="E788">
        <f>INDEX(FactorTable!$B$2:$Y$301, MATCH(ROUND(MIN(300,MAX(1,D788)),0), FactorTable!$A$2:$A$301,0), Skills!M4+1)</f>
        <v/>
      </c>
      <c r="F788">
        <f>IF(Skills!N4=TRUE,(Skills!L4/10)*(E788/1000),Skills!L4/10)+Skills!O4</f>
        <v/>
      </c>
      <c r="G788">
        <f>Skills!G4*IF(Skills!H4&gt;0,Skills!I4/Skills!H4,1)</f>
        <v/>
      </c>
      <c r="H788">
        <f>1-(1-Skills!J4/100)^Skills!K4</f>
        <v/>
      </c>
      <c r="I788" t="inlineStr">
        <is>
          <t>1</t>
        </is>
      </c>
      <c r="J788">
        <f>((Inputs!$B$6*(1+Inputs!$B$7/100))+(((Inputs!$B$12*(1+Inputs!$B$13/100))-(Inputs!$B$12*(1+Inputs!$B$13/100)))+0.25*(Inputs!$B$14-Inputs!$B$14))*(1+Inputs!$B$7/100))*(F788/100)</f>
        <v/>
      </c>
      <c r="K788">
        <f>J788*(1+((Inputs!$B$12*(1+Inputs!$B$13/100))*0.01+Inputs!$B$14*0.0025)/100)*(1+Inputs!$B$15/100)*(1+Inputs!$B$16/100)*(5000/(6000+Inputs!$B$43*(1-Inputs!$B$19/100)))*(1+(Inputs!$B$24+((C814=TRUE)*(F814-Calc!F30)))/100)*(1+(IF(Skills!A4="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788)</f>
        <v/>
      </c>
      <c r="L788">
        <f>K788*(MIN(Inputs!$B$22+((C808=TRUE)*(F808-Calc!F24)),Inputs!$B$23+((C813=TRUE)*(F813-Calc!F29)))/100+(Inputs!$B$23+((C813=TRUE)*(F813-Calc!F29)))/100)/2</f>
        <v/>
      </c>
      <c r="M788">
        <f>L788*(1+(Inputs!$B$10+((C810=TRUE)*(F810-Calc!F26))+B824)/100)</f>
        <v/>
      </c>
      <c r="N788">
        <f>L788*(1-MIN((Inputs!$B$9+((C809=TRUE)*(F809-Calc!F25))+B817),100)/100)+M788*(MIN((Inputs!$B$9+((C809=TRUE)*(F809-Calc!F25))+B817),100)/100)</f>
        <v/>
      </c>
      <c r="O788">
        <f>(1-Summary!$B$55)*T788+Summary!$B$55*V788</f>
        <v/>
      </c>
      <c r="P788">
        <f>IF(B829=0,0,O788/B829)</f>
        <v/>
      </c>
      <c r="Q788">
        <f>IFERROR(1/IF(Inputs!$B$39="pvp",15,MAX(0.1,Skills!D4-IF(Skills!E4=TRUE,Inputs!$B$32,0))),0)</f>
        <v/>
      </c>
      <c r="R788">
        <f>IF(AND(Inputs!$B$39&lt;&gt;"pvp",Inputs!$B$44&gt;0),IF(MAX(0,Inputs!$B$44-B828)&lt;=0,0,(INT(MAX(0,Inputs!$B$44-B828)/IF(Inputs!$B$39="pvp",15,MAX(0.1,Skills!D4-IF(Skills!E4=TRUE,Inputs!$B$32,0))))+1)),0)</f>
        <v/>
      </c>
      <c r="S788">
        <f>IFERROR(O788/N788,0)</f>
        <v/>
      </c>
      <c r="T788">
        <f>IF(C788,(H788*N788*IF(AND(Inputs!$B$39&lt;&gt;"pvp",Inputs!$B$44&gt;0),((Skills!G4*((R788-1)*IF(Skills!H4&gt;0,Skills!I4/Skills!H4,1)+IF(Skills!H4&gt;0,MIN(Skills!I4,MAX(0,MAX(0,Inputs!$B$44-B828)-((R788-1)*IF(Inputs!$B$39="pvp",15,MAX(0.1,Skills!D4-IF(Skills!E4=TRUE,Inputs!$B$32,0))))))/Skills!H4,1)))/Inputs!$B$44),G788*Q788))*IF(Inputs!$B$39="pvp",1,1+(Inputs!$B$20+0+Skills!P4+B818)/100),0)</f>
        <v/>
      </c>
      <c r="U788">
        <f>290*U787/1000</f>
        <v/>
      </c>
      <c r="V788">
        <f>IF(C788,(H788*N788*IF(AND(Inputs!$B$39&lt;&gt;"pvp",Inputs!$B$44&gt;0),((Skills!G4*((R788-1)*IF(Skills!H4&gt;0,Skills!I4/Skills!H4,1)+IF(Skills!H4&gt;0,MIN(Skills!I4,MAX(0,MAX(0,Inputs!$B$44-B828)-((R788-1)*IF(Inputs!$B$39="pvp",15,MAX(0.1,Skills!D4-IF(Skills!E4=TRUE,Inputs!$B$32,0))))))/Skills!H4,1)))/Inputs!$B$44),G788*Q788))*IF(Inputs!$B$39="pvp",1,(1+(Inputs!$B$21+Skills!Q4+B818)/100)*(MIN(MIN(10,0.5*B821*Skills!D4),Inputs!$B$37))),0)</f>
        <v/>
      </c>
    </row>
    <row r="789">
      <c r="A789">
        <f>Skills!A5</f>
        <v/>
      </c>
      <c r="B789">
        <f>Skills!B5</f>
        <v/>
      </c>
      <c r="C789">
        <f>Inputs!$B$3&gt;=63</f>
        <v/>
      </c>
      <c r="D789">
        <f>IF(Skills!C5=1,60+Inputs!$B$25+Inputs!$B$29,IF(Skills!C5=2,90+Inputs!$B$26+Inputs!$B$29,IF(Skills!C5=3,120+Inputs!$B$27+Inputs!$B$29,MAX(0,(Inputs!$B$3-100)*3)+Inputs!$B$28+Inputs!$B$29)))</f>
        <v/>
      </c>
      <c r="E789">
        <f>INDEX(FactorTable!$B$2:$Y$301, MATCH(ROUND(MIN(300,MAX(1,D789)),0), FactorTable!$A$2:$A$301,0), Skills!M5+1)</f>
        <v/>
      </c>
      <c r="F789">
        <f>IF(Skills!N5=TRUE,(Skills!L5/10)*(E789/1000),Skills!L5/10)+Skills!O5</f>
        <v/>
      </c>
      <c r="G789">
        <f>Skills!G5*IF(Skills!H5&gt;0,Skills!I5/Skills!H5,1)</f>
        <v/>
      </c>
      <c r="H789">
        <f>1-(1-Skills!J5/100)^Skills!K5</f>
        <v/>
      </c>
      <c r="I789" t="inlineStr">
        <is>
          <t>1</t>
        </is>
      </c>
      <c r="J789">
        <f>((Inputs!$B$6*(1+Inputs!$B$7/100))+(((Inputs!$B$12*(1+Inputs!$B$13/100))-(Inputs!$B$12*(1+Inputs!$B$13/100)))+0.25*(Inputs!$B$14-Inputs!$B$14))*(1+Inputs!$B$7/100))*(F789/100)</f>
        <v/>
      </c>
      <c r="K789">
        <f>J789*(1+((Inputs!$B$12*(1+Inputs!$B$13/100))*0.01+Inputs!$B$14*0.0025)/100)*(1+Inputs!$B$15/100)*(1+Inputs!$B$16/100)*(5000/(6000+Inputs!$B$43*(1-Inputs!$B$19/100)))*(1+(Inputs!$B$24+((C814=TRUE)*(F814-Calc!F30)))/100)*(1+2.6666666666666665*IF(C802=TRUE,F802,0)/100)*(1+(IF(Skills!A5="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789)</f>
        <v/>
      </c>
      <c r="L789">
        <f>K789*(MIN(Inputs!$B$22+((C808=TRUE)*(F808-Calc!F24)),Inputs!$B$23+((C813=TRUE)*(F813-Calc!F29)))/100+(Inputs!$B$23+((C813=TRUE)*(F813-Calc!F29)))/100)/2</f>
        <v/>
      </c>
      <c r="M789">
        <f>L789*(1+(Inputs!$B$10+((C810=TRUE)*(F810-Calc!F26))+B824)/100)</f>
        <v/>
      </c>
      <c r="N789">
        <f>L789*(1-MIN((Inputs!$B$9+((C809=TRUE)*(F809-Calc!F25))+B817),100)/100)+M789*(MIN((Inputs!$B$9+((C809=TRUE)*(F809-Calc!F25))+B817),100)/100)</f>
        <v/>
      </c>
      <c r="O789">
        <f>(1-Summary!$B$55)*T789+Summary!$B$55*V789</f>
        <v/>
      </c>
      <c r="P789">
        <f>IF(B829=0,0,O789/B829)</f>
        <v/>
      </c>
      <c r="Q789">
        <f>IFERROR(1/IF(Inputs!$B$39="pvp",15,MAX(0.1,Skills!D5-IF(Skills!E5=TRUE,Inputs!$B$32,0))),0)</f>
        <v/>
      </c>
      <c r="R789">
        <f>IF(AND(Inputs!$B$39&lt;&gt;"pvp",Inputs!$B$44&gt;0),IF(MAX(0,Inputs!$B$44-B828)&lt;=0,0,(INT(MAX(0,Inputs!$B$44-B828)/IF(Inputs!$B$39="pvp",15,MAX(0.1,Skills!D5-IF(Skills!E5=TRUE,Inputs!$B$32,0))))+1)),0)</f>
        <v/>
      </c>
      <c r="S789">
        <f>IFERROR(O789/N789,0)</f>
        <v/>
      </c>
      <c r="T789">
        <f>IF(C789,(H789*N789*IF(AND(Inputs!$B$39&lt;&gt;"pvp",Inputs!$B$44&gt;0),((Skills!G5*((R789-1)*IF(Skills!H5&gt;0,Skills!I5/Skills!H5,1)+IF(Skills!H5&gt;0,MIN(Skills!I5,MAX(0,MAX(0,Inputs!$B$44-B828)-((R789-1)*IF(Inputs!$B$39="pvp",15,MAX(0.1,Skills!D5-IF(Skills!E5=TRUE,Inputs!$B$32,0))))))/Skills!H5,1)))/Inputs!$B$44),G789*Q789))*IF(Inputs!$B$39="pvp",1,1+(Inputs!$B$20+0+Skills!P5+B818)/100),0)</f>
        <v/>
      </c>
      <c r="V789">
        <f>IF(C789,(H789*N789*IF(AND(Inputs!$B$39&lt;&gt;"pvp",Inputs!$B$44&gt;0),((Skills!G5*((R789-1)*IF(Skills!H5&gt;0,Skills!I5/Skills!H5,1)+IF(Skills!H5&gt;0,MIN(Skills!I5,MAX(0,MAX(0,Inputs!$B$44-B828)-((R789-1)*IF(Inputs!$B$39="pvp",15,MAX(0.1,Skills!D5-IF(Skills!E5=TRUE,Inputs!$B$32,0))))))/Skills!H5,1)))/Inputs!$B$44),G789*Q789))*IF(Inputs!$B$39="pvp",1,(1+(Inputs!$B$21+Skills!Q5+B818)/100)*(MIN(Skills!W5,Inputs!$B$37))),0)</f>
        <v/>
      </c>
    </row>
    <row r="790">
      <c r="A790">
        <f>Skills!A6</f>
        <v/>
      </c>
      <c r="B790">
        <f>Skills!B6</f>
        <v/>
      </c>
      <c r="C790">
        <f>Inputs!$B$3&gt;=69</f>
        <v/>
      </c>
      <c r="D790">
        <f>IF(Skills!C6=1,60+Inputs!$B$25+Inputs!$B$29,IF(Skills!C6=2,90+Inputs!$B$26+Inputs!$B$29,IF(Skills!C6=3,120+Inputs!$B$27+Inputs!$B$29,MAX(0,(Inputs!$B$3-100)*3)+Inputs!$B$28+Inputs!$B$29)))</f>
        <v/>
      </c>
      <c r="E790">
        <f>INDEX(FactorTable!$B$2:$Y$301, MATCH(ROUND(MIN(300,MAX(1,D790)),0), FactorTable!$A$2:$A$301,0), Skills!M6+1)</f>
        <v/>
      </c>
      <c r="F790">
        <f>IF(Skills!N6=TRUE,(Skills!L6/10)*(E790/1000),Skills!L6/10)+Skills!O6</f>
        <v/>
      </c>
      <c r="G790">
        <f>Skills!G6*IF(Skills!H6&gt;0,Skills!I6/Skills!H6,1)</f>
        <v/>
      </c>
      <c r="H790">
        <f>1-(1-Skills!J6/100)^Skills!K6</f>
        <v/>
      </c>
      <c r="I790" t="inlineStr">
        <is>
          <t>1</t>
        </is>
      </c>
      <c r="J790">
        <f>((Inputs!$B$6*(1+Inputs!$B$7/100))+(((Inputs!$B$12*(1+Inputs!$B$13/100))-(Inputs!$B$12*(1+Inputs!$B$13/100)))+0.25*(Inputs!$B$14-Inputs!$B$14))*(1+Inputs!$B$7/100))*(F790/100)</f>
        <v/>
      </c>
      <c r="K790">
        <f>J790*(1+((Inputs!$B$12*(1+Inputs!$B$13/100))*0.01+Inputs!$B$14*0.0025)/100)*(1+Inputs!$B$15/100)*(1+Inputs!$B$16/100)*(5000/(6000+Inputs!$B$43*(1-Inputs!$B$19/100)))*(1+(Inputs!$B$24+((C814=TRUE)*(F814-Calc!F30)))/100)*(1+1.0*IF(C802=TRUE,F802,0)/100)*(1+(IF(Skills!A6="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790)</f>
        <v/>
      </c>
      <c r="L790">
        <f>K790*(MIN(Inputs!$B$22+((C808=TRUE)*(F808-Calc!F24)),Inputs!$B$23+((C813=TRUE)*(F813-Calc!F29)))/100+(Inputs!$B$23+((C813=TRUE)*(F813-Calc!F29)))/100)/2</f>
        <v/>
      </c>
      <c r="M790">
        <f>L790*(1+(Inputs!$B$10+((C810=TRUE)*(F810-Calc!F26))+B824)/100)</f>
        <v/>
      </c>
      <c r="N790">
        <f>L790*(1-MIN((Inputs!$B$9+((C809=TRUE)*(F809-Calc!F25))+B817),100)/100)+M790*(MIN((Inputs!$B$9+((C809=TRUE)*(F809-Calc!F25))+B817),100)/100)</f>
        <v/>
      </c>
      <c r="O790">
        <f>(1-Summary!$B$55)*T790+Summary!$B$55*V790</f>
        <v/>
      </c>
      <c r="P790">
        <f>IF(B829=0,0,O790/B829)</f>
        <v/>
      </c>
      <c r="Q790">
        <f>IFERROR(1/IF(Inputs!$B$39="pvp",15,MAX(0.1,Skills!D6-IF(Skills!E6=TRUE,Inputs!$B$32,0))),0)</f>
        <v/>
      </c>
      <c r="R790">
        <f>IF(AND(Inputs!$B$39&lt;&gt;"pvp",Inputs!$B$44&gt;0),IF(MAX(0,Inputs!$B$44-B828)&lt;=0,0,(INT(MAX(0,Inputs!$B$44-B828)/IF(Inputs!$B$39="pvp",15,MAX(0.1,Skills!D6-IF(Skills!E6=TRUE,Inputs!$B$32,0))))+1)),0)</f>
        <v/>
      </c>
      <c r="S790">
        <f>IFERROR(O790/N790,0)</f>
        <v/>
      </c>
      <c r="T790">
        <f>IF(C790,(H790*N790*IF(AND(Inputs!$B$39&lt;&gt;"pvp",Inputs!$B$44&gt;0),((Skills!G6*((R790-1)*IF(Skills!H6&gt;0,Skills!I6/Skills!H6,1)+IF(Skills!H6&gt;0,MIN(Skills!I6,MAX(0,MAX(0,Inputs!$B$44-B828)-((R790-1)*IF(Inputs!$B$39="pvp",15,MAX(0.1,Skills!D6-IF(Skills!E6=TRUE,Inputs!$B$32,0))))))/Skills!H6,1)))/Inputs!$B$44),G790*Q790))*IF(Inputs!$B$39="pvp",1,1+(Inputs!$B$20+0+Skills!P6+B818)/100),0)</f>
        <v/>
      </c>
      <c r="V790">
        <f>IF(C790,(H790*N790*IF(AND(Inputs!$B$39&lt;&gt;"pvp",Inputs!$B$44&gt;0),((Skills!G6*((R790-1)*IF(Skills!H6&gt;0,Skills!I6/Skills!H6,1)+IF(Skills!H6&gt;0,MIN(Skills!I6,MAX(0,MAX(0,Inputs!$B$44-B828)-((R790-1)*IF(Inputs!$B$39="pvp",15,MAX(0.1,Skills!D6-IF(Skills!E6=TRUE,Inputs!$B$32,0))))))/Skills!H6,1)))/Inputs!$B$44),G790*Q790))*IF(Inputs!$B$39="pvp",1,(1+(Inputs!$B$21+Skills!Q6+B818)/100)*(MIN(Skills!W6,Inputs!$B$37))),0)</f>
        <v/>
      </c>
    </row>
    <row r="791">
      <c r="A791">
        <f>Skills!A7</f>
        <v/>
      </c>
      <c r="B791">
        <f>Skills!B7</f>
        <v/>
      </c>
      <c r="C791">
        <f>Inputs!$B$3&gt;=60</f>
        <v/>
      </c>
      <c r="D791">
        <f>IF(Skills!C7=1,60+Inputs!$B$25+Inputs!$B$29,IF(Skills!C7=2,90+Inputs!$B$26+Inputs!$B$29,IF(Skills!C7=3,120+Inputs!$B$27+Inputs!$B$29,MAX(0,(Inputs!$B$3-100)*3)+Inputs!$B$28+Inputs!$B$29)))</f>
        <v/>
      </c>
      <c r="E791">
        <f>INDEX(FactorTable!$B$2:$Y$301, MATCH(ROUND(MIN(300,MAX(1,D791)),0), FactorTable!$A$2:$A$301,0), Skills!M7+1)</f>
        <v/>
      </c>
      <c r="F791">
        <f>IF(Skills!N7=TRUE,(Skills!L7/10)*(E791/1000),Skills!L7/10)+Skills!O7</f>
        <v/>
      </c>
      <c r="G791">
        <f>Skills!G7*IF(Skills!H7&gt;0,Skills!I7/Skills!H7,1)</f>
        <v/>
      </c>
      <c r="H791">
        <f>1-(1-Skills!J7/100)^Skills!K7</f>
        <v/>
      </c>
      <c r="I791" t="inlineStr">
        <is>
          <t>1</t>
        </is>
      </c>
      <c r="J791" t="inlineStr"/>
      <c r="K791" t="inlineStr"/>
      <c r="L791" t="inlineStr"/>
      <c r="M791" t="inlineStr"/>
      <c r="N791" t="inlineStr"/>
      <c r="O791">
        <f>(1-Summary!$B$55)*T791+Summary!$B$55*V791</f>
        <v/>
      </c>
      <c r="P791">
        <f>IF(B829=0,0,O791/B829)</f>
        <v/>
      </c>
      <c r="Q791" t="n">
        <v>0</v>
      </c>
      <c r="R791" t="n">
        <v>0</v>
      </c>
      <c r="S791">
        <f>IFERROR(O791/N791,0)</f>
        <v/>
      </c>
      <c r="T791" t="n">
        <v>0</v>
      </c>
      <c r="V791" t="n">
        <v>0</v>
      </c>
    </row>
    <row r="792">
      <c r="A792">
        <f>Skills!A8</f>
        <v/>
      </c>
      <c r="B792">
        <f>Skills!B8</f>
        <v/>
      </c>
      <c r="C792">
        <f>Inputs!$B$3&gt;=72</f>
        <v/>
      </c>
      <c r="D792">
        <f>IF(Skills!C8=1,60+Inputs!$B$25+Inputs!$B$29,IF(Skills!C8=2,90+Inputs!$B$26+Inputs!$B$29,IF(Skills!C8=3,120+Inputs!$B$27+Inputs!$B$29,MAX(0,(Inputs!$B$3-100)*3)+Inputs!$B$28+Inputs!$B$29)))</f>
        <v/>
      </c>
      <c r="E792">
        <f>INDEX(FactorTable!$B$2:$Y$301, MATCH(ROUND(MIN(300,MAX(1,D792)),0), FactorTable!$A$2:$A$301,0), Skills!M8+1)</f>
        <v/>
      </c>
      <c r="F792">
        <f>IF(Skills!N8=TRUE,(Skills!L8/10)*(E792/1000),Skills!L8/10)+Skills!O8</f>
        <v/>
      </c>
      <c r="G792">
        <f>Skills!G8*IF(Skills!H8&gt;0,Skills!I8/Skills!H8,1)</f>
        <v/>
      </c>
      <c r="H792">
        <f>1-(1-Skills!J8/100)^Skills!K8</f>
        <v/>
      </c>
      <c r="I792" t="inlineStr">
        <is>
          <t>1</t>
        </is>
      </c>
      <c r="J792">
        <f>((Inputs!$B$6*(1+Inputs!$B$7/100))+(((Inputs!$B$12*(1+Inputs!$B$13/100))-(Inputs!$B$12*(1+Inputs!$B$13/100)))+0.25*(Inputs!$B$14-Inputs!$B$14))*(1+Inputs!$B$7/100))*(F792/100)</f>
        <v/>
      </c>
      <c r="K792">
        <f>J792*(1+((Inputs!$B$12*(1+Inputs!$B$13/100))*0.01+Inputs!$B$14*0.0025)/100)*(1+Inputs!$B$15/100)*(1+Inputs!$B$16/100)*(5000/(6000+Inputs!$B$43*(1-Inputs!$B$19/100)))*(1+(Inputs!$B$24+((C814=TRUE)*(F814-Calc!F30)))/100)*(1+3.3333333333333335*IF(C802=TRUE,F802,0)/100)*(1+(IF(Skills!A8="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792)</f>
        <v/>
      </c>
      <c r="L792">
        <f>K792*(MIN(Inputs!$B$22+((C808=TRUE)*(F808-Calc!F24)),Inputs!$B$23+((C813=TRUE)*(F813-Calc!F29)))/100+(Inputs!$B$23+((C813=TRUE)*(F813-Calc!F29)))/100)/2</f>
        <v/>
      </c>
      <c r="M792">
        <f>L792*(1+(Inputs!$B$10+((C810=TRUE)*(F810-Calc!F26))+B824)/100)</f>
        <v/>
      </c>
      <c r="N792">
        <f>L792*(1-MIN((Inputs!$B$9+((C809=TRUE)*(F809-Calc!F25))+B817),100)/100)+M792*(MIN((Inputs!$B$9+((C809=TRUE)*(F809-Calc!F25))+B817),100)/100)</f>
        <v/>
      </c>
      <c r="O792">
        <f>(1-Summary!$B$55)*T792+Summary!$B$55*V792</f>
        <v/>
      </c>
      <c r="P792">
        <f>IF(B829=0,0,O792/B829)</f>
        <v/>
      </c>
      <c r="Q792">
        <f>IFERROR(1/IF(Inputs!$B$39="pvp",15,MAX(0.1,Skills!D8-IF(Skills!E8=TRUE,Inputs!$B$32,0))),0)</f>
        <v/>
      </c>
      <c r="R792">
        <f>IF(AND(Inputs!$B$39&lt;&gt;"pvp",Inputs!$B$44&gt;0),IF(MAX(0,Inputs!$B$44-B828)&lt;=0,0,(INT(MAX(0,Inputs!$B$44-B828)/IF(Inputs!$B$39="pvp",15,MAX(0.1,Skills!D8-IF(Skills!E8=TRUE,Inputs!$B$32,0))))+1)),0)</f>
        <v/>
      </c>
      <c r="S792">
        <f>IFERROR(O792/N792,0)</f>
        <v/>
      </c>
      <c r="T792">
        <f>IF(C792,(H792*N792*IF(AND(Inputs!$B$39&lt;&gt;"pvp",Inputs!$B$44&gt;0),((Skills!G8*((R792-1)*IF(Skills!H8&gt;0,Skills!I8/Skills!H8,1)+IF(Skills!H8&gt;0,MIN(Skills!I8,MAX(0,MAX(0,Inputs!$B$44-B828)-((R792-1)*IF(Inputs!$B$39="pvp",15,MAX(0.1,Skills!D8-IF(Skills!E8=TRUE,Inputs!$B$32,0))))))/Skills!H8,1)))/Inputs!$B$44),G792*Q792))*IF(Inputs!$B$39="pvp",1,1+(Inputs!$B$20+0+Skills!P8+B818)/100),0)</f>
        <v/>
      </c>
      <c r="V792">
        <f>IF(C792,(H792*N792*IF(AND(Inputs!$B$39&lt;&gt;"pvp",Inputs!$B$44&gt;0),((Skills!G8*((R792-1)*IF(Skills!H8&gt;0,Skills!I8/Skills!H8,1)+IF(Skills!H8&gt;0,MIN(Skills!I8,MAX(0,MAX(0,Inputs!$B$44-B828)-((R792-1)*IF(Inputs!$B$39="pvp",15,MAX(0.1,Skills!D8-IF(Skills!E8=TRUE,Inputs!$B$32,0))))))/Skills!H8,1)))/Inputs!$B$44),G792*Q792))*IF(Inputs!$B$39="pvp",1,(1+(Inputs!$B$21+Skills!Q8+B818)/100)*(MIN(Skills!W8,Inputs!$B$37))),0)</f>
        <v/>
      </c>
    </row>
    <row r="793">
      <c r="A793">
        <f>Skills!A9</f>
        <v/>
      </c>
      <c r="B793">
        <f>Skills!B9</f>
        <v/>
      </c>
      <c r="C793">
        <f>Inputs!$B$3&gt;=117</f>
        <v/>
      </c>
      <c r="D793">
        <f>IF(Skills!C9=1,60+Inputs!$B$25+Inputs!$B$29,IF(Skills!C9=2,90+Inputs!$B$26+Inputs!$B$29,IF(Skills!C9=3,120+Inputs!$B$27+Inputs!$B$29,MAX(0,(Inputs!$B$3-100)*3)+Inputs!$B$28+Inputs!$B$29)))</f>
        <v/>
      </c>
      <c r="E793">
        <f>INDEX(FactorTable!$B$2:$Y$301, MATCH(ROUND(MIN(300,MAX(1,D793)),0), FactorTable!$A$2:$A$301,0), Skills!M9+1)</f>
        <v/>
      </c>
      <c r="F793">
        <f>IF(Skills!N9=TRUE,(Skills!L9/10)*(E793/1000),Skills!L9/10)+Skills!O9</f>
        <v/>
      </c>
      <c r="G793">
        <f>Skills!G9*IF(Skills!H9&gt;0,Skills!I9/Skills!H9,1)</f>
        <v/>
      </c>
      <c r="H793">
        <f>1-(1-Skills!J9/100)^Skills!K9</f>
        <v/>
      </c>
      <c r="I793" t="inlineStr">
        <is>
          <t>1</t>
        </is>
      </c>
      <c r="J793">
        <f>((Inputs!$B$6*(1+Inputs!$B$7/100))+(((Inputs!$B$12*(1+Inputs!$B$13/100))-(Inputs!$B$12*(1+Inputs!$B$13/100)))+0.25*(Inputs!$B$14-Inputs!$B$14))*(1+Inputs!$B$7/100))*(F793/100)</f>
        <v/>
      </c>
      <c r="K793">
        <f>J793*(1+((Inputs!$B$12*(1+Inputs!$B$13/100))*0.01+Inputs!$B$14*0.0025)/100)*(1+Inputs!$B$15/100)*(1+Inputs!$B$16/100)*(5000/(6000+Inputs!$B$43*(1-Inputs!$B$19/100)))*(1+(Inputs!$B$24+((C814=TRUE)*(F814-Calc!F30)))/100)*(1+(IF(Skills!A9="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793)</f>
        <v/>
      </c>
      <c r="L793">
        <f>K793*(MIN(Inputs!$B$22+((C808=TRUE)*(F808-Calc!F24)),Inputs!$B$23+((C813=TRUE)*(F813-Calc!F29)))/100+(Inputs!$B$23+((C813=TRUE)*(F813-Calc!F29)))/100)/2</f>
        <v/>
      </c>
      <c r="M793">
        <f>L793*(1+(Inputs!$B$10+((C810=TRUE)*(F810-Calc!F26))+B824)/100)</f>
        <v/>
      </c>
      <c r="N793">
        <f>L793*(1-MIN((Inputs!$B$9+((C809=TRUE)*(F809-Calc!F25))+B817),100)/100)+M793*(MIN((Inputs!$B$9+((C809=TRUE)*(F809-Calc!F25))+B817),100)/100)</f>
        <v/>
      </c>
      <c r="O793">
        <f>(1-Summary!$B$55)*T793+Summary!$B$55*V793</f>
        <v/>
      </c>
      <c r="P793">
        <f>IF(B829=0,0,O793/B829)</f>
        <v/>
      </c>
      <c r="Q793" t="n">
        <v>0</v>
      </c>
      <c r="R793" t="n">
        <v>0</v>
      </c>
      <c r="S793" t="n">
        <v>0</v>
      </c>
      <c r="T793">
        <f>IF(C793,(0.2*SUMPRODUCT((Skills!Z2:Z30=TRUE)*(C786:C814=TRUE)*S786:S814)*N793)*IF(Inputs!$B$39="pvp",1,1+(Inputs!$B$20+0+Skills!P9+B818)/100),0)</f>
        <v/>
      </c>
      <c r="V793">
        <f>IF(C793,(0.2*SUMPRODUCT((Skills!Z2:Z30=TRUE)*(C786:C814=TRUE)*S786:S814)*N793)*IF(Inputs!$B$39="pvp",1,(1+(Inputs!$B$21+Skills!Q9+B818)/100)*(MIN(Skills!W9,Inputs!$B$37))),0)</f>
        <v/>
      </c>
    </row>
    <row r="794">
      <c r="A794">
        <f>Skills!A10</f>
        <v/>
      </c>
      <c r="B794">
        <f>Skills!B10</f>
        <v/>
      </c>
      <c r="C794">
        <f>Inputs!$B$3&gt;=74</f>
        <v/>
      </c>
      <c r="D794">
        <f>IF(Skills!C10=1,60+Inputs!$B$25+Inputs!$B$29,IF(Skills!C10=2,90+Inputs!$B$26+Inputs!$B$29,IF(Skills!C10=3,120+Inputs!$B$27+Inputs!$B$29,MAX(0,(Inputs!$B$3-100)*3)+Inputs!$B$28+Inputs!$B$29)))</f>
        <v/>
      </c>
      <c r="E794">
        <f>INDEX(FactorTable!$B$2:$Y$301, MATCH(ROUND(MIN(300,MAX(1,D794)),0), FactorTable!$A$2:$A$301,0), Skills!M10+1)</f>
        <v/>
      </c>
      <c r="F794">
        <f>IF(Skills!N10=TRUE,(Skills!L10/10)*(E794/1000),Skills!L10/10)+Skills!O10</f>
        <v/>
      </c>
      <c r="G794">
        <f>Skills!G10*IF(Skills!H10&gt;0,Skills!I10/Skills!H10,1)</f>
        <v/>
      </c>
      <c r="H794">
        <f>1-(1-Skills!J10/100)^Skills!K10</f>
        <v/>
      </c>
      <c r="I794" t="inlineStr">
        <is>
          <t>1</t>
        </is>
      </c>
      <c r="J794" t="inlineStr"/>
      <c r="K794" t="inlineStr"/>
      <c r="L794" t="inlineStr"/>
      <c r="M794" t="inlineStr"/>
      <c r="N794" t="inlineStr"/>
      <c r="O794">
        <f>(1-Summary!$B$55)*T794+Summary!$B$55*V794</f>
        <v/>
      </c>
      <c r="P794">
        <f>IF(B829=0,0,O794/B829)</f>
        <v/>
      </c>
      <c r="Q794">
        <f>IFERROR(1/IF(Inputs!$B$39="pvp",15,MAX(0.1,Skills!D10-IF(Skills!E10=TRUE,Inputs!$B$32,0))),0)</f>
        <v/>
      </c>
      <c r="R794">
        <f>IF(AND(Inputs!$B$39&lt;&gt;"pvp",Inputs!$B$44&gt;0),IF(Inputs!$B$44&lt;=0,0,(INT(Inputs!$B$44/IF(Inputs!$B$39="pvp",15,MAX(0.1,Skills!D10-IF(Skills!E10=TRUE,Inputs!$B$32,0))))+1)),0)</f>
        <v/>
      </c>
      <c r="S794">
        <f>IFERROR(O794/N794,0)</f>
        <v/>
      </c>
      <c r="T794" t="n">
        <v>0</v>
      </c>
      <c r="V794" t="n">
        <v>0</v>
      </c>
    </row>
    <row r="795">
      <c r="A795">
        <f>Skills!A11</f>
        <v/>
      </c>
      <c r="B795">
        <f>Skills!B11</f>
        <v/>
      </c>
      <c r="C795">
        <f>Inputs!$B$3&gt;=103</f>
        <v/>
      </c>
      <c r="D795">
        <f>IF(Skills!C11=1,60+Inputs!$B$25+Inputs!$B$29,IF(Skills!C11=2,90+Inputs!$B$26+Inputs!$B$29,IF(Skills!C11=3,120+Inputs!$B$27+Inputs!$B$29,MAX(0,(Inputs!$B$3-100)*3)+Inputs!$B$28+Inputs!$B$29)))</f>
        <v/>
      </c>
      <c r="E795">
        <f>INDEX(FactorTable!$B$2:$Y$301, MATCH(ROUND(MIN(300,MAX(1,D795)),0), FactorTable!$A$2:$A$301,0), Skills!M11+1)</f>
        <v/>
      </c>
      <c r="F795">
        <f>(Skills!L11/10)*(E795/1000)+IF(Inputs!$B$3&gt;=134,50,0)+0.5*(30000/10)*(INDEX(FactorTable!$B$2:$Y$301, MATCH(ROUND(MIN(300,MAX(1,D795)),0), FactorTable!$A$2:$A$301,0), 13)/1000)*B827</f>
        <v/>
      </c>
      <c r="G795">
        <f>Skills!G11*IF(Skills!H11&gt;0,Skills!I11/Skills!H11,1)</f>
        <v/>
      </c>
      <c r="H795">
        <f>1-(1-Skills!J11/100)^Skills!K11</f>
        <v/>
      </c>
      <c r="I795" t="inlineStr">
        <is>
          <t>1</t>
        </is>
      </c>
      <c r="J795">
        <f>((Inputs!$B$6*(1+Inputs!$B$7/100))+(((Inputs!$B$12*(1+Inputs!$B$13/100))-(Inputs!$B$12*(1+Inputs!$B$13/100)))+0.25*(Inputs!$B$14-Inputs!$B$14))*(1+Inputs!$B$7/100))*(F795/100)</f>
        <v/>
      </c>
      <c r="K795">
        <f>J795*(1+((Inputs!$B$12*(1+Inputs!$B$13/100))*0.01+Inputs!$B$14*0.0025)/100)*(1+Inputs!$B$15/100)*(1+Inputs!$B$16/100)*(5000/(6000+Inputs!$B$43*(1-Inputs!$B$19/100)))*(1+(Inputs!$B$24+((C814=TRUE)*(F814-Calc!F30)))/100)*(1+(IF(Skills!A11="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795)</f>
        <v/>
      </c>
      <c r="L795">
        <f>K795*(MIN(Inputs!$B$22+((C808=TRUE)*(F808-Calc!F24)),Inputs!$B$23+((C813=TRUE)*(F813-Calc!F29)))/100+(Inputs!$B$23+((C813=TRUE)*(F813-Calc!F29)))/100)/2</f>
        <v/>
      </c>
      <c r="M795">
        <f>L795*(1+(Inputs!$B$10+((C810=TRUE)*(F810-Calc!F26))+B824)/100)</f>
        <v/>
      </c>
      <c r="N795">
        <f>L795*(1-MIN((Inputs!$B$9+((C809=TRUE)*(F809-Calc!F25))+B817),100)/100)+M795*(MIN((Inputs!$B$9+((C809=TRUE)*(F809-Calc!F25))+B817),100)/100)</f>
        <v/>
      </c>
      <c r="O795">
        <f>(1-Summary!$B$55)*T795+Summary!$B$55*V795</f>
        <v/>
      </c>
      <c r="P795">
        <f>IF(B829=0,0,O795/B829)</f>
        <v/>
      </c>
      <c r="Q795">
        <f>IFERROR(1/IF(Inputs!$B$39="pvp",15,MAX(0.1,Skills!D11-IF(Skills!E11=TRUE,Inputs!$B$32,0))),0)</f>
        <v/>
      </c>
      <c r="R795">
        <f>IF(AND(Inputs!$B$39&lt;&gt;"pvp",Inputs!$B$44&gt;0),IF(MAX(0,Inputs!$B$44-B828)&lt;=0,0,(INT(MAX(0,Inputs!$B$44-B828)/IF(Inputs!$B$39="pvp",15,MAX(0.1,Skills!D11-IF(Skills!E11=TRUE,Inputs!$B$32,0))))+1)),0)</f>
        <v/>
      </c>
      <c r="S795">
        <f>IFERROR(O795/N795,0)</f>
        <v/>
      </c>
      <c r="T795">
        <f>IF(C795,(H795*N795*IF(AND(Inputs!$B$39&lt;&gt;"pvp",Inputs!$B$44&gt;0),((Skills!G11*((R795-1)*IF(Skills!H11&gt;0,Skills!I11/Skills!H11,1)+IF(Skills!H11&gt;0,MIN(Skills!I11,MAX(0,MAX(0,Inputs!$B$44-B828)-((R795-1)*IF(Inputs!$B$39="pvp",15,MAX(0.1,Skills!D11-IF(Skills!E11=TRUE,Inputs!$B$32,0))))))/Skills!H11,1)))/Inputs!$B$44),G795*Q795))*IF(Inputs!$B$39="pvp",1,1+(Inputs!$B$20+0+Skills!P11+B818)/100),0)</f>
        <v/>
      </c>
      <c r="V795">
        <f>IF(C795,(H795*N795*IF(AND(Inputs!$B$39&lt;&gt;"pvp",Inputs!$B$44&gt;0),((Skills!G11*((R795-1)*IF(Skills!H11&gt;0,Skills!I11/Skills!H11,1)+IF(Skills!H11&gt;0,MIN(Skills!I11,MAX(0,MAX(0,Inputs!$B$44-B828)-((R795-1)*IF(Inputs!$B$39="pvp",15,MAX(0.1,Skills!D11-IF(Skills!E11=TRUE,Inputs!$B$32,0))))))/Skills!H11,1)))/Inputs!$B$44),G795*Q795))*IF(Inputs!$B$39="pvp",1,(1+(Inputs!$B$21+Skills!Q11+B818)/100)*(MIN(Skills!W11,Inputs!$B$37))),0)</f>
        <v/>
      </c>
    </row>
    <row r="796">
      <c r="A796">
        <f>Skills!A12</f>
        <v/>
      </c>
      <c r="B796">
        <f>Skills!B12</f>
        <v/>
      </c>
      <c r="C796">
        <f>Inputs!$B$3&gt;=105</f>
        <v/>
      </c>
      <c r="D796">
        <f>IF(Skills!C12=1,60+Inputs!$B$25+Inputs!$B$29,IF(Skills!C12=2,90+Inputs!$B$26+Inputs!$B$29,IF(Skills!C12=3,120+Inputs!$B$27+Inputs!$B$29,MAX(0,(Inputs!$B$3-100)*3)+Inputs!$B$28+Inputs!$B$29)))</f>
        <v/>
      </c>
      <c r="E796">
        <f>INDEX(FactorTable!$B$2:$Y$301, MATCH(ROUND(MIN(300,MAX(1,D796)),0), FactorTable!$A$2:$A$301,0), Skills!M12+1)</f>
        <v/>
      </c>
      <c r="F796">
        <f>IF(Skills!N12=TRUE,(Skills!L12/10)*(E796/1000),Skills!L12/10)+Skills!O12</f>
        <v/>
      </c>
      <c r="G796">
        <f>Skills!G12*IF(Skills!H12&gt;0,Skills!I12/Skills!H12,1)</f>
        <v/>
      </c>
      <c r="H796">
        <f>1-(1-Skills!J12/100)^Skills!K12</f>
        <v/>
      </c>
      <c r="I796" t="inlineStr">
        <is>
          <t>1</t>
        </is>
      </c>
      <c r="J796">
        <f>((Inputs!$B$6*(1+Inputs!$B$7/100))+(((Inputs!$B$12*(1+Inputs!$B$13/100))-(Inputs!$B$12*(1+Inputs!$B$13/100)))+0.25*(Inputs!$B$14-Inputs!$B$14))*(1+Inputs!$B$7/100))*(F796/100)</f>
        <v/>
      </c>
      <c r="K796">
        <f>J796*(1+((Inputs!$B$12*(1+Inputs!$B$13/100))*0.01+Inputs!$B$14*0.0025)/100)*(1+Inputs!$B$15/100)*(1+Inputs!$B$16/100)*(5000/(6000+Inputs!$B$43*(1-Inputs!$B$19/100)))*(1+(Inputs!$B$24+((C814=TRUE)*(F814-Calc!F30)))/100)*(1+(IF(Skills!A12="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796)</f>
        <v/>
      </c>
      <c r="L796">
        <f>K796*(MIN(Inputs!$B$22+((C808=TRUE)*(F808-Calc!F24)),Inputs!$B$23+((C813=TRUE)*(F813-Calc!F29)))/100+(Inputs!$B$23+((C813=TRUE)*(F813-Calc!F29)))/100)/2</f>
        <v/>
      </c>
      <c r="M796">
        <f>L796*(1+(Inputs!$B$10+((C810=TRUE)*(F810-Calc!F26))+B824)/100)</f>
        <v/>
      </c>
      <c r="N796">
        <f>L796*(1-MIN((Inputs!$B$9+((C809=TRUE)*(F809-Calc!F25))+B817),100)/100)+M796*(MIN((Inputs!$B$9+((C809=TRUE)*(F809-Calc!F25))+B817),100)/100)</f>
        <v/>
      </c>
      <c r="O796">
        <f>(1-Summary!$B$55)*T796+Summary!$B$55*V796</f>
        <v/>
      </c>
      <c r="P796">
        <f>IF(B829=0,0,O796/B829)</f>
        <v/>
      </c>
      <c r="Q796">
        <f>IFERROR(1/IF(Inputs!$B$39="pvp",15,MAX(0.1,Skills!D12-IF(Skills!E12=TRUE,Inputs!$B$32,0))),0)</f>
        <v/>
      </c>
      <c r="R796">
        <f>IF(AND(Inputs!$B$39&lt;&gt;"pvp",Inputs!$B$44&gt;0),IF(MAX(0,Inputs!$B$44-B828)&lt;=0,0,(INT(MAX(0,Inputs!$B$44-B828)/IF(Inputs!$B$39="pvp",15,MAX(0.1,Skills!D12-IF(Skills!E12=TRUE,Inputs!$B$32,0))))+1)),0)</f>
        <v/>
      </c>
      <c r="S796">
        <f>IFERROR(O796/N796,0)</f>
        <v/>
      </c>
      <c r="T796">
        <f>IF(C796,(H796*N796*IF(AND(Inputs!$B$39&lt;&gt;"pvp",Inputs!$B$44&gt;0),((Skills!G12*((R796-1)*IF(Skills!H12&gt;0,Skills!I12/Skills!H12,1)+IF(Skills!H12&gt;0,MIN(Skills!I12,MAX(0,MAX(0,Inputs!$B$44-B828)-((R796-1)*IF(Inputs!$B$39="pvp",15,MAX(0.1,Skills!D12-IF(Skills!E12=TRUE,Inputs!$B$32,0))))))/Skills!H12,1)))/Inputs!$B$44),G796*Q796))*IF(Inputs!$B$39="pvp",1,1+(Inputs!$B$20+0+Skills!P12+B818)/100),0)</f>
        <v/>
      </c>
      <c r="V796">
        <f>IF(C796,(H796*N796*IF(AND(Inputs!$B$39&lt;&gt;"pvp",Inputs!$B$44&gt;0),((Skills!G12*((R796-1)*IF(Skills!H12&gt;0,Skills!I12/Skills!H12,1)+IF(Skills!H12&gt;0,MIN(Skills!I12,MAX(0,MAX(0,Inputs!$B$44-B828)-((R796-1)*IF(Inputs!$B$39="pvp",15,MAX(0.1,Skills!D12-IF(Skills!E12=TRUE,Inputs!$B$32,0))))))/Skills!H12,1)))/Inputs!$B$44),G796*Q796))*IF(Inputs!$B$39="pvp",1,(1+(Inputs!$B$21+Skills!Q12+B818)/100)*(MIN(Skills!W12,Inputs!$B$37))),0)</f>
        <v/>
      </c>
    </row>
    <row r="797">
      <c r="A797">
        <f>Skills!A13</f>
        <v/>
      </c>
      <c r="B797">
        <f>Skills!B13</f>
        <v/>
      </c>
      <c r="C797">
        <f>Inputs!$B$3&gt;=105</f>
        <v/>
      </c>
      <c r="D797">
        <f>IF(Skills!C13=1,60+Inputs!$B$25+Inputs!$B$29,IF(Skills!C13=2,90+Inputs!$B$26+Inputs!$B$29,IF(Skills!C13=3,120+Inputs!$B$27+Inputs!$B$29,MAX(0,(Inputs!$B$3-100)*3)+Inputs!$B$28+Inputs!$B$29)))</f>
        <v/>
      </c>
      <c r="E797">
        <f>INDEX(FactorTable!$B$2:$Y$301, MATCH(ROUND(MIN(300,MAX(1,D797)),0), FactorTable!$A$2:$A$301,0), Skills!M13+1)</f>
        <v/>
      </c>
      <c r="F797">
        <f>IF(Skills!N13=TRUE,(Skills!L13/10)*(E797/1000),Skills!L13/10)+Skills!O13</f>
        <v/>
      </c>
      <c r="G797">
        <f>Skills!G13*IF(Skills!H13&gt;0,Skills!I13/Skills!H13,1)</f>
        <v/>
      </c>
      <c r="H797">
        <f>1-(1-Skills!J13/100)^Skills!K13</f>
        <v/>
      </c>
      <c r="I797" t="inlineStr">
        <is>
          <t>1</t>
        </is>
      </c>
      <c r="J797">
        <f>((Inputs!$B$6*(1+Inputs!$B$7/100))+(((Inputs!$B$12*(1+Inputs!$B$13/100))-(Inputs!$B$12*(1+Inputs!$B$13/100)))+0.25*(Inputs!$B$14-Inputs!$B$14))*(1+Inputs!$B$7/100))*(F797/100)</f>
        <v/>
      </c>
      <c r="K797">
        <f>J797*(1+((Inputs!$B$12*(1+Inputs!$B$13/100))*0.01+Inputs!$B$14*0.0025)/100)*(1+Inputs!$B$15/100)*(1+Inputs!$B$16/100)*(5000/(6000+Inputs!$B$43*(1-Inputs!$B$19/100)))*(1+(Inputs!$B$24+((C814=TRUE)*(F814-Calc!F30)))/100)*(1+(IF(Skills!A13="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797)</f>
        <v/>
      </c>
      <c r="L797">
        <f>K797*(MIN(Inputs!$B$22+((C808=TRUE)*(F808-Calc!F24)),Inputs!$B$23+((C813=TRUE)*(F813-Calc!F29)))/100+(Inputs!$B$23+((C813=TRUE)*(F813-Calc!F29)))/100)/2</f>
        <v/>
      </c>
      <c r="M797">
        <f>L797*(1+(Inputs!$B$10+((C810=TRUE)*(F810-Calc!F26))+B824)/100)</f>
        <v/>
      </c>
      <c r="N797">
        <f>L797*(1-MIN((Inputs!$B$9+((C809=TRUE)*(F809-Calc!F25))+B817),100)/100)+M797*(MIN((Inputs!$B$9+((C809=TRUE)*(F809-Calc!F25))+B817),100)/100)</f>
        <v/>
      </c>
      <c r="O797">
        <f>(1-Summary!$B$55)*T797+Summary!$B$55*V797</f>
        <v/>
      </c>
      <c r="P797">
        <f>IF(B829=0,0,O797/B829)</f>
        <v/>
      </c>
      <c r="Q797">
        <f>IFERROR(1/IF(Inputs!$B$39="pvp",15,MAX(0.1,Skills!D13-IF(Skills!E13=TRUE,Inputs!$B$32,0))),0)</f>
        <v/>
      </c>
      <c r="R797">
        <f>IF(AND(Inputs!$B$39&lt;&gt;"pvp",Inputs!$B$44&gt;0),IF(MAX(0,Inputs!$B$44-B828)&lt;=0,0,(INT(MAX(0,Inputs!$B$44-B828)/IF(Inputs!$B$39="pvp",15,MAX(0.1,Skills!D13-IF(Skills!E13=TRUE,Inputs!$B$32,0))))+1)),0)</f>
        <v/>
      </c>
      <c r="S797">
        <f>IFERROR(O797/N797,0)</f>
        <v/>
      </c>
      <c r="T797">
        <f>IF(C797,(H797*N797*IF(AND(Inputs!$B$39&lt;&gt;"pvp",Inputs!$B$44&gt;0),((Skills!G13*((R797-1)*IF(Skills!H13&gt;0,Skills!I13/Skills!H13,1)+IF(Skills!H13&gt;0,MIN(Skills!I13,MAX(0,MAX(0,Inputs!$B$44-B828)-((R797-1)*IF(Inputs!$B$39="pvp",15,MAX(0.1,Skills!D13-IF(Skills!E13=TRUE,Inputs!$B$32,0))))))/Skills!H13,1)))/Inputs!$B$44),G797*Q797))*IF(Inputs!$B$39="pvp",1,1+(Inputs!$B$20+0+Skills!P13+B818)/100),0)</f>
        <v/>
      </c>
      <c r="V797">
        <f>IF(C797,(H797*N797*IF(AND(Inputs!$B$39&lt;&gt;"pvp",Inputs!$B$44&gt;0),((Skills!G13*((R797-1)*IF(Skills!H13&gt;0,Skills!I13/Skills!H13,1)+IF(Skills!H13&gt;0,MIN(Skills!I13,MAX(0,MAX(0,Inputs!$B$44-B828)-((R797-1)*IF(Inputs!$B$39="pvp",15,MAX(0.1,Skills!D13-IF(Skills!E13=TRUE,Inputs!$B$32,0))))))/Skills!H13,1)))/Inputs!$B$44),G797*Q797))*IF(Inputs!$B$39="pvp",1,(1+(Inputs!$B$21+Skills!Q13+B818)/100)*(MIN(Skills!W13,Inputs!$B$37))),0)</f>
        <v/>
      </c>
    </row>
    <row r="798">
      <c r="A798">
        <f>Skills!A14</f>
        <v/>
      </c>
      <c r="B798">
        <f>Skills!B14</f>
        <v/>
      </c>
      <c r="C798">
        <f>Inputs!$B$3&gt;=107</f>
        <v/>
      </c>
      <c r="D798">
        <f>IF(Skills!C14=1,60+Inputs!$B$25+Inputs!$B$29,IF(Skills!C14=2,90+Inputs!$B$26+Inputs!$B$29,IF(Skills!C14=3,120+Inputs!$B$27+Inputs!$B$29,MAX(0,(Inputs!$B$3-100)*3)+Inputs!$B$28+Inputs!$B$29)))</f>
        <v/>
      </c>
      <c r="E798">
        <f>INDEX(FactorTable!$B$2:$Y$301, MATCH(ROUND(MIN(300,MAX(1,D798)),0), FactorTable!$A$2:$A$301,0), Skills!M14+1)</f>
        <v/>
      </c>
      <c r="F798">
        <f>IF(Skills!N14=TRUE,(Skills!L14/10)*(E798/1000),Skills!L14/10)+Skills!O14</f>
        <v/>
      </c>
      <c r="G798">
        <f>Skills!G14*IF(Skills!H14&gt;0,Skills!I14/Skills!H14,1)</f>
        <v/>
      </c>
      <c r="H798">
        <f>1-(1-Skills!J14/100)^Skills!K14</f>
        <v/>
      </c>
      <c r="I798" t="inlineStr">
        <is>
          <t>1</t>
        </is>
      </c>
      <c r="J798">
        <f>((Inputs!$B$6*(1+Inputs!$B$7/100))+(((Inputs!$B$12*(1+Inputs!$B$13/100))-(Inputs!$B$12*(1+Inputs!$B$13/100)))+0.25*(Inputs!$B$14-Inputs!$B$14))*(1+Inputs!$B$7/100))*(F798/100)</f>
        <v/>
      </c>
      <c r="K798">
        <f>J798*(1+((Inputs!$B$12*(1+Inputs!$B$13/100))*0.01+Inputs!$B$14*0.0025)/100)*(1+Inputs!$B$15/100)*(1+Inputs!$B$16/100)*(5000/(6000+Inputs!$B$43*(1-Inputs!$B$19/100)))*(1+(Inputs!$B$24+((C814=TRUE)*(F814-Calc!F30)))/100)*(1+(IF(Skills!A14="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798)</f>
        <v/>
      </c>
      <c r="L798">
        <f>K798*(MIN(Inputs!$B$22+((C808=TRUE)*(F808-Calc!F24)),Inputs!$B$23+((C813=TRUE)*(F813-Calc!F29)))/100+(Inputs!$B$23+((C813=TRUE)*(F813-Calc!F29)))/100)/2</f>
        <v/>
      </c>
      <c r="M798">
        <f>L798*(1+(Inputs!$B$10+((C810=TRUE)*(F810-Calc!F26))+B824)/100)</f>
        <v/>
      </c>
      <c r="N798">
        <f>L798*(1-MIN((Inputs!$B$9+((C809=TRUE)*(F809-Calc!F25))+B817),100)/100)+M798*(MIN((Inputs!$B$9+((C809=TRUE)*(F809-Calc!F25))+B817),100)/100)</f>
        <v/>
      </c>
      <c r="O798">
        <f>(1-Summary!$B$55)*T798+Summary!$B$55*V798</f>
        <v/>
      </c>
      <c r="P798">
        <f>IF(B829=0,0,O798/B829)</f>
        <v/>
      </c>
      <c r="Q798">
        <f>IFERROR(1/IF(Inputs!$B$39="pvp",15,MAX(0.1,Skills!D14-IF(Skills!E14=TRUE,Inputs!$B$32,0))),0)</f>
        <v/>
      </c>
      <c r="R798">
        <f>IF(AND(Inputs!$B$39&lt;&gt;"pvp",Inputs!$B$44&gt;0),IF(MAX(0,Inputs!$B$44-B828)&lt;=0,0,(INT(MAX(0,Inputs!$B$44-B828)/IF(Inputs!$B$39="pvp",15,MAX(0.1,Skills!D14-IF(Skills!E14=TRUE,Inputs!$B$32,0))))+1)),0)</f>
        <v/>
      </c>
      <c r="S798">
        <f>IFERROR(O798/N798,0)</f>
        <v/>
      </c>
      <c r="T798">
        <f>IF(C798,(H798*N798*IF(AND(Inputs!$B$39&lt;&gt;"pvp",Inputs!$B$44&gt;0),((Skills!G14*((R798-1)*IF(Skills!H14&gt;0,Skills!I14/Skills!H14,1)+IF(Skills!H14&gt;0,MIN(Skills!I14,MAX(0,MAX(0,Inputs!$B$44-B828)-((R798-1)*IF(Inputs!$B$39="pvp",15,MAX(0.1,Skills!D14-IF(Skills!E14=TRUE,Inputs!$B$32,0))))))/Skills!H14,1)))/Inputs!$B$44),G798*Q798))*IF(Inputs!$B$39="pvp",1,1+(Inputs!$B$20+0+Skills!P14+B818)/100),0)</f>
        <v/>
      </c>
      <c r="V798">
        <f>IF(C798,(H798*N798*IF(AND(Inputs!$B$39&lt;&gt;"pvp",Inputs!$B$44&gt;0),((Skills!G14*((R798-1)*IF(Skills!H14&gt;0,Skills!I14/Skills!H14,1)+IF(Skills!H14&gt;0,MIN(Skills!I14,MAX(0,MAX(0,Inputs!$B$44-B828)-((R798-1)*IF(Inputs!$B$39="pvp",15,MAX(0.1,Skills!D14-IF(Skills!E14=TRUE,Inputs!$B$32,0))))))/Skills!H14,1)))/Inputs!$B$44),G798*Q798))*IF(Inputs!$B$39="pvp",1,(1+(Inputs!$B$21+Skills!Q14+B818)/100)*(MIN(MIN(5,0.25*B821*Skills!D4)*Skills!V14,Inputs!$B$37))),0)</f>
        <v/>
      </c>
    </row>
    <row r="799">
      <c r="A799">
        <f>Skills!A15</f>
        <v/>
      </c>
      <c r="B799">
        <f>Skills!B15</f>
        <v/>
      </c>
      <c r="C799">
        <f>Inputs!$B$3&gt;=110</f>
        <v/>
      </c>
      <c r="D799">
        <f>IF(Skills!C15=1,60+Inputs!$B$25+Inputs!$B$29,IF(Skills!C15=2,90+Inputs!$B$26+Inputs!$B$29,IF(Skills!C15=3,120+Inputs!$B$27+Inputs!$B$29,MAX(0,(Inputs!$B$3-100)*3)+Inputs!$B$28+Inputs!$B$29)))</f>
        <v/>
      </c>
      <c r="E799">
        <f>INDEX(FactorTable!$B$2:$Y$301, MATCH(ROUND(MIN(300,MAX(1,D799)),0), FactorTable!$A$2:$A$301,0), Skills!M15+1)</f>
        <v/>
      </c>
      <c r="F799">
        <f>IF(Skills!N15=TRUE,(Skills!L15/10)*(E799/1000),Skills!L15/10)+Skills!O15</f>
        <v/>
      </c>
      <c r="G799">
        <f>Skills!G15*IF(Skills!H15&gt;0,Skills!I15/Skills!H15,1)</f>
        <v/>
      </c>
      <c r="H799">
        <f>1-(1-Skills!J15/100)^Skills!K15</f>
        <v/>
      </c>
      <c r="I799" t="inlineStr">
        <is>
          <t>1</t>
        </is>
      </c>
      <c r="J799" t="inlineStr"/>
      <c r="K799" t="inlineStr"/>
      <c r="L799" t="inlineStr"/>
      <c r="M799" t="inlineStr"/>
      <c r="N799" t="inlineStr"/>
      <c r="O799">
        <f>(1-Summary!$B$55)*T799+Summary!$B$55*V799</f>
        <v/>
      </c>
      <c r="P799">
        <f>IF(B829=0,0,O799/B829)</f>
        <v/>
      </c>
      <c r="Q799">
        <f>IFERROR(1/IF(Inputs!$B$39="pvp",15,MAX(0.1,Skills!D15-IF(Skills!E15=TRUE,Inputs!$B$32,0))),0)</f>
        <v/>
      </c>
      <c r="R799">
        <f>IF(AND(Inputs!$B$39&lt;&gt;"pvp",Inputs!$B$44&gt;0),IF(Inputs!$B$44&lt;=0,0,(INT(Inputs!$B$44/IF(Inputs!$B$39="pvp",15,MAX(0.1,Skills!D15-IF(Skills!E15=TRUE,Inputs!$B$32,0))))+1)),0)</f>
        <v/>
      </c>
      <c r="S799">
        <f>IFERROR(O799/N799,0)</f>
        <v/>
      </c>
      <c r="T799" t="n">
        <v>0</v>
      </c>
      <c r="V799" t="n">
        <v>0</v>
      </c>
    </row>
    <row r="800">
      <c r="A800">
        <f>Skills!A16</f>
        <v/>
      </c>
      <c r="B800">
        <f>Skills!B16</f>
        <v/>
      </c>
      <c r="C800">
        <f>Inputs!$B$3&gt;=115</f>
        <v/>
      </c>
      <c r="D800">
        <f>IF(Skills!C16=1,60+Inputs!$B$25+Inputs!$B$29,IF(Skills!C16=2,90+Inputs!$B$26+Inputs!$B$29,IF(Skills!C16=3,120+Inputs!$B$27+Inputs!$B$29,MAX(0,(Inputs!$B$3-100)*3)+Inputs!$B$28+Inputs!$B$29)))</f>
        <v/>
      </c>
      <c r="E800">
        <f>INDEX(FactorTable!$B$2:$Y$301, MATCH(ROUND(MIN(300,MAX(1,D800)),0), FactorTable!$A$2:$A$301,0), Skills!M16+1)</f>
        <v/>
      </c>
      <c r="F800">
        <f>IF(Skills!N16=TRUE,(Skills!L16/10)*(E800/1000),Skills!L16/10)+Skills!O16</f>
        <v/>
      </c>
      <c r="G800">
        <f>Skills!G16*IF(Skills!H16&gt;0,Skills!I16/Skills!H16,1)</f>
        <v/>
      </c>
      <c r="H800">
        <f>1-(1-Skills!J16/100)^Skills!K16</f>
        <v/>
      </c>
      <c r="I800" t="inlineStr">
        <is>
          <t>1</t>
        </is>
      </c>
      <c r="J800">
        <f>((Inputs!$B$6*(1+Inputs!$B$7/100))+(((Inputs!$B$12*(1+Inputs!$B$13/100))-(Inputs!$B$12*(1+Inputs!$B$13/100)))+0.25*(Inputs!$B$14-Inputs!$B$14))*(1+Inputs!$B$7/100))*(F800/100)</f>
        <v/>
      </c>
      <c r="K800">
        <f>J800*(1+((Inputs!$B$12*(1+Inputs!$B$13/100))*0.01+Inputs!$B$14*0.0025)/100)*(1+Inputs!$B$15/100)*(1+Inputs!$B$16/100)*(5000/(6000+Inputs!$B$43*(1-Inputs!$B$19/100)))*(1+(Inputs!$B$24+((C814=TRUE)*(F814-Calc!F30)))/100)*(1+(IF(Skills!A16="CRUEL_STAB",Inputs!$B$17+((C811=TRUE)*(F811-Calc!F27)),(Inputs!$B$18+1)+((C812=TRUE)*(F812-Calc!F28))))/100)*(((1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B819*I800)</f>
        <v/>
      </c>
      <c r="L800">
        <f>K800*(MIN(Inputs!$B$22+((C808=TRUE)*(F808-Calc!F24)),Inputs!$B$23+((C813=TRUE)*(F813-Calc!F29)))/100+(Inputs!$B$23+((C813=TRUE)*(F813-Calc!F29)))/100)/2</f>
        <v/>
      </c>
      <c r="M800">
        <f>L800*(1+(Inputs!$B$10+((C810=TRUE)*(F810-Calc!F26))+B824)/100)</f>
        <v/>
      </c>
      <c r="N800">
        <f>L800*(1-MIN((Inputs!$B$9+((C809=TRUE)*(F809-Calc!F25))+B817),100)/100)+M800*(MIN((Inputs!$B$9+((C809=TRUE)*(F809-Calc!F25))+B817),100)/100)</f>
        <v/>
      </c>
      <c r="O800">
        <f>(1-Summary!$B$55)*T800+Summary!$B$55*V800</f>
        <v/>
      </c>
      <c r="P800">
        <f>IF(B829=0,0,O800/B829)</f>
        <v/>
      </c>
      <c r="Q800" t="n">
        <v>0</v>
      </c>
      <c r="R800" t="n">
        <v>0</v>
      </c>
      <c r="S800">
        <f>IFERROR(O800/N800,0)</f>
        <v/>
      </c>
      <c r="T800">
        <f>IF(C800,(Inputs!$B$38*0.2*N800)*IF(Inputs!$B$39="pvp",1,1+(Inputs!$B$20+0+Skills!P16+B818)/100),0)</f>
        <v/>
      </c>
      <c r="V800">
        <f>IF(C800,(Inputs!$B$38*0.2*N800)*IF(Inputs!$B$39="pvp",1,(1+(Inputs!$B$21+Skills!Q16+B818)/100)*(MIN(Skills!W16,Inputs!$B$37))),0)</f>
        <v/>
      </c>
    </row>
    <row r="801">
      <c r="A801">
        <f>Skills!A17</f>
        <v/>
      </c>
      <c r="B801">
        <f>Skills!B17</f>
        <v/>
      </c>
      <c r="C801">
        <f>Inputs!$B$3&gt;=115</f>
        <v/>
      </c>
      <c r="D801">
        <f>IF(Skills!C17=1,60+Inputs!$B$25+Inputs!$B$29,IF(Skills!C17=2,90+Inputs!$B$26+Inputs!$B$29,IF(Skills!C17=3,120+Inputs!$B$27+Inputs!$B$29,MAX(0,(Inputs!$B$3-100)*3)+Inputs!$B$28+Inputs!$B$29)))</f>
        <v/>
      </c>
      <c r="E801">
        <f>INDEX(FactorTable!$B$2:$Y$301, MATCH(ROUND(MIN(300,MAX(1,D801)),0), FactorTable!$A$2:$A$301,0), Skills!M17+1)</f>
        <v/>
      </c>
      <c r="F801">
        <f>IF(Skills!N17=TRUE,(Skills!L17/10)*(E801/1000),Skills!L17/10)+Skills!O17</f>
        <v/>
      </c>
      <c r="G801">
        <f>Skills!G17*IF(Skills!H17&gt;0,Skills!I17/Skills!H17,1)</f>
        <v/>
      </c>
      <c r="H801">
        <f>1-(1-Skills!J17/100)^Skills!K17</f>
        <v/>
      </c>
      <c r="I801" t="inlineStr">
        <is>
          <t>1</t>
        </is>
      </c>
      <c r="J801" t="inlineStr"/>
      <c r="K801" t="inlineStr"/>
      <c r="L801" t="inlineStr"/>
      <c r="M801" t="inlineStr"/>
      <c r="N801" t="inlineStr"/>
      <c r="O801">
        <f>(1-Summary!$B$55)*T801+Summary!$B$55*V801</f>
        <v/>
      </c>
      <c r="P801">
        <f>IF(B829=0,0,O801/B829)</f>
        <v/>
      </c>
      <c r="Q801" t="n">
        <v>0</v>
      </c>
      <c r="R801" t="n">
        <v>0</v>
      </c>
      <c r="S801">
        <f>IFERROR(O801/N801,0)</f>
        <v/>
      </c>
      <c r="T801" t="n">
        <v>0</v>
      </c>
      <c r="V801" t="n">
        <v>0</v>
      </c>
    </row>
    <row r="802">
      <c r="A802">
        <f>Skills!A18</f>
        <v/>
      </c>
      <c r="B802">
        <f>Skills!B18</f>
        <v/>
      </c>
      <c r="C802">
        <f>Inputs!$B$3&gt;=100</f>
        <v/>
      </c>
      <c r="D802">
        <f>IF(Skills!C18=1,60+Inputs!$B$25+Inputs!$B$29,IF(Skills!C18=2,90+Inputs!$B$26+Inputs!$B$29,IF(Skills!C18=3,120+Inputs!$B$27+Inputs!$B$29,MAX(0,(Inputs!$B$3-100)*3)+Inputs!$B$28+Inputs!$B$29)))</f>
        <v/>
      </c>
      <c r="E802">
        <f>INDEX(FactorTable!$B$2:$Y$301, MATCH(ROUND(MIN(300,MAX(1,D802)),0), FactorTable!$A$2:$A$301,0), Skills!M18+1)</f>
        <v/>
      </c>
      <c r="F802">
        <f>IF(Skills!N18=TRUE,(Skills!L18/10)*(E802/1000),Skills!L18/10)+Skills!O18</f>
        <v/>
      </c>
      <c r="G802">
        <f>Skills!G18*IF(Skills!H18&gt;0,Skills!I18/Skills!H18,1)</f>
        <v/>
      </c>
      <c r="H802">
        <f>1-(1-Skills!J18/100)^Skills!K18</f>
        <v/>
      </c>
      <c r="I802" t="inlineStr">
        <is>
          <t>1</t>
        </is>
      </c>
      <c r="J802" t="inlineStr"/>
      <c r="K802" t="inlineStr"/>
      <c r="L802" t="inlineStr"/>
      <c r="M802" t="inlineStr"/>
      <c r="N802" t="inlineStr"/>
      <c r="O802">
        <f>(1-Summary!$B$55)*T802+Summary!$B$55*V802</f>
        <v/>
      </c>
      <c r="P802">
        <f>IF(B829=0,0,O802/B829)</f>
        <v/>
      </c>
      <c r="Q802" t="n">
        <v>0</v>
      </c>
      <c r="R802" t="n">
        <v>0</v>
      </c>
      <c r="S802">
        <f>IFERROR(O802/N802,0)</f>
        <v/>
      </c>
      <c r="T802" t="n">
        <v>0</v>
      </c>
      <c r="V802" t="n">
        <v>0</v>
      </c>
    </row>
    <row r="803">
      <c r="A803">
        <f>Skills!A19</f>
        <v/>
      </c>
      <c r="B803">
        <f>Skills!B19</f>
        <v/>
      </c>
      <c r="C803">
        <f>TRUE</f>
        <v/>
      </c>
      <c r="D803">
        <f>IF(Skills!C19=1,60+Inputs!$B$25+Inputs!$B$29,IF(Skills!C19=2,90+Inputs!$B$26+Inputs!$B$29,IF(Skills!C19=3,120+Inputs!$B$27+Inputs!$B$29,MAX(0,(Inputs!$B$3-100)*3)+Inputs!$B$28+Inputs!$B$29)))</f>
        <v/>
      </c>
      <c r="E803">
        <f>INDEX(FactorTable!$B$2:$Y$301, MATCH(ROUND(MIN(300,MAX(1,D803)),0), FactorTable!$A$2:$A$301,0), Skills!M19+1)</f>
        <v/>
      </c>
      <c r="F803">
        <f>IF(Skills!N19=TRUE,(Skills!L19/10)*(E803/1000),Skills!L19/10)+Skills!O19</f>
        <v/>
      </c>
      <c r="G803">
        <f>Skills!G19*IF(Skills!H19&gt;0,Skills!I19/Skills!H19,1)</f>
        <v/>
      </c>
      <c r="H803">
        <f>1-(1-Skills!J19/100)^Skills!K19</f>
        <v/>
      </c>
      <c r="I803" t="inlineStr">
        <is>
          <t>1</t>
        </is>
      </c>
      <c r="J803" t="inlineStr"/>
      <c r="K803" t="inlineStr"/>
      <c r="L803" t="inlineStr"/>
      <c r="M803" t="inlineStr"/>
      <c r="N803" t="inlineStr"/>
      <c r="O803">
        <f>(1-Summary!$B$55)*T803+Summary!$B$55*V803</f>
        <v/>
      </c>
      <c r="P803">
        <f>IF(B829=0,0,O803/B829)</f>
        <v/>
      </c>
      <c r="Q803">
        <f>IFERROR(1/IF(Inputs!$B$39="pvp",15,MAX(0.1,Skills!D19-IF(Skills!E19=TRUE,Inputs!$B$32,0))),0)</f>
        <v/>
      </c>
      <c r="R803">
        <f>IF(AND(Inputs!$B$39&lt;&gt;"pvp",Inputs!$B$44&gt;0),IF(Inputs!$B$44&lt;=0,0,(INT(Inputs!$B$44/IF(Inputs!$B$39="pvp",15,MAX(0.1,Skills!D19-IF(Skills!E19=TRUE,Inputs!$B$32,0))))+1)),0)</f>
        <v/>
      </c>
      <c r="S803">
        <f>IFERROR(O803/N803,0)</f>
        <v/>
      </c>
      <c r="T803" t="n">
        <v>0</v>
      </c>
      <c r="V803" t="n">
        <v>0</v>
      </c>
    </row>
    <row r="804">
      <c r="A804">
        <f>Skills!A20</f>
        <v/>
      </c>
      <c r="B804">
        <f>Skills!B20</f>
        <v/>
      </c>
      <c r="C804">
        <f>Inputs!$B$3&gt;=15</f>
        <v/>
      </c>
      <c r="D804">
        <f>IF(Skills!C20=1,60+Inputs!$B$25+Inputs!$B$29,IF(Skills!C20=2,90+Inputs!$B$26+Inputs!$B$29,IF(Skills!C20=3,120+Inputs!$B$27+Inputs!$B$29,MAX(0,(Inputs!$B$3-100)*3)+Inputs!$B$28+Inputs!$B$29)))</f>
        <v/>
      </c>
      <c r="E804">
        <f>INDEX(FactorTable!$B$2:$Y$301, MATCH(ROUND(MIN(300,MAX(1,D804)),0), FactorTable!$A$2:$A$301,0), Skills!M20+1)</f>
        <v/>
      </c>
      <c r="F804">
        <f>IF(Skills!N20=TRUE,(Skills!L20/10)*(E804/1000),Skills!L20/10)+Skills!O20</f>
        <v/>
      </c>
      <c r="G804">
        <f>Skills!G20*IF(Skills!H20&gt;0,Skills!I20/Skills!H20,1)</f>
        <v/>
      </c>
      <c r="H804">
        <f>1-(1-Skills!J20/100)^Skills!K20</f>
        <v/>
      </c>
      <c r="I804" t="inlineStr">
        <is>
          <t>1</t>
        </is>
      </c>
      <c r="J804" t="inlineStr"/>
      <c r="K804" t="inlineStr"/>
      <c r="L804" t="inlineStr"/>
      <c r="M804" t="inlineStr"/>
      <c r="N804" t="inlineStr"/>
      <c r="O804">
        <f>(1-Summary!$B$55)*T804+Summary!$B$55*V804</f>
        <v/>
      </c>
      <c r="P804">
        <f>IF(B829=0,0,O804/B829)</f>
        <v/>
      </c>
      <c r="Q804">
        <f>IFERROR(1/IF(Inputs!$B$39="pvp",15,MAX(0.1,Skills!D20-IF(Skills!E20=TRUE,Inputs!$B$32,0))),0)</f>
        <v/>
      </c>
      <c r="R804">
        <f>IF(AND(Inputs!$B$39&lt;&gt;"pvp",Inputs!$B$44&gt;0),IF(Inputs!$B$44&lt;=0,0,(INT(Inputs!$B$44/IF(Inputs!$B$39="pvp",15,MAX(0.1,Skills!D20-IF(Skills!E20=TRUE,Inputs!$B$32,0))))+1)),0)</f>
        <v/>
      </c>
      <c r="S804">
        <f>IFERROR(O804/N804,0)</f>
        <v/>
      </c>
      <c r="T804" t="n">
        <v>0</v>
      </c>
      <c r="V804" t="n">
        <v>0</v>
      </c>
    </row>
    <row r="805">
      <c r="A805">
        <f>Skills!A21</f>
        <v/>
      </c>
      <c r="B805">
        <f>Skills!B21</f>
        <v/>
      </c>
      <c r="C805">
        <f>Inputs!$B$3&gt;=15</f>
        <v/>
      </c>
      <c r="D805">
        <f>IF(Skills!C21=1,60+Inputs!$B$25+Inputs!$B$29,IF(Skills!C21=2,90+Inputs!$B$26+Inputs!$B$29,IF(Skills!C21=3,120+Inputs!$B$27+Inputs!$B$29,MAX(0,(Inputs!$B$3-100)*3)+Inputs!$B$28+Inputs!$B$29)))</f>
        <v/>
      </c>
      <c r="E805">
        <f>INDEX(FactorTable!$B$2:$Y$301, MATCH(ROUND(MIN(300,MAX(1,D805)),0), FactorTable!$A$2:$A$301,0), Skills!M21+1)</f>
        <v/>
      </c>
      <c r="F805">
        <f>IF(Skills!N21=TRUE,(Skills!L21/10)*(E805/1000),Skills!L21/10)+Skills!O21</f>
        <v/>
      </c>
      <c r="G805">
        <f>Skills!G21*IF(Skills!H21&gt;0,Skills!I21/Skills!H21,1)</f>
        <v/>
      </c>
      <c r="H805">
        <f>1-(1-Skills!J21/100)^Skills!K21</f>
        <v/>
      </c>
      <c r="I805" t="inlineStr">
        <is>
          <t>1</t>
        </is>
      </c>
      <c r="J805" t="inlineStr"/>
      <c r="K805" t="inlineStr"/>
      <c r="L805" t="inlineStr"/>
      <c r="M805" t="inlineStr"/>
      <c r="N805" t="inlineStr"/>
      <c r="O805">
        <f>(1-Summary!$B$55)*T805+Summary!$B$55*V805</f>
        <v/>
      </c>
      <c r="P805">
        <f>IF(B829=0,0,O805/B829)</f>
        <v/>
      </c>
      <c r="Q805">
        <f>IFERROR(1/IF(Inputs!$B$39="pvp",15,MAX(0.1,Skills!D21-IF(Skills!E21=TRUE,Inputs!$B$32,0))),0)</f>
        <v/>
      </c>
      <c r="R805">
        <f>IF(AND(Inputs!$B$39&lt;&gt;"pvp",Inputs!$B$44&gt;0),IF(Inputs!$B$44&lt;=0,0,(INT(Inputs!$B$44/IF(Inputs!$B$39="pvp",15,MAX(0.1,Skills!D21-IF(Skills!E21=TRUE,Inputs!$B$32,0))))+1)),0)</f>
        <v/>
      </c>
      <c r="S805">
        <f>IFERROR(O805/N805,0)</f>
        <v/>
      </c>
      <c r="T805" t="n">
        <v>0</v>
      </c>
      <c r="V805" t="n">
        <v>0</v>
      </c>
    </row>
    <row r="806">
      <c r="A806">
        <f>Skills!A22</f>
        <v/>
      </c>
      <c r="B806">
        <f>Skills!B22</f>
        <v/>
      </c>
      <c r="C806">
        <f>Inputs!$B$3&gt;=33</f>
        <v/>
      </c>
      <c r="D806">
        <f>IF(Skills!C22=1,60+Inputs!$B$25+Inputs!$B$29,IF(Skills!C22=2,90+Inputs!$B$26+Inputs!$B$29,IF(Skills!C22=3,120+Inputs!$B$27+Inputs!$B$29,MAX(0,(Inputs!$B$3-100)*3)+Inputs!$B$28+Inputs!$B$29)))</f>
        <v/>
      </c>
      <c r="E806">
        <f>INDEX(FactorTable!$B$2:$Y$301, MATCH(ROUND(MIN(300,MAX(1,D806)),0), FactorTable!$A$2:$A$301,0), Skills!M22+1)</f>
        <v/>
      </c>
      <c r="F806">
        <f>IF(Skills!N22=TRUE,(Skills!L22/10)*(E806/1000),Skills!L22/10)+Skills!O22</f>
        <v/>
      </c>
      <c r="G806">
        <f>Skills!G22*IF(Skills!H22&gt;0,Skills!I22/Skills!H22,1)</f>
        <v/>
      </c>
      <c r="H806">
        <f>1-(1-Skills!J22/100)^Skills!K22</f>
        <v/>
      </c>
      <c r="I806" t="inlineStr">
        <is>
          <t>1</t>
        </is>
      </c>
      <c r="J806" t="inlineStr"/>
      <c r="K806" t="inlineStr"/>
      <c r="L806" t="inlineStr"/>
      <c r="M806" t="inlineStr"/>
      <c r="N806" t="inlineStr"/>
      <c r="O806">
        <f>(1-Summary!$B$55)*T806+Summary!$B$55*V806</f>
        <v/>
      </c>
      <c r="P806">
        <f>IF(B829=0,0,O806/B829)</f>
        <v/>
      </c>
      <c r="Q806" t="n">
        <v>0</v>
      </c>
      <c r="R806" t="n">
        <v>0</v>
      </c>
      <c r="S806">
        <f>IFERROR(O806/N806,0)</f>
        <v/>
      </c>
      <c r="T806" t="n">
        <v>0</v>
      </c>
      <c r="V806" t="n">
        <v>0</v>
      </c>
    </row>
    <row r="807">
      <c r="A807">
        <f>Skills!A23</f>
        <v/>
      </c>
      <c r="B807">
        <f>Skills!B23</f>
        <v/>
      </c>
      <c r="C807">
        <f>Inputs!$B$3&gt;=40</f>
        <v/>
      </c>
      <c r="D807">
        <f>IF(Skills!C23=1,60+Inputs!$B$25+Inputs!$B$29,IF(Skills!C23=2,90+Inputs!$B$26+Inputs!$B$29,IF(Skills!C23=3,120+Inputs!$B$27+Inputs!$B$29,MAX(0,(Inputs!$B$3-100)*3)+Inputs!$B$28+Inputs!$B$29)))</f>
        <v/>
      </c>
      <c r="E807">
        <f>INDEX(FactorTable!$B$2:$Y$301, MATCH(ROUND(MIN(300,MAX(1,D807)),0), FactorTable!$A$2:$A$301,0), Skills!M23+1)</f>
        <v/>
      </c>
      <c r="F807">
        <f>IF(Skills!N23=TRUE,(Skills!L23/10)*(E807/1000),Skills!L23/10)+Skills!O23</f>
        <v/>
      </c>
      <c r="G807">
        <f>Skills!G23*IF(Skills!H23&gt;0,Skills!I23/Skills!H23,1)</f>
        <v/>
      </c>
      <c r="H807">
        <f>1-(1-Skills!J23/100)^Skills!K23</f>
        <v/>
      </c>
      <c r="I807" t="inlineStr">
        <is>
          <t>1</t>
        </is>
      </c>
      <c r="J807" t="inlineStr"/>
      <c r="K807" t="inlineStr"/>
      <c r="L807" t="inlineStr"/>
      <c r="M807" t="inlineStr"/>
      <c r="N807" t="inlineStr"/>
      <c r="O807">
        <f>(1-Summary!$B$55)*T807+Summary!$B$55*V807</f>
        <v/>
      </c>
      <c r="P807">
        <f>IF(B829=0,0,O807/B829)</f>
        <v/>
      </c>
      <c r="Q807" t="n">
        <v>0</v>
      </c>
      <c r="R807" t="n">
        <v>0</v>
      </c>
      <c r="S807">
        <f>IFERROR(O807/N807,0)</f>
        <v/>
      </c>
      <c r="T807" t="n">
        <v>0</v>
      </c>
      <c r="V807" t="n">
        <v>0</v>
      </c>
    </row>
    <row r="808">
      <c r="A808">
        <f>Skills!A24</f>
        <v/>
      </c>
      <c r="B808">
        <f>Skills!B24</f>
        <v/>
      </c>
      <c r="C808">
        <f>Inputs!$B$3&gt;=43</f>
        <v/>
      </c>
      <c r="D808">
        <f>IF(Skills!C24=1,60+Inputs!$B$25+Inputs!$B$29,IF(Skills!C24=2,90+Inputs!$B$26+Inputs!$B$29,IF(Skills!C24=3,120+Inputs!$B$27+Inputs!$B$29,MAX(0,(Inputs!$B$3-100)*3)+Inputs!$B$28+Inputs!$B$29)))</f>
        <v/>
      </c>
      <c r="E808">
        <f>INDEX(FactorTable!$B$2:$Y$301, MATCH(ROUND(MIN(300,MAX(1,D808)),0), FactorTable!$A$2:$A$301,0), Skills!M24+1)</f>
        <v/>
      </c>
      <c r="F808">
        <f>IF(Skills!N24=TRUE,(Skills!L24/10)*(E808/1000),Skills!L24/10)+Skills!O24</f>
        <v/>
      </c>
      <c r="G808">
        <f>Skills!G24*IF(Skills!H24&gt;0,Skills!I24/Skills!H24,1)</f>
        <v/>
      </c>
      <c r="H808">
        <f>1-(1-Skills!J24/100)^Skills!K24</f>
        <v/>
      </c>
      <c r="I808" t="inlineStr">
        <is>
          <t>1</t>
        </is>
      </c>
      <c r="J808" t="inlineStr"/>
      <c r="K808" t="inlineStr"/>
      <c r="L808" t="inlineStr"/>
      <c r="M808" t="inlineStr"/>
      <c r="N808" t="inlineStr"/>
      <c r="O808">
        <f>(1-Summary!$B$55)*T808+Summary!$B$55*V808</f>
        <v/>
      </c>
      <c r="P808">
        <f>IF(B829=0,0,O808/B829)</f>
        <v/>
      </c>
      <c r="Q808" t="n">
        <v>0</v>
      </c>
      <c r="R808" t="n">
        <v>0</v>
      </c>
      <c r="S808">
        <f>IFERROR(O808/N808,0)</f>
        <v/>
      </c>
      <c r="T808" t="n">
        <v>0</v>
      </c>
      <c r="V808" t="n">
        <v>0</v>
      </c>
    </row>
    <row r="809">
      <c r="A809">
        <f>Skills!A25</f>
        <v/>
      </c>
      <c r="B809">
        <f>Skills!B25</f>
        <v/>
      </c>
      <c r="C809">
        <f>Inputs!$B$3&gt;=50</f>
        <v/>
      </c>
      <c r="D809">
        <f>IF(Skills!C25=1,60+Inputs!$B$25+Inputs!$B$29,IF(Skills!C25=2,90+Inputs!$B$26+Inputs!$B$29,IF(Skills!C25=3,120+Inputs!$B$27+Inputs!$B$29,MAX(0,(Inputs!$B$3-100)*3)+Inputs!$B$28+Inputs!$B$29)))</f>
        <v/>
      </c>
      <c r="E809">
        <f>INDEX(FactorTable!$B$2:$Y$301, MATCH(ROUND(MIN(300,MAX(1,D809)),0), FactorTable!$A$2:$A$301,0), Skills!M25+1)</f>
        <v/>
      </c>
      <c r="F809">
        <f>IF(Skills!N25=TRUE,(Skills!L25/10)*(E809/1000),Skills!L25/10)+Skills!O25</f>
        <v/>
      </c>
      <c r="G809">
        <f>Skills!G25*IF(Skills!H25&gt;0,Skills!I25/Skills!H25,1)</f>
        <v/>
      </c>
      <c r="H809">
        <f>1-(1-Skills!J25/100)^Skills!K25</f>
        <v/>
      </c>
      <c r="I809" t="inlineStr">
        <is>
          <t>1</t>
        </is>
      </c>
      <c r="J809" t="inlineStr"/>
      <c r="K809" t="inlineStr"/>
      <c r="L809" t="inlineStr"/>
      <c r="M809" t="inlineStr"/>
      <c r="N809" t="inlineStr"/>
      <c r="O809">
        <f>(1-Summary!$B$55)*T809+Summary!$B$55*V809</f>
        <v/>
      </c>
      <c r="P809">
        <f>IF(B829=0,0,O809/B829)</f>
        <v/>
      </c>
      <c r="Q809" t="n">
        <v>0</v>
      </c>
      <c r="R809" t="n">
        <v>0</v>
      </c>
      <c r="S809">
        <f>IFERROR(O809/N809,0)</f>
        <v/>
      </c>
      <c r="T809" t="n">
        <v>0</v>
      </c>
      <c r="V809" t="n">
        <v>0</v>
      </c>
    </row>
    <row r="810">
      <c r="A810">
        <f>Skills!A26</f>
        <v/>
      </c>
      <c r="B810">
        <f>Skills!B26</f>
        <v/>
      </c>
      <c r="C810">
        <f>Inputs!$B$3&gt;=50</f>
        <v/>
      </c>
      <c r="D810">
        <f>IF(Skills!C26=1,60+Inputs!$B$25+Inputs!$B$29,IF(Skills!C26=2,90+Inputs!$B$26+Inputs!$B$29,IF(Skills!C26=3,120+Inputs!$B$27+Inputs!$B$29,MAX(0,(Inputs!$B$3-100)*3)+Inputs!$B$28+Inputs!$B$29)))</f>
        <v/>
      </c>
      <c r="E810">
        <f>INDEX(FactorTable!$B$2:$Y$301, MATCH(ROUND(MIN(300,MAX(1,D810)),0), FactorTable!$A$2:$A$301,0), Skills!M26+1)</f>
        <v/>
      </c>
      <c r="F810">
        <f>IF(Skills!N26=TRUE,(Skills!L26/10)*(E810/1000),Skills!L26/10)+Skills!O26</f>
        <v/>
      </c>
      <c r="G810">
        <f>Skills!G26*IF(Skills!H26&gt;0,Skills!I26/Skills!H26,1)</f>
        <v/>
      </c>
      <c r="H810">
        <f>1-(1-Skills!J26/100)^Skills!K26</f>
        <v/>
      </c>
      <c r="I810" t="inlineStr">
        <is>
          <t>1</t>
        </is>
      </c>
      <c r="J810" t="inlineStr"/>
      <c r="K810" t="inlineStr"/>
      <c r="L810" t="inlineStr"/>
      <c r="M810" t="inlineStr"/>
      <c r="N810" t="inlineStr"/>
      <c r="O810">
        <f>(1-Summary!$B$55)*T810+Summary!$B$55*V810</f>
        <v/>
      </c>
      <c r="P810">
        <f>IF(B829=0,0,O810/B829)</f>
        <v/>
      </c>
      <c r="Q810" t="n">
        <v>0</v>
      </c>
      <c r="R810" t="n">
        <v>0</v>
      </c>
      <c r="S810">
        <f>IFERROR(O810/N810,0)</f>
        <v/>
      </c>
      <c r="T810" t="n">
        <v>0</v>
      </c>
      <c r="V810" t="n">
        <v>0</v>
      </c>
    </row>
    <row r="811">
      <c r="A811">
        <f>Skills!A27</f>
        <v/>
      </c>
      <c r="B811">
        <f>Skills!B27</f>
        <v/>
      </c>
      <c r="C811">
        <f>Inputs!$B$3&gt;=38</f>
        <v/>
      </c>
      <c r="D811">
        <f>IF(Skills!C27=1,60+Inputs!$B$25+Inputs!$B$29,IF(Skills!C27=2,90+Inputs!$B$26+Inputs!$B$29,IF(Skills!C27=3,120+Inputs!$B$27+Inputs!$B$29,MAX(0,(Inputs!$B$3-100)*3)+Inputs!$B$28+Inputs!$B$29)))</f>
        <v/>
      </c>
      <c r="E811">
        <f>INDEX(FactorTable!$B$2:$Y$301, MATCH(ROUND(MIN(300,MAX(1,D811)),0), FactorTable!$A$2:$A$301,0), Skills!M27+1)</f>
        <v/>
      </c>
      <c r="F811">
        <f>IF(Skills!N27=TRUE,(Skills!L27/10)*(E811/1000),Skills!L27/10)+Skills!O27</f>
        <v/>
      </c>
      <c r="G811">
        <f>Skills!G27*IF(Skills!H27&gt;0,Skills!I27/Skills!H27,1)</f>
        <v/>
      </c>
      <c r="H811">
        <f>1-(1-Skills!J27/100)^Skills!K27</f>
        <v/>
      </c>
      <c r="I811" t="inlineStr">
        <is>
          <t>1</t>
        </is>
      </c>
      <c r="J811" t="inlineStr"/>
      <c r="K811" t="inlineStr"/>
      <c r="L811" t="inlineStr"/>
      <c r="M811" t="inlineStr"/>
      <c r="N811" t="inlineStr"/>
      <c r="O811">
        <f>(1-Summary!$B$55)*T811+Summary!$B$55*V811</f>
        <v/>
      </c>
      <c r="P811">
        <f>IF(B829=0,0,O811/B829)</f>
        <v/>
      </c>
      <c r="Q811" t="n">
        <v>0</v>
      </c>
      <c r="R811" t="n">
        <v>0</v>
      </c>
      <c r="S811">
        <f>IFERROR(O811/N811,0)</f>
        <v/>
      </c>
      <c r="T811" t="n">
        <v>0</v>
      </c>
      <c r="V811" t="n">
        <v>0</v>
      </c>
    </row>
    <row r="812">
      <c r="A812">
        <f>Skills!A28</f>
        <v/>
      </c>
      <c r="B812">
        <f>Skills!B28</f>
        <v/>
      </c>
      <c r="C812">
        <f>Inputs!$B$3&gt;=120</f>
        <v/>
      </c>
      <c r="D812">
        <f>IF(Skills!C28=1,60+Inputs!$B$25+Inputs!$B$29,IF(Skills!C28=2,90+Inputs!$B$26+Inputs!$B$29,IF(Skills!C28=3,120+Inputs!$B$27+Inputs!$B$29,MAX(0,(Inputs!$B$3-100)*3)+Inputs!$B$28+Inputs!$B$29)))</f>
        <v/>
      </c>
      <c r="E812">
        <f>INDEX(FactorTable!$B$2:$Y$301, MATCH(ROUND(MIN(300,MAX(1,D812)),0), FactorTable!$A$2:$A$301,0), Skills!M28+1)</f>
        <v/>
      </c>
      <c r="F812">
        <f>IF(Skills!N28=TRUE,(Skills!L28/10)*(E812/1000),Skills!L28/10)+Skills!O28</f>
        <v/>
      </c>
      <c r="G812">
        <f>Skills!G28*IF(Skills!H28&gt;0,Skills!I28/Skills!H28,1)</f>
        <v/>
      </c>
      <c r="H812">
        <f>1-(1-Skills!J28/100)^Skills!K28</f>
        <v/>
      </c>
      <c r="I812" t="inlineStr">
        <is>
          <t>1</t>
        </is>
      </c>
      <c r="J812" t="inlineStr"/>
      <c r="K812" t="inlineStr"/>
      <c r="L812" t="inlineStr"/>
      <c r="M812" t="inlineStr"/>
      <c r="N812" t="inlineStr"/>
      <c r="O812">
        <f>(1-Summary!$B$55)*T812+Summary!$B$55*V812</f>
        <v/>
      </c>
      <c r="P812">
        <f>IF(B829=0,0,O812/B829)</f>
        <v/>
      </c>
      <c r="Q812" t="n">
        <v>0</v>
      </c>
      <c r="R812" t="n">
        <v>0</v>
      </c>
      <c r="S812">
        <f>IFERROR(O812/N812,0)</f>
        <v/>
      </c>
      <c r="T812" t="n">
        <v>0</v>
      </c>
      <c r="V812" t="n">
        <v>0</v>
      </c>
    </row>
    <row r="813">
      <c r="A813">
        <f>Skills!A29</f>
        <v/>
      </c>
      <c r="B813">
        <f>Skills!B29</f>
        <v/>
      </c>
      <c r="C813">
        <f>Inputs!$B$3&gt;=120</f>
        <v/>
      </c>
      <c r="D813">
        <f>IF(Skills!C29=1,60+Inputs!$B$25+Inputs!$B$29,IF(Skills!C29=2,90+Inputs!$B$26+Inputs!$B$29,IF(Skills!C29=3,120+Inputs!$B$27+Inputs!$B$29,MAX(0,(Inputs!$B$3-100)*3)+Inputs!$B$28+Inputs!$B$29)))</f>
        <v/>
      </c>
      <c r="E813">
        <f>INDEX(FactorTable!$B$2:$Y$301, MATCH(ROUND(MIN(300,MAX(1,D813)),0), FactorTable!$A$2:$A$301,0), Skills!M29+1)</f>
        <v/>
      </c>
      <c r="F813">
        <f>IF(Skills!N29=TRUE,(Skills!L29/10)*(E813/1000),Skills!L29/10)+Skills!O29</f>
        <v/>
      </c>
      <c r="G813">
        <f>Skills!G29*IF(Skills!H29&gt;0,Skills!I29/Skills!H29,1)</f>
        <v/>
      </c>
      <c r="H813">
        <f>1-(1-Skills!J29/100)^Skills!K29</f>
        <v/>
      </c>
      <c r="I813" t="inlineStr">
        <is>
          <t>1</t>
        </is>
      </c>
      <c r="J813" t="inlineStr"/>
      <c r="K813" t="inlineStr"/>
      <c r="L813" t="inlineStr"/>
      <c r="M813" t="inlineStr"/>
      <c r="N813" t="inlineStr"/>
      <c r="O813">
        <f>(1-Summary!$B$55)*T813+Summary!$B$55*V813</f>
        <v/>
      </c>
      <c r="P813">
        <f>IF(B829=0,0,O813/B829)</f>
        <v/>
      </c>
      <c r="Q813" t="n">
        <v>0</v>
      </c>
      <c r="R813" t="n">
        <v>0</v>
      </c>
      <c r="S813">
        <f>IFERROR(O813/N813,0)</f>
        <v/>
      </c>
      <c r="T813" t="n">
        <v>0</v>
      </c>
      <c r="V813" t="n">
        <v>0</v>
      </c>
    </row>
    <row r="814">
      <c r="A814">
        <f>Skills!A30</f>
        <v/>
      </c>
      <c r="B814">
        <f>Skills!B30</f>
        <v/>
      </c>
      <c r="C814">
        <f>Inputs!$B$3&gt;=125</f>
        <v/>
      </c>
      <c r="D814">
        <f>IF(Skills!C30=1,60+Inputs!$B$25+Inputs!$B$29,IF(Skills!C30=2,90+Inputs!$B$26+Inputs!$B$29,IF(Skills!C30=3,120+Inputs!$B$27+Inputs!$B$29,MAX(0,(Inputs!$B$3-100)*3)+Inputs!$B$28+Inputs!$B$29)))</f>
        <v/>
      </c>
      <c r="E814">
        <f>INDEX(FactorTable!$B$2:$Y$301, MATCH(ROUND(MIN(300,MAX(1,D814)),0), FactorTable!$A$2:$A$301,0), Skills!M30+1)</f>
        <v/>
      </c>
      <c r="F814">
        <f>IF(Skills!N30=TRUE,(Skills!L30/10)*(E814/1000),Skills!L30/10)+Skills!O30</f>
        <v/>
      </c>
      <c r="G814">
        <f>Skills!G30*IF(Skills!H30&gt;0,Skills!I30/Skills!H30,1)</f>
        <v/>
      </c>
      <c r="H814">
        <f>1-(1-Skills!J30/100)^Skills!K30</f>
        <v/>
      </c>
      <c r="I814" t="inlineStr">
        <is>
          <t>1</t>
        </is>
      </c>
      <c r="J814" t="inlineStr"/>
      <c r="K814" t="inlineStr"/>
      <c r="L814" t="inlineStr"/>
      <c r="M814" t="inlineStr"/>
      <c r="N814" t="inlineStr"/>
      <c r="O814">
        <f>(1-Summary!$B$55)*T814+Summary!$B$55*V814</f>
        <v/>
      </c>
      <c r="P814">
        <f>IF(B829=0,0,O814/B829)</f>
        <v/>
      </c>
      <c r="Q814" t="n">
        <v>0</v>
      </c>
      <c r="R814" t="n">
        <v>0</v>
      </c>
      <c r="S814">
        <f>IFERROR(O814/N814,0)</f>
        <v/>
      </c>
      <c r="T814" t="n">
        <v>0</v>
      </c>
      <c r="V814" t="n">
        <v>0</v>
      </c>
    </row>
    <row r="816">
      <c r="A816" t="inlineStr">
        <is>
          <t>Average Buff Multiplier</t>
        </is>
      </c>
      <c r="B816">
        <f>(1+(((C805=TRUE)*F805*IF(AND(Inputs!$B$39&lt;&gt;"pvp",Inputs!$B$44&gt;0),(((R805-1)*(Skills!Y21*(1+Inputs!$B$34/100))+MIN((Skills!Y21*(1+Inputs!$B$34/100)),MAX(0,Inputs!$B$44-((R805-1)*Skills!D21))))/Inputs!$B$44),IF(Inputs!$B$39="pvp",MIN((Skills!Y21*(1+Inputs!$B$34/100)),15)/15,(Skills!Y21*(1+Inputs!$B$34/100))/Skills!D21)))+((C807=TRUE)*(F807-Calc!F23))+((C801=TRUE)*(F801-Calc!F17)))/100)*(1+((C794=TRUE)*F794*IF(AND(Inputs!$B$39&lt;&gt;"pvp",Inputs!$B$44&gt;0),(((R794-1)*(Skills!Y10*(1+Inputs!$B$34/100))+MIN((Skills!Y10*(1+Inputs!$B$34/100)),MAX(0,Inputs!$B$44-((R794-1)*Skills!D10))))/Inputs!$B$44),IF(Inputs!$B$39="pvp",MIN((Skills!Y10*(1+Inputs!$B$34/100)),15)/15,(Skills!Y10*(1+Inputs!$B$34/100))/Skills!D10)))/100)*(1+((C799=TRUE)*F799*IF(AND(Inputs!$B$39&lt;&gt;"pvp",Inputs!$B$44&gt;0),(((R799-1)*(Skills!Y15*(1+Inputs!$B$34/100))+MIN((Skills!Y15*(1+Inputs!$B$34/100)),MAX(0,Inputs!$B$44-((R799-1)*Skills!D15))))/Inputs!$B$44),IF(Inputs!$B$39="pvp",MIN((Skills!Y15*(1+Inputs!$B$34/100)),15)/15,(Skills!Y15*(1+Inputs!$B$34/100))/Skills!D15)))/100)</f>
        <v/>
      </c>
    </row>
    <row r="817">
      <c r="A817" t="inlineStr">
        <is>
          <t>Global Crit Rate Bonus %</t>
        </is>
      </c>
      <c r="B817">
        <f>((C804=TRUE)*F804*IF(AND(Inputs!$B$39&lt;&gt;"pvp",Inputs!$B$44&gt;0),(((R804-1)*(Skills!Y20*(1+Inputs!$B$34/100))+MIN((Skills!Y20*(1+Inputs!$B$34/100)),MAX(0,Inputs!$B$44-((R804-1)*Skills!D20))))/Inputs!$B$44),IF(Inputs!$B$39="pvp",MIN((Skills!Y20*(1+Inputs!$B$34/100)),15)/15,(Skills!Y20*(1+Inputs!$B$34/100))/Skills!D20)))</f>
        <v/>
      </c>
    </row>
    <row r="818">
      <c r="A818" t="inlineStr">
        <is>
          <t>Global Monster Damage-Taken Bonus %</t>
        </is>
      </c>
      <c r="B818">
        <f>IF(Inputs!$B$3&gt;=82,15,0)</f>
        <v/>
      </c>
    </row>
    <row r="819">
      <c r="A819" t="inlineStr">
        <is>
          <t>Shadow Partner Average Multiplier</t>
        </is>
      </c>
      <c r="B819">
        <f>1+((C791=TRUE)*F791*(1+3.3333333333333335*IF(C802=TRUE,F802,0)/100)*I791*Skills!J7/100)/100</f>
        <v/>
      </c>
    </row>
    <row r="820">
      <c r="A820" t="inlineStr">
        <is>
          <t>Attack Speed Buff Bonus %</t>
        </is>
      </c>
      <c r="B820">
        <f>((C803=TRUE)*F803*IF(AND(Inputs!$B$39&lt;&gt;"pvp",Inputs!$B$44&gt;0),(((R803-1)*(Skills!Y19*(1+Inputs!$B$34/100))+MIN((Skills!Y19*(1+Inputs!$B$34/100)),MAX(0,Inputs!$B$44-((R803-1)*Skills!D19))))/Inputs!$B$44),IF(Inputs!$B$39="pvp",MIN((Skills!Y19*(1+Inputs!$B$34/100)),15)/15,(Skills!Y19*(1+Inputs!$B$34/100))/Skills!D19)))+((C787=TRUE)*F787*3)</f>
        <v/>
      </c>
    </row>
    <row r="821">
      <c r="A821" t="inlineStr">
        <is>
          <t>Actions Per Second</t>
        </is>
      </c>
      <c r="B821">
        <f>1+MIN(150,150*(1-(1-(Inputs!$B$11+((C806=TRUE)*(F806-Calc!F22)))/150)*(1-B820/150)))/100</f>
        <v/>
      </c>
    </row>
    <row r="822">
      <c r="A822" t="inlineStr">
        <is>
          <t>Skill + Buff Cast Rate</t>
        </is>
      </c>
      <c r="B822">
        <f>IF(AND(Inputs!$B$39&lt;&gt;"pvp",Inputs!$B$44&gt;0),SUMPRODUCT((Skills!E2:E30=TRUE)*(C786:C814=TRUE)*R786:R814*Skills!F2:F30)/Inputs!$B$44,SUMPRODUCT((Skills!E2:E30=TRUE)*(C786:C814=TRUE)*Q786:Q814*Skills!F2:F30))</f>
        <v/>
      </c>
    </row>
    <row r="823">
      <c r="A823" t="inlineStr">
        <is>
          <t>Cruel Stab Casts Per Second</t>
        </is>
      </c>
      <c r="B823">
        <f>MAX(0,B821-B822)</f>
        <v/>
      </c>
    </row>
    <row r="824">
      <c r="A824" t="inlineStr">
        <is>
          <t>Global Critical Damage Bonus % (Smokescreen Mastery Lv.113)</t>
        </is>
      </c>
      <c r="B824">
        <f>IF(Inputs!$B$3&gt;=113,30,0)*IF(AND(Inputs!$B$39&lt;&gt;"pvp",Inputs!$B$44&gt;0),(((R799-1)*(Skills!Y15*(1+Inputs!$B$34/100))+MIN((Skills!Y15*(1+Inputs!$B$34/100)),MAX(0,Inputs!$B$44-((R799-1)*Skills!D15))))/Inputs!$B$44),IF(Inputs!$B$39="pvp",MIN((Skills!Y15*(1+Inputs!$B$34/100)),15)/15,(Skills!Y15*(1+Inputs!$B$34/100))/Skills!D15))</f>
        <v/>
      </c>
    </row>
    <row r="825">
      <c r="A825" t="inlineStr">
        <is>
          <t>Meso Explosion average stack count</t>
        </is>
      </c>
      <c r="B825">
        <f>MIN(10,0.5*B821*Skills!D4)</f>
        <v/>
      </c>
    </row>
    <row r="826">
      <c r="A826" t="inlineStr">
        <is>
          <t>Blood Money average stack count</t>
        </is>
      </c>
      <c r="B826">
        <f>MIN(5,0.25*B821*Skills!D4)</f>
        <v/>
      </c>
    </row>
    <row r="827">
      <c r="A827" t="inlineStr">
        <is>
          <t>Assassinate Murderous Intent Multiplier</t>
        </is>
      </c>
      <c r="B827">
        <f>1+IFERROR(MIN(1,Q798*2/Q795),0)</f>
        <v/>
      </c>
    </row>
    <row r="828">
      <c r="A828" t="inlineStr">
        <is>
          <t>Buff-Casting Startup Delay (s, fixed-duration only)</t>
        </is>
      </c>
      <c r="B828">
        <f>IF(AND(Inputs!$B$39&lt;&gt;"pvp",Inputs!$B$44&gt;0),SUMPRODUCT((Skills!Y2:Y30&gt;0)*(Skills!E2:E30=TRUE)*(C786:C814=TRUE))/B821,0)</f>
        <v/>
      </c>
    </row>
    <row r="829">
      <c r="A829" s="5" t="inlineStr">
        <is>
          <t>TOTAL DPS</t>
        </is>
      </c>
      <c r="B829" s="5">
        <f>SUM(O786:O814)</f>
        <v/>
      </c>
    </row>
    <row r="830">
      <c r="A830" t="inlineStr">
        <is>
          <t>Boss-Only Total DPS (this block's swept value)</t>
        </is>
      </c>
      <c r="B830">
        <f>SUM(T786:T814)</f>
        <v/>
      </c>
    </row>
    <row r="831">
      <c r="A831" t="inlineStr">
        <is>
          <t>Normal-Only Total DPS (this block's swept value)</t>
        </is>
      </c>
      <c r="B831">
        <f>SUM(V786:V814)</f>
        <v/>
      </c>
    </row>
    <row r="834">
      <c r="A834" s="5" t="inlineStr">
        <is>
          <t>Stat: Skill Level Bonus — 1st Job</t>
        </is>
      </c>
    </row>
    <row r="835">
      <c r="A835" s="9" t="inlineStr">
        <is>
          <t>Key</t>
        </is>
      </c>
      <c r="B835" s="9" t="inlineStr">
        <is>
          <t>Name</t>
        </is>
      </c>
      <c r="C835" s="9" t="inlineStr">
        <is>
          <t>Unlocked</t>
        </is>
      </c>
      <c r="D835" s="9" t="inlineStr">
        <is>
          <t>InputLevel</t>
        </is>
      </c>
      <c r="E835" s="9" t="inlineStr">
        <is>
          <t>Factor</t>
        </is>
      </c>
      <c r="F835" s="9" t="inlineStr">
        <is>
          <t>CoefficientPercent</t>
        </is>
      </c>
      <c r="G835" s="9" t="inlineStr">
        <is>
          <t>EffectiveHits</t>
        </is>
      </c>
      <c r="H835" s="9" t="inlineStr">
        <is>
          <t>ProcProbability</t>
        </is>
      </c>
      <c r="I835" s="9" t="inlineStr">
        <is>
          <t>MapleHeroMultiplier</t>
        </is>
      </c>
      <c r="J835" s="9" t="inlineStr">
        <is>
          <t>BaseDamage</t>
        </is>
      </c>
      <c r="K835" s="9" t="inlineStr">
        <is>
          <t>BaseHitDamage</t>
        </is>
      </c>
      <c r="L835" s="9" t="inlineStr">
        <is>
          <t>NonCritAvg</t>
        </is>
      </c>
      <c r="M835" s="9" t="inlineStr">
        <is>
          <t>CritAvg</t>
        </is>
      </c>
      <c r="N835" s="9" t="inlineStr">
        <is>
          <t>ExpectedDamage(perHit)</t>
        </is>
      </c>
      <c r="O835" s="9" t="inlineStr">
        <is>
          <t>DPS</t>
        </is>
      </c>
      <c r="P835" s="9" t="inlineStr">
        <is>
          <t>% of Total</t>
        </is>
      </c>
      <c r="Q835" s="9" t="inlineStr">
        <is>
          <t>InvCooldown</t>
        </is>
      </c>
      <c r="R835" s="9" t="inlineStr">
        <is>
          <t>CastsInFight</t>
        </is>
      </c>
      <c r="S835" s="9" t="inlineStr">
        <is>
          <t>HitRate(perSec)</t>
        </is>
      </c>
      <c r="U835" t="inlineStr">
        <is>
          <t>helpers</t>
        </is>
      </c>
    </row>
    <row r="836">
      <c r="A836">
        <f>Skills!A2</f>
        <v/>
      </c>
      <c r="B836">
        <f>Skills!B2</f>
        <v/>
      </c>
      <c r="C836">
        <f>Inputs!$B$3&gt;=100</f>
        <v/>
      </c>
      <c r="D836" t="inlineStr"/>
      <c r="E836" t="inlineStr"/>
      <c r="F836">
        <f>U838+Skills!O2</f>
        <v/>
      </c>
      <c r="G836">
        <f>Skills!G2*IF(Skills!H2&gt;0,Skills!I2/Skills!H2,1)</f>
        <v/>
      </c>
      <c r="H836">
        <f>1-(1-Skills!J2/100)^Skills!K2</f>
        <v/>
      </c>
      <c r="I836" t="inlineStr">
        <is>
          <t>1</t>
        </is>
      </c>
      <c r="J836">
        <f>((Inputs!$B$6*(1+Inputs!$B$7/100))+(((Inputs!$B$12*(1+Inputs!$B$13/100))-(Inputs!$B$12*(1+Inputs!$B$13/100)))+0.25*(Inputs!$B$14-Inputs!$B$14))*(1+Inputs!$B$7/100))*(F836/100)</f>
        <v/>
      </c>
      <c r="K836">
        <f>J836*(1+((Inputs!$B$12*(1+Inputs!$B$13/100))*0.01+Inputs!$B$14*0.0025)/100)*(1+Inputs!$B$15/100)*(1+Inputs!$B$16/100)*(5000/(6000+Inputs!$B$43*(1-Inputs!$B$19/100)))*(1+(Inputs!$B$24+((C864=TRUE)*(F864-Calc!F30)))/100)*(1+(IF(Skills!A2="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836)</f>
        <v/>
      </c>
      <c r="L836">
        <f>K836*(MIN(Inputs!$B$22+((C858=TRUE)*(F858-Calc!F24)),Inputs!$B$23+((C863=TRUE)*(F863-Calc!F29)))/100+(Inputs!$B$23+((C863=TRUE)*(F863-Calc!F29)))/100)/2</f>
        <v/>
      </c>
      <c r="M836">
        <f>L836*(1+(Inputs!$B$10+((C860=TRUE)*(F860-Calc!F26))+B874)/100)</f>
        <v/>
      </c>
      <c r="N836">
        <f>L836*(1-MIN((Inputs!$B$9+((C859=TRUE)*(F859-Calc!F25))+B867),100)/100)+M836*(MIN((Inputs!$B$9+((C859=TRUE)*(F859-Calc!F25))+B867),100)/100)</f>
        <v/>
      </c>
      <c r="O836">
        <f>(1-Summary!$B$55)*T836+Summary!$B$55*V836</f>
        <v/>
      </c>
      <c r="P836">
        <f>IF(B879=0,0,O836/B879)</f>
        <v/>
      </c>
      <c r="Q836" t="n">
        <v>0</v>
      </c>
      <c r="R836" t="n">
        <v>0</v>
      </c>
      <c r="S836">
        <f>IFERROR(O836/N836,0)</f>
        <v/>
      </c>
      <c r="T836">
        <f>IF(C836,(Skills!G2*N836*B873)*IF(Inputs!$B$39="pvp",1,1+(Inputs!$B$20+0+Skills!P2+B868)/100),0)</f>
        <v/>
      </c>
      <c r="U836">
        <f>MAX(0,(Inputs!$B$3-100)*3)+Inputs!$B$28+Inputs!$B$29</f>
        <v/>
      </c>
      <c r="V836">
        <f>IF(C836,(Skills!G2*N836*B873)*IF(Inputs!$B$39="pvp",1,(1+(Inputs!$B$21+Skills!Q2+B868)/100)*(MIN((6+Inputs!$B$33),Inputs!$B$37))),0)</f>
        <v/>
      </c>
    </row>
    <row r="837">
      <c r="A837">
        <f>Skills!A3</f>
        <v/>
      </c>
      <c r="B837">
        <f>Skills!B3</f>
        <v/>
      </c>
      <c r="C837">
        <f>Inputs!$B$3&gt;=35</f>
        <v/>
      </c>
      <c r="D837">
        <f>IF(Skills!C3=1,60+(Inputs!$B$25+1)+Inputs!$B$29,IF(Skills!C3=2,90+Inputs!$B$26+Inputs!$B$29,IF(Skills!C3=3,120+Inputs!$B$27+Inputs!$B$29,MAX(0,(Inputs!$B$3-100)*3)+Inputs!$B$28+Inputs!$B$29)))</f>
        <v/>
      </c>
      <c r="E837">
        <f>INDEX(FactorTable!$B$2:$Y$301, MATCH(ROUND(MIN(300,MAX(1,D837)),0), FactorTable!$A$2:$A$301,0), Skills!M3+1)</f>
        <v/>
      </c>
      <c r="F837">
        <f>IF(Skills!N3=TRUE,(Skills!L3/10)*(E837/1000),Skills!L3/10)+Skills!O3</f>
        <v/>
      </c>
      <c r="G837">
        <f>Skills!G3*IF(Skills!H3&gt;0,Skills!I3/Skills!H3,1)</f>
        <v/>
      </c>
      <c r="H837">
        <f>1-(1-Skills!J3/100)^Skills!K3</f>
        <v/>
      </c>
      <c r="I837" t="inlineStr">
        <is>
          <t>1</t>
        </is>
      </c>
      <c r="J837" t="inlineStr"/>
      <c r="K837" t="inlineStr"/>
      <c r="L837" t="inlineStr"/>
      <c r="M837" t="inlineStr"/>
      <c r="N837" t="inlineStr"/>
      <c r="O837">
        <f>(1-Summary!$B$55)*T837+Summary!$B$55*V837</f>
        <v/>
      </c>
      <c r="P837">
        <f>IF(B879=0,0,O837/B879)</f>
        <v/>
      </c>
      <c r="Q837" t="n">
        <v>0</v>
      </c>
      <c r="R837" t="n">
        <v>0</v>
      </c>
      <c r="S837">
        <f>IFERROR(O837/N837,0)</f>
        <v/>
      </c>
      <c r="T837" t="n">
        <v>0</v>
      </c>
      <c r="U837">
        <f>INDEX(FactorTable!$B$2:$Y$301, MATCH(ROUND(MIN(300,MAX(1,U836)),0), FactorTable!$A$2:$A$301,0), 22)</f>
        <v/>
      </c>
      <c r="V837" t="n">
        <v>0</v>
      </c>
    </row>
    <row r="838">
      <c r="A838">
        <f>Skills!A4</f>
        <v/>
      </c>
      <c r="B838">
        <f>Skills!B4</f>
        <v/>
      </c>
      <c r="C838">
        <f>Inputs!$B$3&gt;=66</f>
        <v/>
      </c>
      <c r="D838">
        <f>IF(Skills!C4=1,60+(Inputs!$B$25+1)+Inputs!$B$29,IF(Skills!C4=2,90+Inputs!$B$26+Inputs!$B$29,IF(Skills!C4=3,120+Inputs!$B$27+Inputs!$B$29,MAX(0,(Inputs!$B$3-100)*3)+Inputs!$B$28+Inputs!$B$29)))</f>
        <v/>
      </c>
      <c r="E838">
        <f>INDEX(FactorTable!$B$2:$Y$301, MATCH(ROUND(MIN(300,MAX(1,D838)),0), FactorTable!$A$2:$A$301,0), Skills!M4+1)</f>
        <v/>
      </c>
      <c r="F838">
        <f>IF(Skills!N4=TRUE,(Skills!L4/10)*(E838/1000),Skills!L4/10)+Skills!O4</f>
        <v/>
      </c>
      <c r="G838">
        <f>Skills!G4*IF(Skills!H4&gt;0,Skills!I4/Skills!H4,1)</f>
        <v/>
      </c>
      <c r="H838">
        <f>1-(1-Skills!J4/100)^Skills!K4</f>
        <v/>
      </c>
      <c r="I838" t="inlineStr">
        <is>
          <t>1</t>
        </is>
      </c>
      <c r="J838">
        <f>((Inputs!$B$6*(1+Inputs!$B$7/100))+(((Inputs!$B$12*(1+Inputs!$B$13/100))-(Inputs!$B$12*(1+Inputs!$B$13/100)))+0.25*(Inputs!$B$14-Inputs!$B$14))*(1+Inputs!$B$7/100))*(F838/100)</f>
        <v/>
      </c>
      <c r="K838">
        <f>J838*(1+((Inputs!$B$12*(1+Inputs!$B$13/100))*0.01+Inputs!$B$14*0.0025)/100)*(1+Inputs!$B$15/100)*(1+Inputs!$B$16/100)*(5000/(6000+Inputs!$B$43*(1-Inputs!$B$19/100)))*(1+(Inputs!$B$24+((C864=TRUE)*(F864-Calc!F30)))/100)*(1+(IF(Skills!A4="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838)</f>
        <v/>
      </c>
      <c r="L838">
        <f>K838*(MIN(Inputs!$B$22+((C858=TRUE)*(F858-Calc!F24)),Inputs!$B$23+((C863=TRUE)*(F863-Calc!F29)))/100+(Inputs!$B$23+((C863=TRUE)*(F863-Calc!F29)))/100)/2</f>
        <v/>
      </c>
      <c r="M838">
        <f>L838*(1+(Inputs!$B$10+((C860=TRUE)*(F860-Calc!F26))+B874)/100)</f>
        <v/>
      </c>
      <c r="N838">
        <f>L838*(1-MIN((Inputs!$B$9+((C859=TRUE)*(F859-Calc!F25))+B867),100)/100)+M838*(MIN((Inputs!$B$9+((C859=TRUE)*(F859-Calc!F25))+B867),100)/100)</f>
        <v/>
      </c>
      <c r="O838">
        <f>(1-Summary!$B$55)*T838+Summary!$B$55*V838</f>
        <v/>
      </c>
      <c r="P838">
        <f>IF(B879=0,0,O838/B879)</f>
        <v/>
      </c>
      <c r="Q838">
        <f>IFERROR(1/IF(Inputs!$B$39="pvp",15,MAX(0.1,Skills!D4-IF(Skills!E4=TRUE,Inputs!$B$32,0))),0)</f>
        <v/>
      </c>
      <c r="R838">
        <f>IF(AND(Inputs!$B$39&lt;&gt;"pvp",Inputs!$B$44&gt;0),IF(MAX(0,Inputs!$B$44-B878)&lt;=0,0,(INT(MAX(0,Inputs!$B$44-B878)/IF(Inputs!$B$39="pvp",15,MAX(0.1,Skills!D4-IF(Skills!E4=TRUE,Inputs!$B$32,0))))+1)),0)</f>
        <v/>
      </c>
      <c r="S838">
        <f>IFERROR(O838/N838,0)</f>
        <v/>
      </c>
      <c r="T838">
        <f>IF(C838,(H838*N838*IF(AND(Inputs!$B$39&lt;&gt;"pvp",Inputs!$B$44&gt;0),((Skills!G4*((R838-1)*IF(Skills!H4&gt;0,Skills!I4/Skills!H4,1)+IF(Skills!H4&gt;0,MIN(Skills!I4,MAX(0,MAX(0,Inputs!$B$44-B878)-((R838-1)*IF(Inputs!$B$39="pvp",15,MAX(0.1,Skills!D4-IF(Skills!E4=TRUE,Inputs!$B$32,0))))))/Skills!H4,1)))/Inputs!$B$44),G838*Q838))*IF(Inputs!$B$39="pvp",1,1+(Inputs!$B$20+0+Skills!P4+B868)/100),0)</f>
        <v/>
      </c>
      <c r="U838">
        <f>290*U837/1000</f>
        <v/>
      </c>
      <c r="V838">
        <f>IF(C838,(H838*N838*IF(AND(Inputs!$B$39&lt;&gt;"pvp",Inputs!$B$44&gt;0),((Skills!G4*((R838-1)*IF(Skills!H4&gt;0,Skills!I4/Skills!H4,1)+IF(Skills!H4&gt;0,MIN(Skills!I4,MAX(0,MAX(0,Inputs!$B$44-B878)-((R838-1)*IF(Inputs!$B$39="pvp",15,MAX(0.1,Skills!D4-IF(Skills!E4=TRUE,Inputs!$B$32,0))))))/Skills!H4,1)))/Inputs!$B$44),G838*Q838))*IF(Inputs!$B$39="pvp",1,(1+(Inputs!$B$21+Skills!Q4+B868)/100)*(MIN(MIN(10,0.5*B871*Skills!D4),Inputs!$B$37))),0)</f>
        <v/>
      </c>
    </row>
    <row r="839">
      <c r="A839">
        <f>Skills!A5</f>
        <v/>
      </c>
      <c r="B839">
        <f>Skills!B5</f>
        <v/>
      </c>
      <c r="C839">
        <f>Inputs!$B$3&gt;=63</f>
        <v/>
      </c>
      <c r="D839">
        <f>IF(Skills!C5=1,60+(Inputs!$B$25+1)+Inputs!$B$29,IF(Skills!C5=2,90+Inputs!$B$26+Inputs!$B$29,IF(Skills!C5=3,120+Inputs!$B$27+Inputs!$B$29,MAX(0,(Inputs!$B$3-100)*3)+Inputs!$B$28+Inputs!$B$29)))</f>
        <v/>
      </c>
      <c r="E839">
        <f>INDEX(FactorTable!$B$2:$Y$301, MATCH(ROUND(MIN(300,MAX(1,D839)),0), FactorTable!$A$2:$A$301,0), Skills!M5+1)</f>
        <v/>
      </c>
      <c r="F839">
        <f>IF(Skills!N5=TRUE,(Skills!L5/10)*(E839/1000),Skills!L5/10)+Skills!O5</f>
        <v/>
      </c>
      <c r="G839">
        <f>Skills!G5*IF(Skills!H5&gt;0,Skills!I5/Skills!H5,1)</f>
        <v/>
      </c>
      <c r="H839">
        <f>1-(1-Skills!J5/100)^Skills!K5</f>
        <v/>
      </c>
      <c r="I839" t="inlineStr">
        <is>
          <t>1</t>
        </is>
      </c>
      <c r="J839">
        <f>((Inputs!$B$6*(1+Inputs!$B$7/100))+(((Inputs!$B$12*(1+Inputs!$B$13/100))-(Inputs!$B$12*(1+Inputs!$B$13/100)))+0.25*(Inputs!$B$14-Inputs!$B$14))*(1+Inputs!$B$7/100))*(F839/100)</f>
        <v/>
      </c>
      <c r="K839">
        <f>J839*(1+((Inputs!$B$12*(1+Inputs!$B$13/100))*0.01+Inputs!$B$14*0.0025)/100)*(1+Inputs!$B$15/100)*(1+Inputs!$B$16/100)*(5000/(6000+Inputs!$B$43*(1-Inputs!$B$19/100)))*(1+(Inputs!$B$24+((C864=TRUE)*(F864-Calc!F30)))/100)*(1+2.6666666666666665*IF(C852=TRUE,F852,0)/100)*(1+(IF(Skills!A5="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839)</f>
        <v/>
      </c>
      <c r="L839">
        <f>K839*(MIN(Inputs!$B$22+((C858=TRUE)*(F858-Calc!F24)),Inputs!$B$23+((C863=TRUE)*(F863-Calc!F29)))/100+(Inputs!$B$23+((C863=TRUE)*(F863-Calc!F29)))/100)/2</f>
        <v/>
      </c>
      <c r="M839">
        <f>L839*(1+(Inputs!$B$10+((C860=TRUE)*(F860-Calc!F26))+B874)/100)</f>
        <v/>
      </c>
      <c r="N839">
        <f>L839*(1-MIN((Inputs!$B$9+((C859=TRUE)*(F859-Calc!F25))+B867),100)/100)+M839*(MIN((Inputs!$B$9+((C859=TRUE)*(F859-Calc!F25))+B867),100)/100)</f>
        <v/>
      </c>
      <c r="O839">
        <f>(1-Summary!$B$55)*T839+Summary!$B$55*V839</f>
        <v/>
      </c>
      <c r="P839">
        <f>IF(B879=0,0,O839/B879)</f>
        <v/>
      </c>
      <c r="Q839">
        <f>IFERROR(1/IF(Inputs!$B$39="pvp",15,MAX(0.1,Skills!D5-IF(Skills!E5=TRUE,Inputs!$B$32,0))),0)</f>
        <v/>
      </c>
      <c r="R839">
        <f>IF(AND(Inputs!$B$39&lt;&gt;"pvp",Inputs!$B$44&gt;0),IF(MAX(0,Inputs!$B$44-B878)&lt;=0,0,(INT(MAX(0,Inputs!$B$44-B878)/IF(Inputs!$B$39="pvp",15,MAX(0.1,Skills!D5-IF(Skills!E5=TRUE,Inputs!$B$32,0))))+1)),0)</f>
        <v/>
      </c>
      <c r="S839">
        <f>IFERROR(O839/N839,0)</f>
        <v/>
      </c>
      <c r="T839">
        <f>IF(C839,(H839*N839*IF(AND(Inputs!$B$39&lt;&gt;"pvp",Inputs!$B$44&gt;0),((Skills!G5*((R839-1)*IF(Skills!H5&gt;0,Skills!I5/Skills!H5,1)+IF(Skills!H5&gt;0,MIN(Skills!I5,MAX(0,MAX(0,Inputs!$B$44-B878)-((R839-1)*IF(Inputs!$B$39="pvp",15,MAX(0.1,Skills!D5-IF(Skills!E5=TRUE,Inputs!$B$32,0))))))/Skills!H5,1)))/Inputs!$B$44),G839*Q839))*IF(Inputs!$B$39="pvp",1,1+(Inputs!$B$20+0+Skills!P5+B868)/100),0)</f>
        <v/>
      </c>
      <c r="V839">
        <f>IF(C839,(H839*N839*IF(AND(Inputs!$B$39&lt;&gt;"pvp",Inputs!$B$44&gt;0),((Skills!G5*((R839-1)*IF(Skills!H5&gt;0,Skills!I5/Skills!H5,1)+IF(Skills!H5&gt;0,MIN(Skills!I5,MAX(0,MAX(0,Inputs!$B$44-B878)-((R839-1)*IF(Inputs!$B$39="pvp",15,MAX(0.1,Skills!D5-IF(Skills!E5=TRUE,Inputs!$B$32,0))))))/Skills!H5,1)))/Inputs!$B$44),G839*Q839))*IF(Inputs!$B$39="pvp",1,(1+(Inputs!$B$21+Skills!Q5+B868)/100)*(MIN(Skills!W5,Inputs!$B$37))),0)</f>
        <v/>
      </c>
    </row>
    <row r="840">
      <c r="A840">
        <f>Skills!A6</f>
        <v/>
      </c>
      <c r="B840">
        <f>Skills!B6</f>
        <v/>
      </c>
      <c r="C840">
        <f>Inputs!$B$3&gt;=69</f>
        <v/>
      </c>
      <c r="D840">
        <f>IF(Skills!C6=1,60+(Inputs!$B$25+1)+Inputs!$B$29,IF(Skills!C6=2,90+Inputs!$B$26+Inputs!$B$29,IF(Skills!C6=3,120+Inputs!$B$27+Inputs!$B$29,MAX(0,(Inputs!$B$3-100)*3)+Inputs!$B$28+Inputs!$B$29)))</f>
        <v/>
      </c>
      <c r="E840">
        <f>INDEX(FactorTable!$B$2:$Y$301, MATCH(ROUND(MIN(300,MAX(1,D840)),0), FactorTable!$A$2:$A$301,0), Skills!M6+1)</f>
        <v/>
      </c>
      <c r="F840">
        <f>IF(Skills!N6=TRUE,(Skills!L6/10)*(E840/1000),Skills!L6/10)+Skills!O6</f>
        <v/>
      </c>
      <c r="G840">
        <f>Skills!G6*IF(Skills!H6&gt;0,Skills!I6/Skills!H6,1)</f>
        <v/>
      </c>
      <c r="H840">
        <f>1-(1-Skills!J6/100)^Skills!K6</f>
        <v/>
      </c>
      <c r="I840" t="inlineStr">
        <is>
          <t>1</t>
        </is>
      </c>
      <c r="J840">
        <f>((Inputs!$B$6*(1+Inputs!$B$7/100))+(((Inputs!$B$12*(1+Inputs!$B$13/100))-(Inputs!$B$12*(1+Inputs!$B$13/100)))+0.25*(Inputs!$B$14-Inputs!$B$14))*(1+Inputs!$B$7/100))*(F840/100)</f>
        <v/>
      </c>
      <c r="K840">
        <f>J840*(1+((Inputs!$B$12*(1+Inputs!$B$13/100))*0.01+Inputs!$B$14*0.0025)/100)*(1+Inputs!$B$15/100)*(1+Inputs!$B$16/100)*(5000/(6000+Inputs!$B$43*(1-Inputs!$B$19/100)))*(1+(Inputs!$B$24+((C864=TRUE)*(F864-Calc!F30)))/100)*(1+1.0*IF(C852=TRUE,F852,0)/100)*(1+(IF(Skills!A6="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840)</f>
        <v/>
      </c>
      <c r="L840">
        <f>K840*(MIN(Inputs!$B$22+((C858=TRUE)*(F858-Calc!F24)),Inputs!$B$23+((C863=TRUE)*(F863-Calc!F29)))/100+(Inputs!$B$23+((C863=TRUE)*(F863-Calc!F29)))/100)/2</f>
        <v/>
      </c>
      <c r="M840">
        <f>L840*(1+(Inputs!$B$10+((C860=TRUE)*(F860-Calc!F26))+B874)/100)</f>
        <v/>
      </c>
      <c r="N840">
        <f>L840*(1-MIN((Inputs!$B$9+((C859=TRUE)*(F859-Calc!F25))+B867),100)/100)+M840*(MIN((Inputs!$B$9+((C859=TRUE)*(F859-Calc!F25))+B867),100)/100)</f>
        <v/>
      </c>
      <c r="O840">
        <f>(1-Summary!$B$55)*T840+Summary!$B$55*V840</f>
        <v/>
      </c>
      <c r="P840">
        <f>IF(B879=0,0,O840/B879)</f>
        <v/>
      </c>
      <c r="Q840">
        <f>IFERROR(1/IF(Inputs!$B$39="pvp",15,MAX(0.1,Skills!D6-IF(Skills!E6=TRUE,Inputs!$B$32,0))),0)</f>
        <v/>
      </c>
      <c r="R840">
        <f>IF(AND(Inputs!$B$39&lt;&gt;"pvp",Inputs!$B$44&gt;0),IF(MAX(0,Inputs!$B$44-B878)&lt;=0,0,(INT(MAX(0,Inputs!$B$44-B878)/IF(Inputs!$B$39="pvp",15,MAX(0.1,Skills!D6-IF(Skills!E6=TRUE,Inputs!$B$32,0))))+1)),0)</f>
        <v/>
      </c>
      <c r="S840">
        <f>IFERROR(O840/N840,0)</f>
        <v/>
      </c>
      <c r="T840">
        <f>IF(C840,(H840*N840*IF(AND(Inputs!$B$39&lt;&gt;"pvp",Inputs!$B$44&gt;0),((Skills!G6*((R840-1)*IF(Skills!H6&gt;0,Skills!I6/Skills!H6,1)+IF(Skills!H6&gt;0,MIN(Skills!I6,MAX(0,MAX(0,Inputs!$B$44-B878)-((R840-1)*IF(Inputs!$B$39="pvp",15,MAX(0.1,Skills!D6-IF(Skills!E6=TRUE,Inputs!$B$32,0))))))/Skills!H6,1)))/Inputs!$B$44),G840*Q840))*IF(Inputs!$B$39="pvp",1,1+(Inputs!$B$20+0+Skills!P6+B868)/100),0)</f>
        <v/>
      </c>
      <c r="V840">
        <f>IF(C840,(H840*N840*IF(AND(Inputs!$B$39&lt;&gt;"pvp",Inputs!$B$44&gt;0),((Skills!G6*((R840-1)*IF(Skills!H6&gt;0,Skills!I6/Skills!H6,1)+IF(Skills!H6&gt;0,MIN(Skills!I6,MAX(0,MAX(0,Inputs!$B$44-B878)-((R840-1)*IF(Inputs!$B$39="pvp",15,MAX(0.1,Skills!D6-IF(Skills!E6=TRUE,Inputs!$B$32,0))))))/Skills!H6,1)))/Inputs!$B$44),G840*Q840))*IF(Inputs!$B$39="pvp",1,(1+(Inputs!$B$21+Skills!Q6+B868)/100)*(MIN(Skills!W6,Inputs!$B$37))),0)</f>
        <v/>
      </c>
    </row>
    <row r="841">
      <c r="A841">
        <f>Skills!A7</f>
        <v/>
      </c>
      <c r="B841">
        <f>Skills!B7</f>
        <v/>
      </c>
      <c r="C841">
        <f>Inputs!$B$3&gt;=60</f>
        <v/>
      </c>
      <c r="D841">
        <f>IF(Skills!C7=1,60+(Inputs!$B$25+1)+Inputs!$B$29,IF(Skills!C7=2,90+Inputs!$B$26+Inputs!$B$29,IF(Skills!C7=3,120+Inputs!$B$27+Inputs!$B$29,MAX(0,(Inputs!$B$3-100)*3)+Inputs!$B$28+Inputs!$B$29)))</f>
        <v/>
      </c>
      <c r="E841">
        <f>INDEX(FactorTable!$B$2:$Y$301, MATCH(ROUND(MIN(300,MAX(1,D841)),0), FactorTable!$A$2:$A$301,0), Skills!M7+1)</f>
        <v/>
      </c>
      <c r="F841">
        <f>IF(Skills!N7=TRUE,(Skills!L7/10)*(E841/1000),Skills!L7/10)+Skills!O7</f>
        <v/>
      </c>
      <c r="G841">
        <f>Skills!G7*IF(Skills!H7&gt;0,Skills!I7/Skills!H7,1)</f>
        <v/>
      </c>
      <c r="H841">
        <f>1-(1-Skills!J7/100)^Skills!K7</f>
        <v/>
      </c>
      <c r="I841" t="inlineStr">
        <is>
          <t>1</t>
        </is>
      </c>
      <c r="J841" t="inlineStr"/>
      <c r="K841" t="inlineStr"/>
      <c r="L841" t="inlineStr"/>
      <c r="M841" t="inlineStr"/>
      <c r="N841" t="inlineStr"/>
      <c r="O841">
        <f>(1-Summary!$B$55)*T841+Summary!$B$55*V841</f>
        <v/>
      </c>
      <c r="P841">
        <f>IF(B879=0,0,O841/B879)</f>
        <v/>
      </c>
      <c r="Q841" t="n">
        <v>0</v>
      </c>
      <c r="R841" t="n">
        <v>0</v>
      </c>
      <c r="S841">
        <f>IFERROR(O841/N841,0)</f>
        <v/>
      </c>
      <c r="T841" t="n">
        <v>0</v>
      </c>
      <c r="V841" t="n">
        <v>0</v>
      </c>
    </row>
    <row r="842">
      <c r="A842">
        <f>Skills!A8</f>
        <v/>
      </c>
      <c r="B842">
        <f>Skills!B8</f>
        <v/>
      </c>
      <c r="C842">
        <f>Inputs!$B$3&gt;=72</f>
        <v/>
      </c>
      <c r="D842">
        <f>IF(Skills!C8=1,60+(Inputs!$B$25+1)+Inputs!$B$29,IF(Skills!C8=2,90+Inputs!$B$26+Inputs!$B$29,IF(Skills!C8=3,120+Inputs!$B$27+Inputs!$B$29,MAX(0,(Inputs!$B$3-100)*3)+Inputs!$B$28+Inputs!$B$29)))</f>
        <v/>
      </c>
      <c r="E842">
        <f>INDEX(FactorTable!$B$2:$Y$301, MATCH(ROUND(MIN(300,MAX(1,D842)),0), FactorTable!$A$2:$A$301,0), Skills!M8+1)</f>
        <v/>
      </c>
      <c r="F842">
        <f>IF(Skills!N8=TRUE,(Skills!L8/10)*(E842/1000),Skills!L8/10)+Skills!O8</f>
        <v/>
      </c>
      <c r="G842">
        <f>Skills!G8*IF(Skills!H8&gt;0,Skills!I8/Skills!H8,1)</f>
        <v/>
      </c>
      <c r="H842">
        <f>1-(1-Skills!J8/100)^Skills!K8</f>
        <v/>
      </c>
      <c r="I842" t="inlineStr">
        <is>
          <t>1</t>
        </is>
      </c>
      <c r="J842">
        <f>((Inputs!$B$6*(1+Inputs!$B$7/100))+(((Inputs!$B$12*(1+Inputs!$B$13/100))-(Inputs!$B$12*(1+Inputs!$B$13/100)))+0.25*(Inputs!$B$14-Inputs!$B$14))*(1+Inputs!$B$7/100))*(F842/100)</f>
        <v/>
      </c>
      <c r="K842">
        <f>J842*(1+((Inputs!$B$12*(1+Inputs!$B$13/100))*0.01+Inputs!$B$14*0.0025)/100)*(1+Inputs!$B$15/100)*(1+Inputs!$B$16/100)*(5000/(6000+Inputs!$B$43*(1-Inputs!$B$19/100)))*(1+(Inputs!$B$24+((C864=TRUE)*(F864-Calc!F30)))/100)*(1+3.3333333333333335*IF(C852=TRUE,F852,0)/100)*(1+(IF(Skills!A8="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842)</f>
        <v/>
      </c>
      <c r="L842">
        <f>K842*(MIN(Inputs!$B$22+((C858=TRUE)*(F858-Calc!F24)),Inputs!$B$23+((C863=TRUE)*(F863-Calc!F29)))/100+(Inputs!$B$23+((C863=TRUE)*(F863-Calc!F29)))/100)/2</f>
        <v/>
      </c>
      <c r="M842">
        <f>L842*(1+(Inputs!$B$10+((C860=TRUE)*(F860-Calc!F26))+B874)/100)</f>
        <v/>
      </c>
      <c r="N842">
        <f>L842*(1-MIN((Inputs!$B$9+((C859=TRUE)*(F859-Calc!F25))+B867),100)/100)+M842*(MIN((Inputs!$B$9+((C859=TRUE)*(F859-Calc!F25))+B867),100)/100)</f>
        <v/>
      </c>
      <c r="O842">
        <f>(1-Summary!$B$55)*T842+Summary!$B$55*V842</f>
        <v/>
      </c>
      <c r="P842">
        <f>IF(B879=0,0,O842/B879)</f>
        <v/>
      </c>
      <c r="Q842">
        <f>IFERROR(1/IF(Inputs!$B$39="pvp",15,MAX(0.1,Skills!D8-IF(Skills!E8=TRUE,Inputs!$B$32,0))),0)</f>
        <v/>
      </c>
      <c r="R842">
        <f>IF(AND(Inputs!$B$39&lt;&gt;"pvp",Inputs!$B$44&gt;0),IF(MAX(0,Inputs!$B$44-B878)&lt;=0,0,(INT(MAX(0,Inputs!$B$44-B878)/IF(Inputs!$B$39="pvp",15,MAX(0.1,Skills!D8-IF(Skills!E8=TRUE,Inputs!$B$32,0))))+1)),0)</f>
        <v/>
      </c>
      <c r="S842">
        <f>IFERROR(O842/N842,0)</f>
        <v/>
      </c>
      <c r="T842">
        <f>IF(C842,(H842*N842*IF(AND(Inputs!$B$39&lt;&gt;"pvp",Inputs!$B$44&gt;0),((Skills!G8*((R842-1)*IF(Skills!H8&gt;0,Skills!I8/Skills!H8,1)+IF(Skills!H8&gt;0,MIN(Skills!I8,MAX(0,MAX(0,Inputs!$B$44-B878)-((R842-1)*IF(Inputs!$B$39="pvp",15,MAX(0.1,Skills!D8-IF(Skills!E8=TRUE,Inputs!$B$32,0))))))/Skills!H8,1)))/Inputs!$B$44),G842*Q842))*IF(Inputs!$B$39="pvp",1,1+(Inputs!$B$20+0+Skills!P8+B868)/100),0)</f>
        <v/>
      </c>
      <c r="V842">
        <f>IF(C842,(H842*N842*IF(AND(Inputs!$B$39&lt;&gt;"pvp",Inputs!$B$44&gt;0),((Skills!G8*((R842-1)*IF(Skills!H8&gt;0,Skills!I8/Skills!H8,1)+IF(Skills!H8&gt;0,MIN(Skills!I8,MAX(0,MAX(0,Inputs!$B$44-B878)-((R842-1)*IF(Inputs!$B$39="pvp",15,MAX(0.1,Skills!D8-IF(Skills!E8=TRUE,Inputs!$B$32,0))))))/Skills!H8,1)))/Inputs!$B$44),G842*Q842))*IF(Inputs!$B$39="pvp",1,(1+(Inputs!$B$21+Skills!Q8+B868)/100)*(MIN(Skills!W8,Inputs!$B$37))),0)</f>
        <v/>
      </c>
    </row>
    <row r="843">
      <c r="A843">
        <f>Skills!A9</f>
        <v/>
      </c>
      <c r="B843">
        <f>Skills!B9</f>
        <v/>
      </c>
      <c r="C843">
        <f>Inputs!$B$3&gt;=117</f>
        <v/>
      </c>
      <c r="D843">
        <f>IF(Skills!C9=1,60+(Inputs!$B$25+1)+Inputs!$B$29,IF(Skills!C9=2,90+Inputs!$B$26+Inputs!$B$29,IF(Skills!C9=3,120+Inputs!$B$27+Inputs!$B$29,MAX(0,(Inputs!$B$3-100)*3)+Inputs!$B$28+Inputs!$B$29)))</f>
        <v/>
      </c>
      <c r="E843">
        <f>INDEX(FactorTable!$B$2:$Y$301, MATCH(ROUND(MIN(300,MAX(1,D843)),0), FactorTable!$A$2:$A$301,0), Skills!M9+1)</f>
        <v/>
      </c>
      <c r="F843">
        <f>IF(Skills!N9=TRUE,(Skills!L9/10)*(E843/1000),Skills!L9/10)+Skills!O9</f>
        <v/>
      </c>
      <c r="G843">
        <f>Skills!G9*IF(Skills!H9&gt;0,Skills!I9/Skills!H9,1)</f>
        <v/>
      </c>
      <c r="H843">
        <f>1-(1-Skills!J9/100)^Skills!K9</f>
        <v/>
      </c>
      <c r="I843" t="inlineStr">
        <is>
          <t>1</t>
        </is>
      </c>
      <c r="J843">
        <f>((Inputs!$B$6*(1+Inputs!$B$7/100))+(((Inputs!$B$12*(1+Inputs!$B$13/100))-(Inputs!$B$12*(1+Inputs!$B$13/100)))+0.25*(Inputs!$B$14-Inputs!$B$14))*(1+Inputs!$B$7/100))*(F843/100)</f>
        <v/>
      </c>
      <c r="K843">
        <f>J843*(1+((Inputs!$B$12*(1+Inputs!$B$13/100))*0.01+Inputs!$B$14*0.0025)/100)*(1+Inputs!$B$15/100)*(1+Inputs!$B$16/100)*(5000/(6000+Inputs!$B$43*(1-Inputs!$B$19/100)))*(1+(Inputs!$B$24+((C864=TRUE)*(F864-Calc!F30)))/100)*(1+(IF(Skills!A9="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843)</f>
        <v/>
      </c>
      <c r="L843">
        <f>K843*(MIN(Inputs!$B$22+((C858=TRUE)*(F858-Calc!F24)),Inputs!$B$23+((C863=TRUE)*(F863-Calc!F29)))/100+(Inputs!$B$23+((C863=TRUE)*(F863-Calc!F29)))/100)/2</f>
        <v/>
      </c>
      <c r="M843">
        <f>L843*(1+(Inputs!$B$10+((C860=TRUE)*(F860-Calc!F26))+B874)/100)</f>
        <v/>
      </c>
      <c r="N843">
        <f>L843*(1-MIN((Inputs!$B$9+((C859=TRUE)*(F859-Calc!F25))+B867),100)/100)+M843*(MIN((Inputs!$B$9+((C859=TRUE)*(F859-Calc!F25))+B867),100)/100)</f>
        <v/>
      </c>
      <c r="O843">
        <f>(1-Summary!$B$55)*T843+Summary!$B$55*V843</f>
        <v/>
      </c>
      <c r="P843">
        <f>IF(B879=0,0,O843/B879)</f>
        <v/>
      </c>
      <c r="Q843" t="n">
        <v>0</v>
      </c>
      <c r="R843" t="n">
        <v>0</v>
      </c>
      <c r="S843" t="n">
        <v>0</v>
      </c>
      <c r="T843">
        <f>IF(C843,(0.2*SUMPRODUCT((Skills!Z2:Z30=TRUE)*(C836:C864=TRUE)*S836:S864)*N843)*IF(Inputs!$B$39="pvp",1,1+(Inputs!$B$20+0+Skills!P9+B868)/100),0)</f>
        <v/>
      </c>
      <c r="V843">
        <f>IF(C843,(0.2*SUMPRODUCT((Skills!Z2:Z30=TRUE)*(C836:C864=TRUE)*S836:S864)*N843)*IF(Inputs!$B$39="pvp",1,(1+(Inputs!$B$21+Skills!Q9+B868)/100)*(MIN(Skills!W9,Inputs!$B$37))),0)</f>
        <v/>
      </c>
    </row>
    <row r="844">
      <c r="A844">
        <f>Skills!A10</f>
        <v/>
      </c>
      <c r="B844">
        <f>Skills!B10</f>
        <v/>
      </c>
      <c r="C844">
        <f>Inputs!$B$3&gt;=74</f>
        <v/>
      </c>
      <c r="D844">
        <f>IF(Skills!C10=1,60+(Inputs!$B$25+1)+Inputs!$B$29,IF(Skills!C10=2,90+Inputs!$B$26+Inputs!$B$29,IF(Skills!C10=3,120+Inputs!$B$27+Inputs!$B$29,MAX(0,(Inputs!$B$3-100)*3)+Inputs!$B$28+Inputs!$B$29)))</f>
        <v/>
      </c>
      <c r="E844">
        <f>INDEX(FactorTable!$B$2:$Y$301, MATCH(ROUND(MIN(300,MAX(1,D844)),0), FactorTable!$A$2:$A$301,0), Skills!M10+1)</f>
        <v/>
      </c>
      <c r="F844">
        <f>IF(Skills!N10=TRUE,(Skills!L10/10)*(E844/1000),Skills!L10/10)+Skills!O10</f>
        <v/>
      </c>
      <c r="G844">
        <f>Skills!G10*IF(Skills!H10&gt;0,Skills!I10/Skills!H10,1)</f>
        <v/>
      </c>
      <c r="H844">
        <f>1-(1-Skills!J10/100)^Skills!K10</f>
        <v/>
      </c>
      <c r="I844" t="inlineStr">
        <is>
          <t>1</t>
        </is>
      </c>
      <c r="J844" t="inlineStr"/>
      <c r="K844" t="inlineStr"/>
      <c r="L844" t="inlineStr"/>
      <c r="M844" t="inlineStr"/>
      <c r="N844" t="inlineStr"/>
      <c r="O844">
        <f>(1-Summary!$B$55)*T844+Summary!$B$55*V844</f>
        <v/>
      </c>
      <c r="P844">
        <f>IF(B879=0,0,O844/B879)</f>
        <v/>
      </c>
      <c r="Q844">
        <f>IFERROR(1/IF(Inputs!$B$39="pvp",15,MAX(0.1,Skills!D10-IF(Skills!E10=TRUE,Inputs!$B$32,0))),0)</f>
        <v/>
      </c>
      <c r="R844">
        <f>IF(AND(Inputs!$B$39&lt;&gt;"pvp",Inputs!$B$44&gt;0),IF(Inputs!$B$44&lt;=0,0,(INT(Inputs!$B$44/IF(Inputs!$B$39="pvp",15,MAX(0.1,Skills!D10-IF(Skills!E10=TRUE,Inputs!$B$32,0))))+1)),0)</f>
        <v/>
      </c>
      <c r="S844">
        <f>IFERROR(O844/N844,0)</f>
        <v/>
      </c>
      <c r="T844" t="n">
        <v>0</v>
      </c>
      <c r="V844" t="n">
        <v>0</v>
      </c>
    </row>
    <row r="845">
      <c r="A845">
        <f>Skills!A11</f>
        <v/>
      </c>
      <c r="B845">
        <f>Skills!B11</f>
        <v/>
      </c>
      <c r="C845">
        <f>Inputs!$B$3&gt;=103</f>
        <v/>
      </c>
      <c r="D845">
        <f>IF(Skills!C11=1,60+(Inputs!$B$25+1)+Inputs!$B$29,IF(Skills!C11=2,90+Inputs!$B$26+Inputs!$B$29,IF(Skills!C11=3,120+Inputs!$B$27+Inputs!$B$29,MAX(0,(Inputs!$B$3-100)*3)+Inputs!$B$28+Inputs!$B$29)))</f>
        <v/>
      </c>
      <c r="E845">
        <f>INDEX(FactorTable!$B$2:$Y$301, MATCH(ROUND(MIN(300,MAX(1,D845)),0), FactorTable!$A$2:$A$301,0), Skills!M11+1)</f>
        <v/>
      </c>
      <c r="F845">
        <f>(Skills!L11/10)*(E845/1000)+IF(Inputs!$B$3&gt;=134,50,0)+0.5*(30000/10)*(INDEX(FactorTable!$B$2:$Y$301, MATCH(ROUND(MIN(300,MAX(1,D845)),0), FactorTable!$A$2:$A$301,0), 13)/1000)*B877</f>
        <v/>
      </c>
      <c r="G845">
        <f>Skills!G11*IF(Skills!H11&gt;0,Skills!I11/Skills!H11,1)</f>
        <v/>
      </c>
      <c r="H845">
        <f>1-(1-Skills!J11/100)^Skills!K11</f>
        <v/>
      </c>
      <c r="I845" t="inlineStr">
        <is>
          <t>1</t>
        </is>
      </c>
      <c r="J845">
        <f>((Inputs!$B$6*(1+Inputs!$B$7/100))+(((Inputs!$B$12*(1+Inputs!$B$13/100))-(Inputs!$B$12*(1+Inputs!$B$13/100)))+0.25*(Inputs!$B$14-Inputs!$B$14))*(1+Inputs!$B$7/100))*(F845/100)</f>
        <v/>
      </c>
      <c r="K845">
        <f>J845*(1+((Inputs!$B$12*(1+Inputs!$B$13/100))*0.01+Inputs!$B$14*0.0025)/100)*(1+Inputs!$B$15/100)*(1+Inputs!$B$16/100)*(5000/(6000+Inputs!$B$43*(1-Inputs!$B$19/100)))*(1+(Inputs!$B$24+((C864=TRUE)*(F864-Calc!F30)))/100)*(1+(IF(Skills!A11="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845)</f>
        <v/>
      </c>
      <c r="L845">
        <f>K845*(MIN(Inputs!$B$22+((C858=TRUE)*(F858-Calc!F24)),Inputs!$B$23+((C863=TRUE)*(F863-Calc!F29)))/100+(Inputs!$B$23+((C863=TRUE)*(F863-Calc!F29)))/100)/2</f>
        <v/>
      </c>
      <c r="M845">
        <f>L845*(1+(Inputs!$B$10+((C860=TRUE)*(F860-Calc!F26))+B874)/100)</f>
        <v/>
      </c>
      <c r="N845">
        <f>L845*(1-MIN((Inputs!$B$9+((C859=TRUE)*(F859-Calc!F25))+B867),100)/100)+M845*(MIN((Inputs!$B$9+((C859=TRUE)*(F859-Calc!F25))+B867),100)/100)</f>
        <v/>
      </c>
      <c r="O845">
        <f>(1-Summary!$B$55)*T845+Summary!$B$55*V845</f>
        <v/>
      </c>
      <c r="P845">
        <f>IF(B879=0,0,O845/B879)</f>
        <v/>
      </c>
      <c r="Q845">
        <f>IFERROR(1/IF(Inputs!$B$39="pvp",15,MAX(0.1,Skills!D11-IF(Skills!E11=TRUE,Inputs!$B$32,0))),0)</f>
        <v/>
      </c>
      <c r="R845">
        <f>IF(AND(Inputs!$B$39&lt;&gt;"pvp",Inputs!$B$44&gt;0),IF(MAX(0,Inputs!$B$44-B878)&lt;=0,0,(INT(MAX(0,Inputs!$B$44-B878)/IF(Inputs!$B$39="pvp",15,MAX(0.1,Skills!D11-IF(Skills!E11=TRUE,Inputs!$B$32,0))))+1)),0)</f>
        <v/>
      </c>
      <c r="S845">
        <f>IFERROR(O845/N845,0)</f>
        <v/>
      </c>
      <c r="T845">
        <f>IF(C845,(H845*N845*IF(AND(Inputs!$B$39&lt;&gt;"pvp",Inputs!$B$44&gt;0),((Skills!G11*((R845-1)*IF(Skills!H11&gt;0,Skills!I11/Skills!H11,1)+IF(Skills!H11&gt;0,MIN(Skills!I11,MAX(0,MAX(0,Inputs!$B$44-B878)-((R845-1)*IF(Inputs!$B$39="pvp",15,MAX(0.1,Skills!D11-IF(Skills!E11=TRUE,Inputs!$B$32,0))))))/Skills!H11,1)))/Inputs!$B$44),G845*Q845))*IF(Inputs!$B$39="pvp",1,1+(Inputs!$B$20+0+Skills!P11+B868)/100),0)</f>
        <v/>
      </c>
      <c r="V845">
        <f>IF(C845,(H845*N845*IF(AND(Inputs!$B$39&lt;&gt;"pvp",Inputs!$B$44&gt;0),((Skills!G11*((R845-1)*IF(Skills!H11&gt;0,Skills!I11/Skills!H11,1)+IF(Skills!H11&gt;0,MIN(Skills!I11,MAX(0,MAX(0,Inputs!$B$44-B878)-((R845-1)*IF(Inputs!$B$39="pvp",15,MAX(0.1,Skills!D11-IF(Skills!E11=TRUE,Inputs!$B$32,0))))))/Skills!H11,1)))/Inputs!$B$44),G845*Q845))*IF(Inputs!$B$39="pvp",1,(1+(Inputs!$B$21+Skills!Q11+B868)/100)*(MIN(Skills!W11,Inputs!$B$37))),0)</f>
        <v/>
      </c>
    </row>
    <row r="846">
      <c r="A846">
        <f>Skills!A12</f>
        <v/>
      </c>
      <c r="B846">
        <f>Skills!B12</f>
        <v/>
      </c>
      <c r="C846">
        <f>Inputs!$B$3&gt;=105</f>
        <v/>
      </c>
      <c r="D846">
        <f>IF(Skills!C12=1,60+(Inputs!$B$25+1)+Inputs!$B$29,IF(Skills!C12=2,90+Inputs!$B$26+Inputs!$B$29,IF(Skills!C12=3,120+Inputs!$B$27+Inputs!$B$29,MAX(0,(Inputs!$B$3-100)*3)+Inputs!$B$28+Inputs!$B$29)))</f>
        <v/>
      </c>
      <c r="E846">
        <f>INDEX(FactorTable!$B$2:$Y$301, MATCH(ROUND(MIN(300,MAX(1,D846)),0), FactorTable!$A$2:$A$301,0), Skills!M12+1)</f>
        <v/>
      </c>
      <c r="F846">
        <f>IF(Skills!N12=TRUE,(Skills!L12/10)*(E846/1000),Skills!L12/10)+Skills!O12</f>
        <v/>
      </c>
      <c r="G846">
        <f>Skills!G12*IF(Skills!H12&gt;0,Skills!I12/Skills!H12,1)</f>
        <v/>
      </c>
      <c r="H846">
        <f>1-(1-Skills!J12/100)^Skills!K12</f>
        <v/>
      </c>
      <c r="I846" t="inlineStr">
        <is>
          <t>1</t>
        </is>
      </c>
      <c r="J846">
        <f>((Inputs!$B$6*(1+Inputs!$B$7/100))+(((Inputs!$B$12*(1+Inputs!$B$13/100))-(Inputs!$B$12*(1+Inputs!$B$13/100)))+0.25*(Inputs!$B$14-Inputs!$B$14))*(1+Inputs!$B$7/100))*(F846/100)</f>
        <v/>
      </c>
      <c r="K846">
        <f>J846*(1+((Inputs!$B$12*(1+Inputs!$B$13/100))*0.01+Inputs!$B$14*0.0025)/100)*(1+Inputs!$B$15/100)*(1+Inputs!$B$16/100)*(5000/(6000+Inputs!$B$43*(1-Inputs!$B$19/100)))*(1+(Inputs!$B$24+((C864=TRUE)*(F864-Calc!F30)))/100)*(1+(IF(Skills!A12="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846)</f>
        <v/>
      </c>
      <c r="L846">
        <f>K846*(MIN(Inputs!$B$22+((C858=TRUE)*(F858-Calc!F24)),Inputs!$B$23+((C863=TRUE)*(F863-Calc!F29)))/100+(Inputs!$B$23+((C863=TRUE)*(F863-Calc!F29)))/100)/2</f>
        <v/>
      </c>
      <c r="M846">
        <f>L846*(1+(Inputs!$B$10+((C860=TRUE)*(F860-Calc!F26))+B874)/100)</f>
        <v/>
      </c>
      <c r="N846">
        <f>L846*(1-MIN((Inputs!$B$9+((C859=TRUE)*(F859-Calc!F25))+B867),100)/100)+M846*(MIN((Inputs!$B$9+((C859=TRUE)*(F859-Calc!F25))+B867),100)/100)</f>
        <v/>
      </c>
      <c r="O846">
        <f>(1-Summary!$B$55)*T846+Summary!$B$55*V846</f>
        <v/>
      </c>
      <c r="P846">
        <f>IF(B879=0,0,O846/B879)</f>
        <v/>
      </c>
      <c r="Q846">
        <f>IFERROR(1/IF(Inputs!$B$39="pvp",15,MAX(0.1,Skills!D12-IF(Skills!E12=TRUE,Inputs!$B$32,0))),0)</f>
        <v/>
      </c>
      <c r="R846">
        <f>IF(AND(Inputs!$B$39&lt;&gt;"pvp",Inputs!$B$44&gt;0),IF(MAX(0,Inputs!$B$44-B878)&lt;=0,0,(INT(MAX(0,Inputs!$B$44-B878)/IF(Inputs!$B$39="pvp",15,MAX(0.1,Skills!D12-IF(Skills!E12=TRUE,Inputs!$B$32,0))))+1)),0)</f>
        <v/>
      </c>
      <c r="S846">
        <f>IFERROR(O846/N846,0)</f>
        <v/>
      </c>
      <c r="T846">
        <f>IF(C846,(H846*N846*IF(AND(Inputs!$B$39&lt;&gt;"pvp",Inputs!$B$44&gt;0),((Skills!G12*((R846-1)*IF(Skills!H12&gt;0,Skills!I12/Skills!H12,1)+IF(Skills!H12&gt;0,MIN(Skills!I12,MAX(0,MAX(0,Inputs!$B$44-B878)-((R846-1)*IF(Inputs!$B$39="pvp",15,MAX(0.1,Skills!D12-IF(Skills!E12=TRUE,Inputs!$B$32,0))))))/Skills!H12,1)))/Inputs!$B$44),G846*Q846))*IF(Inputs!$B$39="pvp",1,1+(Inputs!$B$20+0+Skills!P12+B868)/100),0)</f>
        <v/>
      </c>
      <c r="V846">
        <f>IF(C846,(H846*N846*IF(AND(Inputs!$B$39&lt;&gt;"pvp",Inputs!$B$44&gt;0),((Skills!G12*((R846-1)*IF(Skills!H12&gt;0,Skills!I12/Skills!H12,1)+IF(Skills!H12&gt;0,MIN(Skills!I12,MAX(0,MAX(0,Inputs!$B$44-B878)-((R846-1)*IF(Inputs!$B$39="pvp",15,MAX(0.1,Skills!D12-IF(Skills!E12=TRUE,Inputs!$B$32,0))))))/Skills!H12,1)))/Inputs!$B$44),G846*Q846))*IF(Inputs!$B$39="pvp",1,(1+(Inputs!$B$21+Skills!Q12+B868)/100)*(MIN(Skills!W12,Inputs!$B$37))),0)</f>
        <v/>
      </c>
    </row>
    <row r="847">
      <c r="A847">
        <f>Skills!A13</f>
        <v/>
      </c>
      <c r="B847">
        <f>Skills!B13</f>
        <v/>
      </c>
      <c r="C847">
        <f>Inputs!$B$3&gt;=105</f>
        <v/>
      </c>
      <c r="D847">
        <f>IF(Skills!C13=1,60+(Inputs!$B$25+1)+Inputs!$B$29,IF(Skills!C13=2,90+Inputs!$B$26+Inputs!$B$29,IF(Skills!C13=3,120+Inputs!$B$27+Inputs!$B$29,MAX(0,(Inputs!$B$3-100)*3)+Inputs!$B$28+Inputs!$B$29)))</f>
        <v/>
      </c>
      <c r="E847">
        <f>INDEX(FactorTable!$B$2:$Y$301, MATCH(ROUND(MIN(300,MAX(1,D847)),0), FactorTable!$A$2:$A$301,0), Skills!M13+1)</f>
        <v/>
      </c>
      <c r="F847">
        <f>IF(Skills!N13=TRUE,(Skills!L13/10)*(E847/1000),Skills!L13/10)+Skills!O13</f>
        <v/>
      </c>
      <c r="G847">
        <f>Skills!G13*IF(Skills!H13&gt;0,Skills!I13/Skills!H13,1)</f>
        <v/>
      </c>
      <c r="H847">
        <f>1-(1-Skills!J13/100)^Skills!K13</f>
        <v/>
      </c>
      <c r="I847" t="inlineStr">
        <is>
          <t>1</t>
        </is>
      </c>
      <c r="J847">
        <f>((Inputs!$B$6*(1+Inputs!$B$7/100))+(((Inputs!$B$12*(1+Inputs!$B$13/100))-(Inputs!$B$12*(1+Inputs!$B$13/100)))+0.25*(Inputs!$B$14-Inputs!$B$14))*(1+Inputs!$B$7/100))*(F847/100)</f>
        <v/>
      </c>
      <c r="K847">
        <f>J847*(1+((Inputs!$B$12*(1+Inputs!$B$13/100))*0.01+Inputs!$B$14*0.0025)/100)*(1+Inputs!$B$15/100)*(1+Inputs!$B$16/100)*(5000/(6000+Inputs!$B$43*(1-Inputs!$B$19/100)))*(1+(Inputs!$B$24+((C864=TRUE)*(F864-Calc!F30)))/100)*(1+(IF(Skills!A13="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847)</f>
        <v/>
      </c>
      <c r="L847">
        <f>K847*(MIN(Inputs!$B$22+((C858=TRUE)*(F858-Calc!F24)),Inputs!$B$23+((C863=TRUE)*(F863-Calc!F29)))/100+(Inputs!$B$23+((C863=TRUE)*(F863-Calc!F29)))/100)/2</f>
        <v/>
      </c>
      <c r="M847">
        <f>L847*(1+(Inputs!$B$10+((C860=TRUE)*(F860-Calc!F26))+B874)/100)</f>
        <v/>
      </c>
      <c r="N847">
        <f>L847*(1-MIN((Inputs!$B$9+((C859=TRUE)*(F859-Calc!F25))+B867),100)/100)+M847*(MIN((Inputs!$B$9+((C859=TRUE)*(F859-Calc!F25))+B867),100)/100)</f>
        <v/>
      </c>
      <c r="O847">
        <f>(1-Summary!$B$55)*T847+Summary!$B$55*V847</f>
        <v/>
      </c>
      <c r="P847">
        <f>IF(B879=0,0,O847/B879)</f>
        <v/>
      </c>
      <c r="Q847">
        <f>IFERROR(1/IF(Inputs!$B$39="pvp",15,MAX(0.1,Skills!D13-IF(Skills!E13=TRUE,Inputs!$B$32,0))),0)</f>
        <v/>
      </c>
      <c r="R847">
        <f>IF(AND(Inputs!$B$39&lt;&gt;"pvp",Inputs!$B$44&gt;0),IF(MAX(0,Inputs!$B$44-B878)&lt;=0,0,(INT(MAX(0,Inputs!$B$44-B878)/IF(Inputs!$B$39="pvp",15,MAX(0.1,Skills!D13-IF(Skills!E13=TRUE,Inputs!$B$32,0))))+1)),0)</f>
        <v/>
      </c>
      <c r="S847">
        <f>IFERROR(O847/N847,0)</f>
        <v/>
      </c>
      <c r="T847">
        <f>IF(C847,(H847*N847*IF(AND(Inputs!$B$39&lt;&gt;"pvp",Inputs!$B$44&gt;0),((Skills!G13*((R847-1)*IF(Skills!H13&gt;0,Skills!I13/Skills!H13,1)+IF(Skills!H13&gt;0,MIN(Skills!I13,MAX(0,MAX(0,Inputs!$B$44-B878)-((R847-1)*IF(Inputs!$B$39="pvp",15,MAX(0.1,Skills!D13-IF(Skills!E13=TRUE,Inputs!$B$32,0))))))/Skills!H13,1)))/Inputs!$B$44),G847*Q847))*IF(Inputs!$B$39="pvp",1,1+(Inputs!$B$20+0+Skills!P13+B868)/100),0)</f>
        <v/>
      </c>
      <c r="V847">
        <f>IF(C847,(H847*N847*IF(AND(Inputs!$B$39&lt;&gt;"pvp",Inputs!$B$44&gt;0),((Skills!G13*((R847-1)*IF(Skills!H13&gt;0,Skills!I13/Skills!H13,1)+IF(Skills!H13&gt;0,MIN(Skills!I13,MAX(0,MAX(0,Inputs!$B$44-B878)-((R847-1)*IF(Inputs!$B$39="pvp",15,MAX(0.1,Skills!D13-IF(Skills!E13=TRUE,Inputs!$B$32,0))))))/Skills!H13,1)))/Inputs!$B$44),G847*Q847))*IF(Inputs!$B$39="pvp",1,(1+(Inputs!$B$21+Skills!Q13+B868)/100)*(MIN(Skills!W13,Inputs!$B$37))),0)</f>
        <v/>
      </c>
    </row>
    <row r="848">
      <c r="A848">
        <f>Skills!A14</f>
        <v/>
      </c>
      <c r="B848">
        <f>Skills!B14</f>
        <v/>
      </c>
      <c r="C848">
        <f>Inputs!$B$3&gt;=107</f>
        <v/>
      </c>
      <c r="D848">
        <f>IF(Skills!C14=1,60+(Inputs!$B$25+1)+Inputs!$B$29,IF(Skills!C14=2,90+Inputs!$B$26+Inputs!$B$29,IF(Skills!C14=3,120+Inputs!$B$27+Inputs!$B$29,MAX(0,(Inputs!$B$3-100)*3)+Inputs!$B$28+Inputs!$B$29)))</f>
        <v/>
      </c>
      <c r="E848">
        <f>INDEX(FactorTable!$B$2:$Y$301, MATCH(ROUND(MIN(300,MAX(1,D848)),0), FactorTable!$A$2:$A$301,0), Skills!M14+1)</f>
        <v/>
      </c>
      <c r="F848">
        <f>IF(Skills!N14=TRUE,(Skills!L14/10)*(E848/1000),Skills!L14/10)+Skills!O14</f>
        <v/>
      </c>
      <c r="G848">
        <f>Skills!G14*IF(Skills!H14&gt;0,Skills!I14/Skills!H14,1)</f>
        <v/>
      </c>
      <c r="H848">
        <f>1-(1-Skills!J14/100)^Skills!K14</f>
        <v/>
      </c>
      <c r="I848" t="inlineStr">
        <is>
          <t>1</t>
        </is>
      </c>
      <c r="J848">
        <f>((Inputs!$B$6*(1+Inputs!$B$7/100))+(((Inputs!$B$12*(1+Inputs!$B$13/100))-(Inputs!$B$12*(1+Inputs!$B$13/100)))+0.25*(Inputs!$B$14-Inputs!$B$14))*(1+Inputs!$B$7/100))*(F848/100)</f>
        <v/>
      </c>
      <c r="K848">
        <f>J848*(1+((Inputs!$B$12*(1+Inputs!$B$13/100))*0.01+Inputs!$B$14*0.0025)/100)*(1+Inputs!$B$15/100)*(1+Inputs!$B$16/100)*(5000/(6000+Inputs!$B$43*(1-Inputs!$B$19/100)))*(1+(Inputs!$B$24+((C864=TRUE)*(F864-Calc!F30)))/100)*(1+(IF(Skills!A14="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848)</f>
        <v/>
      </c>
      <c r="L848">
        <f>K848*(MIN(Inputs!$B$22+((C858=TRUE)*(F858-Calc!F24)),Inputs!$B$23+((C863=TRUE)*(F863-Calc!F29)))/100+(Inputs!$B$23+((C863=TRUE)*(F863-Calc!F29)))/100)/2</f>
        <v/>
      </c>
      <c r="M848">
        <f>L848*(1+(Inputs!$B$10+((C860=TRUE)*(F860-Calc!F26))+B874)/100)</f>
        <v/>
      </c>
      <c r="N848">
        <f>L848*(1-MIN((Inputs!$B$9+((C859=TRUE)*(F859-Calc!F25))+B867),100)/100)+M848*(MIN((Inputs!$B$9+((C859=TRUE)*(F859-Calc!F25))+B867),100)/100)</f>
        <v/>
      </c>
      <c r="O848">
        <f>(1-Summary!$B$55)*T848+Summary!$B$55*V848</f>
        <v/>
      </c>
      <c r="P848">
        <f>IF(B879=0,0,O848/B879)</f>
        <v/>
      </c>
      <c r="Q848">
        <f>IFERROR(1/IF(Inputs!$B$39="pvp",15,MAX(0.1,Skills!D14-IF(Skills!E14=TRUE,Inputs!$B$32,0))),0)</f>
        <v/>
      </c>
      <c r="R848">
        <f>IF(AND(Inputs!$B$39&lt;&gt;"pvp",Inputs!$B$44&gt;0),IF(MAX(0,Inputs!$B$44-B878)&lt;=0,0,(INT(MAX(0,Inputs!$B$44-B878)/IF(Inputs!$B$39="pvp",15,MAX(0.1,Skills!D14-IF(Skills!E14=TRUE,Inputs!$B$32,0))))+1)),0)</f>
        <v/>
      </c>
      <c r="S848">
        <f>IFERROR(O848/N848,0)</f>
        <v/>
      </c>
      <c r="T848">
        <f>IF(C848,(H848*N848*IF(AND(Inputs!$B$39&lt;&gt;"pvp",Inputs!$B$44&gt;0),((Skills!G14*((R848-1)*IF(Skills!H14&gt;0,Skills!I14/Skills!H14,1)+IF(Skills!H14&gt;0,MIN(Skills!I14,MAX(0,MAX(0,Inputs!$B$44-B878)-((R848-1)*IF(Inputs!$B$39="pvp",15,MAX(0.1,Skills!D14-IF(Skills!E14=TRUE,Inputs!$B$32,0))))))/Skills!H14,1)))/Inputs!$B$44),G848*Q848))*IF(Inputs!$B$39="pvp",1,1+(Inputs!$B$20+0+Skills!P14+B868)/100),0)</f>
        <v/>
      </c>
      <c r="V848">
        <f>IF(C848,(H848*N848*IF(AND(Inputs!$B$39&lt;&gt;"pvp",Inputs!$B$44&gt;0),((Skills!G14*((R848-1)*IF(Skills!H14&gt;0,Skills!I14/Skills!H14,1)+IF(Skills!H14&gt;0,MIN(Skills!I14,MAX(0,MAX(0,Inputs!$B$44-B878)-((R848-1)*IF(Inputs!$B$39="pvp",15,MAX(0.1,Skills!D14-IF(Skills!E14=TRUE,Inputs!$B$32,0))))))/Skills!H14,1)))/Inputs!$B$44),G848*Q848))*IF(Inputs!$B$39="pvp",1,(1+(Inputs!$B$21+Skills!Q14+B868)/100)*(MIN(MIN(5,0.25*B871*Skills!D4)*Skills!V14,Inputs!$B$37))),0)</f>
        <v/>
      </c>
    </row>
    <row r="849">
      <c r="A849">
        <f>Skills!A15</f>
        <v/>
      </c>
      <c r="B849">
        <f>Skills!B15</f>
        <v/>
      </c>
      <c r="C849">
        <f>Inputs!$B$3&gt;=110</f>
        <v/>
      </c>
      <c r="D849">
        <f>IF(Skills!C15=1,60+(Inputs!$B$25+1)+Inputs!$B$29,IF(Skills!C15=2,90+Inputs!$B$26+Inputs!$B$29,IF(Skills!C15=3,120+Inputs!$B$27+Inputs!$B$29,MAX(0,(Inputs!$B$3-100)*3)+Inputs!$B$28+Inputs!$B$29)))</f>
        <v/>
      </c>
      <c r="E849">
        <f>INDEX(FactorTable!$B$2:$Y$301, MATCH(ROUND(MIN(300,MAX(1,D849)),0), FactorTable!$A$2:$A$301,0), Skills!M15+1)</f>
        <v/>
      </c>
      <c r="F849">
        <f>IF(Skills!N15=TRUE,(Skills!L15/10)*(E849/1000),Skills!L15/10)+Skills!O15</f>
        <v/>
      </c>
      <c r="G849">
        <f>Skills!G15*IF(Skills!H15&gt;0,Skills!I15/Skills!H15,1)</f>
        <v/>
      </c>
      <c r="H849">
        <f>1-(1-Skills!J15/100)^Skills!K15</f>
        <v/>
      </c>
      <c r="I849" t="inlineStr">
        <is>
          <t>1</t>
        </is>
      </c>
      <c r="J849" t="inlineStr"/>
      <c r="K849" t="inlineStr"/>
      <c r="L849" t="inlineStr"/>
      <c r="M849" t="inlineStr"/>
      <c r="N849" t="inlineStr"/>
      <c r="O849">
        <f>(1-Summary!$B$55)*T849+Summary!$B$55*V849</f>
        <v/>
      </c>
      <c r="P849">
        <f>IF(B879=0,0,O849/B879)</f>
        <v/>
      </c>
      <c r="Q849">
        <f>IFERROR(1/IF(Inputs!$B$39="pvp",15,MAX(0.1,Skills!D15-IF(Skills!E15=TRUE,Inputs!$B$32,0))),0)</f>
        <v/>
      </c>
      <c r="R849">
        <f>IF(AND(Inputs!$B$39&lt;&gt;"pvp",Inputs!$B$44&gt;0),IF(Inputs!$B$44&lt;=0,0,(INT(Inputs!$B$44/IF(Inputs!$B$39="pvp",15,MAX(0.1,Skills!D15-IF(Skills!E15=TRUE,Inputs!$B$32,0))))+1)),0)</f>
        <v/>
      </c>
      <c r="S849">
        <f>IFERROR(O849/N849,0)</f>
        <v/>
      </c>
      <c r="T849" t="n">
        <v>0</v>
      </c>
      <c r="V849" t="n">
        <v>0</v>
      </c>
    </row>
    <row r="850">
      <c r="A850">
        <f>Skills!A16</f>
        <v/>
      </c>
      <c r="B850">
        <f>Skills!B16</f>
        <v/>
      </c>
      <c r="C850">
        <f>Inputs!$B$3&gt;=115</f>
        <v/>
      </c>
      <c r="D850">
        <f>IF(Skills!C16=1,60+(Inputs!$B$25+1)+Inputs!$B$29,IF(Skills!C16=2,90+Inputs!$B$26+Inputs!$B$29,IF(Skills!C16=3,120+Inputs!$B$27+Inputs!$B$29,MAX(0,(Inputs!$B$3-100)*3)+Inputs!$B$28+Inputs!$B$29)))</f>
        <v/>
      </c>
      <c r="E850">
        <f>INDEX(FactorTable!$B$2:$Y$301, MATCH(ROUND(MIN(300,MAX(1,D850)),0), FactorTable!$A$2:$A$301,0), Skills!M16+1)</f>
        <v/>
      </c>
      <c r="F850">
        <f>IF(Skills!N16=TRUE,(Skills!L16/10)*(E850/1000),Skills!L16/10)+Skills!O16</f>
        <v/>
      </c>
      <c r="G850">
        <f>Skills!G16*IF(Skills!H16&gt;0,Skills!I16/Skills!H16,1)</f>
        <v/>
      </c>
      <c r="H850">
        <f>1-(1-Skills!J16/100)^Skills!K16</f>
        <v/>
      </c>
      <c r="I850" t="inlineStr">
        <is>
          <t>1</t>
        </is>
      </c>
      <c r="J850">
        <f>((Inputs!$B$6*(1+Inputs!$B$7/100))+(((Inputs!$B$12*(1+Inputs!$B$13/100))-(Inputs!$B$12*(1+Inputs!$B$13/100)))+0.25*(Inputs!$B$14-Inputs!$B$14))*(1+Inputs!$B$7/100))*(F850/100)</f>
        <v/>
      </c>
      <c r="K850">
        <f>J850*(1+((Inputs!$B$12*(1+Inputs!$B$13/100))*0.01+Inputs!$B$14*0.0025)/100)*(1+Inputs!$B$15/100)*(1+Inputs!$B$16/100)*(5000/(6000+Inputs!$B$43*(1-Inputs!$B$19/100)))*(1+(Inputs!$B$24+((C864=TRUE)*(F864-Calc!F30)))/100)*(1+(IF(Skills!A16="CRUEL_STAB",Inputs!$B$17+((C861=TRUE)*(F861-Calc!F27)),Inputs!$B$18+((C862=TRUE)*(F862-Calc!F28))))/100)*(((1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B869*I850)</f>
        <v/>
      </c>
      <c r="L850">
        <f>K850*(MIN(Inputs!$B$22+((C858=TRUE)*(F858-Calc!F24)),Inputs!$B$23+((C863=TRUE)*(F863-Calc!F29)))/100+(Inputs!$B$23+((C863=TRUE)*(F863-Calc!F29)))/100)/2</f>
        <v/>
      </c>
      <c r="M850">
        <f>L850*(1+(Inputs!$B$10+((C860=TRUE)*(F860-Calc!F26))+B874)/100)</f>
        <v/>
      </c>
      <c r="N850">
        <f>L850*(1-MIN((Inputs!$B$9+((C859=TRUE)*(F859-Calc!F25))+B867),100)/100)+M850*(MIN((Inputs!$B$9+((C859=TRUE)*(F859-Calc!F25))+B867),100)/100)</f>
        <v/>
      </c>
      <c r="O850">
        <f>(1-Summary!$B$55)*T850+Summary!$B$55*V850</f>
        <v/>
      </c>
      <c r="P850">
        <f>IF(B879=0,0,O850/B879)</f>
        <v/>
      </c>
      <c r="Q850" t="n">
        <v>0</v>
      </c>
      <c r="R850" t="n">
        <v>0</v>
      </c>
      <c r="S850">
        <f>IFERROR(O850/N850,0)</f>
        <v/>
      </c>
      <c r="T850">
        <f>IF(C850,(Inputs!$B$38*0.2*N850)*IF(Inputs!$B$39="pvp",1,1+(Inputs!$B$20+0+Skills!P16+B868)/100),0)</f>
        <v/>
      </c>
      <c r="V850">
        <f>IF(C850,(Inputs!$B$38*0.2*N850)*IF(Inputs!$B$39="pvp",1,(1+(Inputs!$B$21+Skills!Q16+B868)/100)*(MIN(Skills!W16,Inputs!$B$37))),0)</f>
        <v/>
      </c>
    </row>
    <row r="851">
      <c r="A851">
        <f>Skills!A17</f>
        <v/>
      </c>
      <c r="B851">
        <f>Skills!B17</f>
        <v/>
      </c>
      <c r="C851">
        <f>Inputs!$B$3&gt;=115</f>
        <v/>
      </c>
      <c r="D851">
        <f>IF(Skills!C17=1,60+(Inputs!$B$25+1)+Inputs!$B$29,IF(Skills!C17=2,90+Inputs!$B$26+Inputs!$B$29,IF(Skills!C17=3,120+Inputs!$B$27+Inputs!$B$29,MAX(0,(Inputs!$B$3-100)*3)+Inputs!$B$28+Inputs!$B$29)))</f>
        <v/>
      </c>
      <c r="E851">
        <f>INDEX(FactorTable!$B$2:$Y$301, MATCH(ROUND(MIN(300,MAX(1,D851)),0), FactorTable!$A$2:$A$301,0), Skills!M17+1)</f>
        <v/>
      </c>
      <c r="F851">
        <f>IF(Skills!N17=TRUE,(Skills!L17/10)*(E851/1000),Skills!L17/10)+Skills!O17</f>
        <v/>
      </c>
      <c r="G851">
        <f>Skills!G17*IF(Skills!H17&gt;0,Skills!I17/Skills!H17,1)</f>
        <v/>
      </c>
      <c r="H851">
        <f>1-(1-Skills!J17/100)^Skills!K17</f>
        <v/>
      </c>
      <c r="I851" t="inlineStr">
        <is>
          <t>1</t>
        </is>
      </c>
      <c r="J851" t="inlineStr"/>
      <c r="K851" t="inlineStr"/>
      <c r="L851" t="inlineStr"/>
      <c r="M851" t="inlineStr"/>
      <c r="N851" t="inlineStr"/>
      <c r="O851">
        <f>(1-Summary!$B$55)*T851+Summary!$B$55*V851</f>
        <v/>
      </c>
      <c r="P851">
        <f>IF(B879=0,0,O851/B879)</f>
        <v/>
      </c>
      <c r="Q851" t="n">
        <v>0</v>
      </c>
      <c r="R851" t="n">
        <v>0</v>
      </c>
      <c r="S851">
        <f>IFERROR(O851/N851,0)</f>
        <v/>
      </c>
      <c r="T851" t="n">
        <v>0</v>
      </c>
      <c r="V851" t="n">
        <v>0</v>
      </c>
    </row>
    <row r="852">
      <c r="A852">
        <f>Skills!A18</f>
        <v/>
      </c>
      <c r="B852">
        <f>Skills!B18</f>
        <v/>
      </c>
      <c r="C852">
        <f>Inputs!$B$3&gt;=100</f>
        <v/>
      </c>
      <c r="D852">
        <f>IF(Skills!C18=1,60+(Inputs!$B$25+1)+Inputs!$B$29,IF(Skills!C18=2,90+Inputs!$B$26+Inputs!$B$29,IF(Skills!C18=3,120+Inputs!$B$27+Inputs!$B$29,MAX(0,(Inputs!$B$3-100)*3)+Inputs!$B$28+Inputs!$B$29)))</f>
        <v/>
      </c>
      <c r="E852">
        <f>INDEX(FactorTable!$B$2:$Y$301, MATCH(ROUND(MIN(300,MAX(1,D852)),0), FactorTable!$A$2:$A$301,0), Skills!M18+1)</f>
        <v/>
      </c>
      <c r="F852">
        <f>IF(Skills!N18=TRUE,(Skills!L18/10)*(E852/1000),Skills!L18/10)+Skills!O18</f>
        <v/>
      </c>
      <c r="G852">
        <f>Skills!G18*IF(Skills!H18&gt;0,Skills!I18/Skills!H18,1)</f>
        <v/>
      </c>
      <c r="H852">
        <f>1-(1-Skills!J18/100)^Skills!K18</f>
        <v/>
      </c>
      <c r="I852" t="inlineStr">
        <is>
          <t>1</t>
        </is>
      </c>
      <c r="J852" t="inlineStr"/>
      <c r="K852" t="inlineStr"/>
      <c r="L852" t="inlineStr"/>
      <c r="M852" t="inlineStr"/>
      <c r="N852" t="inlineStr"/>
      <c r="O852">
        <f>(1-Summary!$B$55)*T852+Summary!$B$55*V852</f>
        <v/>
      </c>
      <c r="P852">
        <f>IF(B879=0,0,O852/B879)</f>
        <v/>
      </c>
      <c r="Q852" t="n">
        <v>0</v>
      </c>
      <c r="R852" t="n">
        <v>0</v>
      </c>
      <c r="S852">
        <f>IFERROR(O852/N852,0)</f>
        <v/>
      </c>
      <c r="T852" t="n">
        <v>0</v>
      </c>
      <c r="V852" t="n">
        <v>0</v>
      </c>
    </row>
    <row r="853">
      <c r="A853">
        <f>Skills!A19</f>
        <v/>
      </c>
      <c r="B853">
        <f>Skills!B19</f>
        <v/>
      </c>
      <c r="C853">
        <f>TRUE</f>
        <v/>
      </c>
      <c r="D853">
        <f>IF(Skills!C19=1,60+(Inputs!$B$25+1)+Inputs!$B$29,IF(Skills!C19=2,90+Inputs!$B$26+Inputs!$B$29,IF(Skills!C19=3,120+Inputs!$B$27+Inputs!$B$29,MAX(0,(Inputs!$B$3-100)*3)+Inputs!$B$28+Inputs!$B$29)))</f>
        <v/>
      </c>
      <c r="E853">
        <f>INDEX(FactorTable!$B$2:$Y$301, MATCH(ROUND(MIN(300,MAX(1,D853)),0), FactorTable!$A$2:$A$301,0), Skills!M19+1)</f>
        <v/>
      </c>
      <c r="F853">
        <f>IF(Skills!N19=TRUE,(Skills!L19/10)*(E853/1000),Skills!L19/10)+Skills!O19</f>
        <v/>
      </c>
      <c r="G853">
        <f>Skills!G19*IF(Skills!H19&gt;0,Skills!I19/Skills!H19,1)</f>
        <v/>
      </c>
      <c r="H853">
        <f>1-(1-Skills!J19/100)^Skills!K19</f>
        <v/>
      </c>
      <c r="I853" t="inlineStr">
        <is>
          <t>1</t>
        </is>
      </c>
      <c r="J853" t="inlineStr"/>
      <c r="K853" t="inlineStr"/>
      <c r="L853" t="inlineStr"/>
      <c r="M853" t="inlineStr"/>
      <c r="N853" t="inlineStr"/>
      <c r="O853">
        <f>(1-Summary!$B$55)*T853+Summary!$B$55*V853</f>
        <v/>
      </c>
      <c r="P853">
        <f>IF(B879=0,0,O853/B879)</f>
        <v/>
      </c>
      <c r="Q853">
        <f>IFERROR(1/IF(Inputs!$B$39="pvp",15,MAX(0.1,Skills!D19-IF(Skills!E19=TRUE,Inputs!$B$32,0))),0)</f>
        <v/>
      </c>
      <c r="R853">
        <f>IF(AND(Inputs!$B$39&lt;&gt;"pvp",Inputs!$B$44&gt;0),IF(Inputs!$B$44&lt;=0,0,(INT(Inputs!$B$44/IF(Inputs!$B$39="pvp",15,MAX(0.1,Skills!D19-IF(Skills!E19=TRUE,Inputs!$B$32,0))))+1)),0)</f>
        <v/>
      </c>
      <c r="S853">
        <f>IFERROR(O853/N853,0)</f>
        <v/>
      </c>
      <c r="T853" t="n">
        <v>0</v>
      </c>
      <c r="V853" t="n">
        <v>0</v>
      </c>
    </row>
    <row r="854">
      <c r="A854">
        <f>Skills!A20</f>
        <v/>
      </c>
      <c r="B854">
        <f>Skills!B20</f>
        <v/>
      </c>
      <c r="C854">
        <f>Inputs!$B$3&gt;=15</f>
        <v/>
      </c>
      <c r="D854">
        <f>IF(Skills!C20=1,60+(Inputs!$B$25+1)+Inputs!$B$29,IF(Skills!C20=2,90+Inputs!$B$26+Inputs!$B$29,IF(Skills!C20=3,120+Inputs!$B$27+Inputs!$B$29,MAX(0,(Inputs!$B$3-100)*3)+Inputs!$B$28+Inputs!$B$29)))</f>
        <v/>
      </c>
      <c r="E854">
        <f>INDEX(FactorTable!$B$2:$Y$301, MATCH(ROUND(MIN(300,MAX(1,D854)),0), FactorTable!$A$2:$A$301,0), Skills!M20+1)</f>
        <v/>
      </c>
      <c r="F854">
        <f>IF(Skills!N20=TRUE,(Skills!L20/10)*(E854/1000),Skills!L20/10)+Skills!O20</f>
        <v/>
      </c>
      <c r="G854">
        <f>Skills!G20*IF(Skills!H20&gt;0,Skills!I20/Skills!H20,1)</f>
        <v/>
      </c>
      <c r="H854">
        <f>1-(1-Skills!J20/100)^Skills!K20</f>
        <v/>
      </c>
      <c r="I854" t="inlineStr">
        <is>
          <t>1</t>
        </is>
      </c>
      <c r="J854" t="inlineStr"/>
      <c r="K854" t="inlineStr"/>
      <c r="L854" t="inlineStr"/>
      <c r="M854" t="inlineStr"/>
      <c r="N854" t="inlineStr"/>
      <c r="O854">
        <f>(1-Summary!$B$55)*T854+Summary!$B$55*V854</f>
        <v/>
      </c>
      <c r="P854">
        <f>IF(B879=0,0,O854/B879)</f>
        <v/>
      </c>
      <c r="Q854">
        <f>IFERROR(1/IF(Inputs!$B$39="pvp",15,MAX(0.1,Skills!D20-IF(Skills!E20=TRUE,Inputs!$B$32,0))),0)</f>
        <v/>
      </c>
      <c r="R854">
        <f>IF(AND(Inputs!$B$39&lt;&gt;"pvp",Inputs!$B$44&gt;0),IF(Inputs!$B$44&lt;=0,0,(INT(Inputs!$B$44/IF(Inputs!$B$39="pvp",15,MAX(0.1,Skills!D20-IF(Skills!E20=TRUE,Inputs!$B$32,0))))+1)),0)</f>
        <v/>
      </c>
      <c r="S854">
        <f>IFERROR(O854/N854,0)</f>
        <v/>
      </c>
      <c r="T854" t="n">
        <v>0</v>
      </c>
      <c r="V854" t="n">
        <v>0</v>
      </c>
    </row>
    <row r="855">
      <c r="A855">
        <f>Skills!A21</f>
        <v/>
      </c>
      <c r="B855">
        <f>Skills!B21</f>
        <v/>
      </c>
      <c r="C855">
        <f>Inputs!$B$3&gt;=15</f>
        <v/>
      </c>
      <c r="D855">
        <f>IF(Skills!C21=1,60+(Inputs!$B$25+1)+Inputs!$B$29,IF(Skills!C21=2,90+Inputs!$B$26+Inputs!$B$29,IF(Skills!C21=3,120+Inputs!$B$27+Inputs!$B$29,MAX(0,(Inputs!$B$3-100)*3)+Inputs!$B$28+Inputs!$B$29)))</f>
        <v/>
      </c>
      <c r="E855">
        <f>INDEX(FactorTable!$B$2:$Y$301, MATCH(ROUND(MIN(300,MAX(1,D855)),0), FactorTable!$A$2:$A$301,0), Skills!M21+1)</f>
        <v/>
      </c>
      <c r="F855">
        <f>IF(Skills!N21=TRUE,(Skills!L21/10)*(E855/1000),Skills!L21/10)+Skills!O21</f>
        <v/>
      </c>
      <c r="G855">
        <f>Skills!G21*IF(Skills!H21&gt;0,Skills!I21/Skills!H21,1)</f>
        <v/>
      </c>
      <c r="H855">
        <f>1-(1-Skills!J21/100)^Skills!K21</f>
        <v/>
      </c>
      <c r="I855" t="inlineStr">
        <is>
          <t>1</t>
        </is>
      </c>
      <c r="J855" t="inlineStr"/>
      <c r="K855" t="inlineStr"/>
      <c r="L855" t="inlineStr"/>
      <c r="M855" t="inlineStr"/>
      <c r="N855" t="inlineStr"/>
      <c r="O855">
        <f>(1-Summary!$B$55)*T855+Summary!$B$55*V855</f>
        <v/>
      </c>
      <c r="P855">
        <f>IF(B879=0,0,O855/B879)</f>
        <v/>
      </c>
      <c r="Q855">
        <f>IFERROR(1/IF(Inputs!$B$39="pvp",15,MAX(0.1,Skills!D21-IF(Skills!E21=TRUE,Inputs!$B$32,0))),0)</f>
        <v/>
      </c>
      <c r="R855">
        <f>IF(AND(Inputs!$B$39&lt;&gt;"pvp",Inputs!$B$44&gt;0),IF(Inputs!$B$44&lt;=0,0,(INT(Inputs!$B$44/IF(Inputs!$B$39="pvp",15,MAX(0.1,Skills!D21-IF(Skills!E21=TRUE,Inputs!$B$32,0))))+1)),0)</f>
        <v/>
      </c>
      <c r="S855">
        <f>IFERROR(O855/N855,0)</f>
        <v/>
      </c>
      <c r="T855" t="n">
        <v>0</v>
      </c>
      <c r="V855" t="n">
        <v>0</v>
      </c>
    </row>
    <row r="856">
      <c r="A856">
        <f>Skills!A22</f>
        <v/>
      </c>
      <c r="B856">
        <f>Skills!B22</f>
        <v/>
      </c>
      <c r="C856">
        <f>Inputs!$B$3&gt;=33</f>
        <v/>
      </c>
      <c r="D856">
        <f>IF(Skills!C22=1,60+(Inputs!$B$25+1)+Inputs!$B$29,IF(Skills!C22=2,90+Inputs!$B$26+Inputs!$B$29,IF(Skills!C22=3,120+Inputs!$B$27+Inputs!$B$29,MAX(0,(Inputs!$B$3-100)*3)+Inputs!$B$28+Inputs!$B$29)))</f>
        <v/>
      </c>
      <c r="E856">
        <f>INDEX(FactorTable!$B$2:$Y$301, MATCH(ROUND(MIN(300,MAX(1,D856)),0), FactorTable!$A$2:$A$301,0), Skills!M22+1)</f>
        <v/>
      </c>
      <c r="F856">
        <f>IF(Skills!N22=TRUE,(Skills!L22/10)*(E856/1000),Skills!L22/10)+Skills!O22</f>
        <v/>
      </c>
      <c r="G856">
        <f>Skills!G22*IF(Skills!H22&gt;0,Skills!I22/Skills!H22,1)</f>
        <v/>
      </c>
      <c r="H856">
        <f>1-(1-Skills!J22/100)^Skills!K22</f>
        <v/>
      </c>
      <c r="I856" t="inlineStr">
        <is>
          <t>1</t>
        </is>
      </c>
      <c r="J856" t="inlineStr"/>
      <c r="K856" t="inlineStr"/>
      <c r="L856" t="inlineStr"/>
      <c r="M856" t="inlineStr"/>
      <c r="N856" t="inlineStr"/>
      <c r="O856">
        <f>(1-Summary!$B$55)*T856+Summary!$B$55*V856</f>
        <v/>
      </c>
      <c r="P856">
        <f>IF(B879=0,0,O856/B879)</f>
        <v/>
      </c>
      <c r="Q856" t="n">
        <v>0</v>
      </c>
      <c r="R856" t="n">
        <v>0</v>
      </c>
      <c r="S856">
        <f>IFERROR(O856/N856,0)</f>
        <v/>
      </c>
      <c r="T856" t="n">
        <v>0</v>
      </c>
      <c r="V856" t="n">
        <v>0</v>
      </c>
    </row>
    <row r="857">
      <c r="A857">
        <f>Skills!A23</f>
        <v/>
      </c>
      <c r="B857">
        <f>Skills!B23</f>
        <v/>
      </c>
      <c r="C857">
        <f>Inputs!$B$3&gt;=40</f>
        <v/>
      </c>
      <c r="D857">
        <f>IF(Skills!C23=1,60+(Inputs!$B$25+1)+Inputs!$B$29,IF(Skills!C23=2,90+Inputs!$B$26+Inputs!$B$29,IF(Skills!C23=3,120+Inputs!$B$27+Inputs!$B$29,MAX(0,(Inputs!$B$3-100)*3)+Inputs!$B$28+Inputs!$B$29)))</f>
        <v/>
      </c>
      <c r="E857">
        <f>INDEX(FactorTable!$B$2:$Y$301, MATCH(ROUND(MIN(300,MAX(1,D857)),0), FactorTable!$A$2:$A$301,0), Skills!M23+1)</f>
        <v/>
      </c>
      <c r="F857">
        <f>IF(Skills!N23=TRUE,(Skills!L23/10)*(E857/1000),Skills!L23/10)+Skills!O23</f>
        <v/>
      </c>
      <c r="G857">
        <f>Skills!G23*IF(Skills!H23&gt;0,Skills!I23/Skills!H23,1)</f>
        <v/>
      </c>
      <c r="H857">
        <f>1-(1-Skills!J23/100)^Skills!K23</f>
        <v/>
      </c>
      <c r="I857" t="inlineStr">
        <is>
          <t>1</t>
        </is>
      </c>
      <c r="J857" t="inlineStr"/>
      <c r="K857" t="inlineStr"/>
      <c r="L857" t="inlineStr"/>
      <c r="M857" t="inlineStr"/>
      <c r="N857" t="inlineStr"/>
      <c r="O857">
        <f>(1-Summary!$B$55)*T857+Summary!$B$55*V857</f>
        <v/>
      </c>
      <c r="P857">
        <f>IF(B879=0,0,O857/B879)</f>
        <v/>
      </c>
      <c r="Q857" t="n">
        <v>0</v>
      </c>
      <c r="R857" t="n">
        <v>0</v>
      </c>
      <c r="S857">
        <f>IFERROR(O857/N857,0)</f>
        <v/>
      </c>
      <c r="T857" t="n">
        <v>0</v>
      </c>
      <c r="V857" t="n">
        <v>0</v>
      </c>
    </row>
    <row r="858">
      <c r="A858">
        <f>Skills!A24</f>
        <v/>
      </c>
      <c r="B858">
        <f>Skills!B24</f>
        <v/>
      </c>
      <c r="C858">
        <f>Inputs!$B$3&gt;=43</f>
        <v/>
      </c>
      <c r="D858">
        <f>IF(Skills!C24=1,60+(Inputs!$B$25+1)+Inputs!$B$29,IF(Skills!C24=2,90+Inputs!$B$26+Inputs!$B$29,IF(Skills!C24=3,120+Inputs!$B$27+Inputs!$B$29,MAX(0,(Inputs!$B$3-100)*3)+Inputs!$B$28+Inputs!$B$29)))</f>
        <v/>
      </c>
      <c r="E858">
        <f>INDEX(FactorTable!$B$2:$Y$301, MATCH(ROUND(MIN(300,MAX(1,D858)),0), FactorTable!$A$2:$A$301,0), Skills!M24+1)</f>
        <v/>
      </c>
      <c r="F858">
        <f>IF(Skills!N24=TRUE,(Skills!L24/10)*(E858/1000),Skills!L24/10)+Skills!O24</f>
        <v/>
      </c>
      <c r="G858">
        <f>Skills!G24*IF(Skills!H24&gt;0,Skills!I24/Skills!H24,1)</f>
        <v/>
      </c>
      <c r="H858">
        <f>1-(1-Skills!J24/100)^Skills!K24</f>
        <v/>
      </c>
      <c r="I858" t="inlineStr">
        <is>
          <t>1</t>
        </is>
      </c>
      <c r="J858" t="inlineStr"/>
      <c r="K858" t="inlineStr"/>
      <c r="L858" t="inlineStr"/>
      <c r="M858" t="inlineStr"/>
      <c r="N858" t="inlineStr"/>
      <c r="O858">
        <f>(1-Summary!$B$55)*T858+Summary!$B$55*V858</f>
        <v/>
      </c>
      <c r="P858">
        <f>IF(B879=0,0,O858/B879)</f>
        <v/>
      </c>
      <c r="Q858" t="n">
        <v>0</v>
      </c>
      <c r="R858" t="n">
        <v>0</v>
      </c>
      <c r="S858">
        <f>IFERROR(O858/N858,0)</f>
        <v/>
      </c>
      <c r="T858" t="n">
        <v>0</v>
      </c>
      <c r="V858" t="n">
        <v>0</v>
      </c>
    </row>
    <row r="859">
      <c r="A859">
        <f>Skills!A25</f>
        <v/>
      </c>
      <c r="B859">
        <f>Skills!B25</f>
        <v/>
      </c>
      <c r="C859">
        <f>Inputs!$B$3&gt;=50</f>
        <v/>
      </c>
      <c r="D859">
        <f>IF(Skills!C25=1,60+(Inputs!$B$25+1)+Inputs!$B$29,IF(Skills!C25=2,90+Inputs!$B$26+Inputs!$B$29,IF(Skills!C25=3,120+Inputs!$B$27+Inputs!$B$29,MAX(0,(Inputs!$B$3-100)*3)+Inputs!$B$28+Inputs!$B$29)))</f>
        <v/>
      </c>
      <c r="E859">
        <f>INDEX(FactorTable!$B$2:$Y$301, MATCH(ROUND(MIN(300,MAX(1,D859)),0), FactorTable!$A$2:$A$301,0), Skills!M25+1)</f>
        <v/>
      </c>
      <c r="F859">
        <f>IF(Skills!N25=TRUE,(Skills!L25/10)*(E859/1000),Skills!L25/10)+Skills!O25</f>
        <v/>
      </c>
      <c r="G859">
        <f>Skills!G25*IF(Skills!H25&gt;0,Skills!I25/Skills!H25,1)</f>
        <v/>
      </c>
      <c r="H859">
        <f>1-(1-Skills!J25/100)^Skills!K25</f>
        <v/>
      </c>
      <c r="I859" t="inlineStr">
        <is>
          <t>1</t>
        </is>
      </c>
      <c r="J859" t="inlineStr"/>
      <c r="K859" t="inlineStr"/>
      <c r="L859" t="inlineStr"/>
      <c r="M859" t="inlineStr"/>
      <c r="N859" t="inlineStr"/>
      <c r="O859">
        <f>(1-Summary!$B$55)*T859+Summary!$B$55*V859</f>
        <v/>
      </c>
      <c r="P859">
        <f>IF(B879=0,0,O859/B879)</f>
        <v/>
      </c>
      <c r="Q859" t="n">
        <v>0</v>
      </c>
      <c r="R859" t="n">
        <v>0</v>
      </c>
      <c r="S859">
        <f>IFERROR(O859/N859,0)</f>
        <v/>
      </c>
      <c r="T859" t="n">
        <v>0</v>
      </c>
      <c r="V859" t="n">
        <v>0</v>
      </c>
    </row>
    <row r="860">
      <c r="A860">
        <f>Skills!A26</f>
        <v/>
      </c>
      <c r="B860">
        <f>Skills!B26</f>
        <v/>
      </c>
      <c r="C860">
        <f>Inputs!$B$3&gt;=50</f>
        <v/>
      </c>
      <c r="D860">
        <f>IF(Skills!C26=1,60+(Inputs!$B$25+1)+Inputs!$B$29,IF(Skills!C26=2,90+Inputs!$B$26+Inputs!$B$29,IF(Skills!C26=3,120+Inputs!$B$27+Inputs!$B$29,MAX(0,(Inputs!$B$3-100)*3)+Inputs!$B$28+Inputs!$B$29)))</f>
        <v/>
      </c>
      <c r="E860">
        <f>INDEX(FactorTable!$B$2:$Y$301, MATCH(ROUND(MIN(300,MAX(1,D860)),0), FactorTable!$A$2:$A$301,0), Skills!M26+1)</f>
        <v/>
      </c>
      <c r="F860">
        <f>IF(Skills!N26=TRUE,(Skills!L26/10)*(E860/1000),Skills!L26/10)+Skills!O26</f>
        <v/>
      </c>
      <c r="G860">
        <f>Skills!G26*IF(Skills!H26&gt;0,Skills!I26/Skills!H26,1)</f>
        <v/>
      </c>
      <c r="H860">
        <f>1-(1-Skills!J26/100)^Skills!K26</f>
        <v/>
      </c>
      <c r="I860" t="inlineStr">
        <is>
          <t>1</t>
        </is>
      </c>
      <c r="J860" t="inlineStr"/>
      <c r="K860" t="inlineStr"/>
      <c r="L860" t="inlineStr"/>
      <c r="M860" t="inlineStr"/>
      <c r="N860" t="inlineStr"/>
      <c r="O860">
        <f>(1-Summary!$B$55)*T860+Summary!$B$55*V860</f>
        <v/>
      </c>
      <c r="P860">
        <f>IF(B879=0,0,O860/B879)</f>
        <v/>
      </c>
      <c r="Q860" t="n">
        <v>0</v>
      </c>
      <c r="R860" t="n">
        <v>0</v>
      </c>
      <c r="S860">
        <f>IFERROR(O860/N860,0)</f>
        <v/>
      </c>
      <c r="T860" t="n">
        <v>0</v>
      </c>
      <c r="V860" t="n">
        <v>0</v>
      </c>
    </row>
    <row r="861">
      <c r="A861">
        <f>Skills!A27</f>
        <v/>
      </c>
      <c r="B861">
        <f>Skills!B27</f>
        <v/>
      </c>
      <c r="C861">
        <f>Inputs!$B$3&gt;=38</f>
        <v/>
      </c>
      <c r="D861">
        <f>IF(Skills!C27=1,60+(Inputs!$B$25+1)+Inputs!$B$29,IF(Skills!C27=2,90+Inputs!$B$26+Inputs!$B$29,IF(Skills!C27=3,120+Inputs!$B$27+Inputs!$B$29,MAX(0,(Inputs!$B$3-100)*3)+Inputs!$B$28+Inputs!$B$29)))</f>
        <v/>
      </c>
      <c r="E861">
        <f>INDEX(FactorTable!$B$2:$Y$301, MATCH(ROUND(MIN(300,MAX(1,D861)),0), FactorTable!$A$2:$A$301,0), Skills!M27+1)</f>
        <v/>
      </c>
      <c r="F861">
        <f>IF(Skills!N27=TRUE,(Skills!L27/10)*(E861/1000),Skills!L27/10)+Skills!O27</f>
        <v/>
      </c>
      <c r="G861">
        <f>Skills!G27*IF(Skills!H27&gt;0,Skills!I27/Skills!H27,1)</f>
        <v/>
      </c>
      <c r="H861">
        <f>1-(1-Skills!J27/100)^Skills!K27</f>
        <v/>
      </c>
      <c r="I861" t="inlineStr">
        <is>
          <t>1</t>
        </is>
      </c>
      <c r="J861" t="inlineStr"/>
      <c r="K861" t="inlineStr"/>
      <c r="L861" t="inlineStr"/>
      <c r="M861" t="inlineStr"/>
      <c r="N861" t="inlineStr"/>
      <c r="O861">
        <f>(1-Summary!$B$55)*T861+Summary!$B$55*V861</f>
        <v/>
      </c>
      <c r="P861">
        <f>IF(B879=0,0,O861/B879)</f>
        <v/>
      </c>
      <c r="Q861" t="n">
        <v>0</v>
      </c>
      <c r="R861" t="n">
        <v>0</v>
      </c>
      <c r="S861">
        <f>IFERROR(O861/N861,0)</f>
        <v/>
      </c>
      <c r="T861" t="n">
        <v>0</v>
      </c>
      <c r="V861" t="n">
        <v>0</v>
      </c>
    </row>
    <row r="862">
      <c r="A862">
        <f>Skills!A28</f>
        <v/>
      </c>
      <c r="B862">
        <f>Skills!B28</f>
        <v/>
      </c>
      <c r="C862">
        <f>Inputs!$B$3&gt;=120</f>
        <v/>
      </c>
      <c r="D862">
        <f>IF(Skills!C28=1,60+(Inputs!$B$25+1)+Inputs!$B$29,IF(Skills!C28=2,90+Inputs!$B$26+Inputs!$B$29,IF(Skills!C28=3,120+Inputs!$B$27+Inputs!$B$29,MAX(0,(Inputs!$B$3-100)*3)+Inputs!$B$28+Inputs!$B$29)))</f>
        <v/>
      </c>
      <c r="E862">
        <f>INDEX(FactorTable!$B$2:$Y$301, MATCH(ROUND(MIN(300,MAX(1,D862)),0), FactorTable!$A$2:$A$301,0), Skills!M28+1)</f>
        <v/>
      </c>
      <c r="F862">
        <f>IF(Skills!N28=TRUE,(Skills!L28/10)*(E862/1000),Skills!L28/10)+Skills!O28</f>
        <v/>
      </c>
      <c r="G862">
        <f>Skills!G28*IF(Skills!H28&gt;0,Skills!I28/Skills!H28,1)</f>
        <v/>
      </c>
      <c r="H862">
        <f>1-(1-Skills!J28/100)^Skills!K28</f>
        <v/>
      </c>
      <c r="I862" t="inlineStr">
        <is>
          <t>1</t>
        </is>
      </c>
      <c r="J862" t="inlineStr"/>
      <c r="K862" t="inlineStr"/>
      <c r="L862" t="inlineStr"/>
      <c r="M862" t="inlineStr"/>
      <c r="N862" t="inlineStr"/>
      <c r="O862">
        <f>(1-Summary!$B$55)*T862+Summary!$B$55*V862</f>
        <v/>
      </c>
      <c r="P862">
        <f>IF(B879=0,0,O862/B879)</f>
        <v/>
      </c>
      <c r="Q862" t="n">
        <v>0</v>
      </c>
      <c r="R862" t="n">
        <v>0</v>
      </c>
      <c r="S862">
        <f>IFERROR(O862/N862,0)</f>
        <v/>
      </c>
      <c r="T862" t="n">
        <v>0</v>
      </c>
      <c r="V862" t="n">
        <v>0</v>
      </c>
    </row>
    <row r="863">
      <c r="A863">
        <f>Skills!A29</f>
        <v/>
      </c>
      <c r="B863">
        <f>Skills!B29</f>
        <v/>
      </c>
      <c r="C863">
        <f>Inputs!$B$3&gt;=120</f>
        <v/>
      </c>
      <c r="D863">
        <f>IF(Skills!C29=1,60+(Inputs!$B$25+1)+Inputs!$B$29,IF(Skills!C29=2,90+Inputs!$B$26+Inputs!$B$29,IF(Skills!C29=3,120+Inputs!$B$27+Inputs!$B$29,MAX(0,(Inputs!$B$3-100)*3)+Inputs!$B$28+Inputs!$B$29)))</f>
        <v/>
      </c>
      <c r="E863">
        <f>INDEX(FactorTable!$B$2:$Y$301, MATCH(ROUND(MIN(300,MAX(1,D863)),0), FactorTable!$A$2:$A$301,0), Skills!M29+1)</f>
        <v/>
      </c>
      <c r="F863">
        <f>IF(Skills!N29=TRUE,(Skills!L29/10)*(E863/1000),Skills!L29/10)+Skills!O29</f>
        <v/>
      </c>
      <c r="G863">
        <f>Skills!G29*IF(Skills!H29&gt;0,Skills!I29/Skills!H29,1)</f>
        <v/>
      </c>
      <c r="H863">
        <f>1-(1-Skills!J29/100)^Skills!K29</f>
        <v/>
      </c>
      <c r="I863" t="inlineStr">
        <is>
          <t>1</t>
        </is>
      </c>
      <c r="J863" t="inlineStr"/>
      <c r="K863" t="inlineStr"/>
      <c r="L863" t="inlineStr"/>
      <c r="M863" t="inlineStr"/>
      <c r="N863" t="inlineStr"/>
      <c r="O863">
        <f>(1-Summary!$B$55)*T863+Summary!$B$55*V863</f>
        <v/>
      </c>
      <c r="P863">
        <f>IF(B879=0,0,O863/B879)</f>
        <v/>
      </c>
      <c r="Q863" t="n">
        <v>0</v>
      </c>
      <c r="R863" t="n">
        <v>0</v>
      </c>
      <c r="S863">
        <f>IFERROR(O863/N863,0)</f>
        <v/>
      </c>
      <c r="T863" t="n">
        <v>0</v>
      </c>
      <c r="V863" t="n">
        <v>0</v>
      </c>
    </row>
    <row r="864">
      <c r="A864">
        <f>Skills!A30</f>
        <v/>
      </c>
      <c r="B864">
        <f>Skills!B30</f>
        <v/>
      </c>
      <c r="C864">
        <f>Inputs!$B$3&gt;=125</f>
        <v/>
      </c>
      <c r="D864">
        <f>IF(Skills!C30=1,60+(Inputs!$B$25+1)+Inputs!$B$29,IF(Skills!C30=2,90+Inputs!$B$26+Inputs!$B$29,IF(Skills!C30=3,120+Inputs!$B$27+Inputs!$B$29,MAX(0,(Inputs!$B$3-100)*3)+Inputs!$B$28+Inputs!$B$29)))</f>
        <v/>
      </c>
      <c r="E864">
        <f>INDEX(FactorTable!$B$2:$Y$301, MATCH(ROUND(MIN(300,MAX(1,D864)),0), FactorTable!$A$2:$A$301,0), Skills!M30+1)</f>
        <v/>
      </c>
      <c r="F864">
        <f>IF(Skills!N30=TRUE,(Skills!L30/10)*(E864/1000),Skills!L30/10)+Skills!O30</f>
        <v/>
      </c>
      <c r="G864">
        <f>Skills!G30*IF(Skills!H30&gt;0,Skills!I30/Skills!H30,1)</f>
        <v/>
      </c>
      <c r="H864">
        <f>1-(1-Skills!J30/100)^Skills!K30</f>
        <v/>
      </c>
      <c r="I864" t="inlineStr">
        <is>
          <t>1</t>
        </is>
      </c>
      <c r="J864" t="inlineStr"/>
      <c r="K864" t="inlineStr"/>
      <c r="L864" t="inlineStr"/>
      <c r="M864" t="inlineStr"/>
      <c r="N864" t="inlineStr"/>
      <c r="O864">
        <f>(1-Summary!$B$55)*T864+Summary!$B$55*V864</f>
        <v/>
      </c>
      <c r="P864">
        <f>IF(B879=0,0,O864/B879)</f>
        <v/>
      </c>
      <c r="Q864" t="n">
        <v>0</v>
      </c>
      <c r="R864" t="n">
        <v>0</v>
      </c>
      <c r="S864">
        <f>IFERROR(O864/N864,0)</f>
        <v/>
      </c>
      <c r="T864" t="n">
        <v>0</v>
      </c>
      <c r="V864" t="n">
        <v>0</v>
      </c>
    </row>
    <row r="866">
      <c r="A866" t="inlineStr">
        <is>
          <t>Average Buff Multiplier</t>
        </is>
      </c>
      <c r="B866">
        <f>(1+(((C855=TRUE)*F855*IF(AND(Inputs!$B$39&lt;&gt;"pvp",Inputs!$B$44&gt;0),(((R855-1)*(Skills!Y21*(1+Inputs!$B$34/100))+MIN((Skills!Y21*(1+Inputs!$B$34/100)),MAX(0,Inputs!$B$44-((R855-1)*Skills!D21))))/Inputs!$B$44),IF(Inputs!$B$39="pvp",MIN((Skills!Y21*(1+Inputs!$B$34/100)),15)/15,(Skills!Y21*(1+Inputs!$B$34/100))/Skills!D21)))+((C857=TRUE)*(F857-Calc!F23))+((C851=TRUE)*(F851-Calc!F17)))/100)*(1+((C844=TRUE)*F844*IF(AND(Inputs!$B$39&lt;&gt;"pvp",Inputs!$B$44&gt;0),(((R844-1)*(Skills!Y10*(1+Inputs!$B$34/100))+MIN((Skills!Y10*(1+Inputs!$B$34/100)),MAX(0,Inputs!$B$44-((R844-1)*Skills!D10))))/Inputs!$B$44),IF(Inputs!$B$39="pvp",MIN((Skills!Y10*(1+Inputs!$B$34/100)),15)/15,(Skills!Y10*(1+Inputs!$B$34/100))/Skills!D10)))/100)*(1+((C849=TRUE)*F849*IF(AND(Inputs!$B$39&lt;&gt;"pvp",Inputs!$B$44&gt;0),(((R849-1)*(Skills!Y15*(1+Inputs!$B$34/100))+MIN((Skills!Y15*(1+Inputs!$B$34/100)),MAX(0,Inputs!$B$44-((R849-1)*Skills!D15))))/Inputs!$B$44),IF(Inputs!$B$39="pvp",MIN((Skills!Y15*(1+Inputs!$B$34/100)),15)/15,(Skills!Y15*(1+Inputs!$B$34/100))/Skills!D15)))/100)</f>
        <v/>
      </c>
    </row>
    <row r="867">
      <c r="A867" t="inlineStr">
        <is>
          <t>Global Crit Rate Bonus %</t>
        </is>
      </c>
      <c r="B867">
        <f>((C854=TRUE)*F854*IF(AND(Inputs!$B$39&lt;&gt;"pvp",Inputs!$B$44&gt;0),(((R854-1)*(Skills!Y20*(1+Inputs!$B$34/100))+MIN((Skills!Y20*(1+Inputs!$B$34/100)),MAX(0,Inputs!$B$44-((R854-1)*Skills!D20))))/Inputs!$B$44),IF(Inputs!$B$39="pvp",MIN((Skills!Y20*(1+Inputs!$B$34/100)),15)/15,(Skills!Y20*(1+Inputs!$B$34/100))/Skills!D20)))</f>
        <v/>
      </c>
    </row>
    <row r="868">
      <c r="A868" t="inlineStr">
        <is>
          <t>Global Monster Damage-Taken Bonus %</t>
        </is>
      </c>
      <c r="B868">
        <f>IF(Inputs!$B$3&gt;=82,15,0)</f>
        <v/>
      </c>
    </row>
    <row r="869">
      <c r="A869" t="inlineStr">
        <is>
          <t>Shadow Partner Average Multiplier</t>
        </is>
      </c>
      <c r="B869">
        <f>1+((C841=TRUE)*F841*(1+3.3333333333333335*IF(C852=TRUE,F852,0)/100)*I841*Skills!J7/100)/100</f>
        <v/>
      </c>
    </row>
    <row r="870">
      <c r="A870" t="inlineStr">
        <is>
          <t>Attack Speed Buff Bonus %</t>
        </is>
      </c>
      <c r="B870">
        <f>((C853=TRUE)*F853*IF(AND(Inputs!$B$39&lt;&gt;"pvp",Inputs!$B$44&gt;0),(((R853-1)*(Skills!Y19*(1+Inputs!$B$34/100))+MIN((Skills!Y19*(1+Inputs!$B$34/100)),MAX(0,Inputs!$B$44-((R853-1)*Skills!D19))))/Inputs!$B$44),IF(Inputs!$B$39="pvp",MIN((Skills!Y19*(1+Inputs!$B$34/100)),15)/15,(Skills!Y19*(1+Inputs!$B$34/100))/Skills!D19)))+((C837=TRUE)*F837*3)</f>
        <v/>
      </c>
    </row>
    <row r="871">
      <c r="A871" t="inlineStr">
        <is>
          <t>Actions Per Second</t>
        </is>
      </c>
      <c r="B871">
        <f>1+MIN(150,150*(1-(1-(Inputs!$B$11+((C856=TRUE)*(F856-Calc!F22)))/150)*(1-B870/150)))/100</f>
        <v/>
      </c>
    </row>
    <row r="872">
      <c r="A872" t="inlineStr">
        <is>
          <t>Skill + Buff Cast Rate</t>
        </is>
      </c>
      <c r="B872">
        <f>IF(AND(Inputs!$B$39&lt;&gt;"pvp",Inputs!$B$44&gt;0),SUMPRODUCT((Skills!E2:E30=TRUE)*(C836:C864=TRUE)*R836:R864*Skills!F2:F30)/Inputs!$B$44,SUMPRODUCT((Skills!E2:E30=TRUE)*(C836:C864=TRUE)*Q836:Q864*Skills!F2:F30))</f>
        <v/>
      </c>
    </row>
    <row r="873">
      <c r="A873" t="inlineStr">
        <is>
          <t>Cruel Stab Casts Per Second</t>
        </is>
      </c>
      <c r="B873">
        <f>MAX(0,B871-B872)</f>
        <v/>
      </c>
    </row>
    <row r="874">
      <c r="A874" t="inlineStr">
        <is>
          <t>Global Critical Damage Bonus % (Smokescreen Mastery Lv.113)</t>
        </is>
      </c>
      <c r="B874">
        <f>IF(Inputs!$B$3&gt;=113,30,0)*IF(AND(Inputs!$B$39&lt;&gt;"pvp",Inputs!$B$44&gt;0),(((R849-1)*(Skills!Y15*(1+Inputs!$B$34/100))+MIN((Skills!Y15*(1+Inputs!$B$34/100)),MAX(0,Inputs!$B$44-((R849-1)*Skills!D15))))/Inputs!$B$44),IF(Inputs!$B$39="pvp",MIN((Skills!Y15*(1+Inputs!$B$34/100)),15)/15,(Skills!Y15*(1+Inputs!$B$34/100))/Skills!D15))</f>
        <v/>
      </c>
    </row>
    <row r="875">
      <c r="A875" t="inlineStr">
        <is>
          <t>Meso Explosion average stack count</t>
        </is>
      </c>
      <c r="B875">
        <f>MIN(10,0.5*B871*Skills!D4)</f>
        <v/>
      </c>
    </row>
    <row r="876">
      <c r="A876" t="inlineStr">
        <is>
          <t>Blood Money average stack count</t>
        </is>
      </c>
      <c r="B876">
        <f>MIN(5,0.25*B871*Skills!D4)</f>
        <v/>
      </c>
    </row>
    <row r="877">
      <c r="A877" t="inlineStr">
        <is>
          <t>Assassinate Murderous Intent Multiplier</t>
        </is>
      </c>
      <c r="B877">
        <f>1+IFERROR(MIN(1,Q848*2/Q845),0)</f>
        <v/>
      </c>
    </row>
    <row r="878">
      <c r="A878" t="inlineStr">
        <is>
          <t>Buff-Casting Startup Delay (s, fixed-duration only)</t>
        </is>
      </c>
      <c r="B878">
        <f>IF(AND(Inputs!$B$39&lt;&gt;"pvp",Inputs!$B$44&gt;0),SUMPRODUCT((Skills!Y2:Y30&gt;0)*(Skills!E2:E30=TRUE)*(C836:C864=TRUE))/B871,0)</f>
        <v/>
      </c>
    </row>
    <row r="879">
      <c r="A879" s="5" t="inlineStr">
        <is>
          <t>TOTAL DPS</t>
        </is>
      </c>
      <c r="B879" s="5">
        <f>SUM(O836:O864)</f>
        <v/>
      </c>
    </row>
    <row r="880">
      <c r="A880" t="inlineStr">
        <is>
          <t>Boss-Only Total DPS (this block's swept value)</t>
        </is>
      </c>
      <c r="B880">
        <f>SUM(T836:T864)</f>
        <v/>
      </c>
    </row>
    <row r="881">
      <c r="A881" t="inlineStr">
        <is>
          <t>Normal-Only Total DPS (this block's swept value)</t>
        </is>
      </c>
      <c r="B881">
        <f>SUM(V836:V864)</f>
        <v/>
      </c>
    </row>
    <row r="884">
      <c r="A884" s="5" t="inlineStr">
        <is>
          <t>Stat: Skill Level Bonus — 2nd Job</t>
        </is>
      </c>
    </row>
    <row r="885">
      <c r="A885" s="9" t="inlineStr">
        <is>
          <t>Key</t>
        </is>
      </c>
      <c r="B885" s="9" t="inlineStr">
        <is>
          <t>Name</t>
        </is>
      </c>
      <c r="C885" s="9" t="inlineStr">
        <is>
          <t>Unlocked</t>
        </is>
      </c>
      <c r="D885" s="9" t="inlineStr">
        <is>
          <t>InputLevel</t>
        </is>
      </c>
      <c r="E885" s="9" t="inlineStr">
        <is>
          <t>Factor</t>
        </is>
      </c>
      <c r="F885" s="9" t="inlineStr">
        <is>
          <t>CoefficientPercent</t>
        </is>
      </c>
      <c r="G885" s="9" t="inlineStr">
        <is>
          <t>EffectiveHits</t>
        </is>
      </c>
      <c r="H885" s="9" t="inlineStr">
        <is>
          <t>ProcProbability</t>
        </is>
      </c>
      <c r="I885" s="9" t="inlineStr">
        <is>
          <t>MapleHeroMultiplier</t>
        </is>
      </c>
      <c r="J885" s="9" t="inlineStr">
        <is>
          <t>BaseDamage</t>
        </is>
      </c>
      <c r="K885" s="9" t="inlineStr">
        <is>
          <t>BaseHitDamage</t>
        </is>
      </c>
      <c r="L885" s="9" t="inlineStr">
        <is>
          <t>NonCritAvg</t>
        </is>
      </c>
      <c r="M885" s="9" t="inlineStr">
        <is>
          <t>CritAvg</t>
        </is>
      </c>
      <c r="N885" s="9" t="inlineStr">
        <is>
          <t>ExpectedDamage(perHit)</t>
        </is>
      </c>
      <c r="O885" s="9" t="inlineStr">
        <is>
          <t>DPS</t>
        </is>
      </c>
      <c r="P885" s="9" t="inlineStr">
        <is>
          <t>% of Total</t>
        </is>
      </c>
      <c r="Q885" s="9" t="inlineStr">
        <is>
          <t>InvCooldown</t>
        </is>
      </c>
      <c r="R885" s="9" t="inlineStr">
        <is>
          <t>CastsInFight</t>
        </is>
      </c>
      <c r="S885" s="9" t="inlineStr">
        <is>
          <t>HitRate(perSec)</t>
        </is>
      </c>
      <c r="U885" t="inlineStr">
        <is>
          <t>helpers</t>
        </is>
      </c>
    </row>
    <row r="886">
      <c r="A886">
        <f>Skills!A2</f>
        <v/>
      </c>
      <c r="B886">
        <f>Skills!B2</f>
        <v/>
      </c>
      <c r="C886">
        <f>Inputs!$B$3&gt;=100</f>
        <v/>
      </c>
      <c r="D886" t="inlineStr"/>
      <c r="E886" t="inlineStr"/>
      <c r="F886">
        <f>U888+Skills!O2</f>
        <v/>
      </c>
      <c r="G886">
        <f>Skills!G2*IF(Skills!H2&gt;0,Skills!I2/Skills!H2,1)</f>
        <v/>
      </c>
      <c r="H886">
        <f>1-(1-Skills!J2/100)^Skills!K2</f>
        <v/>
      </c>
      <c r="I886" t="inlineStr">
        <is>
          <t>1</t>
        </is>
      </c>
      <c r="J886">
        <f>((Inputs!$B$6*(1+Inputs!$B$7/100))+(((Inputs!$B$12*(1+Inputs!$B$13/100))-(Inputs!$B$12*(1+Inputs!$B$13/100)))+0.25*(Inputs!$B$14-Inputs!$B$14))*(1+Inputs!$B$7/100))*(F886/100)</f>
        <v/>
      </c>
      <c r="K886">
        <f>J886*(1+((Inputs!$B$12*(1+Inputs!$B$13/100))*0.01+Inputs!$B$14*0.0025)/100)*(1+Inputs!$B$15/100)*(1+Inputs!$B$16/100)*(5000/(6000+Inputs!$B$43*(1-Inputs!$B$19/100)))*(1+(Inputs!$B$24+((C914=TRUE)*(F914-Calc!F30)))/100)*(1+(IF(Skills!A2="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886)</f>
        <v/>
      </c>
      <c r="L886">
        <f>K886*(MIN(Inputs!$B$22+((C908=TRUE)*(F908-Calc!F24)),Inputs!$B$23+((C913=TRUE)*(F913-Calc!F29)))/100+(Inputs!$B$23+((C913=TRUE)*(F913-Calc!F29)))/100)/2</f>
        <v/>
      </c>
      <c r="M886">
        <f>L886*(1+(Inputs!$B$10+((C910=TRUE)*(F910-Calc!F26))+B924)/100)</f>
        <v/>
      </c>
      <c r="N886">
        <f>L886*(1-MIN((Inputs!$B$9+((C909=TRUE)*(F909-Calc!F25))+B917),100)/100)+M886*(MIN((Inputs!$B$9+((C909=TRUE)*(F909-Calc!F25))+B917),100)/100)</f>
        <v/>
      </c>
      <c r="O886">
        <f>(1-Summary!$B$55)*T886+Summary!$B$55*V886</f>
        <v/>
      </c>
      <c r="P886">
        <f>IF(B929=0,0,O886/B929)</f>
        <v/>
      </c>
      <c r="Q886" t="n">
        <v>0</v>
      </c>
      <c r="R886" t="n">
        <v>0</v>
      </c>
      <c r="S886">
        <f>IFERROR(O886/N886,0)</f>
        <v/>
      </c>
      <c r="T886">
        <f>IF(C886,(Skills!G2*N886*B923)*IF(Inputs!$B$39="pvp",1,1+(Inputs!$B$20+0+Skills!P2+B918)/100),0)</f>
        <v/>
      </c>
      <c r="U886">
        <f>MAX(0,(Inputs!$B$3-100)*3)+Inputs!$B$28+Inputs!$B$29</f>
        <v/>
      </c>
      <c r="V886">
        <f>IF(C886,(Skills!G2*N886*B923)*IF(Inputs!$B$39="pvp",1,(1+(Inputs!$B$21+Skills!Q2+B918)/100)*(MIN((6+Inputs!$B$33),Inputs!$B$37))),0)</f>
        <v/>
      </c>
    </row>
    <row r="887">
      <c r="A887">
        <f>Skills!A3</f>
        <v/>
      </c>
      <c r="B887">
        <f>Skills!B3</f>
        <v/>
      </c>
      <c r="C887">
        <f>Inputs!$B$3&gt;=35</f>
        <v/>
      </c>
      <c r="D887">
        <f>IF(Skills!C3=1,60+Inputs!$B$25+Inputs!$B$29,IF(Skills!C3=2,90+(Inputs!$B$26+1)+Inputs!$B$29,IF(Skills!C3=3,120+Inputs!$B$27+Inputs!$B$29,MAX(0,(Inputs!$B$3-100)*3)+Inputs!$B$28+Inputs!$B$29)))</f>
        <v/>
      </c>
      <c r="E887">
        <f>INDEX(FactorTable!$B$2:$Y$301, MATCH(ROUND(MIN(300,MAX(1,D887)),0), FactorTable!$A$2:$A$301,0), Skills!M3+1)</f>
        <v/>
      </c>
      <c r="F887">
        <f>IF(Skills!N3=TRUE,(Skills!L3/10)*(E887/1000),Skills!L3/10)+Skills!O3</f>
        <v/>
      </c>
      <c r="G887">
        <f>Skills!G3*IF(Skills!H3&gt;0,Skills!I3/Skills!H3,1)</f>
        <v/>
      </c>
      <c r="H887">
        <f>1-(1-Skills!J3/100)^Skills!K3</f>
        <v/>
      </c>
      <c r="I887" t="inlineStr">
        <is>
          <t>1</t>
        </is>
      </c>
      <c r="J887" t="inlineStr"/>
      <c r="K887" t="inlineStr"/>
      <c r="L887" t="inlineStr"/>
      <c r="M887" t="inlineStr"/>
      <c r="N887" t="inlineStr"/>
      <c r="O887">
        <f>(1-Summary!$B$55)*T887+Summary!$B$55*V887</f>
        <v/>
      </c>
      <c r="P887">
        <f>IF(B929=0,0,O887/B929)</f>
        <v/>
      </c>
      <c r="Q887" t="n">
        <v>0</v>
      </c>
      <c r="R887" t="n">
        <v>0</v>
      </c>
      <c r="S887">
        <f>IFERROR(O887/N887,0)</f>
        <v/>
      </c>
      <c r="T887" t="n">
        <v>0</v>
      </c>
      <c r="U887">
        <f>INDEX(FactorTable!$B$2:$Y$301, MATCH(ROUND(MIN(300,MAX(1,U886)),0), FactorTable!$A$2:$A$301,0), 22)</f>
        <v/>
      </c>
      <c r="V887" t="n">
        <v>0</v>
      </c>
    </row>
    <row r="888">
      <c r="A888">
        <f>Skills!A4</f>
        <v/>
      </c>
      <c r="B888">
        <f>Skills!B4</f>
        <v/>
      </c>
      <c r="C888">
        <f>Inputs!$B$3&gt;=66</f>
        <v/>
      </c>
      <c r="D888">
        <f>IF(Skills!C4=1,60+Inputs!$B$25+Inputs!$B$29,IF(Skills!C4=2,90+(Inputs!$B$26+1)+Inputs!$B$29,IF(Skills!C4=3,120+Inputs!$B$27+Inputs!$B$29,MAX(0,(Inputs!$B$3-100)*3)+Inputs!$B$28+Inputs!$B$29)))</f>
        <v/>
      </c>
      <c r="E888">
        <f>INDEX(FactorTable!$B$2:$Y$301, MATCH(ROUND(MIN(300,MAX(1,D888)),0), FactorTable!$A$2:$A$301,0), Skills!M4+1)</f>
        <v/>
      </c>
      <c r="F888">
        <f>IF(Skills!N4=TRUE,(Skills!L4/10)*(E888/1000),Skills!L4/10)+Skills!O4</f>
        <v/>
      </c>
      <c r="G888">
        <f>Skills!G4*IF(Skills!H4&gt;0,Skills!I4/Skills!H4,1)</f>
        <v/>
      </c>
      <c r="H888">
        <f>1-(1-Skills!J4/100)^Skills!K4</f>
        <v/>
      </c>
      <c r="I888" t="inlineStr">
        <is>
          <t>1</t>
        </is>
      </c>
      <c r="J888">
        <f>((Inputs!$B$6*(1+Inputs!$B$7/100))+(((Inputs!$B$12*(1+Inputs!$B$13/100))-(Inputs!$B$12*(1+Inputs!$B$13/100)))+0.25*(Inputs!$B$14-Inputs!$B$14))*(1+Inputs!$B$7/100))*(F888/100)</f>
        <v/>
      </c>
      <c r="K888">
        <f>J888*(1+((Inputs!$B$12*(1+Inputs!$B$13/100))*0.01+Inputs!$B$14*0.0025)/100)*(1+Inputs!$B$15/100)*(1+Inputs!$B$16/100)*(5000/(6000+Inputs!$B$43*(1-Inputs!$B$19/100)))*(1+(Inputs!$B$24+((C914=TRUE)*(F914-Calc!F30)))/100)*(1+(IF(Skills!A4="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888)</f>
        <v/>
      </c>
      <c r="L888">
        <f>K888*(MIN(Inputs!$B$22+((C908=TRUE)*(F908-Calc!F24)),Inputs!$B$23+((C913=TRUE)*(F913-Calc!F29)))/100+(Inputs!$B$23+((C913=TRUE)*(F913-Calc!F29)))/100)/2</f>
        <v/>
      </c>
      <c r="M888">
        <f>L888*(1+(Inputs!$B$10+((C910=TRUE)*(F910-Calc!F26))+B924)/100)</f>
        <v/>
      </c>
      <c r="N888">
        <f>L888*(1-MIN((Inputs!$B$9+((C909=TRUE)*(F909-Calc!F25))+B917),100)/100)+M888*(MIN((Inputs!$B$9+((C909=TRUE)*(F909-Calc!F25))+B917),100)/100)</f>
        <v/>
      </c>
      <c r="O888">
        <f>(1-Summary!$B$55)*T888+Summary!$B$55*V888</f>
        <v/>
      </c>
      <c r="P888">
        <f>IF(B929=0,0,O888/B929)</f>
        <v/>
      </c>
      <c r="Q888">
        <f>IFERROR(1/IF(Inputs!$B$39="pvp",15,MAX(0.1,Skills!D4-IF(Skills!E4=TRUE,Inputs!$B$32,0))),0)</f>
        <v/>
      </c>
      <c r="R888">
        <f>IF(AND(Inputs!$B$39&lt;&gt;"pvp",Inputs!$B$44&gt;0),IF(MAX(0,Inputs!$B$44-B928)&lt;=0,0,(INT(MAX(0,Inputs!$B$44-B928)/IF(Inputs!$B$39="pvp",15,MAX(0.1,Skills!D4-IF(Skills!E4=TRUE,Inputs!$B$32,0))))+1)),0)</f>
        <v/>
      </c>
      <c r="S888">
        <f>IFERROR(O888/N888,0)</f>
        <v/>
      </c>
      <c r="T888">
        <f>IF(C888,(H888*N888*IF(AND(Inputs!$B$39&lt;&gt;"pvp",Inputs!$B$44&gt;0),((Skills!G4*((R888-1)*IF(Skills!H4&gt;0,Skills!I4/Skills!H4,1)+IF(Skills!H4&gt;0,MIN(Skills!I4,MAX(0,MAX(0,Inputs!$B$44-B928)-((R888-1)*IF(Inputs!$B$39="pvp",15,MAX(0.1,Skills!D4-IF(Skills!E4=TRUE,Inputs!$B$32,0))))))/Skills!H4,1)))/Inputs!$B$44),G888*Q888))*IF(Inputs!$B$39="pvp",1,1+(Inputs!$B$20+0+Skills!P4+B918)/100),0)</f>
        <v/>
      </c>
      <c r="U888">
        <f>290*U887/1000</f>
        <v/>
      </c>
      <c r="V888">
        <f>IF(C888,(H888*N888*IF(AND(Inputs!$B$39&lt;&gt;"pvp",Inputs!$B$44&gt;0),((Skills!G4*((R888-1)*IF(Skills!H4&gt;0,Skills!I4/Skills!H4,1)+IF(Skills!H4&gt;0,MIN(Skills!I4,MAX(0,MAX(0,Inputs!$B$44-B928)-((R888-1)*IF(Inputs!$B$39="pvp",15,MAX(0.1,Skills!D4-IF(Skills!E4=TRUE,Inputs!$B$32,0))))))/Skills!H4,1)))/Inputs!$B$44),G888*Q888))*IF(Inputs!$B$39="pvp",1,(1+(Inputs!$B$21+Skills!Q4+B918)/100)*(MIN(MIN(10,0.5*B921*Skills!D4),Inputs!$B$37))),0)</f>
        <v/>
      </c>
    </row>
    <row r="889">
      <c r="A889">
        <f>Skills!A5</f>
        <v/>
      </c>
      <c r="B889">
        <f>Skills!B5</f>
        <v/>
      </c>
      <c r="C889">
        <f>Inputs!$B$3&gt;=63</f>
        <v/>
      </c>
      <c r="D889">
        <f>IF(Skills!C5=1,60+Inputs!$B$25+Inputs!$B$29,IF(Skills!C5=2,90+(Inputs!$B$26+1)+Inputs!$B$29,IF(Skills!C5=3,120+Inputs!$B$27+Inputs!$B$29,MAX(0,(Inputs!$B$3-100)*3)+Inputs!$B$28+Inputs!$B$29)))</f>
        <v/>
      </c>
      <c r="E889">
        <f>INDEX(FactorTable!$B$2:$Y$301, MATCH(ROUND(MIN(300,MAX(1,D889)),0), FactorTable!$A$2:$A$301,0), Skills!M5+1)</f>
        <v/>
      </c>
      <c r="F889">
        <f>IF(Skills!N5=TRUE,(Skills!L5/10)*(E889/1000),Skills!L5/10)+Skills!O5</f>
        <v/>
      </c>
      <c r="G889">
        <f>Skills!G5*IF(Skills!H5&gt;0,Skills!I5/Skills!H5,1)</f>
        <v/>
      </c>
      <c r="H889">
        <f>1-(1-Skills!J5/100)^Skills!K5</f>
        <v/>
      </c>
      <c r="I889" t="inlineStr">
        <is>
          <t>1</t>
        </is>
      </c>
      <c r="J889">
        <f>((Inputs!$B$6*(1+Inputs!$B$7/100))+(((Inputs!$B$12*(1+Inputs!$B$13/100))-(Inputs!$B$12*(1+Inputs!$B$13/100)))+0.25*(Inputs!$B$14-Inputs!$B$14))*(1+Inputs!$B$7/100))*(F889/100)</f>
        <v/>
      </c>
      <c r="K889">
        <f>J889*(1+((Inputs!$B$12*(1+Inputs!$B$13/100))*0.01+Inputs!$B$14*0.0025)/100)*(1+Inputs!$B$15/100)*(1+Inputs!$B$16/100)*(5000/(6000+Inputs!$B$43*(1-Inputs!$B$19/100)))*(1+(Inputs!$B$24+((C914=TRUE)*(F914-Calc!F30)))/100)*(1+2.6666666666666665*IF(C902=TRUE,F902,0)/100)*(1+(IF(Skills!A5="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889)</f>
        <v/>
      </c>
      <c r="L889">
        <f>K889*(MIN(Inputs!$B$22+((C908=TRUE)*(F908-Calc!F24)),Inputs!$B$23+((C913=TRUE)*(F913-Calc!F29)))/100+(Inputs!$B$23+((C913=TRUE)*(F913-Calc!F29)))/100)/2</f>
        <v/>
      </c>
      <c r="M889">
        <f>L889*(1+(Inputs!$B$10+((C910=TRUE)*(F910-Calc!F26))+B924)/100)</f>
        <v/>
      </c>
      <c r="N889">
        <f>L889*(1-MIN((Inputs!$B$9+((C909=TRUE)*(F909-Calc!F25))+B917),100)/100)+M889*(MIN((Inputs!$B$9+((C909=TRUE)*(F909-Calc!F25))+B917),100)/100)</f>
        <v/>
      </c>
      <c r="O889">
        <f>(1-Summary!$B$55)*T889+Summary!$B$55*V889</f>
        <v/>
      </c>
      <c r="P889">
        <f>IF(B929=0,0,O889/B929)</f>
        <v/>
      </c>
      <c r="Q889">
        <f>IFERROR(1/IF(Inputs!$B$39="pvp",15,MAX(0.1,Skills!D5-IF(Skills!E5=TRUE,Inputs!$B$32,0))),0)</f>
        <v/>
      </c>
      <c r="R889">
        <f>IF(AND(Inputs!$B$39&lt;&gt;"pvp",Inputs!$B$44&gt;0),IF(MAX(0,Inputs!$B$44-B928)&lt;=0,0,(INT(MAX(0,Inputs!$B$44-B928)/IF(Inputs!$B$39="pvp",15,MAX(0.1,Skills!D5-IF(Skills!E5=TRUE,Inputs!$B$32,0))))+1)),0)</f>
        <v/>
      </c>
      <c r="S889">
        <f>IFERROR(O889/N889,0)</f>
        <v/>
      </c>
      <c r="T889">
        <f>IF(C889,(H889*N889*IF(AND(Inputs!$B$39&lt;&gt;"pvp",Inputs!$B$44&gt;0),((Skills!G5*((R889-1)*IF(Skills!H5&gt;0,Skills!I5/Skills!H5,1)+IF(Skills!H5&gt;0,MIN(Skills!I5,MAX(0,MAX(0,Inputs!$B$44-B928)-((R889-1)*IF(Inputs!$B$39="pvp",15,MAX(0.1,Skills!D5-IF(Skills!E5=TRUE,Inputs!$B$32,0))))))/Skills!H5,1)))/Inputs!$B$44),G889*Q889))*IF(Inputs!$B$39="pvp",1,1+(Inputs!$B$20+0+Skills!P5+B918)/100),0)</f>
        <v/>
      </c>
      <c r="V889">
        <f>IF(C889,(H889*N889*IF(AND(Inputs!$B$39&lt;&gt;"pvp",Inputs!$B$44&gt;0),((Skills!G5*((R889-1)*IF(Skills!H5&gt;0,Skills!I5/Skills!H5,1)+IF(Skills!H5&gt;0,MIN(Skills!I5,MAX(0,MAX(0,Inputs!$B$44-B928)-((R889-1)*IF(Inputs!$B$39="pvp",15,MAX(0.1,Skills!D5-IF(Skills!E5=TRUE,Inputs!$B$32,0))))))/Skills!H5,1)))/Inputs!$B$44),G889*Q889))*IF(Inputs!$B$39="pvp",1,(1+(Inputs!$B$21+Skills!Q5+B918)/100)*(MIN(Skills!W5,Inputs!$B$37))),0)</f>
        <v/>
      </c>
    </row>
    <row r="890">
      <c r="A890">
        <f>Skills!A6</f>
        <v/>
      </c>
      <c r="B890">
        <f>Skills!B6</f>
        <v/>
      </c>
      <c r="C890">
        <f>Inputs!$B$3&gt;=69</f>
        <v/>
      </c>
      <c r="D890">
        <f>IF(Skills!C6=1,60+Inputs!$B$25+Inputs!$B$29,IF(Skills!C6=2,90+(Inputs!$B$26+1)+Inputs!$B$29,IF(Skills!C6=3,120+Inputs!$B$27+Inputs!$B$29,MAX(0,(Inputs!$B$3-100)*3)+Inputs!$B$28+Inputs!$B$29)))</f>
        <v/>
      </c>
      <c r="E890">
        <f>INDEX(FactorTable!$B$2:$Y$301, MATCH(ROUND(MIN(300,MAX(1,D890)),0), FactorTable!$A$2:$A$301,0), Skills!M6+1)</f>
        <v/>
      </c>
      <c r="F890">
        <f>IF(Skills!N6=TRUE,(Skills!L6/10)*(E890/1000),Skills!L6/10)+Skills!O6</f>
        <v/>
      </c>
      <c r="G890">
        <f>Skills!G6*IF(Skills!H6&gt;0,Skills!I6/Skills!H6,1)</f>
        <v/>
      </c>
      <c r="H890">
        <f>1-(1-Skills!J6/100)^Skills!K6</f>
        <v/>
      </c>
      <c r="I890" t="inlineStr">
        <is>
          <t>1</t>
        </is>
      </c>
      <c r="J890">
        <f>((Inputs!$B$6*(1+Inputs!$B$7/100))+(((Inputs!$B$12*(1+Inputs!$B$13/100))-(Inputs!$B$12*(1+Inputs!$B$13/100)))+0.25*(Inputs!$B$14-Inputs!$B$14))*(1+Inputs!$B$7/100))*(F890/100)</f>
        <v/>
      </c>
      <c r="K890">
        <f>J890*(1+((Inputs!$B$12*(1+Inputs!$B$13/100))*0.01+Inputs!$B$14*0.0025)/100)*(1+Inputs!$B$15/100)*(1+Inputs!$B$16/100)*(5000/(6000+Inputs!$B$43*(1-Inputs!$B$19/100)))*(1+(Inputs!$B$24+((C914=TRUE)*(F914-Calc!F30)))/100)*(1+1.0*IF(C902=TRUE,F902,0)/100)*(1+(IF(Skills!A6="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890)</f>
        <v/>
      </c>
      <c r="L890">
        <f>K890*(MIN(Inputs!$B$22+((C908=TRUE)*(F908-Calc!F24)),Inputs!$B$23+((C913=TRUE)*(F913-Calc!F29)))/100+(Inputs!$B$23+((C913=TRUE)*(F913-Calc!F29)))/100)/2</f>
        <v/>
      </c>
      <c r="M890">
        <f>L890*(1+(Inputs!$B$10+((C910=TRUE)*(F910-Calc!F26))+B924)/100)</f>
        <v/>
      </c>
      <c r="N890">
        <f>L890*(1-MIN((Inputs!$B$9+((C909=TRUE)*(F909-Calc!F25))+B917),100)/100)+M890*(MIN((Inputs!$B$9+((C909=TRUE)*(F909-Calc!F25))+B917),100)/100)</f>
        <v/>
      </c>
      <c r="O890">
        <f>(1-Summary!$B$55)*T890+Summary!$B$55*V890</f>
        <v/>
      </c>
      <c r="P890">
        <f>IF(B929=0,0,O890/B929)</f>
        <v/>
      </c>
      <c r="Q890">
        <f>IFERROR(1/IF(Inputs!$B$39="pvp",15,MAX(0.1,Skills!D6-IF(Skills!E6=TRUE,Inputs!$B$32,0))),0)</f>
        <v/>
      </c>
      <c r="R890">
        <f>IF(AND(Inputs!$B$39&lt;&gt;"pvp",Inputs!$B$44&gt;0),IF(MAX(0,Inputs!$B$44-B928)&lt;=0,0,(INT(MAX(0,Inputs!$B$44-B928)/IF(Inputs!$B$39="pvp",15,MAX(0.1,Skills!D6-IF(Skills!E6=TRUE,Inputs!$B$32,0))))+1)),0)</f>
        <v/>
      </c>
      <c r="S890">
        <f>IFERROR(O890/N890,0)</f>
        <v/>
      </c>
      <c r="T890">
        <f>IF(C890,(H890*N890*IF(AND(Inputs!$B$39&lt;&gt;"pvp",Inputs!$B$44&gt;0),((Skills!G6*((R890-1)*IF(Skills!H6&gt;0,Skills!I6/Skills!H6,1)+IF(Skills!H6&gt;0,MIN(Skills!I6,MAX(0,MAX(0,Inputs!$B$44-B928)-((R890-1)*IF(Inputs!$B$39="pvp",15,MAX(0.1,Skills!D6-IF(Skills!E6=TRUE,Inputs!$B$32,0))))))/Skills!H6,1)))/Inputs!$B$44),G890*Q890))*IF(Inputs!$B$39="pvp",1,1+(Inputs!$B$20+0+Skills!P6+B918)/100),0)</f>
        <v/>
      </c>
      <c r="V890">
        <f>IF(C890,(H890*N890*IF(AND(Inputs!$B$39&lt;&gt;"pvp",Inputs!$B$44&gt;0),((Skills!G6*((R890-1)*IF(Skills!H6&gt;0,Skills!I6/Skills!H6,1)+IF(Skills!H6&gt;0,MIN(Skills!I6,MAX(0,MAX(0,Inputs!$B$44-B928)-((R890-1)*IF(Inputs!$B$39="pvp",15,MAX(0.1,Skills!D6-IF(Skills!E6=TRUE,Inputs!$B$32,0))))))/Skills!H6,1)))/Inputs!$B$44),G890*Q890))*IF(Inputs!$B$39="pvp",1,(1+(Inputs!$B$21+Skills!Q6+B918)/100)*(MIN(Skills!W6,Inputs!$B$37))),0)</f>
        <v/>
      </c>
    </row>
    <row r="891">
      <c r="A891">
        <f>Skills!A7</f>
        <v/>
      </c>
      <c r="B891">
        <f>Skills!B7</f>
        <v/>
      </c>
      <c r="C891">
        <f>Inputs!$B$3&gt;=60</f>
        <v/>
      </c>
      <c r="D891">
        <f>IF(Skills!C7=1,60+Inputs!$B$25+Inputs!$B$29,IF(Skills!C7=2,90+(Inputs!$B$26+1)+Inputs!$B$29,IF(Skills!C7=3,120+Inputs!$B$27+Inputs!$B$29,MAX(0,(Inputs!$B$3-100)*3)+Inputs!$B$28+Inputs!$B$29)))</f>
        <v/>
      </c>
      <c r="E891">
        <f>INDEX(FactorTable!$B$2:$Y$301, MATCH(ROUND(MIN(300,MAX(1,D891)),0), FactorTable!$A$2:$A$301,0), Skills!M7+1)</f>
        <v/>
      </c>
      <c r="F891">
        <f>IF(Skills!N7=TRUE,(Skills!L7/10)*(E891/1000),Skills!L7/10)+Skills!O7</f>
        <v/>
      </c>
      <c r="G891">
        <f>Skills!G7*IF(Skills!H7&gt;0,Skills!I7/Skills!H7,1)</f>
        <v/>
      </c>
      <c r="H891">
        <f>1-(1-Skills!J7/100)^Skills!K7</f>
        <v/>
      </c>
      <c r="I891" t="inlineStr">
        <is>
          <t>1</t>
        </is>
      </c>
      <c r="J891" t="inlineStr"/>
      <c r="K891" t="inlineStr"/>
      <c r="L891" t="inlineStr"/>
      <c r="M891" t="inlineStr"/>
      <c r="N891" t="inlineStr"/>
      <c r="O891">
        <f>(1-Summary!$B$55)*T891+Summary!$B$55*V891</f>
        <v/>
      </c>
      <c r="P891">
        <f>IF(B929=0,0,O891/B929)</f>
        <v/>
      </c>
      <c r="Q891" t="n">
        <v>0</v>
      </c>
      <c r="R891" t="n">
        <v>0</v>
      </c>
      <c r="S891">
        <f>IFERROR(O891/N891,0)</f>
        <v/>
      </c>
      <c r="T891" t="n">
        <v>0</v>
      </c>
      <c r="V891" t="n">
        <v>0</v>
      </c>
    </row>
    <row r="892">
      <c r="A892">
        <f>Skills!A8</f>
        <v/>
      </c>
      <c r="B892">
        <f>Skills!B8</f>
        <v/>
      </c>
      <c r="C892">
        <f>Inputs!$B$3&gt;=72</f>
        <v/>
      </c>
      <c r="D892">
        <f>IF(Skills!C8=1,60+Inputs!$B$25+Inputs!$B$29,IF(Skills!C8=2,90+(Inputs!$B$26+1)+Inputs!$B$29,IF(Skills!C8=3,120+Inputs!$B$27+Inputs!$B$29,MAX(0,(Inputs!$B$3-100)*3)+Inputs!$B$28+Inputs!$B$29)))</f>
        <v/>
      </c>
      <c r="E892">
        <f>INDEX(FactorTable!$B$2:$Y$301, MATCH(ROUND(MIN(300,MAX(1,D892)),0), FactorTable!$A$2:$A$301,0), Skills!M8+1)</f>
        <v/>
      </c>
      <c r="F892">
        <f>IF(Skills!N8=TRUE,(Skills!L8/10)*(E892/1000),Skills!L8/10)+Skills!O8</f>
        <v/>
      </c>
      <c r="G892">
        <f>Skills!G8*IF(Skills!H8&gt;0,Skills!I8/Skills!H8,1)</f>
        <v/>
      </c>
      <c r="H892">
        <f>1-(1-Skills!J8/100)^Skills!K8</f>
        <v/>
      </c>
      <c r="I892" t="inlineStr">
        <is>
          <t>1</t>
        </is>
      </c>
      <c r="J892">
        <f>((Inputs!$B$6*(1+Inputs!$B$7/100))+(((Inputs!$B$12*(1+Inputs!$B$13/100))-(Inputs!$B$12*(1+Inputs!$B$13/100)))+0.25*(Inputs!$B$14-Inputs!$B$14))*(1+Inputs!$B$7/100))*(F892/100)</f>
        <v/>
      </c>
      <c r="K892">
        <f>J892*(1+((Inputs!$B$12*(1+Inputs!$B$13/100))*0.01+Inputs!$B$14*0.0025)/100)*(1+Inputs!$B$15/100)*(1+Inputs!$B$16/100)*(5000/(6000+Inputs!$B$43*(1-Inputs!$B$19/100)))*(1+(Inputs!$B$24+((C914=TRUE)*(F914-Calc!F30)))/100)*(1+3.3333333333333335*IF(C902=TRUE,F902,0)/100)*(1+(IF(Skills!A8="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892)</f>
        <v/>
      </c>
      <c r="L892">
        <f>K892*(MIN(Inputs!$B$22+((C908=TRUE)*(F908-Calc!F24)),Inputs!$B$23+((C913=TRUE)*(F913-Calc!F29)))/100+(Inputs!$B$23+((C913=TRUE)*(F913-Calc!F29)))/100)/2</f>
        <v/>
      </c>
      <c r="M892">
        <f>L892*(1+(Inputs!$B$10+((C910=TRUE)*(F910-Calc!F26))+B924)/100)</f>
        <v/>
      </c>
      <c r="N892">
        <f>L892*(1-MIN((Inputs!$B$9+((C909=TRUE)*(F909-Calc!F25))+B917),100)/100)+M892*(MIN((Inputs!$B$9+((C909=TRUE)*(F909-Calc!F25))+B917),100)/100)</f>
        <v/>
      </c>
      <c r="O892">
        <f>(1-Summary!$B$55)*T892+Summary!$B$55*V892</f>
        <v/>
      </c>
      <c r="P892">
        <f>IF(B929=0,0,O892/B929)</f>
        <v/>
      </c>
      <c r="Q892">
        <f>IFERROR(1/IF(Inputs!$B$39="pvp",15,MAX(0.1,Skills!D8-IF(Skills!E8=TRUE,Inputs!$B$32,0))),0)</f>
        <v/>
      </c>
      <c r="R892">
        <f>IF(AND(Inputs!$B$39&lt;&gt;"pvp",Inputs!$B$44&gt;0),IF(MAX(0,Inputs!$B$44-B928)&lt;=0,0,(INT(MAX(0,Inputs!$B$44-B928)/IF(Inputs!$B$39="pvp",15,MAX(0.1,Skills!D8-IF(Skills!E8=TRUE,Inputs!$B$32,0))))+1)),0)</f>
        <v/>
      </c>
      <c r="S892">
        <f>IFERROR(O892/N892,0)</f>
        <v/>
      </c>
      <c r="T892">
        <f>IF(C892,(H892*N892*IF(AND(Inputs!$B$39&lt;&gt;"pvp",Inputs!$B$44&gt;0),((Skills!G8*((R892-1)*IF(Skills!H8&gt;0,Skills!I8/Skills!H8,1)+IF(Skills!H8&gt;0,MIN(Skills!I8,MAX(0,MAX(0,Inputs!$B$44-B928)-((R892-1)*IF(Inputs!$B$39="pvp",15,MAX(0.1,Skills!D8-IF(Skills!E8=TRUE,Inputs!$B$32,0))))))/Skills!H8,1)))/Inputs!$B$44),G892*Q892))*IF(Inputs!$B$39="pvp",1,1+(Inputs!$B$20+0+Skills!P8+B918)/100),0)</f>
        <v/>
      </c>
      <c r="V892">
        <f>IF(C892,(H892*N892*IF(AND(Inputs!$B$39&lt;&gt;"pvp",Inputs!$B$44&gt;0),((Skills!G8*((R892-1)*IF(Skills!H8&gt;0,Skills!I8/Skills!H8,1)+IF(Skills!H8&gt;0,MIN(Skills!I8,MAX(0,MAX(0,Inputs!$B$44-B928)-((R892-1)*IF(Inputs!$B$39="pvp",15,MAX(0.1,Skills!D8-IF(Skills!E8=TRUE,Inputs!$B$32,0))))))/Skills!H8,1)))/Inputs!$B$44),G892*Q892))*IF(Inputs!$B$39="pvp",1,(1+(Inputs!$B$21+Skills!Q8+B918)/100)*(MIN(Skills!W8,Inputs!$B$37))),0)</f>
        <v/>
      </c>
    </row>
    <row r="893">
      <c r="A893">
        <f>Skills!A9</f>
        <v/>
      </c>
      <c r="B893">
        <f>Skills!B9</f>
        <v/>
      </c>
      <c r="C893">
        <f>Inputs!$B$3&gt;=117</f>
        <v/>
      </c>
      <c r="D893">
        <f>IF(Skills!C9=1,60+Inputs!$B$25+Inputs!$B$29,IF(Skills!C9=2,90+(Inputs!$B$26+1)+Inputs!$B$29,IF(Skills!C9=3,120+Inputs!$B$27+Inputs!$B$29,MAX(0,(Inputs!$B$3-100)*3)+Inputs!$B$28+Inputs!$B$29)))</f>
        <v/>
      </c>
      <c r="E893">
        <f>INDEX(FactorTable!$B$2:$Y$301, MATCH(ROUND(MIN(300,MAX(1,D893)),0), FactorTable!$A$2:$A$301,0), Skills!M9+1)</f>
        <v/>
      </c>
      <c r="F893">
        <f>IF(Skills!N9=TRUE,(Skills!L9/10)*(E893/1000),Skills!L9/10)+Skills!O9</f>
        <v/>
      </c>
      <c r="G893">
        <f>Skills!G9*IF(Skills!H9&gt;0,Skills!I9/Skills!H9,1)</f>
        <v/>
      </c>
      <c r="H893">
        <f>1-(1-Skills!J9/100)^Skills!K9</f>
        <v/>
      </c>
      <c r="I893" t="inlineStr">
        <is>
          <t>1</t>
        </is>
      </c>
      <c r="J893">
        <f>((Inputs!$B$6*(1+Inputs!$B$7/100))+(((Inputs!$B$12*(1+Inputs!$B$13/100))-(Inputs!$B$12*(1+Inputs!$B$13/100)))+0.25*(Inputs!$B$14-Inputs!$B$14))*(1+Inputs!$B$7/100))*(F893/100)</f>
        <v/>
      </c>
      <c r="K893">
        <f>J893*(1+((Inputs!$B$12*(1+Inputs!$B$13/100))*0.01+Inputs!$B$14*0.0025)/100)*(1+Inputs!$B$15/100)*(1+Inputs!$B$16/100)*(5000/(6000+Inputs!$B$43*(1-Inputs!$B$19/100)))*(1+(Inputs!$B$24+((C914=TRUE)*(F914-Calc!F30)))/100)*(1+(IF(Skills!A9="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893)</f>
        <v/>
      </c>
      <c r="L893">
        <f>K893*(MIN(Inputs!$B$22+((C908=TRUE)*(F908-Calc!F24)),Inputs!$B$23+((C913=TRUE)*(F913-Calc!F29)))/100+(Inputs!$B$23+((C913=TRUE)*(F913-Calc!F29)))/100)/2</f>
        <v/>
      </c>
      <c r="M893">
        <f>L893*(1+(Inputs!$B$10+((C910=TRUE)*(F910-Calc!F26))+B924)/100)</f>
        <v/>
      </c>
      <c r="N893">
        <f>L893*(1-MIN((Inputs!$B$9+((C909=TRUE)*(F909-Calc!F25))+B917),100)/100)+M893*(MIN((Inputs!$B$9+((C909=TRUE)*(F909-Calc!F25))+B917),100)/100)</f>
        <v/>
      </c>
      <c r="O893">
        <f>(1-Summary!$B$55)*T893+Summary!$B$55*V893</f>
        <v/>
      </c>
      <c r="P893">
        <f>IF(B929=0,0,O893/B929)</f>
        <v/>
      </c>
      <c r="Q893" t="n">
        <v>0</v>
      </c>
      <c r="R893" t="n">
        <v>0</v>
      </c>
      <c r="S893" t="n">
        <v>0</v>
      </c>
      <c r="T893">
        <f>IF(C893,(0.2*SUMPRODUCT((Skills!Z2:Z30=TRUE)*(C886:C914=TRUE)*S886:S914)*N893)*IF(Inputs!$B$39="pvp",1,1+(Inputs!$B$20+0+Skills!P9+B918)/100),0)</f>
        <v/>
      </c>
      <c r="V893">
        <f>IF(C893,(0.2*SUMPRODUCT((Skills!Z2:Z30=TRUE)*(C886:C914=TRUE)*S886:S914)*N893)*IF(Inputs!$B$39="pvp",1,(1+(Inputs!$B$21+Skills!Q9+B918)/100)*(MIN(Skills!W9,Inputs!$B$37))),0)</f>
        <v/>
      </c>
    </row>
    <row r="894">
      <c r="A894">
        <f>Skills!A10</f>
        <v/>
      </c>
      <c r="B894">
        <f>Skills!B10</f>
        <v/>
      </c>
      <c r="C894">
        <f>Inputs!$B$3&gt;=74</f>
        <v/>
      </c>
      <c r="D894">
        <f>IF(Skills!C10=1,60+Inputs!$B$25+Inputs!$B$29,IF(Skills!C10=2,90+(Inputs!$B$26+1)+Inputs!$B$29,IF(Skills!C10=3,120+Inputs!$B$27+Inputs!$B$29,MAX(0,(Inputs!$B$3-100)*3)+Inputs!$B$28+Inputs!$B$29)))</f>
        <v/>
      </c>
      <c r="E894">
        <f>INDEX(FactorTable!$B$2:$Y$301, MATCH(ROUND(MIN(300,MAX(1,D894)),0), FactorTable!$A$2:$A$301,0), Skills!M10+1)</f>
        <v/>
      </c>
      <c r="F894">
        <f>IF(Skills!N10=TRUE,(Skills!L10/10)*(E894/1000),Skills!L10/10)+Skills!O10</f>
        <v/>
      </c>
      <c r="G894">
        <f>Skills!G10*IF(Skills!H10&gt;0,Skills!I10/Skills!H10,1)</f>
        <v/>
      </c>
      <c r="H894">
        <f>1-(1-Skills!J10/100)^Skills!K10</f>
        <v/>
      </c>
      <c r="I894" t="inlineStr">
        <is>
          <t>1</t>
        </is>
      </c>
      <c r="J894" t="inlineStr"/>
      <c r="K894" t="inlineStr"/>
      <c r="L894" t="inlineStr"/>
      <c r="M894" t="inlineStr"/>
      <c r="N894" t="inlineStr"/>
      <c r="O894">
        <f>(1-Summary!$B$55)*T894+Summary!$B$55*V894</f>
        <v/>
      </c>
      <c r="P894">
        <f>IF(B929=0,0,O894/B929)</f>
        <v/>
      </c>
      <c r="Q894">
        <f>IFERROR(1/IF(Inputs!$B$39="pvp",15,MAX(0.1,Skills!D10-IF(Skills!E10=TRUE,Inputs!$B$32,0))),0)</f>
        <v/>
      </c>
      <c r="R894">
        <f>IF(AND(Inputs!$B$39&lt;&gt;"pvp",Inputs!$B$44&gt;0),IF(Inputs!$B$44&lt;=0,0,(INT(Inputs!$B$44/IF(Inputs!$B$39="pvp",15,MAX(0.1,Skills!D10-IF(Skills!E10=TRUE,Inputs!$B$32,0))))+1)),0)</f>
        <v/>
      </c>
      <c r="S894">
        <f>IFERROR(O894/N894,0)</f>
        <v/>
      </c>
      <c r="T894" t="n">
        <v>0</v>
      </c>
      <c r="V894" t="n">
        <v>0</v>
      </c>
    </row>
    <row r="895">
      <c r="A895">
        <f>Skills!A11</f>
        <v/>
      </c>
      <c r="B895">
        <f>Skills!B11</f>
        <v/>
      </c>
      <c r="C895">
        <f>Inputs!$B$3&gt;=103</f>
        <v/>
      </c>
      <c r="D895">
        <f>IF(Skills!C11=1,60+Inputs!$B$25+Inputs!$B$29,IF(Skills!C11=2,90+(Inputs!$B$26+1)+Inputs!$B$29,IF(Skills!C11=3,120+Inputs!$B$27+Inputs!$B$29,MAX(0,(Inputs!$B$3-100)*3)+Inputs!$B$28+Inputs!$B$29)))</f>
        <v/>
      </c>
      <c r="E895">
        <f>INDEX(FactorTable!$B$2:$Y$301, MATCH(ROUND(MIN(300,MAX(1,D895)),0), FactorTable!$A$2:$A$301,0), Skills!M11+1)</f>
        <v/>
      </c>
      <c r="F895">
        <f>(Skills!L11/10)*(E895/1000)+IF(Inputs!$B$3&gt;=134,50,0)+0.5*(30000/10)*(INDEX(FactorTable!$B$2:$Y$301, MATCH(ROUND(MIN(300,MAX(1,D895)),0), FactorTable!$A$2:$A$301,0), 13)/1000)*B927</f>
        <v/>
      </c>
      <c r="G895">
        <f>Skills!G11*IF(Skills!H11&gt;0,Skills!I11/Skills!H11,1)</f>
        <v/>
      </c>
      <c r="H895">
        <f>1-(1-Skills!J11/100)^Skills!K11</f>
        <v/>
      </c>
      <c r="I895" t="inlineStr">
        <is>
          <t>1</t>
        </is>
      </c>
      <c r="J895">
        <f>((Inputs!$B$6*(1+Inputs!$B$7/100))+(((Inputs!$B$12*(1+Inputs!$B$13/100))-(Inputs!$B$12*(1+Inputs!$B$13/100)))+0.25*(Inputs!$B$14-Inputs!$B$14))*(1+Inputs!$B$7/100))*(F895/100)</f>
        <v/>
      </c>
      <c r="K895">
        <f>J895*(1+((Inputs!$B$12*(1+Inputs!$B$13/100))*0.01+Inputs!$B$14*0.0025)/100)*(1+Inputs!$B$15/100)*(1+Inputs!$B$16/100)*(5000/(6000+Inputs!$B$43*(1-Inputs!$B$19/100)))*(1+(Inputs!$B$24+((C914=TRUE)*(F914-Calc!F30)))/100)*(1+(IF(Skills!A11="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895)</f>
        <v/>
      </c>
      <c r="L895">
        <f>K895*(MIN(Inputs!$B$22+((C908=TRUE)*(F908-Calc!F24)),Inputs!$B$23+((C913=TRUE)*(F913-Calc!F29)))/100+(Inputs!$B$23+((C913=TRUE)*(F913-Calc!F29)))/100)/2</f>
        <v/>
      </c>
      <c r="M895">
        <f>L895*(1+(Inputs!$B$10+((C910=TRUE)*(F910-Calc!F26))+B924)/100)</f>
        <v/>
      </c>
      <c r="N895">
        <f>L895*(1-MIN((Inputs!$B$9+((C909=TRUE)*(F909-Calc!F25))+B917),100)/100)+M895*(MIN((Inputs!$B$9+((C909=TRUE)*(F909-Calc!F25))+B917),100)/100)</f>
        <v/>
      </c>
      <c r="O895">
        <f>(1-Summary!$B$55)*T895+Summary!$B$55*V895</f>
        <v/>
      </c>
      <c r="P895">
        <f>IF(B929=0,0,O895/B929)</f>
        <v/>
      </c>
      <c r="Q895">
        <f>IFERROR(1/IF(Inputs!$B$39="pvp",15,MAX(0.1,Skills!D11-IF(Skills!E11=TRUE,Inputs!$B$32,0))),0)</f>
        <v/>
      </c>
      <c r="R895">
        <f>IF(AND(Inputs!$B$39&lt;&gt;"pvp",Inputs!$B$44&gt;0),IF(MAX(0,Inputs!$B$44-B928)&lt;=0,0,(INT(MAX(0,Inputs!$B$44-B928)/IF(Inputs!$B$39="pvp",15,MAX(0.1,Skills!D11-IF(Skills!E11=TRUE,Inputs!$B$32,0))))+1)),0)</f>
        <v/>
      </c>
      <c r="S895">
        <f>IFERROR(O895/N895,0)</f>
        <v/>
      </c>
      <c r="T895">
        <f>IF(C895,(H895*N895*IF(AND(Inputs!$B$39&lt;&gt;"pvp",Inputs!$B$44&gt;0),((Skills!G11*((R895-1)*IF(Skills!H11&gt;0,Skills!I11/Skills!H11,1)+IF(Skills!H11&gt;0,MIN(Skills!I11,MAX(0,MAX(0,Inputs!$B$44-B928)-((R895-1)*IF(Inputs!$B$39="pvp",15,MAX(0.1,Skills!D11-IF(Skills!E11=TRUE,Inputs!$B$32,0))))))/Skills!H11,1)))/Inputs!$B$44),G895*Q895))*IF(Inputs!$B$39="pvp",1,1+(Inputs!$B$20+0+Skills!P11+B918)/100),0)</f>
        <v/>
      </c>
      <c r="V895">
        <f>IF(C895,(H895*N895*IF(AND(Inputs!$B$39&lt;&gt;"pvp",Inputs!$B$44&gt;0),((Skills!G11*((R895-1)*IF(Skills!H11&gt;0,Skills!I11/Skills!H11,1)+IF(Skills!H11&gt;0,MIN(Skills!I11,MAX(0,MAX(0,Inputs!$B$44-B928)-((R895-1)*IF(Inputs!$B$39="pvp",15,MAX(0.1,Skills!D11-IF(Skills!E11=TRUE,Inputs!$B$32,0))))))/Skills!H11,1)))/Inputs!$B$44),G895*Q895))*IF(Inputs!$B$39="pvp",1,(1+(Inputs!$B$21+Skills!Q11+B918)/100)*(MIN(Skills!W11,Inputs!$B$37))),0)</f>
        <v/>
      </c>
    </row>
    <row r="896">
      <c r="A896">
        <f>Skills!A12</f>
        <v/>
      </c>
      <c r="B896">
        <f>Skills!B12</f>
        <v/>
      </c>
      <c r="C896">
        <f>Inputs!$B$3&gt;=105</f>
        <v/>
      </c>
      <c r="D896">
        <f>IF(Skills!C12=1,60+Inputs!$B$25+Inputs!$B$29,IF(Skills!C12=2,90+(Inputs!$B$26+1)+Inputs!$B$29,IF(Skills!C12=3,120+Inputs!$B$27+Inputs!$B$29,MAX(0,(Inputs!$B$3-100)*3)+Inputs!$B$28+Inputs!$B$29)))</f>
        <v/>
      </c>
      <c r="E896">
        <f>INDEX(FactorTable!$B$2:$Y$301, MATCH(ROUND(MIN(300,MAX(1,D896)),0), FactorTable!$A$2:$A$301,0), Skills!M12+1)</f>
        <v/>
      </c>
      <c r="F896">
        <f>IF(Skills!N12=TRUE,(Skills!L12/10)*(E896/1000),Skills!L12/10)+Skills!O12</f>
        <v/>
      </c>
      <c r="G896">
        <f>Skills!G12*IF(Skills!H12&gt;0,Skills!I12/Skills!H12,1)</f>
        <v/>
      </c>
      <c r="H896">
        <f>1-(1-Skills!J12/100)^Skills!K12</f>
        <v/>
      </c>
      <c r="I896" t="inlineStr">
        <is>
          <t>1</t>
        </is>
      </c>
      <c r="J896">
        <f>((Inputs!$B$6*(1+Inputs!$B$7/100))+(((Inputs!$B$12*(1+Inputs!$B$13/100))-(Inputs!$B$12*(1+Inputs!$B$13/100)))+0.25*(Inputs!$B$14-Inputs!$B$14))*(1+Inputs!$B$7/100))*(F896/100)</f>
        <v/>
      </c>
      <c r="K896">
        <f>J896*(1+((Inputs!$B$12*(1+Inputs!$B$13/100))*0.01+Inputs!$B$14*0.0025)/100)*(1+Inputs!$B$15/100)*(1+Inputs!$B$16/100)*(5000/(6000+Inputs!$B$43*(1-Inputs!$B$19/100)))*(1+(Inputs!$B$24+((C914=TRUE)*(F914-Calc!F30)))/100)*(1+(IF(Skills!A12="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896)</f>
        <v/>
      </c>
      <c r="L896">
        <f>K896*(MIN(Inputs!$B$22+((C908=TRUE)*(F908-Calc!F24)),Inputs!$B$23+((C913=TRUE)*(F913-Calc!F29)))/100+(Inputs!$B$23+((C913=TRUE)*(F913-Calc!F29)))/100)/2</f>
        <v/>
      </c>
      <c r="M896">
        <f>L896*(1+(Inputs!$B$10+((C910=TRUE)*(F910-Calc!F26))+B924)/100)</f>
        <v/>
      </c>
      <c r="N896">
        <f>L896*(1-MIN((Inputs!$B$9+((C909=TRUE)*(F909-Calc!F25))+B917),100)/100)+M896*(MIN((Inputs!$B$9+((C909=TRUE)*(F909-Calc!F25))+B917),100)/100)</f>
        <v/>
      </c>
      <c r="O896">
        <f>(1-Summary!$B$55)*T896+Summary!$B$55*V896</f>
        <v/>
      </c>
      <c r="P896">
        <f>IF(B929=0,0,O896/B929)</f>
        <v/>
      </c>
      <c r="Q896">
        <f>IFERROR(1/IF(Inputs!$B$39="pvp",15,MAX(0.1,Skills!D12-IF(Skills!E12=TRUE,Inputs!$B$32,0))),0)</f>
        <v/>
      </c>
      <c r="R896">
        <f>IF(AND(Inputs!$B$39&lt;&gt;"pvp",Inputs!$B$44&gt;0),IF(MAX(0,Inputs!$B$44-B928)&lt;=0,0,(INT(MAX(0,Inputs!$B$44-B928)/IF(Inputs!$B$39="pvp",15,MAX(0.1,Skills!D12-IF(Skills!E12=TRUE,Inputs!$B$32,0))))+1)),0)</f>
        <v/>
      </c>
      <c r="S896">
        <f>IFERROR(O896/N896,0)</f>
        <v/>
      </c>
      <c r="T896">
        <f>IF(C896,(H896*N896*IF(AND(Inputs!$B$39&lt;&gt;"pvp",Inputs!$B$44&gt;0),((Skills!G12*((R896-1)*IF(Skills!H12&gt;0,Skills!I12/Skills!H12,1)+IF(Skills!H12&gt;0,MIN(Skills!I12,MAX(0,MAX(0,Inputs!$B$44-B928)-((R896-1)*IF(Inputs!$B$39="pvp",15,MAX(0.1,Skills!D12-IF(Skills!E12=TRUE,Inputs!$B$32,0))))))/Skills!H12,1)))/Inputs!$B$44),G896*Q896))*IF(Inputs!$B$39="pvp",1,1+(Inputs!$B$20+0+Skills!P12+B918)/100),0)</f>
        <v/>
      </c>
      <c r="V896">
        <f>IF(C896,(H896*N896*IF(AND(Inputs!$B$39&lt;&gt;"pvp",Inputs!$B$44&gt;0),((Skills!G12*((R896-1)*IF(Skills!H12&gt;0,Skills!I12/Skills!H12,1)+IF(Skills!H12&gt;0,MIN(Skills!I12,MAX(0,MAX(0,Inputs!$B$44-B928)-((R896-1)*IF(Inputs!$B$39="pvp",15,MAX(0.1,Skills!D12-IF(Skills!E12=TRUE,Inputs!$B$32,0))))))/Skills!H12,1)))/Inputs!$B$44),G896*Q896))*IF(Inputs!$B$39="pvp",1,(1+(Inputs!$B$21+Skills!Q12+B918)/100)*(MIN(Skills!W12,Inputs!$B$37))),0)</f>
        <v/>
      </c>
    </row>
    <row r="897">
      <c r="A897">
        <f>Skills!A13</f>
        <v/>
      </c>
      <c r="B897">
        <f>Skills!B13</f>
        <v/>
      </c>
      <c r="C897">
        <f>Inputs!$B$3&gt;=105</f>
        <v/>
      </c>
      <c r="D897">
        <f>IF(Skills!C13=1,60+Inputs!$B$25+Inputs!$B$29,IF(Skills!C13=2,90+(Inputs!$B$26+1)+Inputs!$B$29,IF(Skills!C13=3,120+Inputs!$B$27+Inputs!$B$29,MAX(0,(Inputs!$B$3-100)*3)+Inputs!$B$28+Inputs!$B$29)))</f>
        <v/>
      </c>
      <c r="E897">
        <f>INDEX(FactorTable!$B$2:$Y$301, MATCH(ROUND(MIN(300,MAX(1,D897)),0), FactorTable!$A$2:$A$301,0), Skills!M13+1)</f>
        <v/>
      </c>
      <c r="F897">
        <f>IF(Skills!N13=TRUE,(Skills!L13/10)*(E897/1000),Skills!L13/10)+Skills!O13</f>
        <v/>
      </c>
      <c r="G897">
        <f>Skills!G13*IF(Skills!H13&gt;0,Skills!I13/Skills!H13,1)</f>
        <v/>
      </c>
      <c r="H897">
        <f>1-(1-Skills!J13/100)^Skills!K13</f>
        <v/>
      </c>
      <c r="I897" t="inlineStr">
        <is>
          <t>1</t>
        </is>
      </c>
      <c r="J897">
        <f>((Inputs!$B$6*(1+Inputs!$B$7/100))+(((Inputs!$B$12*(1+Inputs!$B$13/100))-(Inputs!$B$12*(1+Inputs!$B$13/100)))+0.25*(Inputs!$B$14-Inputs!$B$14))*(1+Inputs!$B$7/100))*(F897/100)</f>
        <v/>
      </c>
      <c r="K897">
        <f>J897*(1+((Inputs!$B$12*(1+Inputs!$B$13/100))*0.01+Inputs!$B$14*0.0025)/100)*(1+Inputs!$B$15/100)*(1+Inputs!$B$16/100)*(5000/(6000+Inputs!$B$43*(1-Inputs!$B$19/100)))*(1+(Inputs!$B$24+((C914=TRUE)*(F914-Calc!F30)))/100)*(1+(IF(Skills!A13="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897)</f>
        <v/>
      </c>
      <c r="L897">
        <f>K897*(MIN(Inputs!$B$22+((C908=TRUE)*(F908-Calc!F24)),Inputs!$B$23+((C913=TRUE)*(F913-Calc!F29)))/100+(Inputs!$B$23+((C913=TRUE)*(F913-Calc!F29)))/100)/2</f>
        <v/>
      </c>
      <c r="M897">
        <f>L897*(1+(Inputs!$B$10+((C910=TRUE)*(F910-Calc!F26))+B924)/100)</f>
        <v/>
      </c>
      <c r="N897">
        <f>L897*(1-MIN((Inputs!$B$9+((C909=TRUE)*(F909-Calc!F25))+B917),100)/100)+M897*(MIN((Inputs!$B$9+((C909=TRUE)*(F909-Calc!F25))+B917),100)/100)</f>
        <v/>
      </c>
      <c r="O897">
        <f>(1-Summary!$B$55)*T897+Summary!$B$55*V897</f>
        <v/>
      </c>
      <c r="P897">
        <f>IF(B929=0,0,O897/B929)</f>
        <v/>
      </c>
      <c r="Q897">
        <f>IFERROR(1/IF(Inputs!$B$39="pvp",15,MAX(0.1,Skills!D13-IF(Skills!E13=TRUE,Inputs!$B$32,0))),0)</f>
        <v/>
      </c>
      <c r="R897">
        <f>IF(AND(Inputs!$B$39&lt;&gt;"pvp",Inputs!$B$44&gt;0),IF(MAX(0,Inputs!$B$44-B928)&lt;=0,0,(INT(MAX(0,Inputs!$B$44-B928)/IF(Inputs!$B$39="pvp",15,MAX(0.1,Skills!D13-IF(Skills!E13=TRUE,Inputs!$B$32,0))))+1)),0)</f>
        <v/>
      </c>
      <c r="S897">
        <f>IFERROR(O897/N897,0)</f>
        <v/>
      </c>
      <c r="T897">
        <f>IF(C897,(H897*N897*IF(AND(Inputs!$B$39&lt;&gt;"pvp",Inputs!$B$44&gt;0),((Skills!G13*((R897-1)*IF(Skills!H13&gt;0,Skills!I13/Skills!H13,1)+IF(Skills!H13&gt;0,MIN(Skills!I13,MAX(0,MAX(0,Inputs!$B$44-B928)-((R897-1)*IF(Inputs!$B$39="pvp",15,MAX(0.1,Skills!D13-IF(Skills!E13=TRUE,Inputs!$B$32,0))))))/Skills!H13,1)))/Inputs!$B$44),G897*Q897))*IF(Inputs!$B$39="pvp",1,1+(Inputs!$B$20+0+Skills!P13+B918)/100),0)</f>
        <v/>
      </c>
      <c r="V897">
        <f>IF(C897,(H897*N897*IF(AND(Inputs!$B$39&lt;&gt;"pvp",Inputs!$B$44&gt;0),((Skills!G13*((R897-1)*IF(Skills!H13&gt;0,Skills!I13/Skills!H13,1)+IF(Skills!H13&gt;0,MIN(Skills!I13,MAX(0,MAX(0,Inputs!$B$44-B928)-((R897-1)*IF(Inputs!$B$39="pvp",15,MAX(0.1,Skills!D13-IF(Skills!E13=TRUE,Inputs!$B$32,0))))))/Skills!H13,1)))/Inputs!$B$44),G897*Q897))*IF(Inputs!$B$39="pvp",1,(1+(Inputs!$B$21+Skills!Q13+B918)/100)*(MIN(Skills!W13,Inputs!$B$37))),0)</f>
        <v/>
      </c>
    </row>
    <row r="898">
      <c r="A898">
        <f>Skills!A14</f>
        <v/>
      </c>
      <c r="B898">
        <f>Skills!B14</f>
        <v/>
      </c>
      <c r="C898">
        <f>Inputs!$B$3&gt;=107</f>
        <v/>
      </c>
      <c r="D898">
        <f>IF(Skills!C14=1,60+Inputs!$B$25+Inputs!$B$29,IF(Skills!C14=2,90+(Inputs!$B$26+1)+Inputs!$B$29,IF(Skills!C14=3,120+Inputs!$B$27+Inputs!$B$29,MAX(0,(Inputs!$B$3-100)*3)+Inputs!$B$28+Inputs!$B$29)))</f>
        <v/>
      </c>
      <c r="E898">
        <f>INDEX(FactorTable!$B$2:$Y$301, MATCH(ROUND(MIN(300,MAX(1,D898)),0), FactorTable!$A$2:$A$301,0), Skills!M14+1)</f>
        <v/>
      </c>
      <c r="F898">
        <f>IF(Skills!N14=TRUE,(Skills!L14/10)*(E898/1000),Skills!L14/10)+Skills!O14</f>
        <v/>
      </c>
      <c r="G898">
        <f>Skills!G14*IF(Skills!H14&gt;0,Skills!I14/Skills!H14,1)</f>
        <v/>
      </c>
      <c r="H898">
        <f>1-(1-Skills!J14/100)^Skills!K14</f>
        <v/>
      </c>
      <c r="I898" t="inlineStr">
        <is>
          <t>1</t>
        </is>
      </c>
      <c r="J898">
        <f>((Inputs!$B$6*(1+Inputs!$B$7/100))+(((Inputs!$B$12*(1+Inputs!$B$13/100))-(Inputs!$B$12*(1+Inputs!$B$13/100)))+0.25*(Inputs!$B$14-Inputs!$B$14))*(1+Inputs!$B$7/100))*(F898/100)</f>
        <v/>
      </c>
      <c r="K898">
        <f>J898*(1+((Inputs!$B$12*(1+Inputs!$B$13/100))*0.01+Inputs!$B$14*0.0025)/100)*(1+Inputs!$B$15/100)*(1+Inputs!$B$16/100)*(5000/(6000+Inputs!$B$43*(1-Inputs!$B$19/100)))*(1+(Inputs!$B$24+((C914=TRUE)*(F914-Calc!F30)))/100)*(1+(IF(Skills!A14="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898)</f>
        <v/>
      </c>
      <c r="L898">
        <f>K898*(MIN(Inputs!$B$22+((C908=TRUE)*(F908-Calc!F24)),Inputs!$B$23+((C913=TRUE)*(F913-Calc!F29)))/100+(Inputs!$B$23+((C913=TRUE)*(F913-Calc!F29)))/100)/2</f>
        <v/>
      </c>
      <c r="M898">
        <f>L898*(1+(Inputs!$B$10+((C910=TRUE)*(F910-Calc!F26))+B924)/100)</f>
        <v/>
      </c>
      <c r="N898">
        <f>L898*(1-MIN((Inputs!$B$9+((C909=TRUE)*(F909-Calc!F25))+B917),100)/100)+M898*(MIN((Inputs!$B$9+((C909=TRUE)*(F909-Calc!F25))+B917),100)/100)</f>
        <v/>
      </c>
      <c r="O898">
        <f>(1-Summary!$B$55)*T898+Summary!$B$55*V898</f>
        <v/>
      </c>
      <c r="P898">
        <f>IF(B929=0,0,O898/B929)</f>
        <v/>
      </c>
      <c r="Q898">
        <f>IFERROR(1/IF(Inputs!$B$39="pvp",15,MAX(0.1,Skills!D14-IF(Skills!E14=TRUE,Inputs!$B$32,0))),0)</f>
        <v/>
      </c>
      <c r="R898">
        <f>IF(AND(Inputs!$B$39&lt;&gt;"pvp",Inputs!$B$44&gt;0),IF(MAX(0,Inputs!$B$44-B928)&lt;=0,0,(INT(MAX(0,Inputs!$B$44-B928)/IF(Inputs!$B$39="pvp",15,MAX(0.1,Skills!D14-IF(Skills!E14=TRUE,Inputs!$B$32,0))))+1)),0)</f>
        <v/>
      </c>
      <c r="S898">
        <f>IFERROR(O898/N898,0)</f>
        <v/>
      </c>
      <c r="T898">
        <f>IF(C898,(H898*N898*IF(AND(Inputs!$B$39&lt;&gt;"pvp",Inputs!$B$44&gt;0),((Skills!G14*((R898-1)*IF(Skills!H14&gt;0,Skills!I14/Skills!H14,1)+IF(Skills!H14&gt;0,MIN(Skills!I14,MAX(0,MAX(0,Inputs!$B$44-B928)-((R898-1)*IF(Inputs!$B$39="pvp",15,MAX(0.1,Skills!D14-IF(Skills!E14=TRUE,Inputs!$B$32,0))))))/Skills!H14,1)))/Inputs!$B$44),G898*Q898))*IF(Inputs!$B$39="pvp",1,1+(Inputs!$B$20+0+Skills!P14+B918)/100),0)</f>
        <v/>
      </c>
      <c r="V898">
        <f>IF(C898,(H898*N898*IF(AND(Inputs!$B$39&lt;&gt;"pvp",Inputs!$B$44&gt;0),((Skills!G14*((R898-1)*IF(Skills!H14&gt;0,Skills!I14/Skills!H14,1)+IF(Skills!H14&gt;0,MIN(Skills!I14,MAX(0,MAX(0,Inputs!$B$44-B928)-((R898-1)*IF(Inputs!$B$39="pvp",15,MAX(0.1,Skills!D14-IF(Skills!E14=TRUE,Inputs!$B$32,0))))))/Skills!H14,1)))/Inputs!$B$44),G898*Q898))*IF(Inputs!$B$39="pvp",1,(1+(Inputs!$B$21+Skills!Q14+B918)/100)*(MIN(MIN(5,0.25*B921*Skills!D4)*Skills!V14,Inputs!$B$37))),0)</f>
        <v/>
      </c>
    </row>
    <row r="899">
      <c r="A899">
        <f>Skills!A15</f>
        <v/>
      </c>
      <c r="B899">
        <f>Skills!B15</f>
        <v/>
      </c>
      <c r="C899">
        <f>Inputs!$B$3&gt;=110</f>
        <v/>
      </c>
      <c r="D899">
        <f>IF(Skills!C15=1,60+Inputs!$B$25+Inputs!$B$29,IF(Skills!C15=2,90+(Inputs!$B$26+1)+Inputs!$B$29,IF(Skills!C15=3,120+Inputs!$B$27+Inputs!$B$29,MAX(0,(Inputs!$B$3-100)*3)+Inputs!$B$28+Inputs!$B$29)))</f>
        <v/>
      </c>
      <c r="E899">
        <f>INDEX(FactorTable!$B$2:$Y$301, MATCH(ROUND(MIN(300,MAX(1,D899)),0), FactorTable!$A$2:$A$301,0), Skills!M15+1)</f>
        <v/>
      </c>
      <c r="F899">
        <f>IF(Skills!N15=TRUE,(Skills!L15/10)*(E899/1000),Skills!L15/10)+Skills!O15</f>
        <v/>
      </c>
      <c r="G899">
        <f>Skills!G15*IF(Skills!H15&gt;0,Skills!I15/Skills!H15,1)</f>
        <v/>
      </c>
      <c r="H899">
        <f>1-(1-Skills!J15/100)^Skills!K15</f>
        <v/>
      </c>
      <c r="I899" t="inlineStr">
        <is>
          <t>1</t>
        </is>
      </c>
      <c r="J899" t="inlineStr"/>
      <c r="K899" t="inlineStr"/>
      <c r="L899" t="inlineStr"/>
      <c r="M899" t="inlineStr"/>
      <c r="N899" t="inlineStr"/>
      <c r="O899">
        <f>(1-Summary!$B$55)*T899+Summary!$B$55*V899</f>
        <v/>
      </c>
      <c r="P899">
        <f>IF(B929=0,0,O899/B929)</f>
        <v/>
      </c>
      <c r="Q899">
        <f>IFERROR(1/IF(Inputs!$B$39="pvp",15,MAX(0.1,Skills!D15-IF(Skills!E15=TRUE,Inputs!$B$32,0))),0)</f>
        <v/>
      </c>
      <c r="R899">
        <f>IF(AND(Inputs!$B$39&lt;&gt;"pvp",Inputs!$B$44&gt;0),IF(Inputs!$B$44&lt;=0,0,(INT(Inputs!$B$44/IF(Inputs!$B$39="pvp",15,MAX(0.1,Skills!D15-IF(Skills!E15=TRUE,Inputs!$B$32,0))))+1)),0)</f>
        <v/>
      </c>
      <c r="S899">
        <f>IFERROR(O899/N899,0)</f>
        <v/>
      </c>
      <c r="T899" t="n">
        <v>0</v>
      </c>
      <c r="V899" t="n">
        <v>0</v>
      </c>
    </row>
    <row r="900">
      <c r="A900">
        <f>Skills!A16</f>
        <v/>
      </c>
      <c r="B900">
        <f>Skills!B16</f>
        <v/>
      </c>
      <c r="C900">
        <f>Inputs!$B$3&gt;=115</f>
        <v/>
      </c>
      <c r="D900">
        <f>IF(Skills!C16=1,60+Inputs!$B$25+Inputs!$B$29,IF(Skills!C16=2,90+(Inputs!$B$26+1)+Inputs!$B$29,IF(Skills!C16=3,120+Inputs!$B$27+Inputs!$B$29,MAX(0,(Inputs!$B$3-100)*3)+Inputs!$B$28+Inputs!$B$29)))</f>
        <v/>
      </c>
      <c r="E900">
        <f>INDEX(FactorTable!$B$2:$Y$301, MATCH(ROUND(MIN(300,MAX(1,D900)),0), FactorTable!$A$2:$A$301,0), Skills!M16+1)</f>
        <v/>
      </c>
      <c r="F900">
        <f>IF(Skills!N16=TRUE,(Skills!L16/10)*(E900/1000),Skills!L16/10)+Skills!O16</f>
        <v/>
      </c>
      <c r="G900">
        <f>Skills!G16*IF(Skills!H16&gt;0,Skills!I16/Skills!H16,1)</f>
        <v/>
      </c>
      <c r="H900">
        <f>1-(1-Skills!J16/100)^Skills!K16</f>
        <v/>
      </c>
      <c r="I900" t="inlineStr">
        <is>
          <t>1</t>
        </is>
      </c>
      <c r="J900">
        <f>((Inputs!$B$6*(1+Inputs!$B$7/100))+(((Inputs!$B$12*(1+Inputs!$B$13/100))-(Inputs!$B$12*(1+Inputs!$B$13/100)))+0.25*(Inputs!$B$14-Inputs!$B$14))*(1+Inputs!$B$7/100))*(F900/100)</f>
        <v/>
      </c>
      <c r="K900">
        <f>J900*(1+((Inputs!$B$12*(1+Inputs!$B$13/100))*0.01+Inputs!$B$14*0.0025)/100)*(1+Inputs!$B$15/100)*(1+Inputs!$B$16/100)*(5000/(6000+Inputs!$B$43*(1-Inputs!$B$19/100)))*(1+(Inputs!$B$24+((C914=TRUE)*(F914-Calc!F30)))/100)*(1+(IF(Skills!A16="CRUEL_STAB",Inputs!$B$17+((C911=TRUE)*(F911-Calc!F27)),Inputs!$B$18+((C912=TRUE)*(F912-Calc!F28))))/100)*(((1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B919*I900)</f>
        <v/>
      </c>
      <c r="L900">
        <f>K900*(MIN(Inputs!$B$22+((C908=TRUE)*(F908-Calc!F24)),Inputs!$B$23+((C913=TRUE)*(F913-Calc!F29)))/100+(Inputs!$B$23+((C913=TRUE)*(F913-Calc!F29)))/100)/2</f>
        <v/>
      </c>
      <c r="M900">
        <f>L900*(1+(Inputs!$B$10+((C910=TRUE)*(F910-Calc!F26))+B924)/100)</f>
        <v/>
      </c>
      <c r="N900">
        <f>L900*(1-MIN((Inputs!$B$9+((C909=TRUE)*(F909-Calc!F25))+B917),100)/100)+M900*(MIN((Inputs!$B$9+((C909=TRUE)*(F909-Calc!F25))+B917),100)/100)</f>
        <v/>
      </c>
      <c r="O900">
        <f>(1-Summary!$B$55)*T900+Summary!$B$55*V900</f>
        <v/>
      </c>
      <c r="P900">
        <f>IF(B929=0,0,O900/B929)</f>
        <v/>
      </c>
      <c r="Q900" t="n">
        <v>0</v>
      </c>
      <c r="R900" t="n">
        <v>0</v>
      </c>
      <c r="S900">
        <f>IFERROR(O900/N900,0)</f>
        <v/>
      </c>
      <c r="T900">
        <f>IF(C900,(Inputs!$B$38*0.2*N900)*IF(Inputs!$B$39="pvp",1,1+(Inputs!$B$20+0+Skills!P16+B918)/100),0)</f>
        <v/>
      </c>
      <c r="V900">
        <f>IF(C900,(Inputs!$B$38*0.2*N900)*IF(Inputs!$B$39="pvp",1,(1+(Inputs!$B$21+Skills!Q16+B918)/100)*(MIN(Skills!W16,Inputs!$B$37))),0)</f>
        <v/>
      </c>
    </row>
    <row r="901">
      <c r="A901">
        <f>Skills!A17</f>
        <v/>
      </c>
      <c r="B901">
        <f>Skills!B17</f>
        <v/>
      </c>
      <c r="C901">
        <f>Inputs!$B$3&gt;=115</f>
        <v/>
      </c>
      <c r="D901">
        <f>IF(Skills!C17=1,60+Inputs!$B$25+Inputs!$B$29,IF(Skills!C17=2,90+(Inputs!$B$26+1)+Inputs!$B$29,IF(Skills!C17=3,120+Inputs!$B$27+Inputs!$B$29,MAX(0,(Inputs!$B$3-100)*3)+Inputs!$B$28+Inputs!$B$29)))</f>
        <v/>
      </c>
      <c r="E901">
        <f>INDEX(FactorTable!$B$2:$Y$301, MATCH(ROUND(MIN(300,MAX(1,D901)),0), FactorTable!$A$2:$A$301,0), Skills!M17+1)</f>
        <v/>
      </c>
      <c r="F901">
        <f>IF(Skills!N17=TRUE,(Skills!L17/10)*(E901/1000),Skills!L17/10)+Skills!O17</f>
        <v/>
      </c>
      <c r="G901">
        <f>Skills!G17*IF(Skills!H17&gt;0,Skills!I17/Skills!H17,1)</f>
        <v/>
      </c>
      <c r="H901">
        <f>1-(1-Skills!J17/100)^Skills!K17</f>
        <v/>
      </c>
      <c r="I901" t="inlineStr">
        <is>
          <t>1</t>
        </is>
      </c>
      <c r="J901" t="inlineStr"/>
      <c r="K901" t="inlineStr"/>
      <c r="L901" t="inlineStr"/>
      <c r="M901" t="inlineStr"/>
      <c r="N901" t="inlineStr"/>
      <c r="O901">
        <f>(1-Summary!$B$55)*T901+Summary!$B$55*V901</f>
        <v/>
      </c>
      <c r="P901">
        <f>IF(B929=0,0,O901/B929)</f>
        <v/>
      </c>
      <c r="Q901" t="n">
        <v>0</v>
      </c>
      <c r="R901" t="n">
        <v>0</v>
      </c>
      <c r="S901">
        <f>IFERROR(O901/N901,0)</f>
        <v/>
      </c>
      <c r="T901" t="n">
        <v>0</v>
      </c>
      <c r="V901" t="n">
        <v>0</v>
      </c>
    </row>
    <row r="902">
      <c r="A902">
        <f>Skills!A18</f>
        <v/>
      </c>
      <c r="B902">
        <f>Skills!B18</f>
        <v/>
      </c>
      <c r="C902">
        <f>Inputs!$B$3&gt;=100</f>
        <v/>
      </c>
      <c r="D902">
        <f>IF(Skills!C18=1,60+Inputs!$B$25+Inputs!$B$29,IF(Skills!C18=2,90+(Inputs!$B$26+1)+Inputs!$B$29,IF(Skills!C18=3,120+Inputs!$B$27+Inputs!$B$29,MAX(0,(Inputs!$B$3-100)*3)+Inputs!$B$28+Inputs!$B$29)))</f>
        <v/>
      </c>
      <c r="E902">
        <f>INDEX(FactorTable!$B$2:$Y$301, MATCH(ROUND(MIN(300,MAX(1,D902)),0), FactorTable!$A$2:$A$301,0), Skills!M18+1)</f>
        <v/>
      </c>
      <c r="F902">
        <f>IF(Skills!N18=TRUE,(Skills!L18/10)*(E902/1000),Skills!L18/10)+Skills!O18</f>
        <v/>
      </c>
      <c r="G902">
        <f>Skills!G18*IF(Skills!H18&gt;0,Skills!I18/Skills!H18,1)</f>
        <v/>
      </c>
      <c r="H902">
        <f>1-(1-Skills!J18/100)^Skills!K18</f>
        <v/>
      </c>
      <c r="I902" t="inlineStr">
        <is>
          <t>1</t>
        </is>
      </c>
      <c r="J902" t="inlineStr"/>
      <c r="K902" t="inlineStr"/>
      <c r="L902" t="inlineStr"/>
      <c r="M902" t="inlineStr"/>
      <c r="N902" t="inlineStr"/>
      <c r="O902">
        <f>(1-Summary!$B$55)*T902+Summary!$B$55*V902</f>
        <v/>
      </c>
      <c r="P902">
        <f>IF(B929=0,0,O902/B929)</f>
        <v/>
      </c>
      <c r="Q902" t="n">
        <v>0</v>
      </c>
      <c r="R902" t="n">
        <v>0</v>
      </c>
      <c r="S902">
        <f>IFERROR(O902/N902,0)</f>
        <v/>
      </c>
      <c r="T902" t="n">
        <v>0</v>
      </c>
      <c r="V902" t="n">
        <v>0</v>
      </c>
    </row>
    <row r="903">
      <c r="A903">
        <f>Skills!A19</f>
        <v/>
      </c>
      <c r="B903">
        <f>Skills!B19</f>
        <v/>
      </c>
      <c r="C903">
        <f>TRUE</f>
        <v/>
      </c>
      <c r="D903">
        <f>IF(Skills!C19=1,60+Inputs!$B$25+Inputs!$B$29,IF(Skills!C19=2,90+(Inputs!$B$26+1)+Inputs!$B$29,IF(Skills!C19=3,120+Inputs!$B$27+Inputs!$B$29,MAX(0,(Inputs!$B$3-100)*3)+Inputs!$B$28+Inputs!$B$29)))</f>
        <v/>
      </c>
      <c r="E903">
        <f>INDEX(FactorTable!$B$2:$Y$301, MATCH(ROUND(MIN(300,MAX(1,D903)),0), FactorTable!$A$2:$A$301,0), Skills!M19+1)</f>
        <v/>
      </c>
      <c r="F903">
        <f>IF(Skills!N19=TRUE,(Skills!L19/10)*(E903/1000),Skills!L19/10)+Skills!O19</f>
        <v/>
      </c>
      <c r="G903">
        <f>Skills!G19*IF(Skills!H19&gt;0,Skills!I19/Skills!H19,1)</f>
        <v/>
      </c>
      <c r="H903">
        <f>1-(1-Skills!J19/100)^Skills!K19</f>
        <v/>
      </c>
      <c r="I903" t="inlineStr">
        <is>
          <t>1</t>
        </is>
      </c>
      <c r="J903" t="inlineStr"/>
      <c r="K903" t="inlineStr"/>
      <c r="L903" t="inlineStr"/>
      <c r="M903" t="inlineStr"/>
      <c r="N903" t="inlineStr"/>
      <c r="O903">
        <f>(1-Summary!$B$55)*T903+Summary!$B$55*V903</f>
        <v/>
      </c>
      <c r="P903">
        <f>IF(B929=0,0,O903/B929)</f>
        <v/>
      </c>
      <c r="Q903">
        <f>IFERROR(1/IF(Inputs!$B$39="pvp",15,MAX(0.1,Skills!D19-IF(Skills!E19=TRUE,Inputs!$B$32,0))),0)</f>
        <v/>
      </c>
      <c r="R903">
        <f>IF(AND(Inputs!$B$39&lt;&gt;"pvp",Inputs!$B$44&gt;0),IF(Inputs!$B$44&lt;=0,0,(INT(Inputs!$B$44/IF(Inputs!$B$39="pvp",15,MAX(0.1,Skills!D19-IF(Skills!E19=TRUE,Inputs!$B$32,0))))+1)),0)</f>
        <v/>
      </c>
      <c r="S903">
        <f>IFERROR(O903/N903,0)</f>
        <v/>
      </c>
      <c r="T903" t="n">
        <v>0</v>
      </c>
      <c r="V903" t="n">
        <v>0</v>
      </c>
    </row>
    <row r="904">
      <c r="A904">
        <f>Skills!A20</f>
        <v/>
      </c>
      <c r="B904">
        <f>Skills!B20</f>
        <v/>
      </c>
      <c r="C904">
        <f>Inputs!$B$3&gt;=15</f>
        <v/>
      </c>
      <c r="D904">
        <f>IF(Skills!C20=1,60+Inputs!$B$25+Inputs!$B$29,IF(Skills!C20=2,90+(Inputs!$B$26+1)+Inputs!$B$29,IF(Skills!C20=3,120+Inputs!$B$27+Inputs!$B$29,MAX(0,(Inputs!$B$3-100)*3)+Inputs!$B$28+Inputs!$B$29)))</f>
        <v/>
      </c>
      <c r="E904">
        <f>INDEX(FactorTable!$B$2:$Y$301, MATCH(ROUND(MIN(300,MAX(1,D904)),0), FactorTable!$A$2:$A$301,0), Skills!M20+1)</f>
        <v/>
      </c>
      <c r="F904">
        <f>IF(Skills!N20=TRUE,(Skills!L20/10)*(E904/1000),Skills!L20/10)+Skills!O20</f>
        <v/>
      </c>
      <c r="G904">
        <f>Skills!G20*IF(Skills!H20&gt;0,Skills!I20/Skills!H20,1)</f>
        <v/>
      </c>
      <c r="H904">
        <f>1-(1-Skills!J20/100)^Skills!K20</f>
        <v/>
      </c>
      <c r="I904" t="inlineStr">
        <is>
          <t>1</t>
        </is>
      </c>
      <c r="J904" t="inlineStr"/>
      <c r="K904" t="inlineStr"/>
      <c r="L904" t="inlineStr"/>
      <c r="M904" t="inlineStr"/>
      <c r="N904" t="inlineStr"/>
      <c r="O904">
        <f>(1-Summary!$B$55)*T904+Summary!$B$55*V904</f>
        <v/>
      </c>
      <c r="P904">
        <f>IF(B929=0,0,O904/B929)</f>
        <v/>
      </c>
      <c r="Q904">
        <f>IFERROR(1/IF(Inputs!$B$39="pvp",15,MAX(0.1,Skills!D20-IF(Skills!E20=TRUE,Inputs!$B$32,0))),0)</f>
        <v/>
      </c>
      <c r="R904">
        <f>IF(AND(Inputs!$B$39&lt;&gt;"pvp",Inputs!$B$44&gt;0),IF(Inputs!$B$44&lt;=0,0,(INT(Inputs!$B$44/IF(Inputs!$B$39="pvp",15,MAX(0.1,Skills!D20-IF(Skills!E20=TRUE,Inputs!$B$32,0))))+1)),0)</f>
        <v/>
      </c>
      <c r="S904">
        <f>IFERROR(O904/N904,0)</f>
        <v/>
      </c>
      <c r="T904" t="n">
        <v>0</v>
      </c>
      <c r="V904" t="n">
        <v>0</v>
      </c>
    </row>
    <row r="905">
      <c r="A905">
        <f>Skills!A21</f>
        <v/>
      </c>
      <c r="B905">
        <f>Skills!B21</f>
        <v/>
      </c>
      <c r="C905">
        <f>Inputs!$B$3&gt;=15</f>
        <v/>
      </c>
      <c r="D905">
        <f>IF(Skills!C21=1,60+Inputs!$B$25+Inputs!$B$29,IF(Skills!C21=2,90+(Inputs!$B$26+1)+Inputs!$B$29,IF(Skills!C21=3,120+Inputs!$B$27+Inputs!$B$29,MAX(0,(Inputs!$B$3-100)*3)+Inputs!$B$28+Inputs!$B$29)))</f>
        <v/>
      </c>
      <c r="E905">
        <f>INDEX(FactorTable!$B$2:$Y$301, MATCH(ROUND(MIN(300,MAX(1,D905)),0), FactorTable!$A$2:$A$301,0), Skills!M21+1)</f>
        <v/>
      </c>
      <c r="F905">
        <f>IF(Skills!N21=TRUE,(Skills!L21/10)*(E905/1000),Skills!L21/10)+Skills!O21</f>
        <v/>
      </c>
      <c r="G905">
        <f>Skills!G21*IF(Skills!H21&gt;0,Skills!I21/Skills!H21,1)</f>
        <v/>
      </c>
      <c r="H905">
        <f>1-(1-Skills!J21/100)^Skills!K21</f>
        <v/>
      </c>
      <c r="I905" t="inlineStr">
        <is>
          <t>1</t>
        </is>
      </c>
      <c r="J905" t="inlineStr"/>
      <c r="K905" t="inlineStr"/>
      <c r="L905" t="inlineStr"/>
      <c r="M905" t="inlineStr"/>
      <c r="N905" t="inlineStr"/>
      <c r="O905">
        <f>(1-Summary!$B$55)*T905+Summary!$B$55*V905</f>
        <v/>
      </c>
      <c r="P905">
        <f>IF(B929=0,0,O905/B929)</f>
        <v/>
      </c>
      <c r="Q905">
        <f>IFERROR(1/IF(Inputs!$B$39="pvp",15,MAX(0.1,Skills!D21-IF(Skills!E21=TRUE,Inputs!$B$32,0))),0)</f>
        <v/>
      </c>
      <c r="R905">
        <f>IF(AND(Inputs!$B$39&lt;&gt;"pvp",Inputs!$B$44&gt;0),IF(Inputs!$B$44&lt;=0,0,(INT(Inputs!$B$44/IF(Inputs!$B$39="pvp",15,MAX(0.1,Skills!D21-IF(Skills!E21=TRUE,Inputs!$B$32,0))))+1)),0)</f>
        <v/>
      </c>
      <c r="S905">
        <f>IFERROR(O905/N905,0)</f>
        <v/>
      </c>
      <c r="T905" t="n">
        <v>0</v>
      </c>
      <c r="V905" t="n">
        <v>0</v>
      </c>
    </row>
    <row r="906">
      <c r="A906">
        <f>Skills!A22</f>
        <v/>
      </c>
      <c r="B906">
        <f>Skills!B22</f>
        <v/>
      </c>
      <c r="C906">
        <f>Inputs!$B$3&gt;=33</f>
        <v/>
      </c>
      <c r="D906">
        <f>IF(Skills!C22=1,60+Inputs!$B$25+Inputs!$B$29,IF(Skills!C22=2,90+(Inputs!$B$26+1)+Inputs!$B$29,IF(Skills!C22=3,120+Inputs!$B$27+Inputs!$B$29,MAX(0,(Inputs!$B$3-100)*3)+Inputs!$B$28+Inputs!$B$29)))</f>
        <v/>
      </c>
      <c r="E906">
        <f>INDEX(FactorTable!$B$2:$Y$301, MATCH(ROUND(MIN(300,MAX(1,D906)),0), FactorTable!$A$2:$A$301,0), Skills!M22+1)</f>
        <v/>
      </c>
      <c r="F906">
        <f>IF(Skills!N22=TRUE,(Skills!L22/10)*(E906/1000),Skills!L22/10)+Skills!O22</f>
        <v/>
      </c>
      <c r="G906">
        <f>Skills!G22*IF(Skills!H22&gt;0,Skills!I22/Skills!H22,1)</f>
        <v/>
      </c>
      <c r="H906">
        <f>1-(1-Skills!J22/100)^Skills!K22</f>
        <v/>
      </c>
      <c r="I906" t="inlineStr">
        <is>
          <t>1</t>
        </is>
      </c>
      <c r="J906" t="inlineStr"/>
      <c r="K906" t="inlineStr"/>
      <c r="L906" t="inlineStr"/>
      <c r="M906" t="inlineStr"/>
      <c r="N906" t="inlineStr"/>
      <c r="O906">
        <f>(1-Summary!$B$55)*T906+Summary!$B$55*V906</f>
        <v/>
      </c>
      <c r="P906">
        <f>IF(B929=0,0,O906/B929)</f>
        <v/>
      </c>
      <c r="Q906" t="n">
        <v>0</v>
      </c>
      <c r="R906" t="n">
        <v>0</v>
      </c>
      <c r="S906">
        <f>IFERROR(O906/N906,0)</f>
        <v/>
      </c>
      <c r="T906" t="n">
        <v>0</v>
      </c>
      <c r="V906" t="n">
        <v>0</v>
      </c>
    </row>
    <row r="907">
      <c r="A907">
        <f>Skills!A23</f>
        <v/>
      </c>
      <c r="B907">
        <f>Skills!B23</f>
        <v/>
      </c>
      <c r="C907">
        <f>Inputs!$B$3&gt;=40</f>
        <v/>
      </c>
      <c r="D907">
        <f>IF(Skills!C23=1,60+Inputs!$B$25+Inputs!$B$29,IF(Skills!C23=2,90+(Inputs!$B$26+1)+Inputs!$B$29,IF(Skills!C23=3,120+Inputs!$B$27+Inputs!$B$29,MAX(0,(Inputs!$B$3-100)*3)+Inputs!$B$28+Inputs!$B$29)))</f>
        <v/>
      </c>
      <c r="E907">
        <f>INDEX(FactorTable!$B$2:$Y$301, MATCH(ROUND(MIN(300,MAX(1,D907)),0), FactorTable!$A$2:$A$301,0), Skills!M23+1)</f>
        <v/>
      </c>
      <c r="F907">
        <f>IF(Skills!N23=TRUE,(Skills!L23/10)*(E907/1000),Skills!L23/10)+Skills!O23</f>
        <v/>
      </c>
      <c r="G907">
        <f>Skills!G23*IF(Skills!H23&gt;0,Skills!I23/Skills!H23,1)</f>
        <v/>
      </c>
      <c r="H907">
        <f>1-(1-Skills!J23/100)^Skills!K23</f>
        <v/>
      </c>
      <c r="I907" t="inlineStr">
        <is>
          <t>1</t>
        </is>
      </c>
      <c r="J907" t="inlineStr"/>
      <c r="K907" t="inlineStr"/>
      <c r="L907" t="inlineStr"/>
      <c r="M907" t="inlineStr"/>
      <c r="N907" t="inlineStr"/>
      <c r="O907">
        <f>(1-Summary!$B$55)*T907+Summary!$B$55*V907</f>
        <v/>
      </c>
      <c r="P907">
        <f>IF(B929=0,0,O907/B929)</f>
        <v/>
      </c>
      <c r="Q907" t="n">
        <v>0</v>
      </c>
      <c r="R907" t="n">
        <v>0</v>
      </c>
      <c r="S907">
        <f>IFERROR(O907/N907,0)</f>
        <v/>
      </c>
      <c r="T907" t="n">
        <v>0</v>
      </c>
      <c r="V907" t="n">
        <v>0</v>
      </c>
    </row>
    <row r="908">
      <c r="A908">
        <f>Skills!A24</f>
        <v/>
      </c>
      <c r="B908">
        <f>Skills!B24</f>
        <v/>
      </c>
      <c r="C908">
        <f>Inputs!$B$3&gt;=43</f>
        <v/>
      </c>
      <c r="D908">
        <f>IF(Skills!C24=1,60+Inputs!$B$25+Inputs!$B$29,IF(Skills!C24=2,90+(Inputs!$B$26+1)+Inputs!$B$29,IF(Skills!C24=3,120+Inputs!$B$27+Inputs!$B$29,MAX(0,(Inputs!$B$3-100)*3)+Inputs!$B$28+Inputs!$B$29)))</f>
        <v/>
      </c>
      <c r="E908">
        <f>INDEX(FactorTable!$B$2:$Y$301, MATCH(ROUND(MIN(300,MAX(1,D908)),0), FactorTable!$A$2:$A$301,0), Skills!M24+1)</f>
        <v/>
      </c>
      <c r="F908">
        <f>IF(Skills!N24=TRUE,(Skills!L24/10)*(E908/1000),Skills!L24/10)+Skills!O24</f>
        <v/>
      </c>
      <c r="G908">
        <f>Skills!G24*IF(Skills!H24&gt;0,Skills!I24/Skills!H24,1)</f>
        <v/>
      </c>
      <c r="H908">
        <f>1-(1-Skills!J24/100)^Skills!K24</f>
        <v/>
      </c>
      <c r="I908" t="inlineStr">
        <is>
          <t>1</t>
        </is>
      </c>
      <c r="J908" t="inlineStr"/>
      <c r="K908" t="inlineStr"/>
      <c r="L908" t="inlineStr"/>
      <c r="M908" t="inlineStr"/>
      <c r="N908" t="inlineStr"/>
      <c r="O908">
        <f>(1-Summary!$B$55)*T908+Summary!$B$55*V908</f>
        <v/>
      </c>
      <c r="P908">
        <f>IF(B929=0,0,O908/B929)</f>
        <v/>
      </c>
      <c r="Q908" t="n">
        <v>0</v>
      </c>
      <c r="R908" t="n">
        <v>0</v>
      </c>
      <c r="S908">
        <f>IFERROR(O908/N908,0)</f>
        <v/>
      </c>
      <c r="T908" t="n">
        <v>0</v>
      </c>
      <c r="V908" t="n">
        <v>0</v>
      </c>
    </row>
    <row r="909">
      <c r="A909">
        <f>Skills!A25</f>
        <v/>
      </c>
      <c r="B909">
        <f>Skills!B25</f>
        <v/>
      </c>
      <c r="C909">
        <f>Inputs!$B$3&gt;=50</f>
        <v/>
      </c>
      <c r="D909">
        <f>IF(Skills!C25=1,60+Inputs!$B$25+Inputs!$B$29,IF(Skills!C25=2,90+(Inputs!$B$26+1)+Inputs!$B$29,IF(Skills!C25=3,120+Inputs!$B$27+Inputs!$B$29,MAX(0,(Inputs!$B$3-100)*3)+Inputs!$B$28+Inputs!$B$29)))</f>
        <v/>
      </c>
      <c r="E909">
        <f>INDEX(FactorTable!$B$2:$Y$301, MATCH(ROUND(MIN(300,MAX(1,D909)),0), FactorTable!$A$2:$A$301,0), Skills!M25+1)</f>
        <v/>
      </c>
      <c r="F909">
        <f>IF(Skills!N25=TRUE,(Skills!L25/10)*(E909/1000),Skills!L25/10)+Skills!O25</f>
        <v/>
      </c>
      <c r="G909">
        <f>Skills!G25*IF(Skills!H25&gt;0,Skills!I25/Skills!H25,1)</f>
        <v/>
      </c>
      <c r="H909">
        <f>1-(1-Skills!J25/100)^Skills!K25</f>
        <v/>
      </c>
      <c r="I909" t="inlineStr">
        <is>
          <t>1</t>
        </is>
      </c>
      <c r="J909" t="inlineStr"/>
      <c r="K909" t="inlineStr"/>
      <c r="L909" t="inlineStr"/>
      <c r="M909" t="inlineStr"/>
      <c r="N909" t="inlineStr"/>
      <c r="O909">
        <f>(1-Summary!$B$55)*T909+Summary!$B$55*V909</f>
        <v/>
      </c>
      <c r="P909">
        <f>IF(B929=0,0,O909/B929)</f>
        <v/>
      </c>
      <c r="Q909" t="n">
        <v>0</v>
      </c>
      <c r="R909" t="n">
        <v>0</v>
      </c>
      <c r="S909">
        <f>IFERROR(O909/N909,0)</f>
        <v/>
      </c>
      <c r="T909" t="n">
        <v>0</v>
      </c>
      <c r="V909" t="n">
        <v>0</v>
      </c>
    </row>
    <row r="910">
      <c r="A910">
        <f>Skills!A26</f>
        <v/>
      </c>
      <c r="B910">
        <f>Skills!B26</f>
        <v/>
      </c>
      <c r="C910">
        <f>Inputs!$B$3&gt;=50</f>
        <v/>
      </c>
      <c r="D910">
        <f>IF(Skills!C26=1,60+Inputs!$B$25+Inputs!$B$29,IF(Skills!C26=2,90+(Inputs!$B$26+1)+Inputs!$B$29,IF(Skills!C26=3,120+Inputs!$B$27+Inputs!$B$29,MAX(0,(Inputs!$B$3-100)*3)+Inputs!$B$28+Inputs!$B$29)))</f>
        <v/>
      </c>
      <c r="E910">
        <f>INDEX(FactorTable!$B$2:$Y$301, MATCH(ROUND(MIN(300,MAX(1,D910)),0), FactorTable!$A$2:$A$301,0), Skills!M26+1)</f>
        <v/>
      </c>
      <c r="F910">
        <f>IF(Skills!N26=TRUE,(Skills!L26/10)*(E910/1000),Skills!L26/10)+Skills!O26</f>
        <v/>
      </c>
      <c r="G910">
        <f>Skills!G26*IF(Skills!H26&gt;0,Skills!I26/Skills!H26,1)</f>
        <v/>
      </c>
      <c r="H910">
        <f>1-(1-Skills!J26/100)^Skills!K26</f>
        <v/>
      </c>
      <c r="I910" t="inlineStr">
        <is>
          <t>1</t>
        </is>
      </c>
      <c r="J910" t="inlineStr"/>
      <c r="K910" t="inlineStr"/>
      <c r="L910" t="inlineStr"/>
      <c r="M910" t="inlineStr"/>
      <c r="N910" t="inlineStr"/>
      <c r="O910">
        <f>(1-Summary!$B$55)*T910+Summary!$B$55*V910</f>
        <v/>
      </c>
      <c r="P910">
        <f>IF(B929=0,0,O910/B929)</f>
        <v/>
      </c>
      <c r="Q910" t="n">
        <v>0</v>
      </c>
      <c r="R910" t="n">
        <v>0</v>
      </c>
      <c r="S910">
        <f>IFERROR(O910/N910,0)</f>
        <v/>
      </c>
      <c r="T910" t="n">
        <v>0</v>
      </c>
      <c r="V910" t="n">
        <v>0</v>
      </c>
    </row>
    <row r="911">
      <c r="A911">
        <f>Skills!A27</f>
        <v/>
      </c>
      <c r="B911">
        <f>Skills!B27</f>
        <v/>
      </c>
      <c r="C911">
        <f>Inputs!$B$3&gt;=38</f>
        <v/>
      </c>
      <c r="D911">
        <f>IF(Skills!C27=1,60+Inputs!$B$25+Inputs!$B$29,IF(Skills!C27=2,90+(Inputs!$B$26+1)+Inputs!$B$29,IF(Skills!C27=3,120+Inputs!$B$27+Inputs!$B$29,MAX(0,(Inputs!$B$3-100)*3)+Inputs!$B$28+Inputs!$B$29)))</f>
        <v/>
      </c>
      <c r="E911">
        <f>INDEX(FactorTable!$B$2:$Y$301, MATCH(ROUND(MIN(300,MAX(1,D911)),0), FactorTable!$A$2:$A$301,0), Skills!M27+1)</f>
        <v/>
      </c>
      <c r="F911">
        <f>IF(Skills!N27=TRUE,(Skills!L27/10)*(E911/1000),Skills!L27/10)+Skills!O27</f>
        <v/>
      </c>
      <c r="G911">
        <f>Skills!G27*IF(Skills!H27&gt;0,Skills!I27/Skills!H27,1)</f>
        <v/>
      </c>
      <c r="H911">
        <f>1-(1-Skills!J27/100)^Skills!K27</f>
        <v/>
      </c>
      <c r="I911" t="inlineStr">
        <is>
          <t>1</t>
        </is>
      </c>
      <c r="J911" t="inlineStr"/>
      <c r="K911" t="inlineStr"/>
      <c r="L911" t="inlineStr"/>
      <c r="M911" t="inlineStr"/>
      <c r="N911" t="inlineStr"/>
      <c r="O911">
        <f>(1-Summary!$B$55)*T911+Summary!$B$55*V911</f>
        <v/>
      </c>
      <c r="P911">
        <f>IF(B929=0,0,O911/B929)</f>
        <v/>
      </c>
      <c r="Q911" t="n">
        <v>0</v>
      </c>
      <c r="R911" t="n">
        <v>0</v>
      </c>
      <c r="S911">
        <f>IFERROR(O911/N911,0)</f>
        <v/>
      </c>
      <c r="T911" t="n">
        <v>0</v>
      </c>
      <c r="V911" t="n">
        <v>0</v>
      </c>
    </row>
    <row r="912">
      <c r="A912">
        <f>Skills!A28</f>
        <v/>
      </c>
      <c r="B912">
        <f>Skills!B28</f>
        <v/>
      </c>
      <c r="C912">
        <f>Inputs!$B$3&gt;=120</f>
        <v/>
      </c>
      <c r="D912">
        <f>IF(Skills!C28=1,60+Inputs!$B$25+Inputs!$B$29,IF(Skills!C28=2,90+(Inputs!$B$26+1)+Inputs!$B$29,IF(Skills!C28=3,120+Inputs!$B$27+Inputs!$B$29,MAX(0,(Inputs!$B$3-100)*3)+Inputs!$B$28+Inputs!$B$29)))</f>
        <v/>
      </c>
      <c r="E912">
        <f>INDEX(FactorTable!$B$2:$Y$301, MATCH(ROUND(MIN(300,MAX(1,D912)),0), FactorTable!$A$2:$A$301,0), Skills!M28+1)</f>
        <v/>
      </c>
      <c r="F912">
        <f>IF(Skills!N28=TRUE,(Skills!L28/10)*(E912/1000),Skills!L28/10)+Skills!O28</f>
        <v/>
      </c>
      <c r="G912">
        <f>Skills!G28*IF(Skills!H28&gt;0,Skills!I28/Skills!H28,1)</f>
        <v/>
      </c>
      <c r="H912">
        <f>1-(1-Skills!J28/100)^Skills!K28</f>
        <v/>
      </c>
      <c r="I912" t="inlineStr">
        <is>
          <t>1</t>
        </is>
      </c>
      <c r="J912" t="inlineStr"/>
      <c r="K912" t="inlineStr"/>
      <c r="L912" t="inlineStr"/>
      <c r="M912" t="inlineStr"/>
      <c r="N912" t="inlineStr"/>
      <c r="O912">
        <f>(1-Summary!$B$55)*T912+Summary!$B$55*V912</f>
        <v/>
      </c>
      <c r="P912">
        <f>IF(B929=0,0,O912/B929)</f>
        <v/>
      </c>
      <c r="Q912" t="n">
        <v>0</v>
      </c>
      <c r="R912" t="n">
        <v>0</v>
      </c>
      <c r="S912">
        <f>IFERROR(O912/N912,0)</f>
        <v/>
      </c>
      <c r="T912" t="n">
        <v>0</v>
      </c>
      <c r="V912" t="n">
        <v>0</v>
      </c>
    </row>
    <row r="913">
      <c r="A913">
        <f>Skills!A29</f>
        <v/>
      </c>
      <c r="B913">
        <f>Skills!B29</f>
        <v/>
      </c>
      <c r="C913">
        <f>Inputs!$B$3&gt;=120</f>
        <v/>
      </c>
      <c r="D913">
        <f>IF(Skills!C29=1,60+Inputs!$B$25+Inputs!$B$29,IF(Skills!C29=2,90+(Inputs!$B$26+1)+Inputs!$B$29,IF(Skills!C29=3,120+Inputs!$B$27+Inputs!$B$29,MAX(0,(Inputs!$B$3-100)*3)+Inputs!$B$28+Inputs!$B$29)))</f>
        <v/>
      </c>
      <c r="E913">
        <f>INDEX(FactorTable!$B$2:$Y$301, MATCH(ROUND(MIN(300,MAX(1,D913)),0), FactorTable!$A$2:$A$301,0), Skills!M29+1)</f>
        <v/>
      </c>
      <c r="F913">
        <f>IF(Skills!N29=TRUE,(Skills!L29/10)*(E913/1000),Skills!L29/10)+Skills!O29</f>
        <v/>
      </c>
      <c r="G913">
        <f>Skills!G29*IF(Skills!H29&gt;0,Skills!I29/Skills!H29,1)</f>
        <v/>
      </c>
      <c r="H913">
        <f>1-(1-Skills!J29/100)^Skills!K29</f>
        <v/>
      </c>
      <c r="I913" t="inlineStr">
        <is>
          <t>1</t>
        </is>
      </c>
      <c r="J913" t="inlineStr"/>
      <c r="K913" t="inlineStr"/>
      <c r="L913" t="inlineStr"/>
      <c r="M913" t="inlineStr"/>
      <c r="N913" t="inlineStr"/>
      <c r="O913">
        <f>(1-Summary!$B$55)*T913+Summary!$B$55*V913</f>
        <v/>
      </c>
      <c r="P913">
        <f>IF(B929=0,0,O913/B929)</f>
        <v/>
      </c>
      <c r="Q913" t="n">
        <v>0</v>
      </c>
      <c r="R913" t="n">
        <v>0</v>
      </c>
      <c r="S913">
        <f>IFERROR(O913/N913,0)</f>
        <v/>
      </c>
      <c r="T913" t="n">
        <v>0</v>
      </c>
      <c r="V913" t="n">
        <v>0</v>
      </c>
    </row>
    <row r="914">
      <c r="A914">
        <f>Skills!A30</f>
        <v/>
      </c>
      <c r="B914">
        <f>Skills!B30</f>
        <v/>
      </c>
      <c r="C914">
        <f>Inputs!$B$3&gt;=125</f>
        <v/>
      </c>
      <c r="D914">
        <f>IF(Skills!C30=1,60+Inputs!$B$25+Inputs!$B$29,IF(Skills!C30=2,90+(Inputs!$B$26+1)+Inputs!$B$29,IF(Skills!C30=3,120+Inputs!$B$27+Inputs!$B$29,MAX(0,(Inputs!$B$3-100)*3)+Inputs!$B$28+Inputs!$B$29)))</f>
        <v/>
      </c>
      <c r="E914">
        <f>INDEX(FactorTable!$B$2:$Y$301, MATCH(ROUND(MIN(300,MAX(1,D914)),0), FactorTable!$A$2:$A$301,0), Skills!M30+1)</f>
        <v/>
      </c>
      <c r="F914">
        <f>IF(Skills!N30=TRUE,(Skills!L30/10)*(E914/1000),Skills!L30/10)+Skills!O30</f>
        <v/>
      </c>
      <c r="G914">
        <f>Skills!G30*IF(Skills!H30&gt;0,Skills!I30/Skills!H30,1)</f>
        <v/>
      </c>
      <c r="H914">
        <f>1-(1-Skills!J30/100)^Skills!K30</f>
        <v/>
      </c>
      <c r="I914" t="inlineStr">
        <is>
          <t>1</t>
        </is>
      </c>
      <c r="J914" t="inlineStr"/>
      <c r="K914" t="inlineStr"/>
      <c r="L914" t="inlineStr"/>
      <c r="M914" t="inlineStr"/>
      <c r="N914" t="inlineStr"/>
      <c r="O914">
        <f>(1-Summary!$B$55)*T914+Summary!$B$55*V914</f>
        <v/>
      </c>
      <c r="P914">
        <f>IF(B929=0,0,O914/B929)</f>
        <v/>
      </c>
      <c r="Q914" t="n">
        <v>0</v>
      </c>
      <c r="R914" t="n">
        <v>0</v>
      </c>
      <c r="S914">
        <f>IFERROR(O914/N914,0)</f>
        <v/>
      </c>
      <c r="T914" t="n">
        <v>0</v>
      </c>
      <c r="V914" t="n">
        <v>0</v>
      </c>
    </row>
    <row r="916">
      <c r="A916" t="inlineStr">
        <is>
          <t>Average Buff Multiplier</t>
        </is>
      </c>
      <c r="B916">
        <f>(1+(((C905=TRUE)*F905*IF(AND(Inputs!$B$39&lt;&gt;"pvp",Inputs!$B$44&gt;0),(((R905-1)*(Skills!Y21*(1+Inputs!$B$34/100))+MIN((Skills!Y21*(1+Inputs!$B$34/100)),MAX(0,Inputs!$B$44-((R905-1)*Skills!D21))))/Inputs!$B$44),IF(Inputs!$B$39="pvp",MIN((Skills!Y21*(1+Inputs!$B$34/100)),15)/15,(Skills!Y21*(1+Inputs!$B$34/100))/Skills!D21)))+((C907=TRUE)*(F907-Calc!F23))+((C901=TRUE)*(F901-Calc!F17)))/100)*(1+((C894=TRUE)*F894*IF(AND(Inputs!$B$39&lt;&gt;"pvp",Inputs!$B$44&gt;0),(((R894-1)*(Skills!Y10*(1+Inputs!$B$34/100))+MIN((Skills!Y10*(1+Inputs!$B$34/100)),MAX(0,Inputs!$B$44-((R894-1)*Skills!D10))))/Inputs!$B$44),IF(Inputs!$B$39="pvp",MIN((Skills!Y10*(1+Inputs!$B$34/100)),15)/15,(Skills!Y10*(1+Inputs!$B$34/100))/Skills!D10)))/100)*(1+((C899=TRUE)*F899*IF(AND(Inputs!$B$39&lt;&gt;"pvp",Inputs!$B$44&gt;0),(((R899-1)*(Skills!Y15*(1+Inputs!$B$34/100))+MIN((Skills!Y15*(1+Inputs!$B$34/100)),MAX(0,Inputs!$B$44-((R899-1)*Skills!D15))))/Inputs!$B$44),IF(Inputs!$B$39="pvp",MIN((Skills!Y15*(1+Inputs!$B$34/100)),15)/15,(Skills!Y15*(1+Inputs!$B$34/100))/Skills!D15)))/100)</f>
        <v/>
      </c>
    </row>
    <row r="917">
      <c r="A917" t="inlineStr">
        <is>
          <t>Global Crit Rate Bonus %</t>
        </is>
      </c>
      <c r="B917">
        <f>((C904=TRUE)*F904*IF(AND(Inputs!$B$39&lt;&gt;"pvp",Inputs!$B$44&gt;0),(((R904-1)*(Skills!Y20*(1+Inputs!$B$34/100))+MIN((Skills!Y20*(1+Inputs!$B$34/100)),MAX(0,Inputs!$B$44-((R904-1)*Skills!D20))))/Inputs!$B$44),IF(Inputs!$B$39="pvp",MIN((Skills!Y20*(1+Inputs!$B$34/100)),15)/15,(Skills!Y20*(1+Inputs!$B$34/100))/Skills!D20)))</f>
        <v/>
      </c>
    </row>
    <row r="918">
      <c r="A918" t="inlineStr">
        <is>
          <t>Global Monster Damage-Taken Bonus %</t>
        </is>
      </c>
      <c r="B918">
        <f>IF(Inputs!$B$3&gt;=82,15,0)</f>
        <v/>
      </c>
    </row>
    <row r="919">
      <c r="A919" t="inlineStr">
        <is>
          <t>Shadow Partner Average Multiplier</t>
        </is>
      </c>
      <c r="B919">
        <f>1+((C891=TRUE)*F891*(1+3.3333333333333335*IF(C902=TRUE,F902,0)/100)*I891*Skills!J7/100)/100</f>
        <v/>
      </c>
    </row>
    <row r="920">
      <c r="A920" t="inlineStr">
        <is>
          <t>Attack Speed Buff Bonus %</t>
        </is>
      </c>
      <c r="B920">
        <f>((C903=TRUE)*F903*IF(AND(Inputs!$B$39&lt;&gt;"pvp",Inputs!$B$44&gt;0),(((R903-1)*(Skills!Y19*(1+Inputs!$B$34/100))+MIN((Skills!Y19*(1+Inputs!$B$34/100)),MAX(0,Inputs!$B$44-((R903-1)*Skills!D19))))/Inputs!$B$44),IF(Inputs!$B$39="pvp",MIN((Skills!Y19*(1+Inputs!$B$34/100)),15)/15,(Skills!Y19*(1+Inputs!$B$34/100))/Skills!D19)))+((C887=TRUE)*F887*3)</f>
        <v/>
      </c>
    </row>
    <row r="921">
      <c r="A921" t="inlineStr">
        <is>
          <t>Actions Per Second</t>
        </is>
      </c>
      <c r="B921">
        <f>1+MIN(150,150*(1-(1-(Inputs!$B$11+((C906=TRUE)*(F906-Calc!F22)))/150)*(1-B920/150)))/100</f>
        <v/>
      </c>
    </row>
    <row r="922">
      <c r="A922" t="inlineStr">
        <is>
          <t>Skill + Buff Cast Rate</t>
        </is>
      </c>
      <c r="B922">
        <f>IF(AND(Inputs!$B$39&lt;&gt;"pvp",Inputs!$B$44&gt;0),SUMPRODUCT((Skills!E2:E30=TRUE)*(C886:C914=TRUE)*R886:R914*Skills!F2:F30)/Inputs!$B$44,SUMPRODUCT((Skills!E2:E30=TRUE)*(C886:C914=TRUE)*Q886:Q914*Skills!F2:F30))</f>
        <v/>
      </c>
    </row>
    <row r="923">
      <c r="A923" t="inlineStr">
        <is>
          <t>Cruel Stab Casts Per Second</t>
        </is>
      </c>
      <c r="B923">
        <f>MAX(0,B921-B922)</f>
        <v/>
      </c>
    </row>
    <row r="924">
      <c r="A924" t="inlineStr">
        <is>
          <t>Global Critical Damage Bonus % (Smokescreen Mastery Lv.113)</t>
        </is>
      </c>
      <c r="B924">
        <f>IF(Inputs!$B$3&gt;=113,30,0)*IF(AND(Inputs!$B$39&lt;&gt;"pvp",Inputs!$B$44&gt;0),(((R899-1)*(Skills!Y15*(1+Inputs!$B$34/100))+MIN((Skills!Y15*(1+Inputs!$B$34/100)),MAX(0,Inputs!$B$44-((R899-1)*Skills!D15))))/Inputs!$B$44),IF(Inputs!$B$39="pvp",MIN((Skills!Y15*(1+Inputs!$B$34/100)),15)/15,(Skills!Y15*(1+Inputs!$B$34/100))/Skills!D15))</f>
        <v/>
      </c>
    </row>
    <row r="925">
      <c r="A925" t="inlineStr">
        <is>
          <t>Meso Explosion average stack count</t>
        </is>
      </c>
      <c r="B925">
        <f>MIN(10,0.5*B921*Skills!D4)</f>
        <v/>
      </c>
    </row>
    <row r="926">
      <c r="A926" t="inlineStr">
        <is>
          <t>Blood Money average stack count</t>
        </is>
      </c>
      <c r="B926">
        <f>MIN(5,0.25*B921*Skills!D4)</f>
        <v/>
      </c>
    </row>
    <row r="927">
      <c r="A927" t="inlineStr">
        <is>
          <t>Assassinate Murderous Intent Multiplier</t>
        </is>
      </c>
      <c r="B927">
        <f>1+IFERROR(MIN(1,Q898*2/Q895),0)</f>
        <v/>
      </c>
    </row>
    <row r="928">
      <c r="A928" t="inlineStr">
        <is>
          <t>Buff-Casting Startup Delay (s, fixed-duration only)</t>
        </is>
      </c>
      <c r="B928">
        <f>IF(AND(Inputs!$B$39&lt;&gt;"pvp",Inputs!$B$44&gt;0),SUMPRODUCT((Skills!Y2:Y30&gt;0)*(Skills!E2:E30=TRUE)*(C886:C914=TRUE))/B921,0)</f>
        <v/>
      </c>
    </row>
    <row r="929">
      <c r="A929" s="5" t="inlineStr">
        <is>
          <t>TOTAL DPS</t>
        </is>
      </c>
      <c r="B929" s="5">
        <f>SUM(O886:O914)</f>
        <v/>
      </c>
    </row>
    <row r="930">
      <c r="A930" t="inlineStr">
        <is>
          <t>Boss-Only Total DPS (this block's swept value)</t>
        </is>
      </c>
      <c r="B930">
        <f>SUM(T886:T914)</f>
        <v/>
      </c>
    </row>
    <row r="931">
      <c r="A931" t="inlineStr">
        <is>
          <t>Normal-Only Total DPS (this block's swept value)</t>
        </is>
      </c>
      <c r="B931">
        <f>SUM(V886:V914)</f>
        <v/>
      </c>
    </row>
    <row r="934">
      <c r="A934" s="5" t="inlineStr">
        <is>
          <t>Stat: Skill Level Bonus — 3rd Job</t>
        </is>
      </c>
    </row>
    <row r="935">
      <c r="A935" s="9" t="inlineStr">
        <is>
          <t>Key</t>
        </is>
      </c>
      <c r="B935" s="9" t="inlineStr">
        <is>
          <t>Name</t>
        </is>
      </c>
      <c r="C935" s="9" t="inlineStr">
        <is>
          <t>Unlocked</t>
        </is>
      </c>
      <c r="D935" s="9" t="inlineStr">
        <is>
          <t>InputLevel</t>
        </is>
      </c>
      <c r="E935" s="9" t="inlineStr">
        <is>
          <t>Factor</t>
        </is>
      </c>
      <c r="F935" s="9" t="inlineStr">
        <is>
          <t>CoefficientPercent</t>
        </is>
      </c>
      <c r="G935" s="9" t="inlineStr">
        <is>
          <t>EffectiveHits</t>
        </is>
      </c>
      <c r="H935" s="9" t="inlineStr">
        <is>
          <t>ProcProbability</t>
        </is>
      </c>
      <c r="I935" s="9" t="inlineStr">
        <is>
          <t>MapleHeroMultiplier</t>
        </is>
      </c>
      <c r="J935" s="9" t="inlineStr">
        <is>
          <t>BaseDamage</t>
        </is>
      </c>
      <c r="K935" s="9" t="inlineStr">
        <is>
          <t>BaseHitDamage</t>
        </is>
      </c>
      <c r="L935" s="9" t="inlineStr">
        <is>
          <t>NonCritAvg</t>
        </is>
      </c>
      <c r="M935" s="9" t="inlineStr">
        <is>
          <t>CritAvg</t>
        </is>
      </c>
      <c r="N935" s="9" t="inlineStr">
        <is>
          <t>ExpectedDamage(perHit)</t>
        </is>
      </c>
      <c r="O935" s="9" t="inlineStr">
        <is>
          <t>DPS</t>
        </is>
      </c>
      <c r="P935" s="9" t="inlineStr">
        <is>
          <t>% of Total</t>
        </is>
      </c>
      <c r="Q935" s="9" t="inlineStr">
        <is>
          <t>InvCooldown</t>
        </is>
      </c>
      <c r="R935" s="9" t="inlineStr">
        <is>
          <t>CastsInFight</t>
        </is>
      </c>
      <c r="S935" s="9" t="inlineStr">
        <is>
          <t>HitRate(perSec)</t>
        </is>
      </c>
      <c r="U935" t="inlineStr">
        <is>
          <t>helpers</t>
        </is>
      </c>
    </row>
    <row r="936">
      <c r="A936">
        <f>Skills!A2</f>
        <v/>
      </c>
      <c r="B936">
        <f>Skills!B2</f>
        <v/>
      </c>
      <c r="C936">
        <f>Inputs!$B$3&gt;=100</f>
        <v/>
      </c>
      <c r="D936" t="inlineStr"/>
      <c r="E936" t="inlineStr"/>
      <c r="F936">
        <f>U938+Skills!O2</f>
        <v/>
      </c>
      <c r="G936">
        <f>Skills!G2*IF(Skills!H2&gt;0,Skills!I2/Skills!H2,1)</f>
        <v/>
      </c>
      <c r="H936">
        <f>1-(1-Skills!J2/100)^Skills!K2</f>
        <v/>
      </c>
      <c r="I936" t="inlineStr">
        <is>
          <t>1</t>
        </is>
      </c>
      <c r="J936">
        <f>((Inputs!$B$6*(1+Inputs!$B$7/100))+(((Inputs!$B$12*(1+Inputs!$B$13/100))-(Inputs!$B$12*(1+Inputs!$B$13/100)))+0.25*(Inputs!$B$14-Inputs!$B$14))*(1+Inputs!$B$7/100))*(F936/100)</f>
        <v/>
      </c>
      <c r="K936">
        <f>J936*(1+((Inputs!$B$12*(1+Inputs!$B$13/100))*0.01+Inputs!$B$14*0.0025)/100)*(1+Inputs!$B$15/100)*(1+Inputs!$B$16/100)*(5000/(6000+Inputs!$B$43*(1-Inputs!$B$19/100)))*(1+(Inputs!$B$24+((C964=TRUE)*(F964-Calc!F30)))/100)*(1+(IF(Skills!A2="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936)</f>
        <v/>
      </c>
      <c r="L936">
        <f>K936*(MIN(Inputs!$B$22+((C958=TRUE)*(F958-Calc!F24)),Inputs!$B$23+((C963=TRUE)*(F963-Calc!F29)))/100+(Inputs!$B$23+((C963=TRUE)*(F963-Calc!F29)))/100)/2</f>
        <v/>
      </c>
      <c r="M936">
        <f>L936*(1+(Inputs!$B$10+((C960=TRUE)*(F960-Calc!F26))+B974)/100)</f>
        <v/>
      </c>
      <c r="N936">
        <f>L936*(1-MIN((Inputs!$B$9+((C959=TRUE)*(F959-Calc!F25))+B967),100)/100)+M936*(MIN((Inputs!$B$9+((C959=TRUE)*(F959-Calc!F25))+B967),100)/100)</f>
        <v/>
      </c>
      <c r="O936">
        <f>(1-Summary!$B$55)*T936+Summary!$B$55*V936</f>
        <v/>
      </c>
      <c r="P936">
        <f>IF(B979=0,0,O936/B979)</f>
        <v/>
      </c>
      <c r="Q936" t="n">
        <v>0</v>
      </c>
      <c r="R936" t="n">
        <v>0</v>
      </c>
      <c r="S936">
        <f>IFERROR(O936/N936,0)</f>
        <v/>
      </c>
      <c r="T936">
        <f>IF(C936,(Skills!G2*N936*B973)*IF(Inputs!$B$39="pvp",1,1+(Inputs!$B$20+0+Skills!P2+B968)/100),0)</f>
        <v/>
      </c>
      <c r="U936">
        <f>MAX(0,(Inputs!$B$3-100)*3)+Inputs!$B$28+Inputs!$B$29</f>
        <v/>
      </c>
      <c r="V936">
        <f>IF(C936,(Skills!G2*N936*B973)*IF(Inputs!$B$39="pvp",1,(1+(Inputs!$B$21+Skills!Q2+B968)/100)*(MIN((6+Inputs!$B$33),Inputs!$B$37))),0)</f>
        <v/>
      </c>
    </row>
    <row r="937">
      <c r="A937">
        <f>Skills!A3</f>
        <v/>
      </c>
      <c r="B937">
        <f>Skills!B3</f>
        <v/>
      </c>
      <c r="C937">
        <f>Inputs!$B$3&gt;=35</f>
        <v/>
      </c>
      <c r="D937">
        <f>IF(Skills!C3=1,60+Inputs!$B$25+Inputs!$B$29,IF(Skills!C3=2,90+Inputs!$B$26+Inputs!$B$29,IF(Skills!C3=3,120+(Inputs!$B$27+1)+Inputs!$B$29,MAX(0,(Inputs!$B$3-100)*3)+Inputs!$B$28+Inputs!$B$29)))</f>
        <v/>
      </c>
      <c r="E937">
        <f>INDEX(FactorTable!$B$2:$Y$301, MATCH(ROUND(MIN(300,MAX(1,D937)),0), FactorTable!$A$2:$A$301,0), Skills!M3+1)</f>
        <v/>
      </c>
      <c r="F937">
        <f>IF(Skills!N3=TRUE,(Skills!L3/10)*(E937/1000),Skills!L3/10)+Skills!O3</f>
        <v/>
      </c>
      <c r="G937">
        <f>Skills!G3*IF(Skills!H3&gt;0,Skills!I3/Skills!H3,1)</f>
        <v/>
      </c>
      <c r="H937">
        <f>1-(1-Skills!J3/100)^Skills!K3</f>
        <v/>
      </c>
      <c r="I937" t="inlineStr">
        <is>
          <t>1</t>
        </is>
      </c>
      <c r="J937" t="inlineStr"/>
      <c r="K937" t="inlineStr"/>
      <c r="L937" t="inlineStr"/>
      <c r="M937" t="inlineStr"/>
      <c r="N937" t="inlineStr"/>
      <c r="O937">
        <f>(1-Summary!$B$55)*T937+Summary!$B$55*V937</f>
        <v/>
      </c>
      <c r="P937">
        <f>IF(B979=0,0,O937/B979)</f>
        <v/>
      </c>
      <c r="Q937" t="n">
        <v>0</v>
      </c>
      <c r="R937" t="n">
        <v>0</v>
      </c>
      <c r="S937">
        <f>IFERROR(O937/N937,0)</f>
        <v/>
      </c>
      <c r="T937" t="n">
        <v>0</v>
      </c>
      <c r="U937">
        <f>INDEX(FactorTable!$B$2:$Y$301, MATCH(ROUND(MIN(300,MAX(1,U936)),0), FactorTable!$A$2:$A$301,0), 22)</f>
        <v/>
      </c>
      <c r="V937" t="n">
        <v>0</v>
      </c>
    </row>
    <row r="938">
      <c r="A938">
        <f>Skills!A4</f>
        <v/>
      </c>
      <c r="B938">
        <f>Skills!B4</f>
        <v/>
      </c>
      <c r="C938">
        <f>Inputs!$B$3&gt;=66</f>
        <v/>
      </c>
      <c r="D938">
        <f>IF(Skills!C4=1,60+Inputs!$B$25+Inputs!$B$29,IF(Skills!C4=2,90+Inputs!$B$26+Inputs!$B$29,IF(Skills!C4=3,120+(Inputs!$B$27+1)+Inputs!$B$29,MAX(0,(Inputs!$B$3-100)*3)+Inputs!$B$28+Inputs!$B$29)))</f>
        <v/>
      </c>
      <c r="E938">
        <f>INDEX(FactorTable!$B$2:$Y$301, MATCH(ROUND(MIN(300,MAX(1,D938)),0), FactorTable!$A$2:$A$301,0), Skills!M4+1)</f>
        <v/>
      </c>
      <c r="F938">
        <f>IF(Skills!N4=TRUE,(Skills!L4/10)*(E938/1000),Skills!L4/10)+Skills!O4</f>
        <v/>
      </c>
      <c r="G938">
        <f>Skills!G4*IF(Skills!H4&gt;0,Skills!I4/Skills!H4,1)</f>
        <v/>
      </c>
      <c r="H938">
        <f>1-(1-Skills!J4/100)^Skills!K4</f>
        <v/>
      </c>
      <c r="I938" t="inlineStr">
        <is>
          <t>1</t>
        </is>
      </c>
      <c r="J938">
        <f>((Inputs!$B$6*(1+Inputs!$B$7/100))+(((Inputs!$B$12*(1+Inputs!$B$13/100))-(Inputs!$B$12*(1+Inputs!$B$13/100)))+0.25*(Inputs!$B$14-Inputs!$B$14))*(1+Inputs!$B$7/100))*(F938/100)</f>
        <v/>
      </c>
      <c r="K938">
        <f>J938*(1+((Inputs!$B$12*(1+Inputs!$B$13/100))*0.01+Inputs!$B$14*0.0025)/100)*(1+Inputs!$B$15/100)*(1+Inputs!$B$16/100)*(5000/(6000+Inputs!$B$43*(1-Inputs!$B$19/100)))*(1+(Inputs!$B$24+((C964=TRUE)*(F964-Calc!F30)))/100)*(1+(IF(Skills!A4="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938)</f>
        <v/>
      </c>
      <c r="L938">
        <f>K938*(MIN(Inputs!$B$22+((C958=TRUE)*(F958-Calc!F24)),Inputs!$B$23+((C963=TRUE)*(F963-Calc!F29)))/100+(Inputs!$B$23+((C963=TRUE)*(F963-Calc!F29)))/100)/2</f>
        <v/>
      </c>
      <c r="M938">
        <f>L938*(1+(Inputs!$B$10+((C960=TRUE)*(F960-Calc!F26))+B974)/100)</f>
        <v/>
      </c>
      <c r="N938">
        <f>L938*(1-MIN((Inputs!$B$9+((C959=TRUE)*(F959-Calc!F25))+B967),100)/100)+M938*(MIN((Inputs!$B$9+((C959=TRUE)*(F959-Calc!F25))+B967),100)/100)</f>
        <v/>
      </c>
      <c r="O938">
        <f>(1-Summary!$B$55)*T938+Summary!$B$55*V938</f>
        <v/>
      </c>
      <c r="P938">
        <f>IF(B979=0,0,O938/B979)</f>
        <v/>
      </c>
      <c r="Q938">
        <f>IFERROR(1/IF(Inputs!$B$39="pvp",15,MAX(0.1,Skills!D4-IF(Skills!E4=TRUE,Inputs!$B$32,0))),0)</f>
        <v/>
      </c>
      <c r="R938">
        <f>IF(AND(Inputs!$B$39&lt;&gt;"pvp",Inputs!$B$44&gt;0),IF(MAX(0,Inputs!$B$44-B978)&lt;=0,0,(INT(MAX(0,Inputs!$B$44-B978)/IF(Inputs!$B$39="pvp",15,MAX(0.1,Skills!D4-IF(Skills!E4=TRUE,Inputs!$B$32,0))))+1)),0)</f>
        <v/>
      </c>
      <c r="S938">
        <f>IFERROR(O938/N938,0)</f>
        <v/>
      </c>
      <c r="T938">
        <f>IF(C938,(H938*N938*IF(AND(Inputs!$B$39&lt;&gt;"pvp",Inputs!$B$44&gt;0),((Skills!G4*((R938-1)*IF(Skills!H4&gt;0,Skills!I4/Skills!H4,1)+IF(Skills!H4&gt;0,MIN(Skills!I4,MAX(0,MAX(0,Inputs!$B$44-B978)-((R938-1)*IF(Inputs!$B$39="pvp",15,MAX(0.1,Skills!D4-IF(Skills!E4=TRUE,Inputs!$B$32,0))))))/Skills!H4,1)))/Inputs!$B$44),G938*Q938))*IF(Inputs!$B$39="pvp",1,1+(Inputs!$B$20+0+Skills!P4+B968)/100),0)</f>
        <v/>
      </c>
      <c r="U938">
        <f>290*U937/1000</f>
        <v/>
      </c>
      <c r="V938">
        <f>IF(C938,(H938*N938*IF(AND(Inputs!$B$39&lt;&gt;"pvp",Inputs!$B$44&gt;0),((Skills!G4*((R938-1)*IF(Skills!H4&gt;0,Skills!I4/Skills!H4,1)+IF(Skills!H4&gt;0,MIN(Skills!I4,MAX(0,MAX(0,Inputs!$B$44-B978)-((R938-1)*IF(Inputs!$B$39="pvp",15,MAX(0.1,Skills!D4-IF(Skills!E4=TRUE,Inputs!$B$32,0))))))/Skills!H4,1)))/Inputs!$B$44),G938*Q938))*IF(Inputs!$B$39="pvp",1,(1+(Inputs!$B$21+Skills!Q4+B968)/100)*(MIN(MIN(10,0.5*B971*Skills!D4),Inputs!$B$37))),0)</f>
        <v/>
      </c>
    </row>
    <row r="939">
      <c r="A939">
        <f>Skills!A5</f>
        <v/>
      </c>
      <c r="B939">
        <f>Skills!B5</f>
        <v/>
      </c>
      <c r="C939">
        <f>Inputs!$B$3&gt;=63</f>
        <v/>
      </c>
      <c r="D939">
        <f>IF(Skills!C5=1,60+Inputs!$B$25+Inputs!$B$29,IF(Skills!C5=2,90+Inputs!$B$26+Inputs!$B$29,IF(Skills!C5=3,120+(Inputs!$B$27+1)+Inputs!$B$29,MAX(0,(Inputs!$B$3-100)*3)+Inputs!$B$28+Inputs!$B$29)))</f>
        <v/>
      </c>
      <c r="E939">
        <f>INDEX(FactorTable!$B$2:$Y$301, MATCH(ROUND(MIN(300,MAX(1,D939)),0), FactorTable!$A$2:$A$301,0), Skills!M5+1)</f>
        <v/>
      </c>
      <c r="F939">
        <f>IF(Skills!N5=TRUE,(Skills!L5/10)*(E939/1000),Skills!L5/10)+Skills!O5</f>
        <v/>
      </c>
      <c r="G939">
        <f>Skills!G5*IF(Skills!H5&gt;0,Skills!I5/Skills!H5,1)</f>
        <v/>
      </c>
      <c r="H939">
        <f>1-(1-Skills!J5/100)^Skills!K5</f>
        <v/>
      </c>
      <c r="I939" t="inlineStr">
        <is>
          <t>1</t>
        </is>
      </c>
      <c r="J939">
        <f>((Inputs!$B$6*(1+Inputs!$B$7/100))+(((Inputs!$B$12*(1+Inputs!$B$13/100))-(Inputs!$B$12*(1+Inputs!$B$13/100)))+0.25*(Inputs!$B$14-Inputs!$B$14))*(1+Inputs!$B$7/100))*(F939/100)</f>
        <v/>
      </c>
      <c r="K939">
        <f>J939*(1+((Inputs!$B$12*(1+Inputs!$B$13/100))*0.01+Inputs!$B$14*0.0025)/100)*(1+Inputs!$B$15/100)*(1+Inputs!$B$16/100)*(5000/(6000+Inputs!$B$43*(1-Inputs!$B$19/100)))*(1+(Inputs!$B$24+((C964=TRUE)*(F964-Calc!F30)))/100)*(1+2.6666666666666665*IF(C952=TRUE,F952,0)/100)*(1+(IF(Skills!A5="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939)</f>
        <v/>
      </c>
      <c r="L939">
        <f>K939*(MIN(Inputs!$B$22+((C958=TRUE)*(F958-Calc!F24)),Inputs!$B$23+((C963=TRUE)*(F963-Calc!F29)))/100+(Inputs!$B$23+((C963=TRUE)*(F963-Calc!F29)))/100)/2</f>
        <v/>
      </c>
      <c r="M939">
        <f>L939*(1+(Inputs!$B$10+((C960=TRUE)*(F960-Calc!F26))+B974)/100)</f>
        <v/>
      </c>
      <c r="N939">
        <f>L939*(1-MIN((Inputs!$B$9+((C959=TRUE)*(F959-Calc!F25))+B967),100)/100)+M939*(MIN((Inputs!$B$9+((C959=TRUE)*(F959-Calc!F25))+B967),100)/100)</f>
        <v/>
      </c>
      <c r="O939">
        <f>(1-Summary!$B$55)*T939+Summary!$B$55*V939</f>
        <v/>
      </c>
      <c r="P939">
        <f>IF(B979=0,0,O939/B979)</f>
        <v/>
      </c>
      <c r="Q939">
        <f>IFERROR(1/IF(Inputs!$B$39="pvp",15,MAX(0.1,Skills!D5-IF(Skills!E5=TRUE,Inputs!$B$32,0))),0)</f>
        <v/>
      </c>
      <c r="R939">
        <f>IF(AND(Inputs!$B$39&lt;&gt;"pvp",Inputs!$B$44&gt;0),IF(MAX(0,Inputs!$B$44-B978)&lt;=0,0,(INT(MAX(0,Inputs!$B$44-B978)/IF(Inputs!$B$39="pvp",15,MAX(0.1,Skills!D5-IF(Skills!E5=TRUE,Inputs!$B$32,0))))+1)),0)</f>
        <v/>
      </c>
      <c r="S939">
        <f>IFERROR(O939/N939,0)</f>
        <v/>
      </c>
      <c r="T939">
        <f>IF(C939,(H939*N939*IF(AND(Inputs!$B$39&lt;&gt;"pvp",Inputs!$B$44&gt;0),((Skills!G5*((R939-1)*IF(Skills!H5&gt;0,Skills!I5/Skills!H5,1)+IF(Skills!H5&gt;0,MIN(Skills!I5,MAX(0,MAX(0,Inputs!$B$44-B978)-((R939-1)*IF(Inputs!$B$39="pvp",15,MAX(0.1,Skills!D5-IF(Skills!E5=TRUE,Inputs!$B$32,0))))))/Skills!H5,1)))/Inputs!$B$44),G939*Q939))*IF(Inputs!$B$39="pvp",1,1+(Inputs!$B$20+0+Skills!P5+B968)/100),0)</f>
        <v/>
      </c>
      <c r="V939">
        <f>IF(C939,(H939*N939*IF(AND(Inputs!$B$39&lt;&gt;"pvp",Inputs!$B$44&gt;0),((Skills!G5*((R939-1)*IF(Skills!H5&gt;0,Skills!I5/Skills!H5,1)+IF(Skills!H5&gt;0,MIN(Skills!I5,MAX(0,MAX(0,Inputs!$B$44-B978)-((R939-1)*IF(Inputs!$B$39="pvp",15,MAX(0.1,Skills!D5-IF(Skills!E5=TRUE,Inputs!$B$32,0))))))/Skills!H5,1)))/Inputs!$B$44),G939*Q939))*IF(Inputs!$B$39="pvp",1,(1+(Inputs!$B$21+Skills!Q5+B968)/100)*(MIN(Skills!W5,Inputs!$B$37))),0)</f>
        <v/>
      </c>
    </row>
    <row r="940">
      <c r="A940">
        <f>Skills!A6</f>
        <v/>
      </c>
      <c r="B940">
        <f>Skills!B6</f>
        <v/>
      </c>
      <c r="C940">
        <f>Inputs!$B$3&gt;=69</f>
        <v/>
      </c>
      <c r="D940">
        <f>IF(Skills!C6=1,60+Inputs!$B$25+Inputs!$B$29,IF(Skills!C6=2,90+Inputs!$B$26+Inputs!$B$29,IF(Skills!C6=3,120+(Inputs!$B$27+1)+Inputs!$B$29,MAX(0,(Inputs!$B$3-100)*3)+Inputs!$B$28+Inputs!$B$29)))</f>
        <v/>
      </c>
      <c r="E940">
        <f>INDEX(FactorTable!$B$2:$Y$301, MATCH(ROUND(MIN(300,MAX(1,D940)),0), FactorTable!$A$2:$A$301,0), Skills!M6+1)</f>
        <v/>
      </c>
      <c r="F940">
        <f>IF(Skills!N6=TRUE,(Skills!L6/10)*(E940/1000),Skills!L6/10)+Skills!O6</f>
        <v/>
      </c>
      <c r="G940">
        <f>Skills!G6*IF(Skills!H6&gt;0,Skills!I6/Skills!H6,1)</f>
        <v/>
      </c>
      <c r="H940">
        <f>1-(1-Skills!J6/100)^Skills!K6</f>
        <v/>
      </c>
      <c r="I940" t="inlineStr">
        <is>
          <t>1</t>
        </is>
      </c>
      <c r="J940">
        <f>((Inputs!$B$6*(1+Inputs!$B$7/100))+(((Inputs!$B$12*(1+Inputs!$B$13/100))-(Inputs!$B$12*(1+Inputs!$B$13/100)))+0.25*(Inputs!$B$14-Inputs!$B$14))*(1+Inputs!$B$7/100))*(F940/100)</f>
        <v/>
      </c>
      <c r="K940">
        <f>J940*(1+((Inputs!$B$12*(1+Inputs!$B$13/100))*0.01+Inputs!$B$14*0.0025)/100)*(1+Inputs!$B$15/100)*(1+Inputs!$B$16/100)*(5000/(6000+Inputs!$B$43*(1-Inputs!$B$19/100)))*(1+(Inputs!$B$24+((C964=TRUE)*(F964-Calc!F30)))/100)*(1+1.0*IF(C952=TRUE,F952,0)/100)*(1+(IF(Skills!A6="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940)</f>
        <v/>
      </c>
      <c r="L940">
        <f>K940*(MIN(Inputs!$B$22+((C958=TRUE)*(F958-Calc!F24)),Inputs!$B$23+((C963=TRUE)*(F963-Calc!F29)))/100+(Inputs!$B$23+((C963=TRUE)*(F963-Calc!F29)))/100)/2</f>
        <v/>
      </c>
      <c r="M940">
        <f>L940*(1+(Inputs!$B$10+((C960=TRUE)*(F960-Calc!F26))+B974)/100)</f>
        <v/>
      </c>
      <c r="N940">
        <f>L940*(1-MIN((Inputs!$B$9+((C959=TRUE)*(F959-Calc!F25))+B967),100)/100)+M940*(MIN((Inputs!$B$9+((C959=TRUE)*(F959-Calc!F25))+B967),100)/100)</f>
        <v/>
      </c>
      <c r="O940">
        <f>(1-Summary!$B$55)*T940+Summary!$B$55*V940</f>
        <v/>
      </c>
      <c r="P940">
        <f>IF(B979=0,0,O940/B979)</f>
        <v/>
      </c>
      <c r="Q940">
        <f>IFERROR(1/IF(Inputs!$B$39="pvp",15,MAX(0.1,Skills!D6-IF(Skills!E6=TRUE,Inputs!$B$32,0))),0)</f>
        <v/>
      </c>
      <c r="R940">
        <f>IF(AND(Inputs!$B$39&lt;&gt;"pvp",Inputs!$B$44&gt;0),IF(MAX(0,Inputs!$B$44-B978)&lt;=0,0,(INT(MAX(0,Inputs!$B$44-B978)/IF(Inputs!$B$39="pvp",15,MAX(0.1,Skills!D6-IF(Skills!E6=TRUE,Inputs!$B$32,0))))+1)),0)</f>
        <v/>
      </c>
      <c r="S940">
        <f>IFERROR(O940/N940,0)</f>
        <v/>
      </c>
      <c r="T940">
        <f>IF(C940,(H940*N940*IF(AND(Inputs!$B$39&lt;&gt;"pvp",Inputs!$B$44&gt;0),((Skills!G6*((R940-1)*IF(Skills!H6&gt;0,Skills!I6/Skills!H6,1)+IF(Skills!H6&gt;0,MIN(Skills!I6,MAX(0,MAX(0,Inputs!$B$44-B978)-((R940-1)*IF(Inputs!$B$39="pvp",15,MAX(0.1,Skills!D6-IF(Skills!E6=TRUE,Inputs!$B$32,0))))))/Skills!H6,1)))/Inputs!$B$44),G940*Q940))*IF(Inputs!$B$39="pvp",1,1+(Inputs!$B$20+0+Skills!P6+B968)/100),0)</f>
        <v/>
      </c>
      <c r="V940">
        <f>IF(C940,(H940*N940*IF(AND(Inputs!$B$39&lt;&gt;"pvp",Inputs!$B$44&gt;0),((Skills!G6*((R940-1)*IF(Skills!H6&gt;0,Skills!I6/Skills!H6,1)+IF(Skills!H6&gt;0,MIN(Skills!I6,MAX(0,MAX(0,Inputs!$B$44-B978)-((R940-1)*IF(Inputs!$B$39="pvp",15,MAX(0.1,Skills!D6-IF(Skills!E6=TRUE,Inputs!$B$32,0))))))/Skills!H6,1)))/Inputs!$B$44),G940*Q940))*IF(Inputs!$B$39="pvp",1,(1+(Inputs!$B$21+Skills!Q6+B968)/100)*(MIN(Skills!W6,Inputs!$B$37))),0)</f>
        <v/>
      </c>
    </row>
    <row r="941">
      <c r="A941">
        <f>Skills!A7</f>
        <v/>
      </c>
      <c r="B941">
        <f>Skills!B7</f>
        <v/>
      </c>
      <c r="C941">
        <f>Inputs!$B$3&gt;=60</f>
        <v/>
      </c>
      <c r="D941">
        <f>IF(Skills!C7=1,60+Inputs!$B$25+Inputs!$B$29,IF(Skills!C7=2,90+Inputs!$B$26+Inputs!$B$29,IF(Skills!C7=3,120+(Inputs!$B$27+1)+Inputs!$B$29,MAX(0,(Inputs!$B$3-100)*3)+Inputs!$B$28+Inputs!$B$29)))</f>
        <v/>
      </c>
      <c r="E941">
        <f>INDEX(FactorTable!$B$2:$Y$301, MATCH(ROUND(MIN(300,MAX(1,D941)),0), FactorTable!$A$2:$A$301,0), Skills!M7+1)</f>
        <v/>
      </c>
      <c r="F941">
        <f>IF(Skills!N7=TRUE,(Skills!L7/10)*(E941/1000),Skills!L7/10)+Skills!O7</f>
        <v/>
      </c>
      <c r="G941">
        <f>Skills!G7*IF(Skills!H7&gt;0,Skills!I7/Skills!H7,1)</f>
        <v/>
      </c>
      <c r="H941">
        <f>1-(1-Skills!J7/100)^Skills!K7</f>
        <v/>
      </c>
      <c r="I941" t="inlineStr">
        <is>
          <t>1</t>
        </is>
      </c>
      <c r="J941" t="inlineStr"/>
      <c r="K941" t="inlineStr"/>
      <c r="L941" t="inlineStr"/>
      <c r="M941" t="inlineStr"/>
      <c r="N941" t="inlineStr"/>
      <c r="O941">
        <f>(1-Summary!$B$55)*T941+Summary!$B$55*V941</f>
        <v/>
      </c>
      <c r="P941">
        <f>IF(B979=0,0,O941/B979)</f>
        <v/>
      </c>
      <c r="Q941" t="n">
        <v>0</v>
      </c>
      <c r="R941" t="n">
        <v>0</v>
      </c>
      <c r="S941">
        <f>IFERROR(O941/N941,0)</f>
        <v/>
      </c>
      <c r="T941" t="n">
        <v>0</v>
      </c>
      <c r="V941" t="n">
        <v>0</v>
      </c>
    </row>
    <row r="942">
      <c r="A942">
        <f>Skills!A8</f>
        <v/>
      </c>
      <c r="B942">
        <f>Skills!B8</f>
        <v/>
      </c>
      <c r="C942">
        <f>Inputs!$B$3&gt;=72</f>
        <v/>
      </c>
      <c r="D942">
        <f>IF(Skills!C8=1,60+Inputs!$B$25+Inputs!$B$29,IF(Skills!C8=2,90+Inputs!$B$26+Inputs!$B$29,IF(Skills!C8=3,120+(Inputs!$B$27+1)+Inputs!$B$29,MAX(0,(Inputs!$B$3-100)*3)+Inputs!$B$28+Inputs!$B$29)))</f>
        <v/>
      </c>
      <c r="E942">
        <f>INDEX(FactorTable!$B$2:$Y$301, MATCH(ROUND(MIN(300,MAX(1,D942)),0), FactorTable!$A$2:$A$301,0), Skills!M8+1)</f>
        <v/>
      </c>
      <c r="F942">
        <f>IF(Skills!N8=TRUE,(Skills!L8/10)*(E942/1000),Skills!L8/10)+Skills!O8</f>
        <v/>
      </c>
      <c r="G942">
        <f>Skills!G8*IF(Skills!H8&gt;0,Skills!I8/Skills!H8,1)</f>
        <v/>
      </c>
      <c r="H942">
        <f>1-(1-Skills!J8/100)^Skills!K8</f>
        <v/>
      </c>
      <c r="I942" t="inlineStr">
        <is>
          <t>1</t>
        </is>
      </c>
      <c r="J942">
        <f>((Inputs!$B$6*(1+Inputs!$B$7/100))+(((Inputs!$B$12*(1+Inputs!$B$13/100))-(Inputs!$B$12*(1+Inputs!$B$13/100)))+0.25*(Inputs!$B$14-Inputs!$B$14))*(1+Inputs!$B$7/100))*(F942/100)</f>
        <v/>
      </c>
      <c r="K942">
        <f>J942*(1+((Inputs!$B$12*(1+Inputs!$B$13/100))*0.01+Inputs!$B$14*0.0025)/100)*(1+Inputs!$B$15/100)*(1+Inputs!$B$16/100)*(5000/(6000+Inputs!$B$43*(1-Inputs!$B$19/100)))*(1+(Inputs!$B$24+((C964=TRUE)*(F964-Calc!F30)))/100)*(1+3.3333333333333335*IF(C952=TRUE,F952,0)/100)*(1+(IF(Skills!A8="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942)</f>
        <v/>
      </c>
      <c r="L942">
        <f>K942*(MIN(Inputs!$B$22+((C958=TRUE)*(F958-Calc!F24)),Inputs!$B$23+((C963=TRUE)*(F963-Calc!F29)))/100+(Inputs!$B$23+((C963=TRUE)*(F963-Calc!F29)))/100)/2</f>
        <v/>
      </c>
      <c r="M942">
        <f>L942*(1+(Inputs!$B$10+((C960=TRUE)*(F960-Calc!F26))+B974)/100)</f>
        <v/>
      </c>
      <c r="N942">
        <f>L942*(1-MIN((Inputs!$B$9+((C959=TRUE)*(F959-Calc!F25))+B967),100)/100)+M942*(MIN((Inputs!$B$9+((C959=TRUE)*(F959-Calc!F25))+B967),100)/100)</f>
        <v/>
      </c>
      <c r="O942">
        <f>(1-Summary!$B$55)*T942+Summary!$B$55*V942</f>
        <v/>
      </c>
      <c r="P942">
        <f>IF(B979=0,0,O942/B979)</f>
        <v/>
      </c>
      <c r="Q942">
        <f>IFERROR(1/IF(Inputs!$B$39="pvp",15,MAX(0.1,Skills!D8-IF(Skills!E8=TRUE,Inputs!$B$32,0))),0)</f>
        <v/>
      </c>
      <c r="R942">
        <f>IF(AND(Inputs!$B$39&lt;&gt;"pvp",Inputs!$B$44&gt;0),IF(MAX(0,Inputs!$B$44-B978)&lt;=0,0,(INT(MAX(0,Inputs!$B$44-B978)/IF(Inputs!$B$39="pvp",15,MAX(0.1,Skills!D8-IF(Skills!E8=TRUE,Inputs!$B$32,0))))+1)),0)</f>
        <v/>
      </c>
      <c r="S942">
        <f>IFERROR(O942/N942,0)</f>
        <v/>
      </c>
      <c r="T942">
        <f>IF(C942,(H942*N942*IF(AND(Inputs!$B$39&lt;&gt;"pvp",Inputs!$B$44&gt;0),((Skills!G8*((R942-1)*IF(Skills!H8&gt;0,Skills!I8/Skills!H8,1)+IF(Skills!H8&gt;0,MIN(Skills!I8,MAX(0,MAX(0,Inputs!$B$44-B978)-((R942-1)*IF(Inputs!$B$39="pvp",15,MAX(0.1,Skills!D8-IF(Skills!E8=TRUE,Inputs!$B$32,0))))))/Skills!H8,1)))/Inputs!$B$44),G942*Q942))*IF(Inputs!$B$39="pvp",1,1+(Inputs!$B$20+0+Skills!P8+B968)/100),0)</f>
        <v/>
      </c>
      <c r="V942">
        <f>IF(C942,(H942*N942*IF(AND(Inputs!$B$39&lt;&gt;"pvp",Inputs!$B$44&gt;0),((Skills!G8*((R942-1)*IF(Skills!H8&gt;0,Skills!I8/Skills!H8,1)+IF(Skills!H8&gt;0,MIN(Skills!I8,MAX(0,MAX(0,Inputs!$B$44-B978)-((R942-1)*IF(Inputs!$B$39="pvp",15,MAX(0.1,Skills!D8-IF(Skills!E8=TRUE,Inputs!$B$32,0))))))/Skills!H8,1)))/Inputs!$B$44),G942*Q942))*IF(Inputs!$B$39="pvp",1,(1+(Inputs!$B$21+Skills!Q8+B968)/100)*(MIN(Skills!W8,Inputs!$B$37))),0)</f>
        <v/>
      </c>
    </row>
    <row r="943">
      <c r="A943">
        <f>Skills!A9</f>
        <v/>
      </c>
      <c r="B943">
        <f>Skills!B9</f>
        <v/>
      </c>
      <c r="C943">
        <f>Inputs!$B$3&gt;=117</f>
        <v/>
      </c>
      <c r="D943">
        <f>IF(Skills!C9=1,60+Inputs!$B$25+Inputs!$B$29,IF(Skills!C9=2,90+Inputs!$B$26+Inputs!$B$29,IF(Skills!C9=3,120+(Inputs!$B$27+1)+Inputs!$B$29,MAX(0,(Inputs!$B$3-100)*3)+Inputs!$B$28+Inputs!$B$29)))</f>
        <v/>
      </c>
      <c r="E943">
        <f>INDEX(FactorTable!$B$2:$Y$301, MATCH(ROUND(MIN(300,MAX(1,D943)),0), FactorTable!$A$2:$A$301,0), Skills!M9+1)</f>
        <v/>
      </c>
      <c r="F943">
        <f>IF(Skills!N9=TRUE,(Skills!L9/10)*(E943/1000),Skills!L9/10)+Skills!O9</f>
        <v/>
      </c>
      <c r="G943">
        <f>Skills!G9*IF(Skills!H9&gt;0,Skills!I9/Skills!H9,1)</f>
        <v/>
      </c>
      <c r="H943">
        <f>1-(1-Skills!J9/100)^Skills!K9</f>
        <v/>
      </c>
      <c r="I943" t="inlineStr">
        <is>
          <t>1</t>
        </is>
      </c>
      <c r="J943">
        <f>((Inputs!$B$6*(1+Inputs!$B$7/100))+(((Inputs!$B$12*(1+Inputs!$B$13/100))-(Inputs!$B$12*(1+Inputs!$B$13/100)))+0.25*(Inputs!$B$14-Inputs!$B$14))*(1+Inputs!$B$7/100))*(F943/100)</f>
        <v/>
      </c>
      <c r="K943">
        <f>J943*(1+((Inputs!$B$12*(1+Inputs!$B$13/100))*0.01+Inputs!$B$14*0.0025)/100)*(1+Inputs!$B$15/100)*(1+Inputs!$B$16/100)*(5000/(6000+Inputs!$B$43*(1-Inputs!$B$19/100)))*(1+(Inputs!$B$24+((C964=TRUE)*(F964-Calc!F30)))/100)*(1+(IF(Skills!A9="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943)</f>
        <v/>
      </c>
      <c r="L943">
        <f>K943*(MIN(Inputs!$B$22+((C958=TRUE)*(F958-Calc!F24)),Inputs!$B$23+((C963=TRUE)*(F963-Calc!F29)))/100+(Inputs!$B$23+((C963=TRUE)*(F963-Calc!F29)))/100)/2</f>
        <v/>
      </c>
      <c r="M943">
        <f>L943*(1+(Inputs!$B$10+((C960=TRUE)*(F960-Calc!F26))+B974)/100)</f>
        <v/>
      </c>
      <c r="N943">
        <f>L943*(1-MIN((Inputs!$B$9+((C959=TRUE)*(F959-Calc!F25))+B967),100)/100)+M943*(MIN((Inputs!$B$9+((C959=TRUE)*(F959-Calc!F25))+B967),100)/100)</f>
        <v/>
      </c>
      <c r="O943">
        <f>(1-Summary!$B$55)*T943+Summary!$B$55*V943</f>
        <v/>
      </c>
      <c r="P943">
        <f>IF(B979=0,0,O943/B979)</f>
        <v/>
      </c>
      <c r="Q943" t="n">
        <v>0</v>
      </c>
      <c r="R943" t="n">
        <v>0</v>
      </c>
      <c r="S943" t="n">
        <v>0</v>
      </c>
      <c r="T943">
        <f>IF(C943,(0.2*SUMPRODUCT((Skills!Z2:Z30=TRUE)*(C936:C964=TRUE)*S936:S964)*N943)*IF(Inputs!$B$39="pvp",1,1+(Inputs!$B$20+0+Skills!P9+B968)/100),0)</f>
        <v/>
      </c>
      <c r="V943">
        <f>IF(C943,(0.2*SUMPRODUCT((Skills!Z2:Z30=TRUE)*(C936:C964=TRUE)*S936:S964)*N943)*IF(Inputs!$B$39="pvp",1,(1+(Inputs!$B$21+Skills!Q9+B968)/100)*(MIN(Skills!W9,Inputs!$B$37))),0)</f>
        <v/>
      </c>
    </row>
    <row r="944">
      <c r="A944">
        <f>Skills!A10</f>
        <v/>
      </c>
      <c r="B944">
        <f>Skills!B10</f>
        <v/>
      </c>
      <c r="C944">
        <f>Inputs!$B$3&gt;=74</f>
        <v/>
      </c>
      <c r="D944">
        <f>IF(Skills!C10=1,60+Inputs!$B$25+Inputs!$B$29,IF(Skills!C10=2,90+Inputs!$B$26+Inputs!$B$29,IF(Skills!C10=3,120+(Inputs!$B$27+1)+Inputs!$B$29,MAX(0,(Inputs!$B$3-100)*3)+Inputs!$B$28+Inputs!$B$29)))</f>
        <v/>
      </c>
      <c r="E944">
        <f>INDEX(FactorTable!$B$2:$Y$301, MATCH(ROUND(MIN(300,MAX(1,D944)),0), FactorTable!$A$2:$A$301,0), Skills!M10+1)</f>
        <v/>
      </c>
      <c r="F944">
        <f>IF(Skills!N10=TRUE,(Skills!L10/10)*(E944/1000),Skills!L10/10)+Skills!O10</f>
        <v/>
      </c>
      <c r="G944">
        <f>Skills!G10*IF(Skills!H10&gt;0,Skills!I10/Skills!H10,1)</f>
        <v/>
      </c>
      <c r="H944">
        <f>1-(1-Skills!J10/100)^Skills!K10</f>
        <v/>
      </c>
      <c r="I944" t="inlineStr">
        <is>
          <t>1</t>
        </is>
      </c>
      <c r="J944" t="inlineStr"/>
      <c r="K944" t="inlineStr"/>
      <c r="L944" t="inlineStr"/>
      <c r="M944" t="inlineStr"/>
      <c r="N944" t="inlineStr"/>
      <c r="O944">
        <f>(1-Summary!$B$55)*T944+Summary!$B$55*V944</f>
        <v/>
      </c>
      <c r="P944">
        <f>IF(B979=0,0,O944/B979)</f>
        <v/>
      </c>
      <c r="Q944">
        <f>IFERROR(1/IF(Inputs!$B$39="pvp",15,MAX(0.1,Skills!D10-IF(Skills!E10=TRUE,Inputs!$B$32,0))),0)</f>
        <v/>
      </c>
      <c r="R944">
        <f>IF(AND(Inputs!$B$39&lt;&gt;"pvp",Inputs!$B$44&gt;0),IF(Inputs!$B$44&lt;=0,0,(INT(Inputs!$B$44/IF(Inputs!$B$39="pvp",15,MAX(0.1,Skills!D10-IF(Skills!E10=TRUE,Inputs!$B$32,0))))+1)),0)</f>
        <v/>
      </c>
      <c r="S944">
        <f>IFERROR(O944/N944,0)</f>
        <v/>
      </c>
      <c r="T944" t="n">
        <v>0</v>
      </c>
      <c r="V944" t="n">
        <v>0</v>
      </c>
    </row>
    <row r="945">
      <c r="A945">
        <f>Skills!A11</f>
        <v/>
      </c>
      <c r="B945">
        <f>Skills!B11</f>
        <v/>
      </c>
      <c r="C945">
        <f>Inputs!$B$3&gt;=103</f>
        <v/>
      </c>
      <c r="D945">
        <f>IF(Skills!C11=1,60+Inputs!$B$25+Inputs!$B$29,IF(Skills!C11=2,90+Inputs!$B$26+Inputs!$B$29,IF(Skills!C11=3,120+(Inputs!$B$27+1)+Inputs!$B$29,MAX(0,(Inputs!$B$3-100)*3)+Inputs!$B$28+Inputs!$B$29)))</f>
        <v/>
      </c>
      <c r="E945">
        <f>INDEX(FactorTable!$B$2:$Y$301, MATCH(ROUND(MIN(300,MAX(1,D945)),0), FactorTable!$A$2:$A$301,0), Skills!M11+1)</f>
        <v/>
      </c>
      <c r="F945">
        <f>(Skills!L11/10)*(E945/1000)+IF(Inputs!$B$3&gt;=134,50,0)+0.5*(30000/10)*(INDEX(FactorTable!$B$2:$Y$301, MATCH(ROUND(MIN(300,MAX(1,D945)),0), FactorTable!$A$2:$A$301,0), 13)/1000)*B977</f>
        <v/>
      </c>
      <c r="G945">
        <f>Skills!G11*IF(Skills!H11&gt;0,Skills!I11/Skills!H11,1)</f>
        <v/>
      </c>
      <c r="H945">
        <f>1-(1-Skills!J11/100)^Skills!K11</f>
        <v/>
      </c>
      <c r="I945" t="inlineStr">
        <is>
          <t>1</t>
        </is>
      </c>
      <c r="J945">
        <f>((Inputs!$B$6*(1+Inputs!$B$7/100))+(((Inputs!$B$12*(1+Inputs!$B$13/100))-(Inputs!$B$12*(1+Inputs!$B$13/100)))+0.25*(Inputs!$B$14-Inputs!$B$14))*(1+Inputs!$B$7/100))*(F945/100)</f>
        <v/>
      </c>
      <c r="K945">
        <f>J945*(1+((Inputs!$B$12*(1+Inputs!$B$13/100))*0.01+Inputs!$B$14*0.0025)/100)*(1+Inputs!$B$15/100)*(1+Inputs!$B$16/100)*(5000/(6000+Inputs!$B$43*(1-Inputs!$B$19/100)))*(1+(Inputs!$B$24+((C964=TRUE)*(F964-Calc!F30)))/100)*(1+(IF(Skills!A11="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945)</f>
        <v/>
      </c>
      <c r="L945">
        <f>K945*(MIN(Inputs!$B$22+((C958=TRUE)*(F958-Calc!F24)),Inputs!$B$23+((C963=TRUE)*(F963-Calc!F29)))/100+(Inputs!$B$23+((C963=TRUE)*(F963-Calc!F29)))/100)/2</f>
        <v/>
      </c>
      <c r="M945">
        <f>L945*(1+(Inputs!$B$10+((C960=TRUE)*(F960-Calc!F26))+B974)/100)</f>
        <v/>
      </c>
      <c r="N945">
        <f>L945*(1-MIN((Inputs!$B$9+((C959=TRUE)*(F959-Calc!F25))+B967),100)/100)+M945*(MIN((Inputs!$B$9+((C959=TRUE)*(F959-Calc!F25))+B967),100)/100)</f>
        <v/>
      </c>
      <c r="O945">
        <f>(1-Summary!$B$55)*T945+Summary!$B$55*V945</f>
        <v/>
      </c>
      <c r="P945">
        <f>IF(B979=0,0,O945/B979)</f>
        <v/>
      </c>
      <c r="Q945">
        <f>IFERROR(1/IF(Inputs!$B$39="pvp",15,MAX(0.1,Skills!D11-IF(Skills!E11=TRUE,Inputs!$B$32,0))),0)</f>
        <v/>
      </c>
      <c r="R945">
        <f>IF(AND(Inputs!$B$39&lt;&gt;"pvp",Inputs!$B$44&gt;0),IF(MAX(0,Inputs!$B$44-B978)&lt;=0,0,(INT(MAX(0,Inputs!$B$44-B978)/IF(Inputs!$B$39="pvp",15,MAX(0.1,Skills!D11-IF(Skills!E11=TRUE,Inputs!$B$32,0))))+1)),0)</f>
        <v/>
      </c>
      <c r="S945">
        <f>IFERROR(O945/N945,0)</f>
        <v/>
      </c>
      <c r="T945">
        <f>IF(C945,(H945*N945*IF(AND(Inputs!$B$39&lt;&gt;"pvp",Inputs!$B$44&gt;0),((Skills!G11*((R945-1)*IF(Skills!H11&gt;0,Skills!I11/Skills!H11,1)+IF(Skills!H11&gt;0,MIN(Skills!I11,MAX(0,MAX(0,Inputs!$B$44-B978)-((R945-1)*IF(Inputs!$B$39="pvp",15,MAX(0.1,Skills!D11-IF(Skills!E11=TRUE,Inputs!$B$32,0))))))/Skills!H11,1)))/Inputs!$B$44),G945*Q945))*IF(Inputs!$B$39="pvp",1,1+(Inputs!$B$20+0+Skills!P11+B968)/100),0)</f>
        <v/>
      </c>
      <c r="V945">
        <f>IF(C945,(H945*N945*IF(AND(Inputs!$B$39&lt;&gt;"pvp",Inputs!$B$44&gt;0),((Skills!G11*((R945-1)*IF(Skills!H11&gt;0,Skills!I11/Skills!H11,1)+IF(Skills!H11&gt;0,MIN(Skills!I11,MAX(0,MAX(0,Inputs!$B$44-B978)-((R945-1)*IF(Inputs!$B$39="pvp",15,MAX(0.1,Skills!D11-IF(Skills!E11=TRUE,Inputs!$B$32,0))))))/Skills!H11,1)))/Inputs!$B$44),G945*Q945))*IF(Inputs!$B$39="pvp",1,(1+(Inputs!$B$21+Skills!Q11+B968)/100)*(MIN(Skills!W11,Inputs!$B$37))),0)</f>
        <v/>
      </c>
    </row>
    <row r="946">
      <c r="A946">
        <f>Skills!A12</f>
        <v/>
      </c>
      <c r="B946">
        <f>Skills!B12</f>
        <v/>
      </c>
      <c r="C946">
        <f>Inputs!$B$3&gt;=105</f>
        <v/>
      </c>
      <c r="D946">
        <f>IF(Skills!C12=1,60+Inputs!$B$25+Inputs!$B$29,IF(Skills!C12=2,90+Inputs!$B$26+Inputs!$B$29,IF(Skills!C12=3,120+(Inputs!$B$27+1)+Inputs!$B$29,MAX(0,(Inputs!$B$3-100)*3)+Inputs!$B$28+Inputs!$B$29)))</f>
        <v/>
      </c>
      <c r="E946">
        <f>INDEX(FactorTable!$B$2:$Y$301, MATCH(ROUND(MIN(300,MAX(1,D946)),0), FactorTable!$A$2:$A$301,0), Skills!M12+1)</f>
        <v/>
      </c>
      <c r="F946">
        <f>IF(Skills!N12=TRUE,(Skills!L12/10)*(E946/1000),Skills!L12/10)+Skills!O12</f>
        <v/>
      </c>
      <c r="G946">
        <f>Skills!G12*IF(Skills!H12&gt;0,Skills!I12/Skills!H12,1)</f>
        <v/>
      </c>
      <c r="H946">
        <f>1-(1-Skills!J12/100)^Skills!K12</f>
        <v/>
      </c>
      <c r="I946" t="inlineStr">
        <is>
          <t>1</t>
        </is>
      </c>
      <c r="J946">
        <f>((Inputs!$B$6*(1+Inputs!$B$7/100))+(((Inputs!$B$12*(1+Inputs!$B$13/100))-(Inputs!$B$12*(1+Inputs!$B$13/100)))+0.25*(Inputs!$B$14-Inputs!$B$14))*(1+Inputs!$B$7/100))*(F946/100)</f>
        <v/>
      </c>
      <c r="K946">
        <f>J946*(1+((Inputs!$B$12*(1+Inputs!$B$13/100))*0.01+Inputs!$B$14*0.0025)/100)*(1+Inputs!$B$15/100)*(1+Inputs!$B$16/100)*(5000/(6000+Inputs!$B$43*(1-Inputs!$B$19/100)))*(1+(Inputs!$B$24+((C964=TRUE)*(F964-Calc!F30)))/100)*(1+(IF(Skills!A12="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946)</f>
        <v/>
      </c>
      <c r="L946">
        <f>K946*(MIN(Inputs!$B$22+((C958=TRUE)*(F958-Calc!F24)),Inputs!$B$23+((C963=TRUE)*(F963-Calc!F29)))/100+(Inputs!$B$23+((C963=TRUE)*(F963-Calc!F29)))/100)/2</f>
        <v/>
      </c>
      <c r="M946">
        <f>L946*(1+(Inputs!$B$10+((C960=TRUE)*(F960-Calc!F26))+B974)/100)</f>
        <v/>
      </c>
      <c r="N946">
        <f>L946*(1-MIN((Inputs!$B$9+((C959=TRUE)*(F959-Calc!F25))+B967),100)/100)+M946*(MIN((Inputs!$B$9+((C959=TRUE)*(F959-Calc!F25))+B967),100)/100)</f>
        <v/>
      </c>
      <c r="O946">
        <f>(1-Summary!$B$55)*T946+Summary!$B$55*V946</f>
        <v/>
      </c>
      <c r="P946">
        <f>IF(B979=0,0,O946/B979)</f>
        <v/>
      </c>
      <c r="Q946">
        <f>IFERROR(1/IF(Inputs!$B$39="pvp",15,MAX(0.1,Skills!D12-IF(Skills!E12=TRUE,Inputs!$B$32,0))),0)</f>
        <v/>
      </c>
      <c r="R946">
        <f>IF(AND(Inputs!$B$39&lt;&gt;"pvp",Inputs!$B$44&gt;0),IF(MAX(0,Inputs!$B$44-B978)&lt;=0,0,(INT(MAX(0,Inputs!$B$44-B978)/IF(Inputs!$B$39="pvp",15,MAX(0.1,Skills!D12-IF(Skills!E12=TRUE,Inputs!$B$32,0))))+1)),0)</f>
        <v/>
      </c>
      <c r="S946">
        <f>IFERROR(O946/N946,0)</f>
        <v/>
      </c>
      <c r="T946">
        <f>IF(C946,(H946*N946*IF(AND(Inputs!$B$39&lt;&gt;"pvp",Inputs!$B$44&gt;0),((Skills!G12*((R946-1)*IF(Skills!H12&gt;0,Skills!I12/Skills!H12,1)+IF(Skills!H12&gt;0,MIN(Skills!I12,MAX(0,MAX(0,Inputs!$B$44-B978)-((R946-1)*IF(Inputs!$B$39="pvp",15,MAX(0.1,Skills!D12-IF(Skills!E12=TRUE,Inputs!$B$32,0))))))/Skills!H12,1)))/Inputs!$B$44),G946*Q946))*IF(Inputs!$B$39="pvp",1,1+(Inputs!$B$20+0+Skills!P12+B968)/100),0)</f>
        <v/>
      </c>
      <c r="V946">
        <f>IF(C946,(H946*N946*IF(AND(Inputs!$B$39&lt;&gt;"pvp",Inputs!$B$44&gt;0),((Skills!G12*((R946-1)*IF(Skills!H12&gt;0,Skills!I12/Skills!H12,1)+IF(Skills!H12&gt;0,MIN(Skills!I12,MAX(0,MAX(0,Inputs!$B$44-B978)-((R946-1)*IF(Inputs!$B$39="pvp",15,MAX(0.1,Skills!D12-IF(Skills!E12=TRUE,Inputs!$B$32,0))))))/Skills!H12,1)))/Inputs!$B$44),G946*Q946))*IF(Inputs!$B$39="pvp",1,(1+(Inputs!$B$21+Skills!Q12+B968)/100)*(MIN(Skills!W12,Inputs!$B$37))),0)</f>
        <v/>
      </c>
    </row>
    <row r="947">
      <c r="A947">
        <f>Skills!A13</f>
        <v/>
      </c>
      <c r="B947">
        <f>Skills!B13</f>
        <v/>
      </c>
      <c r="C947">
        <f>Inputs!$B$3&gt;=105</f>
        <v/>
      </c>
      <c r="D947">
        <f>IF(Skills!C13=1,60+Inputs!$B$25+Inputs!$B$29,IF(Skills!C13=2,90+Inputs!$B$26+Inputs!$B$29,IF(Skills!C13=3,120+(Inputs!$B$27+1)+Inputs!$B$29,MAX(0,(Inputs!$B$3-100)*3)+Inputs!$B$28+Inputs!$B$29)))</f>
        <v/>
      </c>
      <c r="E947">
        <f>INDEX(FactorTable!$B$2:$Y$301, MATCH(ROUND(MIN(300,MAX(1,D947)),0), FactorTable!$A$2:$A$301,0), Skills!M13+1)</f>
        <v/>
      </c>
      <c r="F947">
        <f>IF(Skills!N13=TRUE,(Skills!L13/10)*(E947/1000),Skills!L13/10)+Skills!O13</f>
        <v/>
      </c>
      <c r="G947">
        <f>Skills!G13*IF(Skills!H13&gt;0,Skills!I13/Skills!H13,1)</f>
        <v/>
      </c>
      <c r="H947">
        <f>1-(1-Skills!J13/100)^Skills!K13</f>
        <v/>
      </c>
      <c r="I947" t="inlineStr">
        <is>
          <t>1</t>
        </is>
      </c>
      <c r="J947">
        <f>((Inputs!$B$6*(1+Inputs!$B$7/100))+(((Inputs!$B$12*(1+Inputs!$B$13/100))-(Inputs!$B$12*(1+Inputs!$B$13/100)))+0.25*(Inputs!$B$14-Inputs!$B$14))*(1+Inputs!$B$7/100))*(F947/100)</f>
        <v/>
      </c>
      <c r="K947">
        <f>J947*(1+((Inputs!$B$12*(1+Inputs!$B$13/100))*0.01+Inputs!$B$14*0.0025)/100)*(1+Inputs!$B$15/100)*(1+Inputs!$B$16/100)*(5000/(6000+Inputs!$B$43*(1-Inputs!$B$19/100)))*(1+(Inputs!$B$24+((C964=TRUE)*(F964-Calc!F30)))/100)*(1+(IF(Skills!A13="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947)</f>
        <v/>
      </c>
      <c r="L947">
        <f>K947*(MIN(Inputs!$B$22+((C958=TRUE)*(F958-Calc!F24)),Inputs!$B$23+((C963=TRUE)*(F963-Calc!F29)))/100+(Inputs!$B$23+((C963=TRUE)*(F963-Calc!F29)))/100)/2</f>
        <v/>
      </c>
      <c r="M947">
        <f>L947*(1+(Inputs!$B$10+((C960=TRUE)*(F960-Calc!F26))+B974)/100)</f>
        <v/>
      </c>
      <c r="N947">
        <f>L947*(1-MIN((Inputs!$B$9+((C959=TRUE)*(F959-Calc!F25))+B967),100)/100)+M947*(MIN((Inputs!$B$9+((C959=TRUE)*(F959-Calc!F25))+B967),100)/100)</f>
        <v/>
      </c>
      <c r="O947">
        <f>(1-Summary!$B$55)*T947+Summary!$B$55*V947</f>
        <v/>
      </c>
      <c r="P947">
        <f>IF(B979=0,0,O947/B979)</f>
        <v/>
      </c>
      <c r="Q947">
        <f>IFERROR(1/IF(Inputs!$B$39="pvp",15,MAX(0.1,Skills!D13-IF(Skills!E13=TRUE,Inputs!$B$32,0))),0)</f>
        <v/>
      </c>
      <c r="R947">
        <f>IF(AND(Inputs!$B$39&lt;&gt;"pvp",Inputs!$B$44&gt;0),IF(MAX(0,Inputs!$B$44-B978)&lt;=0,0,(INT(MAX(0,Inputs!$B$44-B978)/IF(Inputs!$B$39="pvp",15,MAX(0.1,Skills!D13-IF(Skills!E13=TRUE,Inputs!$B$32,0))))+1)),0)</f>
        <v/>
      </c>
      <c r="S947">
        <f>IFERROR(O947/N947,0)</f>
        <v/>
      </c>
      <c r="T947">
        <f>IF(C947,(H947*N947*IF(AND(Inputs!$B$39&lt;&gt;"pvp",Inputs!$B$44&gt;0),((Skills!G13*((R947-1)*IF(Skills!H13&gt;0,Skills!I13/Skills!H13,1)+IF(Skills!H13&gt;0,MIN(Skills!I13,MAX(0,MAX(0,Inputs!$B$44-B978)-((R947-1)*IF(Inputs!$B$39="pvp",15,MAX(0.1,Skills!D13-IF(Skills!E13=TRUE,Inputs!$B$32,0))))))/Skills!H13,1)))/Inputs!$B$44),G947*Q947))*IF(Inputs!$B$39="pvp",1,1+(Inputs!$B$20+0+Skills!P13+B968)/100),0)</f>
        <v/>
      </c>
      <c r="V947">
        <f>IF(C947,(H947*N947*IF(AND(Inputs!$B$39&lt;&gt;"pvp",Inputs!$B$44&gt;0),((Skills!G13*((R947-1)*IF(Skills!H13&gt;0,Skills!I13/Skills!H13,1)+IF(Skills!H13&gt;0,MIN(Skills!I13,MAX(0,MAX(0,Inputs!$B$44-B978)-((R947-1)*IF(Inputs!$B$39="pvp",15,MAX(0.1,Skills!D13-IF(Skills!E13=TRUE,Inputs!$B$32,0))))))/Skills!H13,1)))/Inputs!$B$44),G947*Q947))*IF(Inputs!$B$39="pvp",1,(1+(Inputs!$B$21+Skills!Q13+B968)/100)*(MIN(Skills!W13,Inputs!$B$37))),0)</f>
        <v/>
      </c>
    </row>
    <row r="948">
      <c r="A948">
        <f>Skills!A14</f>
        <v/>
      </c>
      <c r="B948">
        <f>Skills!B14</f>
        <v/>
      </c>
      <c r="C948">
        <f>Inputs!$B$3&gt;=107</f>
        <v/>
      </c>
      <c r="D948">
        <f>IF(Skills!C14=1,60+Inputs!$B$25+Inputs!$B$29,IF(Skills!C14=2,90+Inputs!$B$26+Inputs!$B$29,IF(Skills!C14=3,120+(Inputs!$B$27+1)+Inputs!$B$29,MAX(0,(Inputs!$B$3-100)*3)+Inputs!$B$28+Inputs!$B$29)))</f>
        <v/>
      </c>
      <c r="E948">
        <f>INDEX(FactorTable!$B$2:$Y$301, MATCH(ROUND(MIN(300,MAX(1,D948)),0), FactorTable!$A$2:$A$301,0), Skills!M14+1)</f>
        <v/>
      </c>
      <c r="F948">
        <f>IF(Skills!N14=TRUE,(Skills!L14/10)*(E948/1000),Skills!L14/10)+Skills!O14</f>
        <v/>
      </c>
      <c r="G948">
        <f>Skills!G14*IF(Skills!H14&gt;0,Skills!I14/Skills!H14,1)</f>
        <v/>
      </c>
      <c r="H948">
        <f>1-(1-Skills!J14/100)^Skills!K14</f>
        <v/>
      </c>
      <c r="I948" t="inlineStr">
        <is>
          <t>1</t>
        </is>
      </c>
      <c r="J948">
        <f>((Inputs!$B$6*(1+Inputs!$B$7/100))+(((Inputs!$B$12*(1+Inputs!$B$13/100))-(Inputs!$B$12*(1+Inputs!$B$13/100)))+0.25*(Inputs!$B$14-Inputs!$B$14))*(1+Inputs!$B$7/100))*(F948/100)</f>
        <v/>
      </c>
      <c r="K948">
        <f>J948*(1+((Inputs!$B$12*(1+Inputs!$B$13/100))*0.01+Inputs!$B$14*0.0025)/100)*(1+Inputs!$B$15/100)*(1+Inputs!$B$16/100)*(5000/(6000+Inputs!$B$43*(1-Inputs!$B$19/100)))*(1+(Inputs!$B$24+((C964=TRUE)*(F964-Calc!F30)))/100)*(1+(IF(Skills!A14="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948)</f>
        <v/>
      </c>
      <c r="L948">
        <f>K948*(MIN(Inputs!$B$22+((C958=TRUE)*(F958-Calc!F24)),Inputs!$B$23+((C963=TRUE)*(F963-Calc!F29)))/100+(Inputs!$B$23+((C963=TRUE)*(F963-Calc!F29)))/100)/2</f>
        <v/>
      </c>
      <c r="M948">
        <f>L948*(1+(Inputs!$B$10+((C960=TRUE)*(F960-Calc!F26))+B974)/100)</f>
        <v/>
      </c>
      <c r="N948">
        <f>L948*(1-MIN((Inputs!$B$9+((C959=TRUE)*(F959-Calc!F25))+B967),100)/100)+M948*(MIN((Inputs!$B$9+((C959=TRUE)*(F959-Calc!F25))+B967),100)/100)</f>
        <v/>
      </c>
      <c r="O948">
        <f>(1-Summary!$B$55)*T948+Summary!$B$55*V948</f>
        <v/>
      </c>
      <c r="P948">
        <f>IF(B979=0,0,O948/B979)</f>
        <v/>
      </c>
      <c r="Q948">
        <f>IFERROR(1/IF(Inputs!$B$39="pvp",15,MAX(0.1,Skills!D14-IF(Skills!E14=TRUE,Inputs!$B$32,0))),0)</f>
        <v/>
      </c>
      <c r="R948">
        <f>IF(AND(Inputs!$B$39&lt;&gt;"pvp",Inputs!$B$44&gt;0),IF(MAX(0,Inputs!$B$44-B978)&lt;=0,0,(INT(MAX(0,Inputs!$B$44-B978)/IF(Inputs!$B$39="pvp",15,MAX(0.1,Skills!D14-IF(Skills!E14=TRUE,Inputs!$B$32,0))))+1)),0)</f>
        <v/>
      </c>
      <c r="S948">
        <f>IFERROR(O948/N948,0)</f>
        <v/>
      </c>
      <c r="T948">
        <f>IF(C948,(H948*N948*IF(AND(Inputs!$B$39&lt;&gt;"pvp",Inputs!$B$44&gt;0),((Skills!G14*((R948-1)*IF(Skills!H14&gt;0,Skills!I14/Skills!H14,1)+IF(Skills!H14&gt;0,MIN(Skills!I14,MAX(0,MAX(0,Inputs!$B$44-B978)-((R948-1)*IF(Inputs!$B$39="pvp",15,MAX(0.1,Skills!D14-IF(Skills!E14=TRUE,Inputs!$B$32,0))))))/Skills!H14,1)))/Inputs!$B$44),G948*Q948))*IF(Inputs!$B$39="pvp",1,1+(Inputs!$B$20+0+Skills!P14+B968)/100),0)</f>
        <v/>
      </c>
      <c r="V948">
        <f>IF(C948,(H948*N948*IF(AND(Inputs!$B$39&lt;&gt;"pvp",Inputs!$B$44&gt;0),((Skills!G14*((R948-1)*IF(Skills!H14&gt;0,Skills!I14/Skills!H14,1)+IF(Skills!H14&gt;0,MIN(Skills!I14,MAX(0,MAX(0,Inputs!$B$44-B978)-((R948-1)*IF(Inputs!$B$39="pvp",15,MAX(0.1,Skills!D14-IF(Skills!E14=TRUE,Inputs!$B$32,0))))))/Skills!H14,1)))/Inputs!$B$44),G948*Q948))*IF(Inputs!$B$39="pvp",1,(1+(Inputs!$B$21+Skills!Q14+B968)/100)*(MIN(MIN(5,0.25*B971*Skills!D4)*Skills!V14,Inputs!$B$37))),0)</f>
        <v/>
      </c>
    </row>
    <row r="949">
      <c r="A949">
        <f>Skills!A15</f>
        <v/>
      </c>
      <c r="B949">
        <f>Skills!B15</f>
        <v/>
      </c>
      <c r="C949">
        <f>Inputs!$B$3&gt;=110</f>
        <v/>
      </c>
      <c r="D949">
        <f>IF(Skills!C15=1,60+Inputs!$B$25+Inputs!$B$29,IF(Skills!C15=2,90+Inputs!$B$26+Inputs!$B$29,IF(Skills!C15=3,120+(Inputs!$B$27+1)+Inputs!$B$29,MAX(0,(Inputs!$B$3-100)*3)+Inputs!$B$28+Inputs!$B$29)))</f>
        <v/>
      </c>
      <c r="E949">
        <f>INDEX(FactorTable!$B$2:$Y$301, MATCH(ROUND(MIN(300,MAX(1,D949)),0), FactorTable!$A$2:$A$301,0), Skills!M15+1)</f>
        <v/>
      </c>
      <c r="F949">
        <f>IF(Skills!N15=TRUE,(Skills!L15/10)*(E949/1000),Skills!L15/10)+Skills!O15</f>
        <v/>
      </c>
      <c r="G949">
        <f>Skills!G15*IF(Skills!H15&gt;0,Skills!I15/Skills!H15,1)</f>
        <v/>
      </c>
      <c r="H949">
        <f>1-(1-Skills!J15/100)^Skills!K15</f>
        <v/>
      </c>
      <c r="I949" t="inlineStr">
        <is>
          <t>1</t>
        </is>
      </c>
      <c r="J949" t="inlineStr"/>
      <c r="K949" t="inlineStr"/>
      <c r="L949" t="inlineStr"/>
      <c r="M949" t="inlineStr"/>
      <c r="N949" t="inlineStr"/>
      <c r="O949">
        <f>(1-Summary!$B$55)*T949+Summary!$B$55*V949</f>
        <v/>
      </c>
      <c r="P949">
        <f>IF(B979=0,0,O949/B979)</f>
        <v/>
      </c>
      <c r="Q949">
        <f>IFERROR(1/IF(Inputs!$B$39="pvp",15,MAX(0.1,Skills!D15-IF(Skills!E15=TRUE,Inputs!$B$32,0))),0)</f>
        <v/>
      </c>
      <c r="R949">
        <f>IF(AND(Inputs!$B$39&lt;&gt;"pvp",Inputs!$B$44&gt;0),IF(Inputs!$B$44&lt;=0,0,(INT(Inputs!$B$44/IF(Inputs!$B$39="pvp",15,MAX(0.1,Skills!D15-IF(Skills!E15=TRUE,Inputs!$B$32,0))))+1)),0)</f>
        <v/>
      </c>
      <c r="S949">
        <f>IFERROR(O949/N949,0)</f>
        <v/>
      </c>
      <c r="T949" t="n">
        <v>0</v>
      </c>
      <c r="V949" t="n">
        <v>0</v>
      </c>
    </row>
    <row r="950">
      <c r="A950">
        <f>Skills!A16</f>
        <v/>
      </c>
      <c r="B950">
        <f>Skills!B16</f>
        <v/>
      </c>
      <c r="C950">
        <f>Inputs!$B$3&gt;=115</f>
        <v/>
      </c>
      <c r="D950">
        <f>IF(Skills!C16=1,60+Inputs!$B$25+Inputs!$B$29,IF(Skills!C16=2,90+Inputs!$B$26+Inputs!$B$29,IF(Skills!C16=3,120+(Inputs!$B$27+1)+Inputs!$B$29,MAX(0,(Inputs!$B$3-100)*3)+Inputs!$B$28+Inputs!$B$29)))</f>
        <v/>
      </c>
      <c r="E950">
        <f>INDEX(FactorTable!$B$2:$Y$301, MATCH(ROUND(MIN(300,MAX(1,D950)),0), FactorTable!$A$2:$A$301,0), Skills!M16+1)</f>
        <v/>
      </c>
      <c r="F950">
        <f>IF(Skills!N16=TRUE,(Skills!L16/10)*(E950/1000),Skills!L16/10)+Skills!O16</f>
        <v/>
      </c>
      <c r="G950">
        <f>Skills!G16*IF(Skills!H16&gt;0,Skills!I16/Skills!H16,1)</f>
        <v/>
      </c>
      <c r="H950">
        <f>1-(1-Skills!J16/100)^Skills!K16</f>
        <v/>
      </c>
      <c r="I950" t="inlineStr">
        <is>
          <t>1</t>
        </is>
      </c>
      <c r="J950">
        <f>((Inputs!$B$6*(1+Inputs!$B$7/100))+(((Inputs!$B$12*(1+Inputs!$B$13/100))-(Inputs!$B$12*(1+Inputs!$B$13/100)))+0.25*(Inputs!$B$14-Inputs!$B$14))*(1+Inputs!$B$7/100))*(F950/100)</f>
        <v/>
      </c>
      <c r="K950">
        <f>J950*(1+((Inputs!$B$12*(1+Inputs!$B$13/100))*0.01+Inputs!$B$14*0.0025)/100)*(1+Inputs!$B$15/100)*(1+Inputs!$B$16/100)*(5000/(6000+Inputs!$B$43*(1-Inputs!$B$19/100)))*(1+(Inputs!$B$24+((C964=TRUE)*(F964-Calc!F30)))/100)*(1+(IF(Skills!A16="CRUEL_STAB",Inputs!$B$17+((C961=TRUE)*(F961-Calc!F27)),Inputs!$B$18+((C962=TRUE)*(F962-Calc!F28))))/100)*(((1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B969*I950)</f>
        <v/>
      </c>
      <c r="L950">
        <f>K950*(MIN(Inputs!$B$22+((C958=TRUE)*(F958-Calc!F24)),Inputs!$B$23+((C963=TRUE)*(F963-Calc!F29)))/100+(Inputs!$B$23+((C963=TRUE)*(F963-Calc!F29)))/100)/2</f>
        <v/>
      </c>
      <c r="M950">
        <f>L950*(1+(Inputs!$B$10+((C960=TRUE)*(F960-Calc!F26))+B974)/100)</f>
        <v/>
      </c>
      <c r="N950">
        <f>L950*(1-MIN((Inputs!$B$9+((C959=TRUE)*(F959-Calc!F25))+B967),100)/100)+M950*(MIN((Inputs!$B$9+((C959=TRUE)*(F959-Calc!F25))+B967),100)/100)</f>
        <v/>
      </c>
      <c r="O950">
        <f>(1-Summary!$B$55)*T950+Summary!$B$55*V950</f>
        <v/>
      </c>
      <c r="P950">
        <f>IF(B979=0,0,O950/B979)</f>
        <v/>
      </c>
      <c r="Q950" t="n">
        <v>0</v>
      </c>
      <c r="R950" t="n">
        <v>0</v>
      </c>
      <c r="S950">
        <f>IFERROR(O950/N950,0)</f>
        <v/>
      </c>
      <c r="T950">
        <f>IF(C950,(Inputs!$B$38*0.2*N950)*IF(Inputs!$B$39="pvp",1,1+(Inputs!$B$20+0+Skills!P16+B968)/100),0)</f>
        <v/>
      </c>
      <c r="V950">
        <f>IF(C950,(Inputs!$B$38*0.2*N950)*IF(Inputs!$B$39="pvp",1,(1+(Inputs!$B$21+Skills!Q16+B968)/100)*(MIN(Skills!W16,Inputs!$B$37))),0)</f>
        <v/>
      </c>
    </row>
    <row r="951">
      <c r="A951">
        <f>Skills!A17</f>
        <v/>
      </c>
      <c r="B951">
        <f>Skills!B17</f>
        <v/>
      </c>
      <c r="C951">
        <f>Inputs!$B$3&gt;=115</f>
        <v/>
      </c>
      <c r="D951">
        <f>IF(Skills!C17=1,60+Inputs!$B$25+Inputs!$B$29,IF(Skills!C17=2,90+Inputs!$B$26+Inputs!$B$29,IF(Skills!C17=3,120+(Inputs!$B$27+1)+Inputs!$B$29,MAX(0,(Inputs!$B$3-100)*3)+Inputs!$B$28+Inputs!$B$29)))</f>
        <v/>
      </c>
      <c r="E951">
        <f>INDEX(FactorTable!$B$2:$Y$301, MATCH(ROUND(MIN(300,MAX(1,D951)),0), FactorTable!$A$2:$A$301,0), Skills!M17+1)</f>
        <v/>
      </c>
      <c r="F951">
        <f>IF(Skills!N17=TRUE,(Skills!L17/10)*(E951/1000),Skills!L17/10)+Skills!O17</f>
        <v/>
      </c>
      <c r="G951">
        <f>Skills!G17*IF(Skills!H17&gt;0,Skills!I17/Skills!H17,1)</f>
        <v/>
      </c>
      <c r="H951">
        <f>1-(1-Skills!J17/100)^Skills!K17</f>
        <v/>
      </c>
      <c r="I951" t="inlineStr">
        <is>
          <t>1</t>
        </is>
      </c>
      <c r="J951" t="inlineStr"/>
      <c r="K951" t="inlineStr"/>
      <c r="L951" t="inlineStr"/>
      <c r="M951" t="inlineStr"/>
      <c r="N951" t="inlineStr"/>
      <c r="O951">
        <f>(1-Summary!$B$55)*T951+Summary!$B$55*V951</f>
        <v/>
      </c>
      <c r="P951">
        <f>IF(B979=0,0,O951/B979)</f>
        <v/>
      </c>
      <c r="Q951" t="n">
        <v>0</v>
      </c>
      <c r="R951" t="n">
        <v>0</v>
      </c>
      <c r="S951">
        <f>IFERROR(O951/N951,0)</f>
        <v/>
      </c>
      <c r="T951" t="n">
        <v>0</v>
      </c>
      <c r="V951" t="n">
        <v>0</v>
      </c>
    </row>
    <row r="952">
      <c r="A952">
        <f>Skills!A18</f>
        <v/>
      </c>
      <c r="B952">
        <f>Skills!B18</f>
        <v/>
      </c>
      <c r="C952">
        <f>Inputs!$B$3&gt;=100</f>
        <v/>
      </c>
      <c r="D952">
        <f>IF(Skills!C18=1,60+Inputs!$B$25+Inputs!$B$29,IF(Skills!C18=2,90+Inputs!$B$26+Inputs!$B$29,IF(Skills!C18=3,120+(Inputs!$B$27+1)+Inputs!$B$29,MAX(0,(Inputs!$B$3-100)*3)+Inputs!$B$28+Inputs!$B$29)))</f>
        <v/>
      </c>
      <c r="E952">
        <f>INDEX(FactorTable!$B$2:$Y$301, MATCH(ROUND(MIN(300,MAX(1,D952)),0), FactorTable!$A$2:$A$301,0), Skills!M18+1)</f>
        <v/>
      </c>
      <c r="F952">
        <f>IF(Skills!N18=TRUE,(Skills!L18/10)*(E952/1000),Skills!L18/10)+Skills!O18</f>
        <v/>
      </c>
      <c r="G952">
        <f>Skills!G18*IF(Skills!H18&gt;0,Skills!I18/Skills!H18,1)</f>
        <v/>
      </c>
      <c r="H952">
        <f>1-(1-Skills!J18/100)^Skills!K18</f>
        <v/>
      </c>
      <c r="I952" t="inlineStr">
        <is>
          <t>1</t>
        </is>
      </c>
      <c r="J952" t="inlineStr"/>
      <c r="K952" t="inlineStr"/>
      <c r="L952" t="inlineStr"/>
      <c r="M952" t="inlineStr"/>
      <c r="N952" t="inlineStr"/>
      <c r="O952">
        <f>(1-Summary!$B$55)*T952+Summary!$B$55*V952</f>
        <v/>
      </c>
      <c r="P952">
        <f>IF(B979=0,0,O952/B979)</f>
        <v/>
      </c>
      <c r="Q952" t="n">
        <v>0</v>
      </c>
      <c r="R952" t="n">
        <v>0</v>
      </c>
      <c r="S952">
        <f>IFERROR(O952/N952,0)</f>
        <v/>
      </c>
      <c r="T952" t="n">
        <v>0</v>
      </c>
      <c r="V952" t="n">
        <v>0</v>
      </c>
    </row>
    <row r="953">
      <c r="A953">
        <f>Skills!A19</f>
        <v/>
      </c>
      <c r="B953">
        <f>Skills!B19</f>
        <v/>
      </c>
      <c r="C953">
        <f>TRUE</f>
        <v/>
      </c>
      <c r="D953">
        <f>IF(Skills!C19=1,60+Inputs!$B$25+Inputs!$B$29,IF(Skills!C19=2,90+Inputs!$B$26+Inputs!$B$29,IF(Skills!C19=3,120+(Inputs!$B$27+1)+Inputs!$B$29,MAX(0,(Inputs!$B$3-100)*3)+Inputs!$B$28+Inputs!$B$29)))</f>
        <v/>
      </c>
      <c r="E953">
        <f>INDEX(FactorTable!$B$2:$Y$301, MATCH(ROUND(MIN(300,MAX(1,D953)),0), FactorTable!$A$2:$A$301,0), Skills!M19+1)</f>
        <v/>
      </c>
      <c r="F953">
        <f>IF(Skills!N19=TRUE,(Skills!L19/10)*(E953/1000),Skills!L19/10)+Skills!O19</f>
        <v/>
      </c>
      <c r="G953">
        <f>Skills!G19*IF(Skills!H19&gt;0,Skills!I19/Skills!H19,1)</f>
        <v/>
      </c>
      <c r="H953">
        <f>1-(1-Skills!J19/100)^Skills!K19</f>
        <v/>
      </c>
      <c r="I953" t="inlineStr">
        <is>
          <t>1</t>
        </is>
      </c>
      <c r="J953" t="inlineStr"/>
      <c r="K953" t="inlineStr"/>
      <c r="L953" t="inlineStr"/>
      <c r="M953" t="inlineStr"/>
      <c r="N953" t="inlineStr"/>
      <c r="O953">
        <f>(1-Summary!$B$55)*T953+Summary!$B$55*V953</f>
        <v/>
      </c>
      <c r="P953">
        <f>IF(B979=0,0,O953/B979)</f>
        <v/>
      </c>
      <c r="Q953">
        <f>IFERROR(1/IF(Inputs!$B$39="pvp",15,MAX(0.1,Skills!D19-IF(Skills!E19=TRUE,Inputs!$B$32,0))),0)</f>
        <v/>
      </c>
      <c r="R953">
        <f>IF(AND(Inputs!$B$39&lt;&gt;"pvp",Inputs!$B$44&gt;0),IF(Inputs!$B$44&lt;=0,0,(INT(Inputs!$B$44/IF(Inputs!$B$39="pvp",15,MAX(0.1,Skills!D19-IF(Skills!E19=TRUE,Inputs!$B$32,0))))+1)),0)</f>
        <v/>
      </c>
      <c r="S953">
        <f>IFERROR(O953/N953,0)</f>
        <v/>
      </c>
      <c r="T953" t="n">
        <v>0</v>
      </c>
      <c r="V953" t="n">
        <v>0</v>
      </c>
    </row>
    <row r="954">
      <c r="A954">
        <f>Skills!A20</f>
        <v/>
      </c>
      <c r="B954">
        <f>Skills!B20</f>
        <v/>
      </c>
      <c r="C954">
        <f>Inputs!$B$3&gt;=15</f>
        <v/>
      </c>
      <c r="D954">
        <f>IF(Skills!C20=1,60+Inputs!$B$25+Inputs!$B$29,IF(Skills!C20=2,90+Inputs!$B$26+Inputs!$B$29,IF(Skills!C20=3,120+(Inputs!$B$27+1)+Inputs!$B$29,MAX(0,(Inputs!$B$3-100)*3)+Inputs!$B$28+Inputs!$B$29)))</f>
        <v/>
      </c>
      <c r="E954">
        <f>INDEX(FactorTable!$B$2:$Y$301, MATCH(ROUND(MIN(300,MAX(1,D954)),0), FactorTable!$A$2:$A$301,0), Skills!M20+1)</f>
        <v/>
      </c>
      <c r="F954">
        <f>IF(Skills!N20=TRUE,(Skills!L20/10)*(E954/1000),Skills!L20/10)+Skills!O20</f>
        <v/>
      </c>
      <c r="G954">
        <f>Skills!G20*IF(Skills!H20&gt;0,Skills!I20/Skills!H20,1)</f>
        <v/>
      </c>
      <c r="H954">
        <f>1-(1-Skills!J20/100)^Skills!K20</f>
        <v/>
      </c>
      <c r="I954" t="inlineStr">
        <is>
          <t>1</t>
        </is>
      </c>
      <c r="J954" t="inlineStr"/>
      <c r="K954" t="inlineStr"/>
      <c r="L954" t="inlineStr"/>
      <c r="M954" t="inlineStr"/>
      <c r="N954" t="inlineStr"/>
      <c r="O954">
        <f>(1-Summary!$B$55)*T954+Summary!$B$55*V954</f>
        <v/>
      </c>
      <c r="P954">
        <f>IF(B979=0,0,O954/B979)</f>
        <v/>
      </c>
      <c r="Q954">
        <f>IFERROR(1/IF(Inputs!$B$39="pvp",15,MAX(0.1,Skills!D20-IF(Skills!E20=TRUE,Inputs!$B$32,0))),0)</f>
        <v/>
      </c>
      <c r="R954">
        <f>IF(AND(Inputs!$B$39&lt;&gt;"pvp",Inputs!$B$44&gt;0),IF(Inputs!$B$44&lt;=0,0,(INT(Inputs!$B$44/IF(Inputs!$B$39="pvp",15,MAX(0.1,Skills!D20-IF(Skills!E20=TRUE,Inputs!$B$32,0))))+1)),0)</f>
        <v/>
      </c>
      <c r="S954">
        <f>IFERROR(O954/N954,0)</f>
        <v/>
      </c>
      <c r="T954" t="n">
        <v>0</v>
      </c>
      <c r="V954" t="n">
        <v>0</v>
      </c>
    </row>
    <row r="955">
      <c r="A955">
        <f>Skills!A21</f>
        <v/>
      </c>
      <c r="B955">
        <f>Skills!B21</f>
        <v/>
      </c>
      <c r="C955">
        <f>Inputs!$B$3&gt;=15</f>
        <v/>
      </c>
      <c r="D955">
        <f>IF(Skills!C21=1,60+Inputs!$B$25+Inputs!$B$29,IF(Skills!C21=2,90+Inputs!$B$26+Inputs!$B$29,IF(Skills!C21=3,120+(Inputs!$B$27+1)+Inputs!$B$29,MAX(0,(Inputs!$B$3-100)*3)+Inputs!$B$28+Inputs!$B$29)))</f>
        <v/>
      </c>
      <c r="E955">
        <f>INDEX(FactorTable!$B$2:$Y$301, MATCH(ROUND(MIN(300,MAX(1,D955)),0), FactorTable!$A$2:$A$301,0), Skills!M21+1)</f>
        <v/>
      </c>
      <c r="F955">
        <f>IF(Skills!N21=TRUE,(Skills!L21/10)*(E955/1000),Skills!L21/10)+Skills!O21</f>
        <v/>
      </c>
      <c r="G955">
        <f>Skills!G21*IF(Skills!H21&gt;0,Skills!I21/Skills!H21,1)</f>
        <v/>
      </c>
      <c r="H955">
        <f>1-(1-Skills!J21/100)^Skills!K21</f>
        <v/>
      </c>
      <c r="I955" t="inlineStr">
        <is>
          <t>1</t>
        </is>
      </c>
      <c r="J955" t="inlineStr"/>
      <c r="K955" t="inlineStr"/>
      <c r="L955" t="inlineStr"/>
      <c r="M955" t="inlineStr"/>
      <c r="N955" t="inlineStr"/>
      <c r="O955">
        <f>(1-Summary!$B$55)*T955+Summary!$B$55*V955</f>
        <v/>
      </c>
      <c r="P955">
        <f>IF(B979=0,0,O955/B979)</f>
        <v/>
      </c>
      <c r="Q955">
        <f>IFERROR(1/IF(Inputs!$B$39="pvp",15,MAX(0.1,Skills!D21-IF(Skills!E21=TRUE,Inputs!$B$32,0))),0)</f>
        <v/>
      </c>
      <c r="R955">
        <f>IF(AND(Inputs!$B$39&lt;&gt;"pvp",Inputs!$B$44&gt;0),IF(Inputs!$B$44&lt;=0,0,(INT(Inputs!$B$44/IF(Inputs!$B$39="pvp",15,MAX(0.1,Skills!D21-IF(Skills!E21=TRUE,Inputs!$B$32,0))))+1)),0)</f>
        <v/>
      </c>
      <c r="S955">
        <f>IFERROR(O955/N955,0)</f>
        <v/>
      </c>
      <c r="T955" t="n">
        <v>0</v>
      </c>
      <c r="V955" t="n">
        <v>0</v>
      </c>
    </row>
    <row r="956">
      <c r="A956">
        <f>Skills!A22</f>
        <v/>
      </c>
      <c r="B956">
        <f>Skills!B22</f>
        <v/>
      </c>
      <c r="C956">
        <f>Inputs!$B$3&gt;=33</f>
        <v/>
      </c>
      <c r="D956">
        <f>IF(Skills!C22=1,60+Inputs!$B$25+Inputs!$B$29,IF(Skills!C22=2,90+Inputs!$B$26+Inputs!$B$29,IF(Skills!C22=3,120+(Inputs!$B$27+1)+Inputs!$B$29,MAX(0,(Inputs!$B$3-100)*3)+Inputs!$B$28+Inputs!$B$29)))</f>
        <v/>
      </c>
      <c r="E956">
        <f>INDEX(FactorTable!$B$2:$Y$301, MATCH(ROUND(MIN(300,MAX(1,D956)),0), FactorTable!$A$2:$A$301,0), Skills!M22+1)</f>
        <v/>
      </c>
      <c r="F956">
        <f>IF(Skills!N22=TRUE,(Skills!L22/10)*(E956/1000),Skills!L22/10)+Skills!O22</f>
        <v/>
      </c>
      <c r="G956">
        <f>Skills!G22*IF(Skills!H22&gt;0,Skills!I22/Skills!H22,1)</f>
        <v/>
      </c>
      <c r="H956">
        <f>1-(1-Skills!J22/100)^Skills!K22</f>
        <v/>
      </c>
      <c r="I956" t="inlineStr">
        <is>
          <t>1</t>
        </is>
      </c>
      <c r="J956" t="inlineStr"/>
      <c r="K956" t="inlineStr"/>
      <c r="L956" t="inlineStr"/>
      <c r="M956" t="inlineStr"/>
      <c r="N956" t="inlineStr"/>
      <c r="O956">
        <f>(1-Summary!$B$55)*T956+Summary!$B$55*V956</f>
        <v/>
      </c>
      <c r="P956">
        <f>IF(B979=0,0,O956/B979)</f>
        <v/>
      </c>
      <c r="Q956" t="n">
        <v>0</v>
      </c>
      <c r="R956" t="n">
        <v>0</v>
      </c>
      <c r="S956">
        <f>IFERROR(O956/N956,0)</f>
        <v/>
      </c>
      <c r="T956" t="n">
        <v>0</v>
      </c>
      <c r="V956" t="n">
        <v>0</v>
      </c>
    </row>
    <row r="957">
      <c r="A957">
        <f>Skills!A23</f>
        <v/>
      </c>
      <c r="B957">
        <f>Skills!B23</f>
        <v/>
      </c>
      <c r="C957">
        <f>Inputs!$B$3&gt;=40</f>
        <v/>
      </c>
      <c r="D957">
        <f>IF(Skills!C23=1,60+Inputs!$B$25+Inputs!$B$29,IF(Skills!C23=2,90+Inputs!$B$26+Inputs!$B$29,IF(Skills!C23=3,120+(Inputs!$B$27+1)+Inputs!$B$29,MAX(0,(Inputs!$B$3-100)*3)+Inputs!$B$28+Inputs!$B$29)))</f>
        <v/>
      </c>
      <c r="E957">
        <f>INDEX(FactorTable!$B$2:$Y$301, MATCH(ROUND(MIN(300,MAX(1,D957)),0), FactorTable!$A$2:$A$301,0), Skills!M23+1)</f>
        <v/>
      </c>
      <c r="F957">
        <f>IF(Skills!N23=TRUE,(Skills!L23/10)*(E957/1000),Skills!L23/10)+Skills!O23</f>
        <v/>
      </c>
      <c r="G957">
        <f>Skills!G23*IF(Skills!H23&gt;0,Skills!I23/Skills!H23,1)</f>
        <v/>
      </c>
      <c r="H957">
        <f>1-(1-Skills!J23/100)^Skills!K23</f>
        <v/>
      </c>
      <c r="I957" t="inlineStr">
        <is>
          <t>1</t>
        </is>
      </c>
      <c r="J957" t="inlineStr"/>
      <c r="K957" t="inlineStr"/>
      <c r="L957" t="inlineStr"/>
      <c r="M957" t="inlineStr"/>
      <c r="N957" t="inlineStr"/>
      <c r="O957">
        <f>(1-Summary!$B$55)*T957+Summary!$B$55*V957</f>
        <v/>
      </c>
      <c r="P957">
        <f>IF(B979=0,0,O957/B979)</f>
        <v/>
      </c>
      <c r="Q957" t="n">
        <v>0</v>
      </c>
      <c r="R957" t="n">
        <v>0</v>
      </c>
      <c r="S957">
        <f>IFERROR(O957/N957,0)</f>
        <v/>
      </c>
      <c r="T957" t="n">
        <v>0</v>
      </c>
      <c r="V957" t="n">
        <v>0</v>
      </c>
    </row>
    <row r="958">
      <c r="A958">
        <f>Skills!A24</f>
        <v/>
      </c>
      <c r="B958">
        <f>Skills!B24</f>
        <v/>
      </c>
      <c r="C958">
        <f>Inputs!$B$3&gt;=43</f>
        <v/>
      </c>
      <c r="D958">
        <f>IF(Skills!C24=1,60+Inputs!$B$25+Inputs!$B$29,IF(Skills!C24=2,90+Inputs!$B$26+Inputs!$B$29,IF(Skills!C24=3,120+(Inputs!$B$27+1)+Inputs!$B$29,MAX(0,(Inputs!$B$3-100)*3)+Inputs!$B$28+Inputs!$B$29)))</f>
        <v/>
      </c>
      <c r="E958">
        <f>INDEX(FactorTable!$B$2:$Y$301, MATCH(ROUND(MIN(300,MAX(1,D958)),0), FactorTable!$A$2:$A$301,0), Skills!M24+1)</f>
        <v/>
      </c>
      <c r="F958">
        <f>IF(Skills!N24=TRUE,(Skills!L24/10)*(E958/1000),Skills!L24/10)+Skills!O24</f>
        <v/>
      </c>
      <c r="G958">
        <f>Skills!G24*IF(Skills!H24&gt;0,Skills!I24/Skills!H24,1)</f>
        <v/>
      </c>
      <c r="H958">
        <f>1-(1-Skills!J24/100)^Skills!K24</f>
        <v/>
      </c>
      <c r="I958" t="inlineStr">
        <is>
          <t>1</t>
        </is>
      </c>
      <c r="J958" t="inlineStr"/>
      <c r="K958" t="inlineStr"/>
      <c r="L958" t="inlineStr"/>
      <c r="M958" t="inlineStr"/>
      <c r="N958" t="inlineStr"/>
      <c r="O958">
        <f>(1-Summary!$B$55)*T958+Summary!$B$55*V958</f>
        <v/>
      </c>
      <c r="P958">
        <f>IF(B979=0,0,O958/B979)</f>
        <v/>
      </c>
      <c r="Q958" t="n">
        <v>0</v>
      </c>
      <c r="R958" t="n">
        <v>0</v>
      </c>
      <c r="S958">
        <f>IFERROR(O958/N958,0)</f>
        <v/>
      </c>
      <c r="T958" t="n">
        <v>0</v>
      </c>
      <c r="V958" t="n">
        <v>0</v>
      </c>
    </row>
    <row r="959">
      <c r="A959">
        <f>Skills!A25</f>
        <v/>
      </c>
      <c r="B959">
        <f>Skills!B25</f>
        <v/>
      </c>
      <c r="C959">
        <f>Inputs!$B$3&gt;=50</f>
        <v/>
      </c>
      <c r="D959">
        <f>IF(Skills!C25=1,60+Inputs!$B$25+Inputs!$B$29,IF(Skills!C25=2,90+Inputs!$B$26+Inputs!$B$29,IF(Skills!C25=3,120+(Inputs!$B$27+1)+Inputs!$B$29,MAX(0,(Inputs!$B$3-100)*3)+Inputs!$B$28+Inputs!$B$29)))</f>
        <v/>
      </c>
      <c r="E959">
        <f>INDEX(FactorTable!$B$2:$Y$301, MATCH(ROUND(MIN(300,MAX(1,D959)),0), FactorTable!$A$2:$A$301,0), Skills!M25+1)</f>
        <v/>
      </c>
      <c r="F959">
        <f>IF(Skills!N25=TRUE,(Skills!L25/10)*(E959/1000),Skills!L25/10)+Skills!O25</f>
        <v/>
      </c>
      <c r="G959">
        <f>Skills!G25*IF(Skills!H25&gt;0,Skills!I25/Skills!H25,1)</f>
        <v/>
      </c>
      <c r="H959">
        <f>1-(1-Skills!J25/100)^Skills!K25</f>
        <v/>
      </c>
      <c r="I959" t="inlineStr">
        <is>
          <t>1</t>
        </is>
      </c>
      <c r="J959" t="inlineStr"/>
      <c r="K959" t="inlineStr"/>
      <c r="L959" t="inlineStr"/>
      <c r="M959" t="inlineStr"/>
      <c r="N959" t="inlineStr"/>
      <c r="O959">
        <f>(1-Summary!$B$55)*T959+Summary!$B$55*V959</f>
        <v/>
      </c>
      <c r="P959">
        <f>IF(B979=0,0,O959/B979)</f>
        <v/>
      </c>
      <c r="Q959" t="n">
        <v>0</v>
      </c>
      <c r="R959" t="n">
        <v>0</v>
      </c>
      <c r="S959">
        <f>IFERROR(O959/N959,0)</f>
        <v/>
      </c>
      <c r="T959" t="n">
        <v>0</v>
      </c>
      <c r="V959" t="n">
        <v>0</v>
      </c>
    </row>
    <row r="960">
      <c r="A960">
        <f>Skills!A26</f>
        <v/>
      </c>
      <c r="B960">
        <f>Skills!B26</f>
        <v/>
      </c>
      <c r="C960">
        <f>Inputs!$B$3&gt;=50</f>
        <v/>
      </c>
      <c r="D960">
        <f>IF(Skills!C26=1,60+Inputs!$B$25+Inputs!$B$29,IF(Skills!C26=2,90+Inputs!$B$26+Inputs!$B$29,IF(Skills!C26=3,120+(Inputs!$B$27+1)+Inputs!$B$29,MAX(0,(Inputs!$B$3-100)*3)+Inputs!$B$28+Inputs!$B$29)))</f>
        <v/>
      </c>
      <c r="E960">
        <f>INDEX(FactorTable!$B$2:$Y$301, MATCH(ROUND(MIN(300,MAX(1,D960)),0), FactorTable!$A$2:$A$301,0), Skills!M26+1)</f>
        <v/>
      </c>
      <c r="F960">
        <f>IF(Skills!N26=TRUE,(Skills!L26/10)*(E960/1000),Skills!L26/10)+Skills!O26</f>
        <v/>
      </c>
      <c r="G960">
        <f>Skills!G26*IF(Skills!H26&gt;0,Skills!I26/Skills!H26,1)</f>
        <v/>
      </c>
      <c r="H960">
        <f>1-(1-Skills!J26/100)^Skills!K26</f>
        <v/>
      </c>
      <c r="I960" t="inlineStr">
        <is>
          <t>1</t>
        </is>
      </c>
      <c r="J960" t="inlineStr"/>
      <c r="K960" t="inlineStr"/>
      <c r="L960" t="inlineStr"/>
      <c r="M960" t="inlineStr"/>
      <c r="N960" t="inlineStr"/>
      <c r="O960">
        <f>(1-Summary!$B$55)*T960+Summary!$B$55*V960</f>
        <v/>
      </c>
      <c r="P960">
        <f>IF(B979=0,0,O960/B979)</f>
        <v/>
      </c>
      <c r="Q960" t="n">
        <v>0</v>
      </c>
      <c r="R960" t="n">
        <v>0</v>
      </c>
      <c r="S960">
        <f>IFERROR(O960/N960,0)</f>
        <v/>
      </c>
      <c r="T960" t="n">
        <v>0</v>
      </c>
      <c r="V960" t="n">
        <v>0</v>
      </c>
    </row>
    <row r="961">
      <c r="A961">
        <f>Skills!A27</f>
        <v/>
      </c>
      <c r="B961">
        <f>Skills!B27</f>
        <v/>
      </c>
      <c r="C961">
        <f>Inputs!$B$3&gt;=38</f>
        <v/>
      </c>
      <c r="D961">
        <f>IF(Skills!C27=1,60+Inputs!$B$25+Inputs!$B$29,IF(Skills!C27=2,90+Inputs!$B$26+Inputs!$B$29,IF(Skills!C27=3,120+(Inputs!$B$27+1)+Inputs!$B$29,MAX(0,(Inputs!$B$3-100)*3)+Inputs!$B$28+Inputs!$B$29)))</f>
        <v/>
      </c>
      <c r="E961">
        <f>INDEX(FactorTable!$B$2:$Y$301, MATCH(ROUND(MIN(300,MAX(1,D961)),0), FactorTable!$A$2:$A$301,0), Skills!M27+1)</f>
        <v/>
      </c>
      <c r="F961">
        <f>IF(Skills!N27=TRUE,(Skills!L27/10)*(E961/1000),Skills!L27/10)+Skills!O27</f>
        <v/>
      </c>
      <c r="G961">
        <f>Skills!G27*IF(Skills!H27&gt;0,Skills!I27/Skills!H27,1)</f>
        <v/>
      </c>
      <c r="H961">
        <f>1-(1-Skills!J27/100)^Skills!K27</f>
        <v/>
      </c>
      <c r="I961" t="inlineStr">
        <is>
          <t>1</t>
        </is>
      </c>
      <c r="J961" t="inlineStr"/>
      <c r="K961" t="inlineStr"/>
      <c r="L961" t="inlineStr"/>
      <c r="M961" t="inlineStr"/>
      <c r="N961" t="inlineStr"/>
      <c r="O961">
        <f>(1-Summary!$B$55)*T961+Summary!$B$55*V961</f>
        <v/>
      </c>
      <c r="P961">
        <f>IF(B979=0,0,O961/B979)</f>
        <v/>
      </c>
      <c r="Q961" t="n">
        <v>0</v>
      </c>
      <c r="R961" t="n">
        <v>0</v>
      </c>
      <c r="S961">
        <f>IFERROR(O961/N961,0)</f>
        <v/>
      </c>
      <c r="T961" t="n">
        <v>0</v>
      </c>
      <c r="V961" t="n">
        <v>0</v>
      </c>
    </row>
    <row r="962">
      <c r="A962">
        <f>Skills!A28</f>
        <v/>
      </c>
      <c r="B962">
        <f>Skills!B28</f>
        <v/>
      </c>
      <c r="C962">
        <f>Inputs!$B$3&gt;=120</f>
        <v/>
      </c>
      <c r="D962">
        <f>IF(Skills!C28=1,60+Inputs!$B$25+Inputs!$B$29,IF(Skills!C28=2,90+Inputs!$B$26+Inputs!$B$29,IF(Skills!C28=3,120+(Inputs!$B$27+1)+Inputs!$B$29,MAX(0,(Inputs!$B$3-100)*3)+Inputs!$B$28+Inputs!$B$29)))</f>
        <v/>
      </c>
      <c r="E962">
        <f>INDEX(FactorTable!$B$2:$Y$301, MATCH(ROUND(MIN(300,MAX(1,D962)),0), FactorTable!$A$2:$A$301,0), Skills!M28+1)</f>
        <v/>
      </c>
      <c r="F962">
        <f>IF(Skills!N28=TRUE,(Skills!L28/10)*(E962/1000),Skills!L28/10)+Skills!O28</f>
        <v/>
      </c>
      <c r="G962">
        <f>Skills!G28*IF(Skills!H28&gt;0,Skills!I28/Skills!H28,1)</f>
        <v/>
      </c>
      <c r="H962">
        <f>1-(1-Skills!J28/100)^Skills!K28</f>
        <v/>
      </c>
      <c r="I962" t="inlineStr">
        <is>
          <t>1</t>
        </is>
      </c>
      <c r="J962" t="inlineStr"/>
      <c r="K962" t="inlineStr"/>
      <c r="L962" t="inlineStr"/>
      <c r="M962" t="inlineStr"/>
      <c r="N962" t="inlineStr"/>
      <c r="O962">
        <f>(1-Summary!$B$55)*T962+Summary!$B$55*V962</f>
        <v/>
      </c>
      <c r="P962">
        <f>IF(B979=0,0,O962/B979)</f>
        <v/>
      </c>
      <c r="Q962" t="n">
        <v>0</v>
      </c>
      <c r="R962" t="n">
        <v>0</v>
      </c>
      <c r="S962">
        <f>IFERROR(O962/N962,0)</f>
        <v/>
      </c>
      <c r="T962" t="n">
        <v>0</v>
      </c>
      <c r="V962" t="n">
        <v>0</v>
      </c>
    </row>
    <row r="963">
      <c r="A963">
        <f>Skills!A29</f>
        <v/>
      </c>
      <c r="B963">
        <f>Skills!B29</f>
        <v/>
      </c>
      <c r="C963">
        <f>Inputs!$B$3&gt;=120</f>
        <v/>
      </c>
      <c r="D963">
        <f>IF(Skills!C29=1,60+Inputs!$B$25+Inputs!$B$29,IF(Skills!C29=2,90+Inputs!$B$26+Inputs!$B$29,IF(Skills!C29=3,120+(Inputs!$B$27+1)+Inputs!$B$29,MAX(0,(Inputs!$B$3-100)*3)+Inputs!$B$28+Inputs!$B$29)))</f>
        <v/>
      </c>
      <c r="E963">
        <f>INDEX(FactorTable!$B$2:$Y$301, MATCH(ROUND(MIN(300,MAX(1,D963)),0), FactorTable!$A$2:$A$301,0), Skills!M29+1)</f>
        <v/>
      </c>
      <c r="F963">
        <f>IF(Skills!N29=TRUE,(Skills!L29/10)*(E963/1000),Skills!L29/10)+Skills!O29</f>
        <v/>
      </c>
      <c r="G963">
        <f>Skills!G29*IF(Skills!H29&gt;0,Skills!I29/Skills!H29,1)</f>
        <v/>
      </c>
      <c r="H963">
        <f>1-(1-Skills!J29/100)^Skills!K29</f>
        <v/>
      </c>
      <c r="I963" t="inlineStr">
        <is>
          <t>1</t>
        </is>
      </c>
      <c r="J963" t="inlineStr"/>
      <c r="K963" t="inlineStr"/>
      <c r="L963" t="inlineStr"/>
      <c r="M963" t="inlineStr"/>
      <c r="N963" t="inlineStr"/>
      <c r="O963">
        <f>(1-Summary!$B$55)*T963+Summary!$B$55*V963</f>
        <v/>
      </c>
      <c r="P963">
        <f>IF(B979=0,0,O963/B979)</f>
        <v/>
      </c>
      <c r="Q963" t="n">
        <v>0</v>
      </c>
      <c r="R963" t="n">
        <v>0</v>
      </c>
      <c r="S963">
        <f>IFERROR(O963/N963,0)</f>
        <v/>
      </c>
      <c r="T963" t="n">
        <v>0</v>
      </c>
      <c r="V963" t="n">
        <v>0</v>
      </c>
    </row>
    <row r="964">
      <c r="A964">
        <f>Skills!A30</f>
        <v/>
      </c>
      <c r="B964">
        <f>Skills!B30</f>
        <v/>
      </c>
      <c r="C964">
        <f>Inputs!$B$3&gt;=125</f>
        <v/>
      </c>
      <c r="D964">
        <f>IF(Skills!C30=1,60+Inputs!$B$25+Inputs!$B$29,IF(Skills!C30=2,90+Inputs!$B$26+Inputs!$B$29,IF(Skills!C30=3,120+(Inputs!$B$27+1)+Inputs!$B$29,MAX(0,(Inputs!$B$3-100)*3)+Inputs!$B$28+Inputs!$B$29)))</f>
        <v/>
      </c>
      <c r="E964">
        <f>INDEX(FactorTable!$B$2:$Y$301, MATCH(ROUND(MIN(300,MAX(1,D964)),0), FactorTable!$A$2:$A$301,0), Skills!M30+1)</f>
        <v/>
      </c>
      <c r="F964">
        <f>IF(Skills!N30=TRUE,(Skills!L30/10)*(E964/1000),Skills!L30/10)+Skills!O30</f>
        <v/>
      </c>
      <c r="G964">
        <f>Skills!G30*IF(Skills!H30&gt;0,Skills!I30/Skills!H30,1)</f>
        <v/>
      </c>
      <c r="H964">
        <f>1-(1-Skills!J30/100)^Skills!K30</f>
        <v/>
      </c>
      <c r="I964" t="inlineStr">
        <is>
          <t>1</t>
        </is>
      </c>
      <c r="J964" t="inlineStr"/>
      <c r="K964" t="inlineStr"/>
      <c r="L964" t="inlineStr"/>
      <c r="M964" t="inlineStr"/>
      <c r="N964" t="inlineStr"/>
      <c r="O964">
        <f>(1-Summary!$B$55)*T964+Summary!$B$55*V964</f>
        <v/>
      </c>
      <c r="P964">
        <f>IF(B979=0,0,O964/B979)</f>
        <v/>
      </c>
      <c r="Q964" t="n">
        <v>0</v>
      </c>
      <c r="R964" t="n">
        <v>0</v>
      </c>
      <c r="S964">
        <f>IFERROR(O964/N964,0)</f>
        <v/>
      </c>
      <c r="T964" t="n">
        <v>0</v>
      </c>
      <c r="V964" t="n">
        <v>0</v>
      </c>
    </row>
    <row r="966">
      <c r="A966" t="inlineStr">
        <is>
          <t>Average Buff Multiplier</t>
        </is>
      </c>
      <c r="B966">
        <f>(1+(((C955=TRUE)*F955*IF(AND(Inputs!$B$39&lt;&gt;"pvp",Inputs!$B$44&gt;0),(((R955-1)*(Skills!Y21*(1+Inputs!$B$34/100))+MIN((Skills!Y21*(1+Inputs!$B$34/100)),MAX(0,Inputs!$B$44-((R955-1)*Skills!D21))))/Inputs!$B$44),IF(Inputs!$B$39="pvp",MIN((Skills!Y21*(1+Inputs!$B$34/100)),15)/15,(Skills!Y21*(1+Inputs!$B$34/100))/Skills!D21)))+((C957=TRUE)*(F957-Calc!F23))+((C951=TRUE)*(F951-Calc!F17)))/100)*(1+((C944=TRUE)*F944*IF(AND(Inputs!$B$39&lt;&gt;"pvp",Inputs!$B$44&gt;0),(((R944-1)*(Skills!Y10*(1+Inputs!$B$34/100))+MIN((Skills!Y10*(1+Inputs!$B$34/100)),MAX(0,Inputs!$B$44-((R944-1)*Skills!D10))))/Inputs!$B$44),IF(Inputs!$B$39="pvp",MIN((Skills!Y10*(1+Inputs!$B$34/100)),15)/15,(Skills!Y10*(1+Inputs!$B$34/100))/Skills!D10)))/100)*(1+((C949=TRUE)*F949*IF(AND(Inputs!$B$39&lt;&gt;"pvp",Inputs!$B$44&gt;0),(((R949-1)*(Skills!Y15*(1+Inputs!$B$34/100))+MIN((Skills!Y15*(1+Inputs!$B$34/100)),MAX(0,Inputs!$B$44-((R949-1)*Skills!D15))))/Inputs!$B$44),IF(Inputs!$B$39="pvp",MIN((Skills!Y15*(1+Inputs!$B$34/100)),15)/15,(Skills!Y15*(1+Inputs!$B$34/100))/Skills!D15)))/100)</f>
        <v/>
      </c>
    </row>
    <row r="967">
      <c r="A967" t="inlineStr">
        <is>
          <t>Global Crit Rate Bonus %</t>
        </is>
      </c>
      <c r="B967">
        <f>((C954=TRUE)*F954*IF(AND(Inputs!$B$39&lt;&gt;"pvp",Inputs!$B$44&gt;0),(((R954-1)*(Skills!Y20*(1+Inputs!$B$34/100))+MIN((Skills!Y20*(1+Inputs!$B$34/100)),MAX(0,Inputs!$B$44-((R954-1)*Skills!D20))))/Inputs!$B$44),IF(Inputs!$B$39="pvp",MIN((Skills!Y20*(1+Inputs!$B$34/100)),15)/15,(Skills!Y20*(1+Inputs!$B$34/100))/Skills!D20)))</f>
        <v/>
      </c>
    </row>
    <row r="968">
      <c r="A968" t="inlineStr">
        <is>
          <t>Global Monster Damage-Taken Bonus %</t>
        </is>
      </c>
      <c r="B968">
        <f>IF(Inputs!$B$3&gt;=82,15,0)</f>
        <v/>
      </c>
    </row>
    <row r="969">
      <c r="A969" t="inlineStr">
        <is>
          <t>Shadow Partner Average Multiplier</t>
        </is>
      </c>
      <c r="B969">
        <f>1+((C941=TRUE)*F941*(1+3.3333333333333335*IF(C952=TRUE,F952,0)/100)*I941*Skills!J7/100)/100</f>
        <v/>
      </c>
    </row>
    <row r="970">
      <c r="A970" t="inlineStr">
        <is>
          <t>Attack Speed Buff Bonus %</t>
        </is>
      </c>
      <c r="B970">
        <f>((C953=TRUE)*F953*IF(AND(Inputs!$B$39&lt;&gt;"pvp",Inputs!$B$44&gt;0),(((R953-1)*(Skills!Y19*(1+Inputs!$B$34/100))+MIN((Skills!Y19*(1+Inputs!$B$34/100)),MAX(0,Inputs!$B$44-((R953-1)*Skills!D19))))/Inputs!$B$44),IF(Inputs!$B$39="pvp",MIN((Skills!Y19*(1+Inputs!$B$34/100)),15)/15,(Skills!Y19*(1+Inputs!$B$34/100))/Skills!D19)))+((C937=TRUE)*F937*3)</f>
        <v/>
      </c>
    </row>
    <row r="971">
      <c r="A971" t="inlineStr">
        <is>
          <t>Actions Per Second</t>
        </is>
      </c>
      <c r="B971">
        <f>1+MIN(150,150*(1-(1-(Inputs!$B$11+((C956=TRUE)*(F956-Calc!F22)))/150)*(1-B970/150)))/100</f>
        <v/>
      </c>
    </row>
    <row r="972">
      <c r="A972" t="inlineStr">
        <is>
          <t>Skill + Buff Cast Rate</t>
        </is>
      </c>
      <c r="B972">
        <f>IF(AND(Inputs!$B$39&lt;&gt;"pvp",Inputs!$B$44&gt;0),SUMPRODUCT((Skills!E2:E30=TRUE)*(C936:C964=TRUE)*R936:R964*Skills!F2:F30)/Inputs!$B$44,SUMPRODUCT((Skills!E2:E30=TRUE)*(C936:C964=TRUE)*Q936:Q964*Skills!F2:F30))</f>
        <v/>
      </c>
    </row>
    <row r="973">
      <c r="A973" t="inlineStr">
        <is>
          <t>Cruel Stab Casts Per Second</t>
        </is>
      </c>
      <c r="B973">
        <f>MAX(0,B971-B972)</f>
        <v/>
      </c>
    </row>
    <row r="974">
      <c r="A974" t="inlineStr">
        <is>
          <t>Global Critical Damage Bonus % (Smokescreen Mastery Lv.113)</t>
        </is>
      </c>
      <c r="B974">
        <f>IF(Inputs!$B$3&gt;=113,30,0)*IF(AND(Inputs!$B$39&lt;&gt;"pvp",Inputs!$B$44&gt;0),(((R949-1)*(Skills!Y15*(1+Inputs!$B$34/100))+MIN((Skills!Y15*(1+Inputs!$B$34/100)),MAX(0,Inputs!$B$44-((R949-1)*Skills!D15))))/Inputs!$B$44),IF(Inputs!$B$39="pvp",MIN((Skills!Y15*(1+Inputs!$B$34/100)),15)/15,(Skills!Y15*(1+Inputs!$B$34/100))/Skills!D15))</f>
        <v/>
      </c>
    </row>
    <row r="975">
      <c r="A975" t="inlineStr">
        <is>
          <t>Meso Explosion average stack count</t>
        </is>
      </c>
      <c r="B975">
        <f>MIN(10,0.5*B971*Skills!D4)</f>
        <v/>
      </c>
    </row>
    <row r="976">
      <c r="A976" t="inlineStr">
        <is>
          <t>Blood Money average stack count</t>
        </is>
      </c>
      <c r="B976">
        <f>MIN(5,0.25*B971*Skills!D4)</f>
        <v/>
      </c>
    </row>
    <row r="977">
      <c r="A977" t="inlineStr">
        <is>
          <t>Assassinate Murderous Intent Multiplier</t>
        </is>
      </c>
      <c r="B977">
        <f>1+IFERROR(MIN(1,Q948*2/Q945),0)</f>
        <v/>
      </c>
    </row>
    <row r="978">
      <c r="A978" t="inlineStr">
        <is>
          <t>Buff-Casting Startup Delay (s, fixed-duration only)</t>
        </is>
      </c>
      <c r="B978">
        <f>IF(AND(Inputs!$B$39&lt;&gt;"pvp",Inputs!$B$44&gt;0),SUMPRODUCT((Skills!Y2:Y30&gt;0)*(Skills!E2:E30=TRUE)*(C936:C964=TRUE))/B971,0)</f>
        <v/>
      </c>
    </row>
    <row r="979">
      <c r="A979" s="5" t="inlineStr">
        <is>
          <t>TOTAL DPS</t>
        </is>
      </c>
      <c r="B979" s="5">
        <f>SUM(O936:O964)</f>
        <v/>
      </c>
    </row>
    <row r="980">
      <c r="A980" t="inlineStr">
        <is>
          <t>Boss-Only Total DPS (this block's swept value)</t>
        </is>
      </c>
      <c r="B980">
        <f>SUM(T936:T964)</f>
        <v/>
      </c>
    </row>
    <row r="981">
      <c r="A981" t="inlineStr">
        <is>
          <t>Normal-Only Total DPS (this block's swept value)</t>
        </is>
      </c>
      <c r="B981">
        <f>SUM(V936:V964)</f>
        <v/>
      </c>
    </row>
    <row r="984">
      <c r="A984" s="5" t="inlineStr">
        <is>
          <t>Stat: Skill Level Bonus — 4th Job</t>
        </is>
      </c>
    </row>
    <row r="985">
      <c r="A985" s="9" t="inlineStr">
        <is>
          <t>Key</t>
        </is>
      </c>
      <c r="B985" s="9" t="inlineStr">
        <is>
          <t>Name</t>
        </is>
      </c>
      <c r="C985" s="9" t="inlineStr">
        <is>
          <t>Unlocked</t>
        </is>
      </c>
      <c r="D985" s="9" t="inlineStr">
        <is>
          <t>InputLevel</t>
        </is>
      </c>
      <c r="E985" s="9" t="inlineStr">
        <is>
          <t>Factor</t>
        </is>
      </c>
      <c r="F985" s="9" t="inlineStr">
        <is>
          <t>CoefficientPercent</t>
        </is>
      </c>
      <c r="G985" s="9" t="inlineStr">
        <is>
          <t>EffectiveHits</t>
        </is>
      </c>
      <c r="H985" s="9" t="inlineStr">
        <is>
          <t>ProcProbability</t>
        </is>
      </c>
      <c r="I985" s="9" t="inlineStr">
        <is>
          <t>MapleHeroMultiplier</t>
        </is>
      </c>
      <c r="J985" s="9" t="inlineStr">
        <is>
          <t>BaseDamage</t>
        </is>
      </c>
      <c r="K985" s="9" t="inlineStr">
        <is>
          <t>BaseHitDamage</t>
        </is>
      </c>
      <c r="L985" s="9" t="inlineStr">
        <is>
          <t>NonCritAvg</t>
        </is>
      </c>
      <c r="M985" s="9" t="inlineStr">
        <is>
          <t>CritAvg</t>
        </is>
      </c>
      <c r="N985" s="9" t="inlineStr">
        <is>
          <t>ExpectedDamage(perHit)</t>
        </is>
      </c>
      <c r="O985" s="9" t="inlineStr">
        <is>
          <t>DPS</t>
        </is>
      </c>
      <c r="P985" s="9" t="inlineStr">
        <is>
          <t>% of Total</t>
        </is>
      </c>
      <c r="Q985" s="9" t="inlineStr">
        <is>
          <t>InvCooldown</t>
        </is>
      </c>
      <c r="R985" s="9" t="inlineStr">
        <is>
          <t>CastsInFight</t>
        </is>
      </c>
      <c r="S985" s="9" t="inlineStr">
        <is>
          <t>HitRate(perSec)</t>
        </is>
      </c>
      <c r="U985" t="inlineStr">
        <is>
          <t>helpers</t>
        </is>
      </c>
    </row>
    <row r="986">
      <c r="A986">
        <f>Skills!A2</f>
        <v/>
      </c>
      <c r="B986">
        <f>Skills!B2</f>
        <v/>
      </c>
      <c r="C986">
        <f>Inputs!$B$3&gt;=100</f>
        <v/>
      </c>
      <c r="D986" t="inlineStr"/>
      <c r="E986" t="inlineStr"/>
      <c r="F986">
        <f>U988+Skills!O2</f>
        <v/>
      </c>
      <c r="G986">
        <f>Skills!G2*IF(Skills!H2&gt;0,Skills!I2/Skills!H2,1)</f>
        <v/>
      </c>
      <c r="H986">
        <f>1-(1-Skills!J2/100)^Skills!K2</f>
        <v/>
      </c>
      <c r="I986" t="inlineStr">
        <is>
          <t>1</t>
        </is>
      </c>
      <c r="J986">
        <f>((Inputs!$B$6*(1+Inputs!$B$7/100))+(((Inputs!$B$12*(1+Inputs!$B$13/100))-(Inputs!$B$12*(1+Inputs!$B$13/100)))+0.25*(Inputs!$B$14-Inputs!$B$14))*(1+Inputs!$B$7/100))*(F986/100)</f>
        <v/>
      </c>
      <c r="K986">
        <f>J986*(1+((Inputs!$B$12*(1+Inputs!$B$13/100))*0.01+Inputs!$B$14*0.0025)/100)*(1+Inputs!$B$15/100)*(1+Inputs!$B$16/100)*(5000/(6000+Inputs!$B$43*(1-Inputs!$B$19/100)))*(1+(Inputs!$B$24+((C1014=TRUE)*(F1014-Calc!F30)))/100)*(1+(IF(Skills!A2="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986)</f>
        <v/>
      </c>
      <c r="L986">
        <f>K986*(MIN(Inputs!$B$22+((C1008=TRUE)*(F1008-Calc!F24)),Inputs!$B$23+((C1013=TRUE)*(F1013-Calc!F29)))/100+(Inputs!$B$23+((C1013=TRUE)*(F1013-Calc!F29)))/100)/2</f>
        <v/>
      </c>
      <c r="M986">
        <f>L986*(1+(Inputs!$B$10+((C1010=TRUE)*(F1010-Calc!F26))+B1024)/100)</f>
        <v/>
      </c>
      <c r="N986">
        <f>L986*(1-MIN((Inputs!$B$9+((C1009=TRUE)*(F1009-Calc!F25))+B1017),100)/100)+M986*(MIN((Inputs!$B$9+((C1009=TRUE)*(F1009-Calc!F25))+B1017),100)/100)</f>
        <v/>
      </c>
      <c r="O986">
        <f>(1-Summary!$B$55)*T986+Summary!$B$55*V986</f>
        <v/>
      </c>
      <c r="P986">
        <f>IF(B1029=0,0,O986/B1029)</f>
        <v/>
      </c>
      <c r="Q986" t="n">
        <v>0</v>
      </c>
      <c r="R986" t="n">
        <v>0</v>
      </c>
      <c r="S986">
        <f>IFERROR(O986/N986,0)</f>
        <v/>
      </c>
      <c r="T986">
        <f>IF(C986,(Skills!G2*N986*B1023)*IF(Inputs!$B$39="pvp",1,1+(Inputs!$B$20+0+Skills!P2+B1018)/100),0)</f>
        <v/>
      </c>
      <c r="U986">
        <f>MAX(0,(Inputs!$B$3-100)*3)+(Inputs!$B$28+1)+Inputs!$B$29</f>
        <v/>
      </c>
      <c r="V986">
        <f>IF(C986,(Skills!G2*N986*B1023)*IF(Inputs!$B$39="pvp",1,(1+(Inputs!$B$21+Skills!Q2+B1018)/100)*(MIN((6+Inputs!$B$33),Inputs!$B$37))),0)</f>
        <v/>
      </c>
    </row>
    <row r="987">
      <c r="A987">
        <f>Skills!A3</f>
        <v/>
      </c>
      <c r="B987">
        <f>Skills!B3</f>
        <v/>
      </c>
      <c r="C987">
        <f>Inputs!$B$3&gt;=35</f>
        <v/>
      </c>
      <c r="D987">
        <f>IF(Skills!C3=1,60+Inputs!$B$25+Inputs!$B$29,IF(Skills!C3=2,90+Inputs!$B$26+Inputs!$B$29,IF(Skills!C3=3,120+Inputs!$B$27+Inputs!$B$29,MAX(0,(Inputs!$B$3-100)*3)+(Inputs!$B$28+1)+Inputs!$B$29)))</f>
        <v/>
      </c>
      <c r="E987">
        <f>INDEX(FactorTable!$B$2:$Y$301, MATCH(ROUND(MIN(300,MAX(1,D987)),0), FactorTable!$A$2:$A$301,0), Skills!M3+1)</f>
        <v/>
      </c>
      <c r="F987">
        <f>IF(Skills!N3=TRUE,(Skills!L3/10)*(E987/1000),Skills!L3/10)+Skills!O3</f>
        <v/>
      </c>
      <c r="G987">
        <f>Skills!G3*IF(Skills!H3&gt;0,Skills!I3/Skills!H3,1)</f>
        <v/>
      </c>
      <c r="H987">
        <f>1-(1-Skills!J3/100)^Skills!K3</f>
        <v/>
      </c>
      <c r="I987" t="inlineStr">
        <is>
          <t>1</t>
        </is>
      </c>
      <c r="J987" t="inlineStr"/>
      <c r="K987" t="inlineStr"/>
      <c r="L987" t="inlineStr"/>
      <c r="M987" t="inlineStr"/>
      <c r="N987" t="inlineStr"/>
      <c r="O987">
        <f>(1-Summary!$B$55)*T987+Summary!$B$55*V987</f>
        <v/>
      </c>
      <c r="P987">
        <f>IF(B1029=0,0,O987/B1029)</f>
        <v/>
      </c>
      <c r="Q987" t="n">
        <v>0</v>
      </c>
      <c r="R987" t="n">
        <v>0</v>
      </c>
      <c r="S987">
        <f>IFERROR(O987/N987,0)</f>
        <v/>
      </c>
      <c r="T987" t="n">
        <v>0</v>
      </c>
      <c r="U987">
        <f>INDEX(FactorTable!$B$2:$Y$301, MATCH(ROUND(MIN(300,MAX(1,U986)),0), FactorTable!$A$2:$A$301,0), 22)</f>
        <v/>
      </c>
      <c r="V987" t="n">
        <v>0</v>
      </c>
    </row>
    <row r="988">
      <c r="A988">
        <f>Skills!A4</f>
        <v/>
      </c>
      <c r="B988">
        <f>Skills!B4</f>
        <v/>
      </c>
      <c r="C988">
        <f>Inputs!$B$3&gt;=66</f>
        <v/>
      </c>
      <c r="D988">
        <f>IF(Skills!C4=1,60+Inputs!$B$25+Inputs!$B$29,IF(Skills!C4=2,90+Inputs!$B$26+Inputs!$B$29,IF(Skills!C4=3,120+Inputs!$B$27+Inputs!$B$29,MAX(0,(Inputs!$B$3-100)*3)+(Inputs!$B$28+1)+Inputs!$B$29)))</f>
        <v/>
      </c>
      <c r="E988">
        <f>INDEX(FactorTable!$B$2:$Y$301, MATCH(ROUND(MIN(300,MAX(1,D988)),0), FactorTable!$A$2:$A$301,0), Skills!M4+1)</f>
        <v/>
      </c>
      <c r="F988">
        <f>IF(Skills!N4=TRUE,(Skills!L4/10)*(E988/1000),Skills!L4/10)+Skills!O4</f>
        <v/>
      </c>
      <c r="G988">
        <f>Skills!G4*IF(Skills!H4&gt;0,Skills!I4/Skills!H4,1)</f>
        <v/>
      </c>
      <c r="H988">
        <f>1-(1-Skills!J4/100)^Skills!K4</f>
        <v/>
      </c>
      <c r="I988" t="inlineStr">
        <is>
          <t>1</t>
        </is>
      </c>
      <c r="J988">
        <f>((Inputs!$B$6*(1+Inputs!$B$7/100))+(((Inputs!$B$12*(1+Inputs!$B$13/100))-(Inputs!$B$12*(1+Inputs!$B$13/100)))+0.25*(Inputs!$B$14-Inputs!$B$14))*(1+Inputs!$B$7/100))*(F988/100)</f>
        <v/>
      </c>
      <c r="K988">
        <f>J988*(1+((Inputs!$B$12*(1+Inputs!$B$13/100))*0.01+Inputs!$B$14*0.0025)/100)*(1+Inputs!$B$15/100)*(1+Inputs!$B$16/100)*(5000/(6000+Inputs!$B$43*(1-Inputs!$B$19/100)))*(1+(Inputs!$B$24+((C1014=TRUE)*(F1014-Calc!F30)))/100)*(1+(IF(Skills!A4="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988)</f>
        <v/>
      </c>
      <c r="L988">
        <f>K988*(MIN(Inputs!$B$22+((C1008=TRUE)*(F1008-Calc!F24)),Inputs!$B$23+((C1013=TRUE)*(F1013-Calc!F29)))/100+(Inputs!$B$23+((C1013=TRUE)*(F1013-Calc!F29)))/100)/2</f>
        <v/>
      </c>
      <c r="M988">
        <f>L988*(1+(Inputs!$B$10+((C1010=TRUE)*(F1010-Calc!F26))+B1024)/100)</f>
        <v/>
      </c>
      <c r="N988">
        <f>L988*(1-MIN((Inputs!$B$9+((C1009=TRUE)*(F1009-Calc!F25))+B1017),100)/100)+M988*(MIN((Inputs!$B$9+((C1009=TRUE)*(F1009-Calc!F25))+B1017),100)/100)</f>
        <v/>
      </c>
      <c r="O988">
        <f>(1-Summary!$B$55)*T988+Summary!$B$55*V988</f>
        <v/>
      </c>
      <c r="P988">
        <f>IF(B1029=0,0,O988/B1029)</f>
        <v/>
      </c>
      <c r="Q988">
        <f>IFERROR(1/IF(Inputs!$B$39="pvp",15,MAX(0.1,Skills!D4-IF(Skills!E4=TRUE,Inputs!$B$32,0))),0)</f>
        <v/>
      </c>
      <c r="R988">
        <f>IF(AND(Inputs!$B$39&lt;&gt;"pvp",Inputs!$B$44&gt;0),IF(MAX(0,Inputs!$B$44-B1028)&lt;=0,0,(INT(MAX(0,Inputs!$B$44-B1028)/IF(Inputs!$B$39="pvp",15,MAX(0.1,Skills!D4-IF(Skills!E4=TRUE,Inputs!$B$32,0))))+1)),0)</f>
        <v/>
      </c>
      <c r="S988">
        <f>IFERROR(O988/N988,0)</f>
        <v/>
      </c>
      <c r="T988">
        <f>IF(C988,(H988*N988*IF(AND(Inputs!$B$39&lt;&gt;"pvp",Inputs!$B$44&gt;0),((Skills!G4*((R988-1)*IF(Skills!H4&gt;0,Skills!I4/Skills!H4,1)+IF(Skills!H4&gt;0,MIN(Skills!I4,MAX(0,MAX(0,Inputs!$B$44-B1028)-((R988-1)*IF(Inputs!$B$39="pvp",15,MAX(0.1,Skills!D4-IF(Skills!E4=TRUE,Inputs!$B$32,0))))))/Skills!H4,1)))/Inputs!$B$44),G988*Q988))*IF(Inputs!$B$39="pvp",1,1+(Inputs!$B$20+0+Skills!P4+B1018)/100),0)</f>
        <v/>
      </c>
      <c r="U988">
        <f>290*U987/1000</f>
        <v/>
      </c>
      <c r="V988">
        <f>IF(C988,(H988*N988*IF(AND(Inputs!$B$39&lt;&gt;"pvp",Inputs!$B$44&gt;0),((Skills!G4*((R988-1)*IF(Skills!H4&gt;0,Skills!I4/Skills!H4,1)+IF(Skills!H4&gt;0,MIN(Skills!I4,MAX(0,MAX(0,Inputs!$B$44-B1028)-((R988-1)*IF(Inputs!$B$39="pvp",15,MAX(0.1,Skills!D4-IF(Skills!E4=TRUE,Inputs!$B$32,0))))))/Skills!H4,1)))/Inputs!$B$44),G988*Q988))*IF(Inputs!$B$39="pvp",1,(1+(Inputs!$B$21+Skills!Q4+B1018)/100)*(MIN(MIN(10,0.5*B1021*Skills!D4),Inputs!$B$37))),0)</f>
        <v/>
      </c>
    </row>
    <row r="989">
      <c r="A989">
        <f>Skills!A5</f>
        <v/>
      </c>
      <c r="B989">
        <f>Skills!B5</f>
        <v/>
      </c>
      <c r="C989">
        <f>Inputs!$B$3&gt;=63</f>
        <v/>
      </c>
      <c r="D989">
        <f>IF(Skills!C5=1,60+Inputs!$B$25+Inputs!$B$29,IF(Skills!C5=2,90+Inputs!$B$26+Inputs!$B$29,IF(Skills!C5=3,120+Inputs!$B$27+Inputs!$B$29,MAX(0,(Inputs!$B$3-100)*3)+(Inputs!$B$28+1)+Inputs!$B$29)))</f>
        <v/>
      </c>
      <c r="E989">
        <f>INDEX(FactorTable!$B$2:$Y$301, MATCH(ROUND(MIN(300,MAX(1,D989)),0), FactorTable!$A$2:$A$301,0), Skills!M5+1)</f>
        <v/>
      </c>
      <c r="F989">
        <f>IF(Skills!N5=TRUE,(Skills!L5/10)*(E989/1000),Skills!L5/10)+Skills!O5</f>
        <v/>
      </c>
      <c r="G989">
        <f>Skills!G5*IF(Skills!H5&gt;0,Skills!I5/Skills!H5,1)</f>
        <v/>
      </c>
      <c r="H989">
        <f>1-(1-Skills!J5/100)^Skills!K5</f>
        <v/>
      </c>
      <c r="I989" t="inlineStr">
        <is>
          <t>1</t>
        </is>
      </c>
      <c r="J989">
        <f>((Inputs!$B$6*(1+Inputs!$B$7/100))+(((Inputs!$B$12*(1+Inputs!$B$13/100))-(Inputs!$B$12*(1+Inputs!$B$13/100)))+0.25*(Inputs!$B$14-Inputs!$B$14))*(1+Inputs!$B$7/100))*(F989/100)</f>
        <v/>
      </c>
      <c r="K989">
        <f>J989*(1+((Inputs!$B$12*(1+Inputs!$B$13/100))*0.01+Inputs!$B$14*0.0025)/100)*(1+Inputs!$B$15/100)*(1+Inputs!$B$16/100)*(5000/(6000+Inputs!$B$43*(1-Inputs!$B$19/100)))*(1+(Inputs!$B$24+((C1014=TRUE)*(F1014-Calc!F30)))/100)*(1+2.6666666666666665*IF(C1002=TRUE,F1002,0)/100)*(1+(IF(Skills!A5="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989)</f>
        <v/>
      </c>
      <c r="L989">
        <f>K989*(MIN(Inputs!$B$22+((C1008=TRUE)*(F1008-Calc!F24)),Inputs!$B$23+((C1013=TRUE)*(F1013-Calc!F29)))/100+(Inputs!$B$23+((C1013=TRUE)*(F1013-Calc!F29)))/100)/2</f>
        <v/>
      </c>
      <c r="M989">
        <f>L989*(1+(Inputs!$B$10+((C1010=TRUE)*(F1010-Calc!F26))+B1024)/100)</f>
        <v/>
      </c>
      <c r="N989">
        <f>L989*(1-MIN((Inputs!$B$9+((C1009=TRUE)*(F1009-Calc!F25))+B1017),100)/100)+M989*(MIN((Inputs!$B$9+((C1009=TRUE)*(F1009-Calc!F25))+B1017),100)/100)</f>
        <v/>
      </c>
      <c r="O989">
        <f>(1-Summary!$B$55)*T989+Summary!$B$55*V989</f>
        <v/>
      </c>
      <c r="P989">
        <f>IF(B1029=0,0,O989/B1029)</f>
        <v/>
      </c>
      <c r="Q989">
        <f>IFERROR(1/IF(Inputs!$B$39="pvp",15,MAX(0.1,Skills!D5-IF(Skills!E5=TRUE,Inputs!$B$32,0))),0)</f>
        <v/>
      </c>
      <c r="R989">
        <f>IF(AND(Inputs!$B$39&lt;&gt;"pvp",Inputs!$B$44&gt;0),IF(MAX(0,Inputs!$B$44-B1028)&lt;=0,0,(INT(MAX(0,Inputs!$B$44-B1028)/IF(Inputs!$B$39="pvp",15,MAX(0.1,Skills!D5-IF(Skills!E5=TRUE,Inputs!$B$32,0))))+1)),0)</f>
        <v/>
      </c>
      <c r="S989">
        <f>IFERROR(O989/N989,0)</f>
        <v/>
      </c>
      <c r="T989">
        <f>IF(C989,(H989*N989*IF(AND(Inputs!$B$39&lt;&gt;"pvp",Inputs!$B$44&gt;0),((Skills!G5*((R989-1)*IF(Skills!H5&gt;0,Skills!I5/Skills!H5,1)+IF(Skills!H5&gt;0,MIN(Skills!I5,MAX(0,MAX(0,Inputs!$B$44-B1028)-((R989-1)*IF(Inputs!$B$39="pvp",15,MAX(0.1,Skills!D5-IF(Skills!E5=TRUE,Inputs!$B$32,0))))))/Skills!H5,1)))/Inputs!$B$44),G989*Q989))*IF(Inputs!$B$39="pvp",1,1+(Inputs!$B$20+0+Skills!P5+B1018)/100),0)</f>
        <v/>
      </c>
      <c r="V989">
        <f>IF(C989,(H989*N989*IF(AND(Inputs!$B$39&lt;&gt;"pvp",Inputs!$B$44&gt;0),((Skills!G5*((R989-1)*IF(Skills!H5&gt;0,Skills!I5/Skills!H5,1)+IF(Skills!H5&gt;0,MIN(Skills!I5,MAX(0,MAX(0,Inputs!$B$44-B1028)-((R989-1)*IF(Inputs!$B$39="pvp",15,MAX(0.1,Skills!D5-IF(Skills!E5=TRUE,Inputs!$B$32,0))))))/Skills!H5,1)))/Inputs!$B$44),G989*Q989))*IF(Inputs!$B$39="pvp",1,(1+(Inputs!$B$21+Skills!Q5+B1018)/100)*(MIN(Skills!W5,Inputs!$B$37))),0)</f>
        <v/>
      </c>
    </row>
    <row r="990">
      <c r="A990">
        <f>Skills!A6</f>
        <v/>
      </c>
      <c r="B990">
        <f>Skills!B6</f>
        <v/>
      </c>
      <c r="C990">
        <f>Inputs!$B$3&gt;=69</f>
        <v/>
      </c>
      <c r="D990">
        <f>IF(Skills!C6=1,60+Inputs!$B$25+Inputs!$B$29,IF(Skills!C6=2,90+Inputs!$B$26+Inputs!$B$29,IF(Skills!C6=3,120+Inputs!$B$27+Inputs!$B$29,MAX(0,(Inputs!$B$3-100)*3)+(Inputs!$B$28+1)+Inputs!$B$29)))</f>
        <v/>
      </c>
      <c r="E990">
        <f>INDEX(FactorTable!$B$2:$Y$301, MATCH(ROUND(MIN(300,MAX(1,D990)),0), FactorTable!$A$2:$A$301,0), Skills!M6+1)</f>
        <v/>
      </c>
      <c r="F990">
        <f>IF(Skills!N6=TRUE,(Skills!L6/10)*(E990/1000),Skills!L6/10)+Skills!O6</f>
        <v/>
      </c>
      <c r="G990">
        <f>Skills!G6*IF(Skills!H6&gt;0,Skills!I6/Skills!H6,1)</f>
        <v/>
      </c>
      <c r="H990">
        <f>1-(1-Skills!J6/100)^Skills!K6</f>
        <v/>
      </c>
      <c r="I990" t="inlineStr">
        <is>
          <t>1</t>
        </is>
      </c>
      <c r="J990">
        <f>((Inputs!$B$6*(1+Inputs!$B$7/100))+(((Inputs!$B$12*(1+Inputs!$B$13/100))-(Inputs!$B$12*(1+Inputs!$B$13/100)))+0.25*(Inputs!$B$14-Inputs!$B$14))*(1+Inputs!$B$7/100))*(F990/100)</f>
        <v/>
      </c>
      <c r="K990">
        <f>J990*(1+((Inputs!$B$12*(1+Inputs!$B$13/100))*0.01+Inputs!$B$14*0.0025)/100)*(1+Inputs!$B$15/100)*(1+Inputs!$B$16/100)*(5000/(6000+Inputs!$B$43*(1-Inputs!$B$19/100)))*(1+(Inputs!$B$24+((C1014=TRUE)*(F1014-Calc!F30)))/100)*(1+1.0*IF(C1002=TRUE,F1002,0)/100)*(1+(IF(Skills!A6="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990)</f>
        <v/>
      </c>
      <c r="L990">
        <f>K990*(MIN(Inputs!$B$22+((C1008=TRUE)*(F1008-Calc!F24)),Inputs!$B$23+((C1013=TRUE)*(F1013-Calc!F29)))/100+(Inputs!$B$23+((C1013=TRUE)*(F1013-Calc!F29)))/100)/2</f>
        <v/>
      </c>
      <c r="M990">
        <f>L990*(1+(Inputs!$B$10+((C1010=TRUE)*(F1010-Calc!F26))+B1024)/100)</f>
        <v/>
      </c>
      <c r="N990">
        <f>L990*(1-MIN((Inputs!$B$9+((C1009=TRUE)*(F1009-Calc!F25))+B1017),100)/100)+M990*(MIN((Inputs!$B$9+((C1009=TRUE)*(F1009-Calc!F25))+B1017),100)/100)</f>
        <v/>
      </c>
      <c r="O990">
        <f>(1-Summary!$B$55)*T990+Summary!$B$55*V990</f>
        <v/>
      </c>
      <c r="P990">
        <f>IF(B1029=0,0,O990/B1029)</f>
        <v/>
      </c>
      <c r="Q990">
        <f>IFERROR(1/IF(Inputs!$B$39="pvp",15,MAX(0.1,Skills!D6-IF(Skills!E6=TRUE,Inputs!$B$32,0))),0)</f>
        <v/>
      </c>
      <c r="R990">
        <f>IF(AND(Inputs!$B$39&lt;&gt;"pvp",Inputs!$B$44&gt;0),IF(MAX(0,Inputs!$B$44-B1028)&lt;=0,0,(INT(MAX(0,Inputs!$B$44-B1028)/IF(Inputs!$B$39="pvp",15,MAX(0.1,Skills!D6-IF(Skills!E6=TRUE,Inputs!$B$32,0))))+1)),0)</f>
        <v/>
      </c>
      <c r="S990">
        <f>IFERROR(O990/N990,0)</f>
        <v/>
      </c>
      <c r="T990">
        <f>IF(C990,(H990*N990*IF(AND(Inputs!$B$39&lt;&gt;"pvp",Inputs!$B$44&gt;0),((Skills!G6*((R990-1)*IF(Skills!H6&gt;0,Skills!I6/Skills!H6,1)+IF(Skills!H6&gt;0,MIN(Skills!I6,MAX(0,MAX(0,Inputs!$B$44-B1028)-((R990-1)*IF(Inputs!$B$39="pvp",15,MAX(0.1,Skills!D6-IF(Skills!E6=TRUE,Inputs!$B$32,0))))))/Skills!H6,1)))/Inputs!$B$44),G990*Q990))*IF(Inputs!$B$39="pvp",1,1+(Inputs!$B$20+0+Skills!P6+B1018)/100),0)</f>
        <v/>
      </c>
      <c r="V990">
        <f>IF(C990,(H990*N990*IF(AND(Inputs!$B$39&lt;&gt;"pvp",Inputs!$B$44&gt;0),((Skills!G6*((R990-1)*IF(Skills!H6&gt;0,Skills!I6/Skills!H6,1)+IF(Skills!H6&gt;0,MIN(Skills!I6,MAX(0,MAX(0,Inputs!$B$44-B1028)-((R990-1)*IF(Inputs!$B$39="pvp",15,MAX(0.1,Skills!D6-IF(Skills!E6=TRUE,Inputs!$B$32,0))))))/Skills!H6,1)))/Inputs!$B$44),G990*Q990))*IF(Inputs!$B$39="pvp",1,(1+(Inputs!$B$21+Skills!Q6+B1018)/100)*(MIN(Skills!W6,Inputs!$B$37))),0)</f>
        <v/>
      </c>
    </row>
    <row r="991">
      <c r="A991">
        <f>Skills!A7</f>
        <v/>
      </c>
      <c r="B991">
        <f>Skills!B7</f>
        <v/>
      </c>
      <c r="C991">
        <f>Inputs!$B$3&gt;=60</f>
        <v/>
      </c>
      <c r="D991">
        <f>IF(Skills!C7=1,60+Inputs!$B$25+Inputs!$B$29,IF(Skills!C7=2,90+Inputs!$B$26+Inputs!$B$29,IF(Skills!C7=3,120+Inputs!$B$27+Inputs!$B$29,MAX(0,(Inputs!$B$3-100)*3)+(Inputs!$B$28+1)+Inputs!$B$29)))</f>
        <v/>
      </c>
      <c r="E991">
        <f>INDEX(FactorTable!$B$2:$Y$301, MATCH(ROUND(MIN(300,MAX(1,D991)),0), FactorTable!$A$2:$A$301,0), Skills!M7+1)</f>
        <v/>
      </c>
      <c r="F991">
        <f>IF(Skills!N7=TRUE,(Skills!L7/10)*(E991/1000),Skills!L7/10)+Skills!O7</f>
        <v/>
      </c>
      <c r="G991">
        <f>Skills!G7*IF(Skills!H7&gt;0,Skills!I7/Skills!H7,1)</f>
        <v/>
      </c>
      <c r="H991">
        <f>1-(1-Skills!J7/100)^Skills!K7</f>
        <v/>
      </c>
      <c r="I991" t="inlineStr">
        <is>
          <t>1</t>
        </is>
      </c>
      <c r="J991" t="inlineStr"/>
      <c r="K991" t="inlineStr"/>
      <c r="L991" t="inlineStr"/>
      <c r="M991" t="inlineStr"/>
      <c r="N991" t="inlineStr"/>
      <c r="O991">
        <f>(1-Summary!$B$55)*T991+Summary!$B$55*V991</f>
        <v/>
      </c>
      <c r="P991">
        <f>IF(B1029=0,0,O991/B1029)</f>
        <v/>
      </c>
      <c r="Q991" t="n">
        <v>0</v>
      </c>
      <c r="R991" t="n">
        <v>0</v>
      </c>
      <c r="S991">
        <f>IFERROR(O991/N991,0)</f>
        <v/>
      </c>
      <c r="T991" t="n">
        <v>0</v>
      </c>
      <c r="V991" t="n">
        <v>0</v>
      </c>
    </row>
    <row r="992">
      <c r="A992">
        <f>Skills!A8</f>
        <v/>
      </c>
      <c r="B992">
        <f>Skills!B8</f>
        <v/>
      </c>
      <c r="C992">
        <f>Inputs!$B$3&gt;=72</f>
        <v/>
      </c>
      <c r="D992">
        <f>IF(Skills!C8=1,60+Inputs!$B$25+Inputs!$B$29,IF(Skills!C8=2,90+Inputs!$B$26+Inputs!$B$29,IF(Skills!C8=3,120+Inputs!$B$27+Inputs!$B$29,MAX(0,(Inputs!$B$3-100)*3)+(Inputs!$B$28+1)+Inputs!$B$29)))</f>
        <v/>
      </c>
      <c r="E992">
        <f>INDEX(FactorTable!$B$2:$Y$301, MATCH(ROUND(MIN(300,MAX(1,D992)),0), FactorTable!$A$2:$A$301,0), Skills!M8+1)</f>
        <v/>
      </c>
      <c r="F992">
        <f>IF(Skills!N8=TRUE,(Skills!L8/10)*(E992/1000),Skills!L8/10)+Skills!O8</f>
        <v/>
      </c>
      <c r="G992">
        <f>Skills!G8*IF(Skills!H8&gt;0,Skills!I8/Skills!H8,1)</f>
        <v/>
      </c>
      <c r="H992">
        <f>1-(1-Skills!J8/100)^Skills!K8</f>
        <v/>
      </c>
      <c r="I992" t="inlineStr">
        <is>
          <t>1</t>
        </is>
      </c>
      <c r="J992">
        <f>((Inputs!$B$6*(1+Inputs!$B$7/100))+(((Inputs!$B$12*(1+Inputs!$B$13/100))-(Inputs!$B$12*(1+Inputs!$B$13/100)))+0.25*(Inputs!$B$14-Inputs!$B$14))*(1+Inputs!$B$7/100))*(F992/100)</f>
        <v/>
      </c>
      <c r="K992">
        <f>J992*(1+((Inputs!$B$12*(1+Inputs!$B$13/100))*0.01+Inputs!$B$14*0.0025)/100)*(1+Inputs!$B$15/100)*(1+Inputs!$B$16/100)*(5000/(6000+Inputs!$B$43*(1-Inputs!$B$19/100)))*(1+(Inputs!$B$24+((C1014=TRUE)*(F1014-Calc!F30)))/100)*(1+3.3333333333333335*IF(C1002=TRUE,F1002,0)/100)*(1+(IF(Skills!A8="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992)</f>
        <v/>
      </c>
      <c r="L992">
        <f>K992*(MIN(Inputs!$B$22+((C1008=TRUE)*(F1008-Calc!F24)),Inputs!$B$23+((C1013=TRUE)*(F1013-Calc!F29)))/100+(Inputs!$B$23+((C1013=TRUE)*(F1013-Calc!F29)))/100)/2</f>
        <v/>
      </c>
      <c r="M992">
        <f>L992*(1+(Inputs!$B$10+((C1010=TRUE)*(F1010-Calc!F26))+B1024)/100)</f>
        <v/>
      </c>
      <c r="N992">
        <f>L992*(1-MIN((Inputs!$B$9+((C1009=TRUE)*(F1009-Calc!F25))+B1017),100)/100)+M992*(MIN((Inputs!$B$9+((C1009=TRUE)*(F1009-Calc!F25))+B1017),100)/100)</f>
        <v/>
      </c>
      <c r="O992">
        <f>(1-Summary!$B$55)*T992+Summary!$B$55*V992</f>
        <v/>
      </c>
      <c r="P992">
        <f>IF(B1029=0,0,O992/B1029)</f>
        <v/>
      </c>
      <c r="Q992">
        <f>IFERROR(1/IF(Inputs!$B$39="pvp",15,MAX(0.1,Skills!D8-IF(Skills!E8=TRUE,Inputs!$B$32,0))),0)</f>
        <v/>
      </c>
      <c r="R992">
        <f>IF(AND(Inputs!$B$39&lt;&gt;"pvp",Inputs!$B$44&gt;0),IF(MAX(0,Inputs!$B$44-B1028)&lt;=0,0,(INT(MAX(0,Inputs!$B$44-B1028)/IF(Inputs!$B$39="pvp",15,MAX(0.1,Skills!D8-IF(Skills!E8=TRUE,Inputs!$B$32,0))))+1)),0)</f>
        <v/>
      </c>
      <c r="S992">
        <f>IFERROR(O992/N992,0)</f>
        <v/>
      </c>
      <c r="T992">
        <f>IF(C992,(H992*N992*IF(AND(Inputs!$B$39&lt;&gt;"pvp",Inputs!$B$44&gt;0),((Skills!G8*((R992-1)*IF(Skills!H8&gt;0,Skills!I8/Skills!H8,1)+IF(Skills!H8&gt;0,MIN(Skills!I8,MAX(0,MAX(0,Inputs!$B$44-B1028)-((R992-1)*IF(Inputs!$B$39="pvp",15,MAX(0.1,Skills!D8-IF(Skills!E8=TRUE,Inputs!$B$32,0))))))/Skills!H8,1)))/Inputs!$B$44),G992*Q992))*IF(Inputs!$B$39="pvp",1,1+(Inputs!$B$20+0+Skills!P8+B1018)/100),0)</f>
        <v/>
      </c>
      <c r="V992">
        <f>IF(C992,(H992*N992*IF(AND(Inputs!$B$39&lt;&gt;"pvp",Inputs!$B$44&gt;0),((Skills!G8*((R992-1)*IF(Skills!H8&gt;0,Skills!I8/Skills!H8,1)+IF(Skills!H8&gt;0,MIN(Skills!I8,MAX(0,MAX(0,Inputs!$B$44-B1028)-((R992-1)*IF(Inputs!$B$39="pvp",15,MAX(0.1,Skills!D8-IF(Skills!E8=TRUE,Inputs!$B$32,0))))))/Skills!H8,1)))/Inputs!$B$44),G992*Q992))*IF(Inputs!$B$39="pvp",1,(1+(Inputs!$B$21+Skills!Q8+B1018)/100)*(MIN(Skills!W8,Inputs!$B$37))),0)</f>
        <v/>
      </c>
    </row>
    <row r="993">
      <c r="A993">
        <f>Skills!A9</f>
        <v/>
      </c>
      <c r="B993">
        <f>Skills!B9</f>
        <v/>
      </c>
      <c r="C993">
        <f>Inputs!$B$3&gt;=117</f>
        <v/>
      </c>
      <c r="D993">
        <f>IF(Skills!C9=1,60+Inputs!$B$25+Inputs!$B$29,IF(Skills!C9=2,90+Inputs!$B$26+Inputs!$B$29,IF(Skills!C9=3,120+Inputs!$B$27+Inputs!$B$29,MAX(0,(Inputs!$B$3-100)*3)+(Inputs!$B$28+1)+Inputs!$B$29)))</f>
        <v/>
      </c>
      <c r="E993">
        <f>INDEX(FactorTable!$B$2:$Y$301, MATCH(ROUND(MIN(300,MAX(1,D993)),0), FactorTable!$A$2:$A$301,0), Skills!M9+1)</f>
        <v/>
      </c>
      <c r="F993">
        <f>IF(Skills!N9=TRUE,(Skills!L9/10)*(E993/1000),Skills!L9/10)+Skills!O9</f>
        <v/>
      </c>
      <c r="G993">
        <f>Skills!G9*IF(Skills!H9&gt;0,Skills!I9/Skills!H9,1)</f>
        <v/>
      </c>
      <c r="H993">
        <f>1-(1-Skills!J9/100)^Skills!K9</f>
        <v/>
      </c>
      <c r="I993" t="inlineStr">
        <is>
          <t>1</t>
        </is>
      </c>
      <c r="J993">
        <f>((Inputs!$B$6*(1+Inputs!$B$7/100))+(((Inputs!$B$12*(1+Inputs!$B$13/100))-(Inputs!$B$12*(1+Inputs!$B$13/100)))+0.25*(Inputs!$B$14-Inputs!$B$14))*(1+Inputs!$B$7/100))*(F993/100)</f>
        <v/>
      </c>
      <c r="K993">
        <f>J993*(1+((Inputs!$B$12*(1+Inputs!$B$13/100))*0.01+Inputs!$B$14*0.0025)/100)*(1+Inputs!$B$15/100)*(1+Inputs!$B$16/100)*(5000/(6000+Inputs!$B$43*(1-Inputs!$B$19/100)))*(1+(Inputs!$B$24+((C1014=TRUE)*(F1014-Calc!F30)))/100)*(1+(IF(Skills!A9="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993)</f>
        <v/>
      </c>
      <c r="L993">
        <f>K993*(MIN(Inputs!$B$22+((C1008=TRUE)*(F1008-Calc!F24)),Inputs!$B$23+((C1013=TRUE)*(F1013-Calc!F29)))/100+(Inputs!$B$23+((C1013=TRUE)*(F1013-Calc!F29)))/100)/2</f>
        <v/>
      </c>
      <c r="M993">
        <f>L993*(1+(Inputs!$B$10+((C1010=TRUE)*(F1010-Calc!F26))+B1024)/100)</f>
        <v/>
      </c>
      <c r="N993">
        <f>L993*(1-MIN((Inputs!$B$9+((C1009=TRUE)*(F1009-Calc!F25))+B1017),100)/100)+M993*(MIN((Inputs!$B$9+((C1009=TRUE)*(F1009-Calc!F25))+B1017),100)/100)</f>
        <v/>
      </c>
      <c r="O993">
        <f>(1-Summary!$B$55)*T993+Summary!$B$55*V993</f>
        <v/>
      </c>
      <c r="P993">
        <f>IF(B1029=0,0,O993/B1029)</f>
        <v/>
      </c>
      <c r="Q993" t="n">
        <v>0</v>
      </c>
      <c r="R993" t="n">
        <v>0</v>
      </c>
      <c r="S993" t="n">
        <v>0</v>
      </c>
      <c r="T993">
        <f>IF(C993,(0.2*SUMPRODUCT((Skills!Z2:Z30=TRUE)*(C986:C1014=TRUE)*S986:S1014)*N993)*IF(Inputs!$B$39="pvp",1,1+(Inputs!$B$20+0+Skills!P9+B1018)/100),0)</f>
        <v/>
      </c>
      <c r="V993">
        <f>IF(C993,(0.2*SUMPRODUCT((Skills!Z2:Z30=TRUE)*(C986:C1014=TRUE)*S986:S1014)*N993)*IF(Inputs!$B$39="pvp",1,(1+(Inputs!$B$21+Skills!Q9+B1018)/100)*(MIN(Skills!W9,Inputs!$B$37))),0)</f>
        <v/>
      </c>
    </row>
    <row r="994">
      <c r="A994">
        <f>Skills!A10</f>
        <v/>
      </c>
      <c r="B994">
        <f>Skills!B10</f>
        <v/>
      </c>
      <c r="C994">
        <f>Inputs!$B$3&gt;=74</f>
        <v/>
      </c>
      <c r="D994">
        <f>IF(Skills!C10=1,60+Inputs!$B$25+Inputs!$B$29,IF(Skills!C10=2,90+Inputs!$B$26+Inputs!$B$29,IF(Skills!C10=3,120+Inputs!$B$27+Inputs!$B$29,MAX(0,(Inputs!$B$3-100)*3)+(Inputs!$B$28+1)+Inputs!$B$29)))</f>
        <v/>
      </c>
      <c r="E994">
        <f>INDEX(FactorTable!$B$2:$Y$301, MATCH(ROUND(MIN(300,MAX(1,D994)),0), FactorTable!$A$2:$A$301,0), Skills!M10+1)</f>
        <v/>
      </c>
      <c r="F994">
        <f>IF(Skills!N10=TRUE,(Skills!L10/10)*(E994/1000),Skills!L10/10)+Skills!O10</f>
        <v/>
      </c>
      <c r="G994">
        <f>Skills!G10*IF(Skills!H10&gt;0,Skills!I10/Skills!H10,1)</f>
        <v/>
      </c>
      <c r="H994">
        <f>1-(1-Skills!J10/100)^Skills!K10</f>
        <v/>
      </c>
      <c r="I994" t="inlineStr">
        <is>
          <t>1</t>
        </is>
      </c>
      <c r="J994" t="inlineStr"/>
      <c r="K994" t="inlineStr"/>
      <c r="L994" t="inlineStr"/>
      <c r="M994" t="inlineStr"/>
      <c r="N994" t="inlineStr"/>
      <c r="O994">
        <f>(1-Summary!$B$55)*T994+Summary!$B$55*V994</f>
        <v/>
      </c>
      <c r="P994">
        <f>IF(B1029=0,0,O994/B1029)</f>
        <v/>
      </c>
      <c r="Q994">
        <f>IFERROR(1/IF(Inputs!$B$39="pvp",15,MAX(0.1,Skills!D10-IF(Skills!E10=TRUE,Inputs!$B$32,0))),0)</f>
        <v/>
      </c>
      <c r="R994">
        <f>IF(AND(Inputs!$B$39&lt;&gt;"pvp",Inputs!$B$44&gt;0),IF(Inputs!$B$44&lt;=0,0,(INT(Inputs!$B$44/IF(Inputs!$B$39="pvp",15,MAX(0.1,Skills!D10-IF(Skills!E10=TRUE,Inputs!$B$32,0))))+1)),0)</f>
        <v/>
      </c>
      <c r="S994">
        <f>IFERROR(O994/N994,0)</f>
        <v/>
      </c>
      <c r="T994" t="n">
        <v>0</v>
      </c>
      <c r="V994" t="n">
        <v>0</v>
      </c>
    </row>
    <row r="995">
      <c r="A995">
        <f>Skills!A11</f>
        <v/>
      </c>
      <c r="B995">
        <f>Skills!B11</f>
        <v/>
      </c>
      <c r="C995">
        <f>Inputs!$B$3&gt;=103</f>
        <v/>
      </c>
      <c r="D995">
        <f>IF(Skills!C11=1,60+Inputs!$B$25+Inputs!$B$29,IF(Skills!C11=2,90+Inputs!$B$26+Inputs!$B$29,IF(Skills!C11=3,120+Inputs!$B$27+Inputs!$B$29,MAX(0,(Inputs!$B$3-100)*3)+(Inputs!$B$28+1)+Inputs!$B$29)))</f>
        <v/>
      </c>
      <c r="E995">
        <f>INDEX(FactorTable!$B$2:$Y$301, MATCH(ROUND(MIN(300,MAX(1,D995)),0), FactorTable!$A$2:$A$301,0), Skills!M11+1)</f>
        <v/>
      </c>
      <c r="F995">
        <f>(Skills!L11/10)*(E995/1000)+IF(Inputs!$B$3&gt;=134,50,0)+0.5*(30000/10)*(INDEX(FactorTable!$B$2:$Y$301, MATCH(ROUND(MIN(300,MAX(1,D995)),0), FactorTable!$A$2:$A$301,0), 13)/1000)*B1027</f>
        <v/>
      </c>
      <c r="G995">
        <f>Skills!G11*IF(Skills!H11&gt;0,Skills!I11/Skills!H11,1)</f>
        <v/>
      </c>
      <c r="H995">
        <f>1-(1-Skills!J11/100)^Skills!K11</f>
        <v/>
      </c>
      <c r="I995" t="inlineStr">
        <is>
          <t>1</t>
        </is>
      </c>
      <c r="J995">
        <f>((Inputs!$B$6*(1+Inputs!$B$7/100))+(((Inputs!$B$12*(1+Inputs!$B$13/100))-(Inputs!$B$12*(1+Inputs!$B$13/100)))+0.25*(Inputs!$B$14-Inputs!$B$14))*(1+Inputs!$B$7/100))*(F995/100)</f>
        <v/>
      </c>
      <c r="K995">
        <f>J995*(1+((Inputs!$B$12*(1+Inputs!$B$13/100))*0.01+Inputs!$B$14*0.0025)/100)*(1+Inputs!$B$15/100)*(1+Inputs!$B$16/100)*(5000/(6000+Inputs!$B$43*(1-Inputs!$B$19/100)))*(1+(Inputs!$B$24+((C1014=TRUE)*(F1014-Calc!F30)))/100)*(1+(IF(Skills!A11="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995)</f>
        <v/>
      </c>
      <c r="L995">
        <f>K995*(MIN(Inputs!$B$22+((C1008=TRUE)*(F1008-Calc!F24)),Inputs!$B$23+((C1013=TRUE)*(F1013-Calc!F29)))/100+(Inputs!$B$23+((C1013=TRUE)*(F1013-Calc!F29)))/100)/2</f>
        <v/>
      </c>
      <c r="M995">
        <f>L995*(1+(Inputs!$B$10+((C1010=TRUE)*(F1010-Calc!F26))+B1024)/100)</f>
        <v/>
      </c>
      <c r="N995">
        <f>L995*(1-MIN((Inputs!$B$9+((C1009=TRUE)*(F1009-Calc!F25))+B1017),100)/100)+M995*(MIN((Inputs!$B$9+((C1009=TRUE)*(F1009-Calc!F25))+B1017),100)/100)</f>
        <v/>
      </c>
      <c r="O995">
        <f>(1-Summary!$B$55)*T995+Summary!$B$55*V995</f>
        <v/>
      </c>
      <c r="P995">
        <f>IF(B1029=0,0,O995/B1029)</f>
        <v/>
      </c>
      <c r="Q995">
        <f>IFERROR(1/IF(Inputs!$B$39="pvp",15,MAX(0.1,Skills!D11-IF(Skills!E11=TRUE,Inputs!$B$32,0))),0)</f>
        <v/>
      </c>
      <c r="R995">
        <f>IF(AND(Inputs!$B$39&lt;&gt;"pvp",Inputs!$B$44&gt;0),IF(MAX(0,Inputs!$B$44-B1028)&lt;=0,0,(INT(MAX(0,Inputs!$B$44-B1028)/IF(Inputs!$B$39="pvp",15,MAX(0.1,Skills!D11-IF(Skills!E11=TRUE,Inputs!$B$32,0))))+1)),0)</f>
        <v/>
      </c>
      <c r="S995">
        <f>IFERROR(O995/N995,0)</f>
        <v/>
      </c>
      <c r="T995">
        <f>IF(C995,(H995*N995*IF(AND(Inputs!$B$39&lt;&gt;"pvp",Inputs!$B$44&gt;0),((Skills!G11*((R995-1)*IF(Skills!H11&gt;0,Skills!I11/Skills!H11,1)+IF(Skills!H11&gt;0,MIN(Skills!I11,MAX(0,MAX(0,Inputs!$B$44-B1028)-((R995-1)*IF(Inputs!$B$39="pvp",15,MAX(0.1,Skills!D11-IF(Skills!E11=TRUE,Inputs!$B$32,0))))))/Skills!H11,1)))/Inputs!$B$44),G995*Q995))*IF(Inputs!$B$39="pvp",1,1+(Inputs!$B$20+0+Skills!P11+B1018)/100),0)</f>
        <v/>
      </c>
      <c r="V995">
        <f>IF(C995,(H995*N995*IF(AND(Inputs!$B$39&lt;&gt;"pvp",Inputs!$B$44&gt;0),((Skills!G11*((R995-1)*IF(Skills!H11&gt;0,Skills!I11/Skills!H11,1)+IF(Skills!H11&gt;0,MIN(Skills!I11,MAX(0,MAX(0,Inputs!$B$44-B1028)-((R995-1)*IF(Inputs!$B$39="pvp",15,MAX(0.1,Skills!D11-IF(Skills!E11=TRUE,Inputs!$B$32,0))))))/Skills!H11,1)))/Inputs!$B$44),G995*Q995))*IF(Inputs!$B$39="pvp",1,(1+(Inputs!$B$21+Skills!Q11+B1018)/100)*(MIN(Skills!W11,Inputs!$B$37))),0)</f>
        <v/>
      </c>
    </row>
    <row r="996">
      <c r="A996">
        <f>Skills!A12</f>
        <v/>
      </c>
      <c r="B996">
        <f>Skills!B12</f>
        <v/>
      </c>
      <c r="C996">
        <f>Inputs!$B$3&gt;=105</f>
        <v/>
      </c>
      <c r="D996">
        <f>IF(Skills!C12=1,60+Inputs!$B$25+Inputs!$B$29,IF(Skills!C12=2,90+Inputs!$B$26+Inputs!$B$29,IF(Skills!C12=3,120+Inputs!$B$27+Inputs!$B$29,MAX(0,(Inputs!$B$3-100)*3)+(Inputs!$B$28+1)+Inputs!$B$29)))</f>
        <v/>
      </c>
      <c r="E996">
        <f>INDEX(FactorTable!$B$2:$Y$301, MATCH(ROUND(MIN(300,MAX(1,D996)),0), FactorTable!$A$2:$A$301,0), Skills!M12+1)</f>
        <v/>
      </c>
      <c r="F996">
        <f>IF(Skills!N12=TRUE,(Skills!L12/10)*(E996/1000),Skills!L12/10)+Skills!O12</f>
        <v/>
      </c>
      <c r="G996">
        <f>Skills!G12*IF(Skills!H12&gt;0,Skills!I12/Skills!H12,1)</f>
        <v/>
      </c>
      <c r="H996">
        <f>1-(1-Skills!J12/100)^Skills!K12</f>
        <v/>
      </c>
      <c r="I996" t="inlineStr">
        <is>
          <t>1</t>
        </is>
      </c>
      <c r="J996">
        <f>((Inputs!$B$6*(1+Inputs!$B$7/100))+(((Inputs!$B$12*(1+Inputs!$B$13/100))-(Inputs!$B$12*(1+Inputs!$B$13/100)))+0.25*(Inputs!$B$14-Inputs!$B$14))*(1+Inputs!$B$7/100))*(F996/100)</f>
        <v/>
      </c>
      <c r="K996">
        <f>J996*(1+((Inputs!$B$12*(1+Inputs!$B$13/100))*0.01+Inputs!$B$14*0.0025)/100)*(1+Inputs!$B$15/100)*(1+Inputs!$B$16/100)*(5000/(6000+Inputs!$B$43*(1-Inputs!$B$19/100)))*(1+(Inputs!$B$24+((C1014=TRUE)*(F1014-Calc!F30)))/100)*(1+(IF(Skills!A12="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996)</f>
        <v/>
      </c>
      <c r="L996">
        <f>K996*(MIN(Inputs!$B$22+((C1008=TRUE)*(F1008-Calc!F24)),Inputs!$B$23+((C1013=TRUE)*(F1013-Calc!F29)))/100+(Inputs!$B$23+((C1013=TRUE)*(F1013-Calc!F29)))/100)/2</f>
        <v/>
      </c>
      <c r="M996">
        <f>L996*(1+(Inputs!$B$10+((C1010=TRUE)*(F1010-Calc!F26))+B1024)/100)</f>
        <v/>
      </c>
      <c r="N996">
        <f>L996*(1-MIN((Inputs!$B$9+((C1009=TRUE)*(F1009-Calc!F25))+B1017),100)/100)+M996*(MIN((Inputs!$B$9+((C1009=TRUE)*(F1009-Calc!F25))+B1017),100)/100)</f>
        <v/>
      </c>
      <c r="O996">
        <f>(1-Summary!$B$55)*T996+Summary!$B$55*V996</f>
        <v/>
      </c>
      <c r="P996">
        <f>IF(B1029=0,0,O996/B1029)</f>
        <v/>
      </c>
      <c r="Q996">
        <f>IFERROR(1/IF(Inputs!$B$39="pvp",15,MAX(0.1,Skills!D12-IF(Skills!E12=TRUE,Inputs!$B$32,0))),0)</f>
        <v/>
      </c>
      <c r="R996">
        <f>IF(AND(Inputs!$B$39&lt;&gt;"pvp",Inputs!$B$44&gt;0),IF(MAX(0,Inputs!$B$44-B1028)&lt;=0,0,(INT(MAX(0,Inputs!$B$44-B1028)/IF(Inputs!$B$39="pvp",15,MAX(0.1,Skills!D12-IF(Skills!E12=TRUE,Inputs!$B$32,0))))+1)),0)</f>
        <v/>
      </c>
      <c r="S996">
        <f>IFERROR(O996/N996,0)</f>
        <v/>
      </c>
      <c r="T996">
        <f>IF(C996,(H996*N996*IF(AND(Inputs!$B$39&lt;&gt;"pvp",Inputs!$B$44&gt;0),((Skills!G12*((R996-1)*IF(Skills!H12&gt;0,Skills!I12/Skills!H12,1)+IF(Skills!H12&gt;0,MIN(Skills!I12,MAX(0,MAX(0,Inputs!$B$44-B1028)-((R996-1)*IF(Inputs!$B$39="pvp",15,MAX(0.1,Skills!D12-IF(Skills!E12=TRUE,Inputs!$B$32,0))))))/Skills!H12,1)))/Inputs!$B$44),G996*Q996))*IF(Inputs!$B$39="pvp",1,1+(Inputs!$B$20+0+Skills!P12+B1018)/100),0)</f>
        <v/>
      </c>
      <c r="V996">
        <f>IF(C996,(H996*N996*IF(AND(Inputs!$B$39&lt;&gt;"pvp",Inputs!$B$44&gt;0),((Skills!G12*((R996-1)*IF(Skills!H12&gt;0,Skills!I12/Skills!H12,1)+IF(Skills!H12&gt;0,MIN(Skills!I12,MAX(0,MAX(0,Inputs!$B$44-B1028)-((R996-1)*IF(Inputs!$B$39="pvp",15,MAX(0.1,Skills!D12-IF(Skills!E12=TRUE,Inputs!$B$32,0))))))/Skills!H12,1)))/Inputs!$B$44),G996*Q996))*IF(Inputs!$B$39="pvp",1,(1+(Inputs!$B$21+Skills!Q12+B1018)/100)*(MIN(Skills!W12,Inputs!$B$37))),0)</f>
        <v/>
      </c>
    </row>
    <row r="997">
      <c r="A997">
        <f>Skills!A13</f>
        <v/>
      </c>
      <c r="B997">
        <f>Skills!B13</f>
        <v/>
      </c>
      <c r="C997">
        <f>Inputs!$B$3&gt;=105</f>
        <v/>
      </c>
      <c r="D997">
        <f>IF(Skills!C13=1,60+Inputs!$B$25+Inputs!$B$29,IF(Skills!C13=2,90+Inputs!$B$26+Inputs!$B$29,IF(Skills!C13=3,120+Inputs!$B$27+Inputs!$B$29,MAX(0,(Inputs!$B$3-100)*3)+(Inputs!$B$28+1)+Inputs!$B$29)))</f>
        <v/>
      </c>
      <c r="E997">
        <f>INDEX(FactorTable!$B$2:$Y$301, MATCH(ROUND(MIN(300,MAX(1,D997)),0), FactorTable!$A$2:$A$301,0), Skills!M13+1)</f>
        <v/>
      </c>
      <c r="F997">
        <f>IF(Skills!N13=TRUE,(Skills!L13/10)*(E997/1000),Skills!L13/10)+Skills!O13</f>
        <v/>
      </c>
      <c r="G997">
        <f>Skills!G13*IF(Skills!H13&gt;0,Skills!I13/Skills!H13,1)</f>
        <v/>
      </c>
      <c r="H997">
        <f>1-(1-Skills!J13/100)^Skills!K13</f>
        <v/>
      </c>
      <c r="I997" t="inlineStr">
        <is>
          <t>1</t>
        </is>
      </c>
      <c r="J997">
        <f>((Inputs!$B$6*(1+Inputs!$B$7/100))+(((Inputs!$B$12*(1+Inputs!$B$13/100))-(Inputs!$B$12*(1+Inputs!$B$13/100)))+0.25*(Inputs!$B$14-Inputs!$B$14))*(1+Inputs!$B$7/100))*(F997/100)</f>
        <v/>
      </c>
      <c r="K997">
        <f>J997*(1+((Inputs!$B$12*(1+Inputs!$B$13/100))*0.01+Inputs!$B$14*0.0025)/100)*(1+Inputs!$B$15/100)*(1+Inputs!$B$16/100)*(5000/(6000+Inputs!$B$43*(1-Inputs!$B$19/100)))*(1+(Inputs!$B$24+((C1014=TRUE)*(F1014-Calc!F30)))/100)*(1+(IF(Skills!A13="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997)</f>
        <v/>
      </c>
      <c r="L997">
        <f>K997*(MIN(Inputs!$B$22+((C1008=TRUE)*(F1008-Calc!F24)),Inputs!$B$23+((C1013=TRUE)*(F1013-Calc!F29)))/100+(Inputs!$B$23+((C1013=TRUE)*(F1013-Calc!F29)))/100)/2</f>
        <v/>
      </c>
      <c r="M997">
        <f>L997*(1+(Inputs!$B$10+((C1010=TRUE)*(F1010-Calc!F26))+B1024)/100)</f>
        <v/>
      </c>
      <c r="N997">
        <f>L997*(1-MIN((Inputs!$B$9+((C1009=TRUE)*(F1009-Calc!F25))+B1017),100)/100)+M997*(MIN((Inputs!$B$9+((C1009=TRUE)*(F1009-Calc!F25))+B1017),100)/100)</f>
        <v/>
      </c>
      <c r="O997">
        <f>(1-Summary!$B$55)*T997+Summary!$B$55*V997</f>
        <v/>
      </c>
      <c r="P997">
        <f>IF(B1029=0,0,O997/B1029)</f>
        <v/>
      </c>
      <c r="Q997">
        <f>IFERROR(1/IF(Inputs!$B$39="pvp",15,MAX(0.1,Skills!D13-IF(Skills!E13=TRUE,Inputs!$B$32,0))),0)</f>
        <v/>
      </c>
      <c r="R997">
        <f>IF(AND(Inputs!$B$39&lt;&gt;"pvp",Inputs!$B$44&gt;0),IF(MAX(0,Inputs!$B$44-B1028)&lt;=0,0,(INT(MAX(0,Inputs!$B$44-B1028)/IF(Inputs!$B$39="pvp",15,MAX(0.1,Skills!D13-IF(Skills!E13=TRUE,Inputs!$B$32,0))))+1)),0)</f>
        <v/>
      </c>
      <c r="S997">
        <f>IFERROR(O997/N997,0)</f>
        <v/>
      </c>
      <c r="T997">
        <f>IF(C997,(H997*N997*IF(AND(Inputs!$B$39&lt;&gt;"pvp",Inputs!$B$44&gt;0),((Skills!G13*((R997-1)*IF(Skills!H13&gt;0,Skills!I13/Skills!H13,1)+IF(Skills!H13&gt;0,MIN(Skills!I13,MAX(0,MAX(0,Inputs!$B$44-B1028)-((R997-1)*IF(Inputs!$B$39="pvp",15,MAX(0.1,Skills!D13-IF(Skills!E13=TRUE,Inputs!$B$32,0))))))/Skills!H13,1)))/Inputs!$B$44),G997*Q997))*IF(Inputs!$B$39="pvp",1,1+(Inputs!$B$20+0+Skills!P13+B1018)/100),0)</f>
        <v/>
      </c>
      <c r="V997">
        <f>IF(C997,(H997*N997*IF(AND(Inputs!$B$39&lt;&gt;"pvp",Inputs!$B$44&gt;0),((Skills!G13*((R997-1)*IF(Skills!H13&gt;0,Skills!I13/Skills!H13,1)+IF(Skills!H13&gt;0,MIN(Skills!I13,MAX(0,MAX(0,Inputs!$B$44-B1028)-((R997-1)*IF(Inputs!$B$39="pvp",15,MAX(0.1,Skills!D13-IF(Skills!E13=TRUE,Inputs!$B$32,0))))))/Skills!H13,1)))/Inputs!$B$44),G997*Q997))*IF(Inputs!$B$39="pvp",1,(1+(Inputs!$B$21+Skills!Q13+B1018)/100)*(MIN(Skills!W13,Inputs!$B$37))),0)</f>
        <v/>
      </c>
    </row>
    <row r="998">
      <c r="A998">
        <f>Skills!A14</f>
        <v/>
      </c>
      <c r="B998">
        <f>Skills!B14</f>
        <v/>
      </c>
      <c r="C998">
        <f>Inputs!$B$3&gt;=107</f>
        <v/>
      </c>
      <c r="D998">
        <f>IF(Skills!C14=1,60+Inputs!$B$25+Inputs!$B$29,IF(Skills!C14=2,90+Inputs!$B$26+Inputs!$B$29,IF(Skills!C14=3,120+Inputs!$B$27+Inputs!$B$29,MAX(0,(Inputs!$B$3-100)*3)+(Inputs!$B$28+1)+Inputs!$B$29)))</f>
        <v/>
      </c>
      <c r="E998">
        <f>INDEX(FactorTable!$B$2:$Y$301, MATCH(ROUND(MIN(300,MAX(1,D998)),0), FactorTable!$A$2:$A$301,0), Skills!M14+1)</f>
        <v/>
      </c>
      <c r="F998">
        <f>IF(Skills!N14=TRUE,(Skills!L14/10)*(E998/1000),Skills!L14/10)+Skills!O14</f>
        <v/>
      </c>
      <c r="G998">
        <f>Skills!G14*IF(Skills!H14&gt;0,Skills!I14/Skills!H14,1)</f>
        <v/>
      </c>
      <c r="H998">
        <f>1-(1-Skills!J14/100)^Skills!K14</f>
        <v/>
      </c>
      <c r="I998" t="inlineStr">
        <is>
          <t>1</t>
        </is>
      </c>
      <c r="J998">
        <f>((Inputs!$B$6*(1+Inputs!$B$7/100))+(((Inputs!$B$12*(1+Inputs!$B$13/100))-(Inputs!$B$12*(1+Inputs!$B$13/100)))+0.25*(Inputs!$B$14-Inputs!$B$14))*(1+Inputs!$B$7/100))*(F998/100)</f>
        <v/>
      </c>
      <c r="K998">
        <f>J998*(1+((Inputs!$B$12*(1+Inputs!$B$13/100))*0.01+Inputs!$B$14*0.0025)/100)*(1+Inputs!$B$15/100)*(1+Inputs!$B$16/100)*(5000/(6000+Inputs!$B$43*(1-Inputs!$B$19/100)))*(1+(Inputs!$B$24+((C1014=TRUE)*(F1014-Calc!F30)))/100)*(1+(IF(Skills!A14="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998)</f>
        <v/>
      </c>
      <c r="L998">
        <f>K998*(MIN(Inputs!$B$22+((C1008=TRUE)*(F1008-Calc!F24)),Inputs!$B$23+((C1013=TRUE)*(F1013-Calc!F29)))/100+(Inputs!$B$23+((C1013=TRUE)*(F1013-Calc!F29)))/100)/2</f>
        <v/>
      </c>
      <c r="M998">
        <f>L998*(1+(Inputs!$B$10+((C1010=TRUE)*(F1010-Calc!F26))+B1024)/100)</f>
        <v/>
      </c>
      <c r="N998">
        <f>L998*(1-MIN((Inputs!$B$9+((C1009=TRUE)*(F1009-Calc!F25))+B1017),100)/100)+M998*(MIN((Inputs!$B$9+((C1009=TRUE)*(F1009-Calc!F25))+B1017),100)/100)</f>
        <v/>
      </c>
      <c r="O998">
        <f>(1-Summary!$B$55)*T998+Summary!$B$55*V998</f>
        <v/>
      </c>
      <c r="P998">
        <f>IF(B1029=0,0,O998/B1029)</f>
        <v/>
      </c>
      <c r="Q998">
        <f>IFERROR(1/IF(Inputs!$B$39="pvp",15,MAX(0.1,Skills!D14-IF(Skills!E14=TRUE,Inputs!$B$32,0))),0)</f>
        <v/>
      </c>
      <c r="R998">
        <f>IF(AND(Inputs!$B$39&lt;&gt;"pvp",Inputs!$B$44&gt;0),IF(MAX(0,Inputs!$B$44-B1028)&lt;=0,0,(INT(MAX(0,Inputs!$B$44-B1028)/IF(Inputs!$B$39="pvp",15,MAX(0.1,Skills!D14-IF(Skills!E14=TRUE,Inputs!$B$32,0))))+1)),0)</f>
        <v/>
      </c>
      <c r="S998">
        <f>IFERROR(O998/N998,0)</f>
        <v/>
      </c>
      <c r="T998">
        <f>IF(C998,(H998*N998*IF(AND(Inputs!$B$39&lt;&gt;"pvp",Inputs!$B$44&gt;0),((Skills!G14*((R998-1)*IF(Skills!H14&gt;0,Skills!I14/Skills!H14,1)+IF(Skills!H14&gt;0,MIN(Skills!I14,MAX(0,MAX(0,Inputs!$B$44-B1028)-((R998-1)*IF(Inputs!$B$39="pvp",15,MAX(0.1,Skills!D14-IF(Skills!E14=TRUE,Inputs!$B$32,0))))))/Skills!H14,1)))/Inputs!$B$44),G998*Q998))*IF(Inputs!$B$39="pvp",1,1+(Inputs!$B$20+0+Skills!P14+B1018)/100),0)</f>
        <v/>
      </c>
      <c r="V998">
        <f>IF(C998,(H998*N998*IF(AND(Inputs!$B$39&lt;&gt;"pvp",Inputs!$B$44&gt;0),((Skills!G14*((R998-1)*IF(Skills!H14&gt;0,Skills!I14/Skills!H14,1)+IF(Skills!H14&gt;0,MIN(Skills!I14,MAX(0,MAX(0,Inputs!$B$44-B1028)-((R998-1)*IF(Inputs!$B$39="pvp",15,MAX(0.1,Skills!D14-IF(Skills!E14=TRUE,Inputs!$B$32,0))))))/Skills!H14,1)))/Inputs!$B$44),G998*Q998))*IF(Inputs!$B$39="pvp",1,(1+(Inputs!$B$21+Skills!Q14+B1018)/100)*(MIN(MIN(5,0.25*B1021*Skills!D4)*Skills!V14,Inputs!$B$37))),0)</f>
        <v/>
      </c>
    </row>
    <row r="999">
      <c r="A999">
        <f>Skills!A15</f>
        <v/>
      </c>
      <c r="B999">
        <f>Skills!B15</f>
        <v/>
      </c>
      <c r="C999">
        <f>Inputs!$B$3&gt;=110</f>
        <v/>
      </c>
      <c r="D999">
        <f>IF(Skills!C15=1,60+Inputs!$B$25+Inputs!$B$29,IF(Skills!C15=2,90+Inputs!$B$26+Inputs!$B$29,IF(Skills!C15=3,120+Inputs!$B$27+Inputs!$B$29,MAX(0,(Inputs!$B$3-100)*3)+(Inputs!$B$28+1)+Inputs!$B$29)))</f>
        <v/>
      </c>
      <c r="E999">
        <f>INDEX(FactorTable!$B$2:$Y$301, MATCH(ROUND(MIN(300,MAX(1,D999)),0), FactorTable!$A$2:$A$301,0), Skills!M15+1)</f>
        <v/>
      </c>
      <c r="F999">
        <f>IF(Skills!N15=TRUE,(Skills!L15/10)*(E999/1000),Skills!L15/10)+Skills!O15</f>
        <v/>
      </c>
      <c r="G999">
        <f>Skills!G15*IF(Skills!H15&gt;0,Skills!I15/Skills!H15,1)</f>
        <v/>
      </c>
      <c r="H999">
        <f>1-(1-Skills!J15/100)^Skills!K15</f>
        <v/>
      </c>
      <c r="I999" t="inlineStr">
        <is>
          <t>1</t>
        </is>
      </c>
      <c r="J999" t="inlineStr"/>
      <c r="K999" t="inlineStr"/>
      <c r="L999" t="inlineStr"/>
      <c r="M999" t="inlineStr"/>
      <c r="N999" t="inlineStr"/>
      <c r="O999">
        <f>(1-Summary!$B$55)*T999+Summary!$B$55*V999</f>
        <v/>
      </c>
      <c r="P999">
        <f>IF(B1029=0,0,O999/B1029)</f>
        <v/>
      </c>
      <c r="Q999">
        <f>IFERROR(1/IF(Inputs!$B$39="pvp",15,MAX(0.1,Skills!D15-IF(Skills!E15=TRUE,Inputs!$B$32,0))),0)</f>
        <v/>
      </c>
      <c r="R999">
        <f>IF(AND(Inputs!$B$39&lt;&gt;"pvp",Inputs!$B$44&gt;0),IF(Inputs!$B$44&lt;=0,0,(INT(Inputs!$B$44/IF(Inputs!$B$39="pvp",15,MAX(0.1,Skills!D15-IF(Skills!E15=TRUE,Inputs!$B$32,0))))+1)),0)</f>
        <v/>
      </c>
      <c r="S999">
        <f>IFERROR(O999/N999,0)</f>
        <v/>
      </c>
      <c r="T999" t="n">
        <v>0</v>
      </c>
      <c r="V999" t="n">
        <v>0</v>
      </c>
    </row>
    <row r="1000">
      <c r="A1000">
        <f>Skills!A16</f>
        <v/>
      </c>
      <c r="B1000">
        <f>Skills!B16</f>
        <v/>
      </c>
      <c r="C1000">
        <f>Inputs!$B$3&gt;=115</f>
        <v/>
      </c>
      <c r="D1000">
        <f>IF(Skills!C16=1,60+Inputs!$B$25+Inputs!$B$29,IF(Skills!C16=2,90+Inputs!$B$26+Inputs!$B$29,IF(Skills!C16=3,120+Inputs!$B$27+Inputs!$B$29,MAX(0,(Inputs!$B$3-100)*3)+(Inputs!$B$28+1)+Inputs!$B$29)))</f>
        <v/>
      </c>
      <c r="E1000">
        <f>INDEX(FactorTable!$B$2:$Y$301, MATCH(ROUND(MIN(300,MAX(1,D1000)),0), FactorTable!$A$2:$A$301,0), Skills!M16+1)</f>
        <v/>
      </c>
      <c r="F1000">
        <f>IF(Skills!N16=TRUE,(Skills!L16/10)*(E1000/1000),Skills!L16/10)+Skills!O16</f>
        <v/>
      </c>
      <c r="G1000">
        <f>Skills!G16*IF(Skills!H16&gt;0,Skills!I16/Skills!H16,1)</f>
        <v/>
      </c>
      <c r="H1000">
        <f>1-(1-Skills!J16/100)^Skills!K16</f>
        <v/>
      </c>
      <c r="I1000" t="inlineStr">
        <is>
          <t>1</t>
        </is>
      </c>
      <c r="J1000">
        <f>((Inputs!$B$6*(1+Inputs!$B$7/100))+(((Inputs!$B$12*(1+Inputs!$B$13/100))-(Inputs!$B$12*(1+Inputs!$B$13/100)))+0.25*(Inputs!$B$14-Inputs!$B$14))*(1+Inputs!$B$7/100))*(F1000/100)</f>
        <v/>
      </c>
      <c r="K1000">
        <f>J1000*(1+((Inputs!$B$12*(1+Inputs!$B$13/100))*0.01+Inputs!$B$14*0.0025)/100)*(1+Inputs!$B$15/100)*(1+Inputs!$B$16/100)*(5000/(6000+Inputs!$B$43*(1-Inputs!$B$19/100)))*(1+(Inputs!$B$24+((C1014=TRUE)*(F1014-Calc!F30)))/100)*(1+(IF(Skills!A16="CRUEL_STAB",Inputs!$B$17+((C1011=TRUE)*(F1011-Calc!F27)),Inputs!$B$18+((C1012=TRUE)*(F1012-Calc!F28))))/100)*(((1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B1019*I1000)</f>
        <v/>
      </c>
      <c r="L1000">
        <f>K1000*(MIN(Inputs!$B$22+((C1008=TRUE)*(F1008-Calc!F24)),Inputs!$B$23+((C1013=TRUE)*(F1013-Calc!F29)))/100+(Inputs!$B$23+((C1013=TRUE)*(F1013-Calc!F29)))/100)/2</f>
        <v/>
      </c>
      <c r="M1000">
        <f>L1000*(1+(Inputs!$B$10+((C1010=TRUE)*(F1010-Calc!F26))+B1024)/100)</f>
        <v/>
      </c>
      <c r="N1000">
        <f>L1000*(1-MIN((Inputs!$B$9+((C1009=TRUE)*(F1009-Calc!F25))+B1017),100)/100)+M1000*(MIN((Inputs!$B$9+((C1009=TRUE)*(F1009-Calc!F25))+B1017),100)/100)</f>
        <v/>
      </c>
      <c r="O1000">
        <f>(1-Summary!$B$55)*T1000+Summary!$B$55*V1000</f>
        <v/>
      </c>
      <c r="P1000">
        <f>IF(B1029=0,0,O1000/B1029)</f>
        <v/>
      </c>
      <c r="Q1000" t="n">
        <v>0</v>
      </c>
      <c r="R1000" t="n">
        <v>0</v>
      </c>
      <c r="S1000">
        <f>IFERROR(O1000/N1000,0)</f>
        <v/>
      </c>
      <c r="T1000">
        <f>IF(C1000,(Inputs!$B$38*0.2*N1000)*IF(Inputs!$B$39="pvp",1,1+(Inputs!$B$20+0+Skills!P16+B1018)/100),0)</f>
        <v/>
      </c>
      <c r="V1000">
        <f>IF(C1000,(Inputs!$B$38*0.2*N1000)*IF(Inputs!$B$39="pvp",1,(1+(Inputs!$B$21+Skills!Q16+B1018)/100)*(MIN(Skills!W16,Inputs!$B$37))),0)</f>
        <v/>
      </c>
    </row>
    <row r="1001">
      <c r="A1001">
        <f>Skills!A17</f>
        <v/>
      </c>
      <c r="B1001">
        <f>Skills!B17</f>
        <v/>
      </c>
      <c r="C1001">
        <f>Inputs!$B$3&gt;=115</f>
        <v/>
      </c>
      <c r="D1001">
        <f>IF(Skills!C17=1,60+Inputs!$B$25+Inputs!$B$29,IF(Skills!C17=2,90+Inputs!$B$26+Inputs!$B$29,IF(Skills!C17=3,120+Inputs!$B$27+Inputs!$B$29,MAX(0,(Inputs!$B$3-100)*3)+(Inputs!$B$28+1)+Inputs!$B$29)))</f>
        <v/>
      </c>
      <c r="E1001">
        <f>INDEX(FactorTable!$B$2:$Y$301, MATCH(ROUND(MIN(300,MAX(1,D1001)),0), FactorTable!$A$2:$A$301,0), Skills!M17+1)</f>
        <v/>
      </c>
      <c r="F1001">
        <f>IF(Skills!N17=TRUE,(Skills!L17/10)*(E1001/1000),Skills!L17/10)+Skills!O17</f>
        <v/>
      </c>
      <c r="G1001">
        <f>Skills!G17*IF(Skills!H17&gt;0,Skills!I17/Skills!H17,1)</f>
        <v/>
      </c>
      <c r="H1001">
        <f>1-(1-Skills!J17/100)^Skills!K17</f>
        <v/>
      </c>
      <c r="I1001" t="inlineStr">
        <is>
          <t>1</t>
        </is>
      </c>
      <c r="J1001" t="inlineStr"/>
      <c r="K1001" t="inlineStr"/>
      <c r="L1001" t="inlineStr"/>
      <c r="M1001" t="inlineStr"/>
      <c r="N1001" t="inlineStr"/>
      <c r="O1001">
        <f>(1-Summary!$B$55)*T1001+Summary!$B$55*V1001</f>
        <v/>
      </c>
      <c r="P1001">
        <f>IF(B1029=0,0,O1001/B1029)</f>
        <v/>
      </c>
      <c r="Q1001" t="n">
        <v>0</v>
      </c>
      <c r="R1001" t="n">
        <v>0</v>
      </c>
      <c r="S1001">
        <f>IFERROR(O1001/N1001,0)</f>
        <v/>
      </c>
      <c r="T1001" t="n">
        <v>0</v>
      </c>
      <c r="V1001" t="n">
        <v>0</v>
      </c>
    </row>
    <row r="1002">
      <c r="A1002">
        <f>Skills!A18</f>
        <v/>
      </c>
      <c r="B1002">
        <f>Skills!B18</f>
        <v/>
      </c>
      <c r="C1002">
        <f>Inputs!$B$3&gt;=100</f>
        <v/>
      </c>
      <c r="D1002">
        <f>IF(Skills!C18=1,60+Inputs!$B$25+Inputs!$B$29,IF(Skills!C18=2,90+Inputs!$B$26+Inputs!$B$29,IF(Skills!C18=3,120+Inputs!$B$27+Inputs!$B$29,MAX(0,(Inputs!$B$3-100)*3)+(Inputs!$B$28+1)+Inputs!$B$29)))</f>
        <v/>
      </c>
      <c r="E1002">
        <f>INDEX(FactorTable!$B$2:$Y$301, MATCH(ROUND(MIN(300,MAX(1,D1002)),0), FactorTable!$A$2:$A$301,0), Skills!M18+1)</f>
        <v/>
      </c>
      <c r="F1002">
        <f>IF(Skills!N18=TRUE,(Skills!L18/10)*(E1002/1000),Skills!L18/10)+Skills!O18</f>
        <v/>
      </c>
      <c r="G1002">
        <f>Skills!G18*IF(Skills!H18&gt;0,Skills!I18/Skills!H18,1)</f>
        <v/>
      </c>
      <c r="H1002">
        <f>1-(1-Skills!J18/100)^Skills!K18</f>
        <v/>
      </c>
      <c r="I1002" t="inlineStr">
        <is>
          <t>1</t>
        </is>
      </c>
      <c r="J1002" t="inlineStr"/>
      <c r="K1002" t="inlineStr"/>
      <c r="L1002" t="inlineStr"/>
      <c r="M1002" t="inlineStr"/>
      <c r="N1002" t="inlineStr"/>
      <c r="O1002">
        <f>(1-Summary!$B$55)*T1002+Summary!$B$55*V1002</f>
        <v/>
      </c>
      <c r="P1002">
        <f>IF(B1029=0,0,O1002/B1029)</f>
        <v/>
      </c>
      <c r="Q1002" t="n">
        <v>0</v>
      </c>
      <c r="R1002" t="n">
        <v>0</v>
      </c>
      <c r="S1002">
        <f>IFERROR(O1002/N1002,0)</f>
        <v/>
      </c>
      <c r="T1002" t="n">
        <v>0</v>
      </c>
      <c r="V1002" t="n">
        <v>0</v>
      </c>
    </row>
    <row r="1003">
      <c r="A1003">
        <f>Skills!A19</f>
        <v/>
      </c>
      <c r="B1003">
        <f>Skills!B19</f>
        <v/>
      </c>
      <c r="C1003">
        <f>TRUE</f>
        <v/>
      </c>
      <c r="D1003">
        <f>IF(Skills!C19=1,60+Inputs!$B$25+Inputs!$B$29,IF(Skills!C19=2,90+Inputs!$B$26+Inputs!$B$29,IF(Skills!C19=3,120+Inputs!$B$27+Inputs!$B$29,MAX(0,(Inputs!$B$3-100)*3)+(Inputs!$B$28+1)+Inputs!$B$29)))</f>
        <v/>
      </c>
      <c r="E1003">
        <f>INDEX(FactorTable!$B$2:$Y$301, MATCH(ROUND(MIN(300,MAX(1,D1003)),0), FactorTable!$A$2:$A$301,0), Skills!M19+1)</f>
        <v/>
      </c>
      <c r="F1003">
        <f>IF(Skills!N19=TRUE,(Skills!L19/10)*(E1003/1000),Skills!L19/10)+Skills!O19</f>
        <v/>
      </c>
      <c r="G1003">
        <f>Skills!G19*IF(Skills!H19&gt;0,Skills!I19/Skills!H19,1)</f>
        <v/>
      </c>
      <c r="H1003">
        <f>1-(1-Skills!J19/100)^Skills!K19</f>
        <v/>
      </c>
      <c r="I1003" t="inlineStr">
        <is>
          <t>1</t>
        </is>
      </c>
      <c r="J1003" t="inlineStr"/>
      <c r="K1003" t="inlineStr"/>
      <c r="L1003" t="inlineStr"/>
      <c r="M1003" t="inlineStr"/>
      <c r="N1003" t="inlineStr"/>
      <c r="O1003">
        <f>(1-Summary!$B$55)*T1003+Summary!$B$55*V1003</f>
        <v/>
      </c>
      <c r="P1003">
        <f>IF(B1029=0,0,O1003/B1029)</f>
        <v/>
      </c>
      <c r="Q1003">
        <f>IFERROR(1/IF(Inputs!$B$39="pvp",15,MAX(0.1,Skills!D19-IF(Skills!E19=TRUE,Inputs!$B$32,0))),0)</f>
        <v/>
      </c>
      <c r="R1003">
        <f>IF(AND(Inputs!$B$39&lt;&gt;"pvp",Inputs!$B$44&gt;0),IF(Inputs!$B$44&lt;=0,0,(INT(Inputs!$B$44/IF(Inputs!$B$39="pvp",15,MAX(0.1,Skills!D19-IF(Skills!E19=TRUE,Inputs!$B$32,0))))+1)),0)</f>
        <v/>
      </c>
      <c r="S1003">
        <f>IFERROR(O1003/N1003,0)</f>
        <v/>
      </c>
      <c r="T1003" t="n">
        <v>0</v>
      </c>
      <c r="V1003" t="n">
        <v>0</v>
      </c>
    </row>
    <row r="1004">
      <c r="A1004">
        <f>Skills!A20</f>
        <v/>
      </c>
      <c r="B1004">
        <f>Skills!B20</f>
        <v/>
      </c>
      <c r="C1004">
        <f>Inputs!$B$3&gt;=15</f>
        <v/>
      </c>
      <c r="D1004">
        <f>IF(Skills!C20=1,60+Inputs!$B$25+Inputs!$B$29,IF(Skills!C20=2,90+Inputs!$B$26+Inputs!$B$29,IF(Skills!C20=3,120+Inputs!$B$27+Inputs!$B$29,MAX(0,(Inputs!$B$3-100)*3)+(Inputs!$B$28+1)+Inputs!$B$29)))</f>
        <v/>
      </c>
      <c r="E1004">
        <f>INDEX(FactorTable!$B$2:$Y$301, MATCH(ROUND(MIN(300,MAX(1,D1004)),0), FactorTable!$A$2:$A$301,0), Skills!M20+1)</f>
        <v/>
      </c>
      <c r="F1004">
        <f>IF(Skills!N20=TRUE,(Skills!L20/10)*(E1004/1000),Skills!L20/10)+Skills!O20</f>
        <v/>
      </c>
      <c r="G1004">
        <f>Skills!G20*IF(Skills!H20&gt;0,Skills!I20/Skills!H20,1)</f>
        <v/>
      </c>
      <c r="H1004">
        <f>1-(1-Skills!J20/100)^Skills!K20</f>
        <v/>
      </c>
      <c r="I1004" t="inlineStr">
        <is>
          <t>1</t>
        </is>
      </c>
      <c r="J1004" t="inlineStr"/>
      <c r="K1004" t="inlineStr"/>
      <c r="L1004" t="inlineStr"/>
      <c r="M1004" t="inlineStr"/>
      <c r="N1004" t="inlineStr"/>
      <c r="O1004">
        <f>(1-Summary!$B$55)*T1004+Summary!$B$55*V1004</f>
        <v/>
      </c>
      <c r="P1004">
        <f>IF(B1029=0,0,O1004/B1029)</f>
        <v/>
      </c>
      <c r="Q1004">
        <f>IFERROR(1/IF(Inputs!$B$39="pvp",15,MAX(0.1,Skills!D20-IF(Skills!E20=TRUE,Inputs!$B$32,0))),0)</f>
        <v/>
      </c>
      <c r="R1004">
        <f>IF(AND(Inputs!$B$39&lt;&gt;"pvp",Inputs!$B$44&gt;0),IF(Inputs!$B$44&lt;=0,0,(INT(Inputs!$B$44/IF(Inputs!$B$39="pvp",15,MAX(0.1,Skills!D20-IF(Skills!E20=TRUE,Inputs!$B$32,0))))+1)),0)</f>
        <v/>
      </c>
      <c r="S1004">
        <f>IFERROR(O1004/N1004,0)</f>
        <v/>
      </c>
      <c r="T1004" t="n">
        <v>0</v>
      </c>
      <c r="V1004" t="n">
        <v>0</v>
      </c>
    </row>
    <row r="1005">
      <c r="A1005">
        <f>Skills!A21</f>
        <v/>
      </c>
      <c r="B1005">
        <f>Skills!B21</f>
        <v/>
      </c>
      <c r="C1005">
        <f>Inputs!$B$3&gt;=15</f>
        <v/>
      </c>
      <c r="D1005">
        <f>IF(Skills!C21=1,60+Inputs!$B$25+Inputs!$B$29,IF(Skills!C21=2,90+Inputs!$B$26+Inputs!$B$29,IF(Skills!C21=3,120+Inputs!$B$27+Inputs!$B$29,MAX(0,(Inputs!$B$3-100)*3)+(Inputs!$B$28+1)+Inputs!$B$29)))</f>
        <v/>
      </c>
      <c r="E1005">
        <f>INDEX(FactorTable!$B$2:$Y$301, MATCH(ROUND(MIN(300,MAX(1,D1005)),0), FactorTable!$A$2:$A$301,0), Skills!M21+1)</f>
        <v/>
      </c>
      <c r="F1005">
        <f>IF(Skills!N21=TRUE,(Skills!L21/10)*(E1005/1000),Skills!L21/10)+Skills!O21</f>
        <v/>
      </c>
      <c r="G1005">
        <f>Skills!G21*IF(Skills!H21&gt;0,Skills!I21/Skills!H21,1)</f>
        <v/>
      </c>
      <c r="H1005">
        <f>1-(1-Skills!J21/100)^Skills!K21</f>
        <v/>
      </c>
      <c r="I1005" t="inlineStr">
        <is>
          <t>1</t>
        </is>
      </c>
      <c r="J1005" t="inlineStr"/>
      <c r="K1005" t="inlineStr"/>
      <c r="L1005" t="inlineStr"/>
      <c r="M1005" t="inlineStr"/>
      <c r="N1005" t="inlineStr"/>
      <c r="O1005">
        <f>(1-Summary!$B$55)*T1005+Summary!$B$55*V1005</f>
        <v/>
      </c>
      <c r="P1005">
        <f>IF(B1029=0,0,O1005/B1029)</f>
        <v/>
      </c>
      <c r="Q1005">
        <f>IFERROR(1/IF(Inputs!$B$39="pvp",15,MAX(0.1,Skills!D21-IF(Skills!E21=TRUE,Inputs!$B$32,0))),0)</f>
        <v/>
      </c>
      <c r="R1005">
        <f>IF(AND(Inputs!$B$39&lt;&gt;"pvp",Inputs!$B$44&gt;0),IF(Inputs!$B$44&lt;=0,0,(INT(Inputs!$B$44/IF(Inputs!$B$39="pvp",15,MAX(0.1,Skills!D21-IF(Skills!E21=TRUE,Inputs!$B$32,0))))+1)),0)</f>
        <v/>
      </c>
      <c r="S1005">
        <f>IFERROR(O1005/N1005,0)</f>
        <v/>
      </c>
      <c r="T1005" t="n">
        <v>0</v>
      </c>
      <c r="V1005" t="n">
        <v>0</v>
      </c>
    </row>
    <row r="1006">
      <c r="A1006">
        <f>Skills!A22</f>
        <v/>
      </c>
      <c r="B1006">
        <f>Skills!B22</f>
        <v/>
      </c>
      <c r="C1006">
        <f>Inputs!$B$3&gt;=33</f>
        <v/>
      </c>
      <c r="D1006">
        <f>IF(Skills!C22=1,60+Inputs!$B$25+Inputs!$B$29,IF(Skills!C22=2,90+Inputs!$B$26+Inputs!$B$29,IF(Skills!C22=3,120+Inputs!$B$27+Inputs!$B$29,MAX(0,(Inputs!$B$3-100)*3)+(Inputs!$B$28+1)+Inputs!$B$29)))</f>
        <v/>
      </c>
      <c r="E1006">
        <f>INDEX(FactorTable!$B$2:$Y$301, MATCH(ROUND(MIN(300,MAX(1,D1006)),0), FactorTable!$A$2:$A$301,0), Skills!M22+1)</f>
        <v/>
      </c>
      <c r="F1006">
        <f>IF(Skills!N22=TRUE,(Skills!L22/10)*(E1006/1000),Skills!L22/10)+Skills!O22</f>
        <v/>
      </c>
      <c r="G1006">
        <f>Skills!G22*IF(Skills!H22&gt;0,Skills!I22/Skills!H22,1)</f>
        <v/>
      </c>
      <c r="H1006">
        <f>1-(1-Skills!J22/100)^Skills!K22</f>
        <v/>
      </c>
      <c r="I1006" t="inlineStr">
        <is>
          <t>1</t>
        </is>
      </c>
      <c r="J1006" t="inlineStr"/>
      <c r="K1006" t="inlineStr"/>
      <c r="L1006" t="inlineStr"/>
      <c r="M1006" t="inlineStr"/>
      <c r="N1006" t="inlineStr"/>
      <c r="O1006">
        <f>(1-Summary!$B$55)*T1006+Summary!$B$55*V1006</f>
        <v/>
      </c>
      <c r="P1006">
        <f>IF(B1029=0,0,O1006/B1029)</f>
        <v/>
      </c>
      <c r="Q1006" t="n">
        <v>0</v>
      </c>
      <c r="R1006" t="n">
        <v>0</v>
      </c>
      <c r="S1006">
        <f>IFERROR(O1006/N1006,0)</f>
        <v/>
      </c>
      <c r="T1006" t="n">
        <v>0</v>
      </c>
      <c r="V1006" t="n">
        <v>0</v>
      </c>
    </row>
    <row r="1007">
      <c r="A1007">
        <f>Skills!A23</f>
        <v/>
      </c>
      <c r="B1007">
        <f>Skills!B23</f>
        <v/>
      </c>
      <c r="C1007">
        <f>Inputs!$B$3&gt;=40</f>
        <v/>
      </c>
      <c r="D1007">
        <f>IF(Skills!C23=1,60+Inputs!$B$25+Inputs!$B$29,IF(Skills!C23=2,90+Inputs!$B$26+Inputs!$B$29,IF(Skills!C23=3,120+Inputs!$B$27+Inputs!$B$29,MAX(0,(Inputs!$B$3-100)*3)+(Inputs!$B$28+1)+Inputs!$B$29)))</f>
        <v/>
      </c>
      <c r="E1007">
        <f>INDEX(FactorTable!$B$2:$Y$301, MATCH(ROUND(MIN(300,MAX(1,D1007)),0), FactorTable!$A$2:$A$301,0), Skills!M23+1)</f>
        <v/>
      </c>
      <c r="F1007">
        <f>IF(Skills!N23=TRUE,(Skills!L23/10)*(E1007/1000),Skills!L23/10)+Skills!O23</f>
        <v/>
      </c>
      <c r="G1007">
        <f>Skills!G23*IF(Skills!H23&gt;0,Skills!I23/Skills!H23,1)</f>
        <v/>
      </c>
      <c r="H1007">
        <f>1-(1-Skills!J23/100)^Skills!K23</f>
        <v/>
      </c>
      <c r="I1007" t="inlineStr">
        <is>
          <t>1</t>
        </is>
      </c>
      <c r="J1007" t="inlineStr"/>
      <c r="K1007" t="inlineStr"/>
      <c r="L1007" t="inlineStr"/>
      <c r="M1007" t="inlineStr"/>
      <c r="N1007" t="inlineStr"/>
      <c r="O1007">
        <f>(1-Summary!$B$55)*T1007+Summary!$B$55*V1007</f>
        <v/>
      </c>
      <c r="P1007">
        <f>IF(B1029=0,0,O1007/B1029)</f>
        <v/>
      </c>
      <c r="Q1007" t="n">
        <v>0</v>
      </c>
      <c r="R1007" t="n">
        <v>0</v>
      </c>
      <c r="S1007">
        <f>IFERROR(O1007/N1007,0)</f>
        <v/>
      </c>
      <c r="T1007" t="n">
        <v>0</v>
      </c>
      <c r="V1007" t="n">
        <v>0</v>
      </c>
    </row>
    <row r="1008">
      <c r="A1008">
        <f>Skills!A24</f>
        <v/>
      </c>
      <c r="B1008">
        <f>Skills!B24</f>
        <v/>
      </c>
      <c r="C1008">
        <f>Inputs!$B$3&gt;=43</f>
        <v/>
      </c>
      <c r="D1008">
        <f>IF(Skills!C24=1,60+Inputs!$B$25+Inputs!$B$29,IF(Skills!C24=2,90+Inputs!$B$26+Inputs!$B$29,IF(Skills!C24=3,120+Inputs!$B$27+Inputs!$B$29,MAX(0,(Inputs!$B$3-100)*3)+(Inputs!$B$28+1)+Inputs!$B$29)))</f>
        <v/>
      </c>
      <c r="E1008">
        <f>INDEX(FactorTable!$B$2:$Y$301, MATCH(ROUND(MIN(300,MAX(1,D1008)),0), FactorTable!$A$2:$A$301,0), Skills!M24+1)</f>
        <v/>
      </c>
      <c r="F1008">
        <f>IF(Skills!N24=TRUE,(Skills!L24/10)*(E1008/1000),Skills!L24/10)+Skills!O24</f>
        <v/>
      </c>
      <c r="G1008">
        <f>Skills!G24*IF(Skills!H24&gt;0,Skills!I24/Skills!H24,1)</f>
        <v/>
      </c>
      <c r="H1008">
        <f>1-(1-Skills!J24/100)^Skills!K24</f>
        <v/>
      </c>
      <c r="I1008" t="inlineStr">
        <is>
          <t>1</t>
        </is>
      </c>
      <c r="J1008" t="inlineStr"/>
      <c r="K1008" t="inlineStr"/>
      <c r="L1008" t="inlineStr"/>
      <c r="M1008" t="inlineStr"/>
      <c r="N1008" t="inlineStr"/>
      <c r="O1008">
        <f>(1-Summary!$B$55)*T1008+Summary!$B$55*V1008</f>
        <v/>
      </c>
      <c r="P1008">
        <f>IF(B1029=0,0,O1008/B1029)</f>
        <v/>
      </c>
      <c r="Q1008" t="n">
        <v>0</v>
      </c>
      <c r="R1008" t="n">
        <v>0</v>
      </c>
      <c r="S1008">
        <f>IFERROR(O1008/N1008,0)</f>
        <v/>
      </c>
      <c r="T1008" t="n">
        <v>0</v>
      </c>
      <c r="V1008" t="n">
        <v>0</v>
      </c>
    </row>
    <row r="1009">
      <c r="A1009">
        <f>Skills!A25</f>
        <v/>
      </c>
      <c r="B1009">
        <f>Skills!B25</f>
        <v/>
      </c>
      <c r="C1009">
        <f>Inputs!$B$3&gt;=50</f>
        <v/>
      </c>
      <c r="D1009">
        <f>IF(Skills!C25=1,60+Inputs!$B$25+Inputs!$B$29,IF(Skills!C25=2,90+Inputs!$B$26+Inputs!$B$29,IF(Skills!C25=3,120+Inputs!$B$27+Inputs!$B$29,MAX(0,(Inputs!$B$3-100)*3)+(Inputs!$B$28+1)+Inputs!$B$29)))</f>
        <v/>
      </c>
      <c r="E1009">
        <f>INDEX(FactorTable!$B$2:$Y$301, MATCH(ROUND(MIN(300,MAX(1,D1009)),0), FactorTable!$A$2:$A$301,0), Skills!M25+1)</f>
        <v/>
      </c>
      <c r="F1009">
        <f>IF(Skills!N25=TRUE,(Skills!L25/10)*(E1009/1000),Skills!L25/10)+Skills!O25</f>
        <v/>
      </c>
      <c r="G1009">
        <f>Skills!G25*IF(Skills!H25&gt;0,Skills!I25/Skills!H25,1)</f>
        <v/>
      </c>
      <c r="H1009">
        <f>1-(1-Skills!J25/100)^Skills!K25</f>
        <v/>
      </c>
      <c r="I1009" t="inlineStr">
        <is>
          <t>1</t>
        </is>
      </c>
      <c r="J1009" t="inlineStr"/>
      <c r="K1009" t="inlineStr"/>
      <c r="L1009" t="inlineStr"/>
      <c r="M1009" t="inlineStr"/>
      <c r="N1009" t="inlineStr"/>
      <c r="O1009">
        <f>(1-Summary!$B$55)*T1009+Summary!$B$55*V1009</f>
        <v/>
      </c>
      <c r="P1009">
        <f>IF(B1029=0,0,O1009/B1029)</f>
        <v/>
      </c>
      <c r="Q1009" t="n">
        <v>0</v>
      </c>
      <c r="R1009" t="n">
        <v>0</v>
      </c>
      <c r="S1009">
        <f>IFERROR(O1009/N1009,0)</f>
        <v/>
      </c>
      <c r="T1009" t="n">
        <v>0</v>
      </c>
      <c r="V1009" t="n">
        <v>0</v>
      </c>
    </row>
    <row r="1010">
      <c r="A1010">
        <f>Skills!A26</f>
        <v/>
      </c>
      <c r="B1010">
        <f>Skills!B26</f>
        <v/>
      </c>
      <c r="C1010">
        <f>Inputs!$B$3&gt;=50</f>
        <v/>
      </c>
      <c r="D1010">
        <f>IF(Skills!C26=1,60+Inputs!$B$25+Inputs!$B$29,IF(Skills!C26=2,90+Inputs!$B$26+Inputs!$B$29,IF(Skills!C26=3,120+Inputs!$B$27+Inputs!$B$29,MAX(0,(Inputs!$B$3-100)*3)+(Inputs!$B$28+1)+Inputs!$B$29)))</f>
        <v/>
      </c>
      <c r="E1010">
        <f>INDEX(FactorTable!$B$2:$Y$301, MATCH(ROUND(MIN(300,MAX(1,D1010)),0), FactorTable!$A$2:$A$301,0), Skills!M26+1)</f>
        <v/>
      </c>
      <c r="F1010">
        <f>IF(Skills!N26=TRUE,(Skills!L26/10)*(E1010/1000),Skills!L26/10)+Skills!O26</f>
        <v/>
      </c>
      <c r="G1010">
        <f>Skills!G26*IF(Skills!H26&gt;0,Skills!I26/Skills!H26,1)</f>
        <v/>
      </c>
      <c r="H1010">
        <f>1-(1-Skills!J26/100)^Skills!K26</f>
        <v/>
      </c>
      <c r="I1010" t="inlineStr">
        <is>
          <t>1</t>
        </is>
      </c>
      <c r="J1010" t="inlineStr"/>
      <c r="K1010" t="inlineStr"/>
      <c r="L1010" t="inlineStr"/>
      <c r="M1010" t="inlineStr"/>
      <c r="N1010" t="inlineStr"/>
      <c r="O1010">
        <f>(1-Summary!$B$55)*T1010+Summary!$B$55*V1010</f>
        <v/>
      </c>
      <c r="P1010">
        <f>IF(B1029=0,0,O1010/B1029)</f>
        <v/>
      </c>
      <c r="Q1010" t="n">
        <v>0</v>
      </c>
      <c r="R1010" t="n">
        <v>0</v>
      </c>
      <c r="S1010">
        <f>IFERROR(O1010/N1010,0)</f>
        <v/>
      </c>
      <c r="T1010" t="n">
        <v>0</v>
      </c>
      <c r="V1010" t="n">
        <v>0</v>
      </c>
    </row>
    <row r="1011">
      <c r="A1011">
        <f>Skills!A27</f>
        <v/>
      </c>
      <c r="B1011">
        <f>Skills!B27</f>
        <v/>
      </c>
      <c r="C1011">
        <f>Inputs!$B$3&gt;=38</f>
        <v/>
      </c>
      <c r="D1011">
        <f>IF(Skills!C27=1,60+Inputs!$B$25+Inputs!$B$29,IF(Skills!C27=2,90+Inputs!$B$26+Inputs!$B$29,IF(Skills!C27=3,120+Inputs!$B$27+Inputs!$B$29,MAX(0,(Inputs!$B$3-100)*3)+(Inputs!$B$28+1)+Inputs!$B$29)))</f>
        <v/>
      </c>
      <c r="E1011">
        <f>INDEX(FactorTable!$B$2:$Y$301, MATCH(ROUND(MIN(300,MAX(1,D1011)),0), FactorTable!$A$2:$A$301,0), Skills!M27+1)</f>
        <v/>
      </c>
      <c r="F1011">
        <f>IF(Skills!N27=TRUE,(Skills!L27/10)*(E1011/1000),Skills!L27/10)+Skills!O27</f>
        <v/>
      </c>
      <c r="G1011">
        <f>Skills!G27*IF(Skills!H27&gt;0,Skills!I27/Skills!H27,1)</f>
        <v/>
      </c>
      <c r="H1011">
        <f>1-(1-Skills!J27/100)^Skills!K27</f>
        <v/>
      </c>
      <c r="I1011" t="inlineStr">
        <is>
          <t>1</t>
        </is>
      </c>
      <c r="J1011" t="inlineStr"/>
      <c r="K1011" t="inlineStr"/>
      <c r="L1011" t="inlineStr"/>
      <c r="M1011" t="inlineStr"/>
      <c r="N1011" t="inlineStr"/>
      <c r="O1011">
        <f>(1-Summary!$B$55)*T1011+Summary!$B$55*V1011</f>
        <v/>
      </c>
      <c r="P1011">
        <f>IF(B1029=0,0,O1011/B1029)</f>
        <v/>
      </c>
      <c r="Q1011" t="n">
        <v>0</v>
      </c>
      <c r="R1011" t="n">
        <v>0</v>
      </c>
      <c r="S1011">
        <f>IFERROR(O1011/N1011,0)</f>
        <v/>
      </c>
      <c r="T1011" t="n">
        <v>0</v>
      </c>
      <c r="V1011" t="n">
        <v>0</v>
      </c>
    </row>
    <row r="1012">
      <c r="A1012">
        <f>Skills!A28</f>
        <v/>
      </c>
      <c r="B1012">
        <f>Skills!B28</f>
        <v/>
      </c>
      <c r="C1012">
        <f>Inputs!$B$3&gt;=120</f>
        <v/>
      </c>
      <c r="D1012">
        <f>IF(Skills!C28=1,60+Inputs!$B$25+Inputs!$B$29,IF(Skills!C28=2,90+Inputs!$B$26+Inputs!$B$29,IF(Skills!C28=3,120+Inputs!$B$27+Inputs!$B$29,MAX(0,(Inputs!$B$3-100)*3)+(Inputs!$B$28+1)+Inputs!$B$29)))</f>
        <v/>
      </c>
      <c r="E1012">
        <f>INDEX(FactorTable!$B$2:$Y$301, MATCH(ROUND(MIN(300,MAX(1,D1012)),0), FactorTable!$A$2:$A$301,0), Skills!M28+1)</f>
        <v/>
      </c>
      <c r="F1012">
        <f>IF(Skills!N28=TRUE,(Skills!L28/10)*(E1012/1000),Skills!L28/10)+Skills!O28</f>
        <v/>
      </c>
      <c r="G1012">
        <f>Skills!G28*IF(Skills!H28&gt;0,Skills!I28/Skills!H28,1)</f>
        <v/>
      </c>
      <c r="H1012">
        <f>1-(1-Skills!J28/100)^Skills!K28</f>
        <v/>
      </c>
      <c r="I1012" t="inlineStr">
        <is>
          <t>1</t>
        </is>
      </c>
      <c r="J1012" t="inlineStr"/>
      <c r="K1012" t="inlineStr"/>
      <c r="L1012" t="inlineStr"/>
      <c r="M1012" t="inlineStr"/>
      <c r="N1012" t="inlineStr"/>
      <c r="O1012">
        <f>(1-Summary!$B$55)*T1012+Summary!$B$55*V1012</f>
        <v/>
      </c>
      <c r="P1012">
        <f>IF(B1029=0,0,O1012/B1029)</f>
        <v/>
      </c>
      <c r="Q1012" t="n">
        <v>0</v>
      </c>
      <c r="R1012" t="n">
        <v>0</v>
      </c>
      <c r="S1012">
        <f>IFERROR(O1012/N1012,0)</f>
        <v/>
      </c>
      <c r="T1012" t="n">
        <v>0</v>
      </c>
      <c r="V1012" t="n">
        <v>0</v>
      </c>
    </row>
    <row r="1013">
      <c r="A1013">
        <f>Skills!A29</f>
        <v/>
      </c>
      <c r="B1013">
        <f>Skills!B29</f>
        <v/>
      </c>
      <c r="C1013">
        <f>Inputs!$B$3&gt;=120</f>
        <v/>
      </c>
      <c r="D1013">
        <f>IF(Skills!C29=1,60+Inputs!$B$25+Inputs!$B$29,IF(Skills!C29=2,90+Inputs!$B$26+Inputs!$B$29,IF(Skills!C29=3,120+Inputs!$B$27+Inputs!$B$29,MAX(0,(Inputs!$B$3-100)*3)+(Inputs!$B$28+1)+Inputs!$B$29)))</f>
        <v/>
      </c>
      <c r="E1013">
        <f>INDEX(FactorTable!$B$2:$Y$301, MATCH(ROUND(MIN(300,MAX(1,D1013)),0), FactorTable!$A$2:$A$301,0), Skills!M29+1)</f>
        <v/>
      </c>
      <c r="F1013">
        <f>IF(Skills!N29=TRUE,(Skills!L29/10)*(E1013/1000),Skills!L29/10)+Skills!O29</f>
        <v/>
      </c>
      <c r="G1013">
        <f>Skills!G29*IF(Skills!H29&gt;0,Skills!I29/Skills!H29,1)</f>
        <v/>
      </c>
      <c r="H1013">
        <f>1-(1-Skills!J29/100)^Skills!K29</f>
        <v/>
      </c>
      <c r="I1013" t="inlineStr">
        <is>
          <t>1</t>
        </is>
      </c>
      <c r="J1013" t="inlineStr"/>
      <c r="K1013" t="inlineStr"/>
      <c r="L1013" t="inlineStr"/>
      <c r="M1013" t="inlineStr"/>
      <c r="N1013" t="inlineStr"/>
      <c r="O1013">
        <f>(1-Summary!$B$55)*T1013+Summary!$B$55*V1013</f>
        <v/>
      </c>
      <c r="P1013">
        <f>IF(B1029=0,0,O1013/B1029)</f>
        <v/>
      </c>
      <c r="Q1013" t="n">
        <v>0</v>
      </c>
      <c r="R1013" t="n">
        <v>0</v>
      </c>
      <c r="S1013">
        <f>IFERROR(O1013/N1013,0)</f>
        <v/>
      </c>
      <c r="T1013" t="n">
        <v>0</v>
      </c>
      <c r="V1013" t="n">
        <v>0</v>
      </c>
    </row>
    <row r="1014">
      <c r="A1014">
        <f>Skills!A30</f>
        <v/>
      </c>
      <c r="B1014">
        <f>Skills!B30</f>
        <v/>
      </c>
      <c r="C1014">
        <f>Inputs!$B$3&gt;=125</f>
        <v/>
      </c>
      <c r="D1014">
        <f>IF(Skills!C30=1,60+Inputs!$B$25+Inputs!$B$29,IF(Skills!C30=2,90+Inputs!$B$26+Inputs!$B$29,IF(Skills!C30=3,120+Inputs!$B$27+Inputs!$B$29,MAX(0,(Inputs!$B$3-100)*3)+(Inputs!$B$28+1)+Inputs!$B$29)))</f>
        <v/>
      </c>
      <c r="E1014">
        <f>INDEX(FactorTable!$B$2:$Y$301, MATCH(ROUND(MIN(300,MAX(1,D1014)),0), FactorTable!$A$2:$A$301,0), Skills!M30+1)</f>
        <v/>
      </c>
      <c r="F1014">
        <f>IF(Skills!N30=TRUE,(Skills!L30/10)*(E1014/1000),Skills!L30/10)+Skills!O30</f>
        <v/>
      </c>
      <c r="G1014">
        <f>Skills!G30*IF(Skills!H30&gt;0,Skills!I30/Skills!H30,1)</f>
        <v/>
      </c>
      <c r="H1014">
        <f>1-(1-Skills!J30/100)^Skills!K30</f>
        <v/>
      </c>
      <c r="I1014" t="inlineStr">
        <is>
          <t>1</t>
        </is>
      </c>
      <c r="J1014" t="inlineStr"/>
      <c r="K1014" t="inlineStr"/>
      <c r="L1014" t="inlineStr"/>
      <c r="M1014" t="inlineStr"/>
      <c r="N1014" t="inlineStr"/>
      <c r="O1014">
        <f>(1-Summary!$B$55)*T1014+Summary!$B$55*V1014</f>
        <v/>
      </c>
      <c r="P1014">
        <f>IF(B1029=0,0,O1014/B1029)</f>
        <v/>
      </c>
      <c r="Q1014" t="n">
        <v>0</v>
      </c>
      <c r="R1014" t="n">
        <v>0</v>
      </c>
      <c r="S1014">
        <f>IFERROR(O1014/N1014,0)</f>
        <v/>
      </c>
      <c r="T1014" t="n">
        <v>0</v>
      </c>
      <c r="V1014" t="n">
        <v>0</v>
      </c>
    </row>
    <row r="1016">
      <c r="A1016" t="inlineStr">
        <is>
          <t>Average Buff Multiplier</t>
        </is>
      </c>
      <c r="B1016">
        <f>(1+(((C1005=TRUE)*F1005*IF(AND(Inputs!$B$39&lt;&gt;"pvp",Inputs!$B$44&gt;0),(((R1005-1)*(Skills!Y21*(1+Inputs!$B$34/100))+MIN((Skills!Y21*(1+Inputs!$B$34/100)),MAX(0,Inputs!$B$44-((R1005-1)*Skills!D21))))/Inputs!$B$44),IF(Inputs!$B$39="pvp",MIN((Skills!Y21*(1+Inputs!$B$34/100)),15)/15,(Skills!Y21*(1+Inputs!$B$34/100))/Skills!D21)))+((C1007=TRUE)*(F1007-Calc!F23))+((C1001=TRUE)*(F1001-Calc!F17)))/100)*(1+((C994=TRUE)*F994*IF(AND(Inputs!$B$39&lt;&gt;"pvp",Inputs!$B$44&gt;0),(((R994-1)*(Skills!Y10*(1+Inputs!$B$34/100))+MIN((Skills!Y10*(1+Inputs!$B$34/100)),MAX(0,Inputs!$B$44-((R994-1)*Skills!D10))))/Inputs!$B$44),IF(Inputs!$B$39="pvp",MIN((Skills!Y10*(1+Inputs!$B$34/100)),15)/15,(Skills!Y10*(1+Inputs!$B$34/100))/Skills!D10)))/100)*(1+((C999=TRUE)*F999*IF(AND(Inputs!$B$39&lt;&gt;"pvp",Inputs!$B$44&gt;0),(((R999-1)*(Skills!Y15*(1+Inputs!$B$34/100))+MIN((Skills!Y15*(1+Inputs!$B$34/100)),MAX(0,Inputs!$B$44-((R999-1)*Skills!D15))))/Inputs!$B$44),IF(Inputs!$B$39="pvp",MIN((Skills!Y15*(1+Inputs!$B$34/100)),15)/15,(Skills!Y15*(1+Inputs!$B$34/100))/Skills!D15)))/100)</f>
        <v/>
      </c>
    </row>
    <row r="1017">
      <c r="A1017" t="inlineStr">
        <is>
          <t>Global Crit Rate Bonus %</t>
        </is>
      </c>
      <c r="B1017">
        <f>((C1004=TRUE)*F1004*IF(AND(Inputs!$B$39&lt;&gt;"pvp",Inputs!$B$44&gt;0),(((R1004-1)*(Skills!Y20*(1+Inputs!$B$34/100))+MIN((Skills!Y20*(1+Inputs!$B$34/100)),MAX(0,Inputs!$B$44-((R1004-1)*Skills!D20))))/Inputs!$B$44),IF(Inputs!$B$39="pvp",MIN((Skills!Y20*(1+Inputs!$B$34/100)),15)/15,(Skills!Y20*(1+Inputs!$B$34/100))/Skills!D20)))</f>
        <v/>
      </c>
    </row>
    <row r="1018">
      <c r="A1018" t="inlineStr">
        <is>
          <t>Global Monster Damage-Taken Bonus %</t>
        </is>
      </c>
      <c r="B1018">
        <f>IF(Inputs!$B$3&gt;=82,15,0)</f>
        <v/>
      </c>
    </row>
    <row r="1019">
      <c r="A1019" t="inlineStr">
        <is>
          <t>Shadow Partner Average Multiplier</t>
        </is>
      </c>
      <c r="B1019">
        <f>1+((C991=TRUE)*F991*(1+3.3333333333333335*IF(C1002=TRUE,F1002,0)/100)*I991*Skills!J7/100)/100</f>
        <v/>
      </c>
    </row>
    <row r="1020">
      <c r="A1020" t="inlineStr">
        <is>
          <t>Attack Speed Buff Bonus %</t>
        </is>
      </c>
      <c r="B1020">
        <f>((C1003=TRUE)*F1003*IF(AND(Inputs!$B$39&lt;&gt;"pvp",Inputs!$B$44&gt;0),(((R1003-1)*(Skills!Y19*(1+Inputs!$B$34/100))+MIN((Skills!Y19*(1+Inputs!$B$34/100)),MAX(0,Inputs!$B$44-((R1003-1)*Skills!D19))))/Inputs!$B$44),IF(Inputs!$B$39="pvp",MIN((Skills!Y19*(1+Inputs!$B$34/100)),15)/15,(Skills!Y19*(1+Inputs!$B$34/100))/Skills!D19)))+((C987=TRUE)*F987*3)</f>
        <v/>
      </c>
    </row>
    <row r="1021">
      <c r="A1021" t="inlineStr">
        <is>
          <t>Actions Per Second</t>
        </is>
      </c>
      <c r="B1021">
        <f>1+MIN(150,150*(1-(1-(Inputs!$B$11+((C1006=TRUE)*(F1006-Calc!F22)))/150)*(1-B1020/150)))/100</f>
        <v/>
      </c>
    </row>
    <row r="1022">
      <c r="A1022" t="inlineStr">
        <is>
          <t>Skill + Buff Cast Rate</t>
        </is>
      </c>
      <c r="B1022">
        <f>IF(AND(Inputs!$B$39&lt;&gt;"pvp",Inputs!$B$44&gt;0),SUMPRODUCT((Skills!E2:E30=TRUE)*(C986:C1014=TRUE)*R986:R1014*Skills!F2:F30)/Inputs!$B$44,SUMPRODUCT((Skills!E2:E30=TRUE)*(C986:C1014=TRUE)*Q986:Q1014*Skills!F2:F30))</f>
        <v/>
      </c>
    </row>
    <row r="1023">
      <c r="A1023" t="inlineStr">
        <is>
          <t>Cruel Stab Casts Per Second</t>
        </is>
      </c>
      <c r="B1023">
        <f>MAX(0,B1021-B1022)</f>
        <v/>
      </c>
    </row>
    <row r="1024">
      <c r="A1024" t="inlineStr">
        <is>
          <t>Global Critical Damage Bonus % (Smokescreen Mastery Lv.113)</t>
        </is>
      </c>
      <c r="B1024">
        <f>IF(Inputs!$B$3&gt;=113,30,0)*IF(AND(Inputs!$B$39&lt;&gt;"pvp",Inputs!$B$44&gt;0),(((R999-1)*(Skills!Y15*(1+Inputs!$B$34/100))+MIN((Skills!Y15*(1+Inputs!$B$34/100)),MAX(0,Inputs!$B$44-((R999-1)*Skills!D15))))/Inputs!$B$44),IF(Inputs!$B$39="pvp",MIN((Skills!Y15*(1+Inputs!$B$34/100)),15)/15,(Skills!Y15*(1+Inputs!$B$34/100))/Skills!D15))</f>
        <v/>
      </c>
    </row>
    <row r="1025">
      <c r="A1025" t="inlineStr">
        <is>
          <t>Meso Explosion average stack count</t>
        </is>
      </c>
      <c r="B1025">
        <f>MIN(10,0.5*B1021*Skills!D4)</f>
        <v/>
      </c>
    </row>
    <row r="1026">
      <c r="A1026" t="inlineStr">
        <is>
          <t>Blood Money average stack count</t>
        </is>
      </c>
      <c r="B1026">
        <f>MIN(5,0.25*B1021*Skills!D4)</f>
        <v/>
      </c>
    </row>
    <row r="1027">
      <c r="A1027" t="inlineStr">
        <is>
          <t>Assassinate Murderous Intent Multiplier</t>
        </is>
      </c>
      <c r="B1027">
        <f>1+IFERROR(MIN(1,Q998*2/Q995),0)</f>
        <v/>
      </c>
    </row>
    <row r="1028">
      <c r="A1028" t="inlineStr">
        <is>
          <t>Buff-Casting Startup Delay (s, fixed-duration only)</t>
        </is>
      </c>
      <c r="B1028">
        <f>IF(AND(Inputs!$B$39&lt;&gt;"pvp",Inputs!$B$44&gt;0),SUMPRODUCT((Skills!Y2:Y30&gt;0)*(Skills!E2:E30=TRUE)*(C986:C1014=TRUE))/B1021,0)</f>
        <v/>
      </c>
    </row>
    <row r="1029">
      <c r="A1029" s="5" t="inlineStr">
        <is>
          <t>TOTAL DPS</t>
        </is>
      </c>
      <c r="B1029" s="5">
        <f>SUM(O986:O1014)</f>
        <v/>
      </c>
    </row>
    <row r="1030">
      <c r="A1030" t="inlineStr">
        <is>
          <t>Boss-Only Total DPS (this block's swept value)</t>
        </is>
      </c>
      <c r="B1030">
        <f>SUM(T986:T1014)</f>
        <v/>
      </c>
    </row>
    <row r="1031">
      <c r="A1031" t="inlineStr">
        <is>
          <t>Normal-Only Total DPS (this block's swept value)</t>
        </is>
      </c>
      <c r="B1031">
        <f>SUM(V986:V1014)</f>
        <v/>
      </c>
    </row>
    <row r="1034">
      <c r="A1034" s="5" t="inlineStr">
        <is>
          <t>Stat: Skill Level Bonus — All Skills</t>
        </is>
      </c>
    </row>
    <row r="1035">
      <c r="A1035" s="9" t="inlineStr">
        <is>
          <t>Key</t>
        </is>
      </c>
      <c r="B1035" s="9" t="inlineStr">
        <is>
          <t>Name</t>
        </is>
      </c>
      <c r="C1035" s="9" t="inlineStr">
        <is>
          <t>Unlocked</t>
        </is>
      </c>
      <c r="D1035" s="9" t="inlineStr">
        <is>
          <t>InputLevel</t>
        </is>
      </c>
      <c r="E1035" s="9" t="inlineStr">
        <is>
          <t>Factor</t>
        </is>
      </c>
      <c r="F1035" s="9" t="inlineStr">
        <is>
          <t>CoefficientPercent</t>
        </is>
      </c>
      <c r="G1035" s="9" t="inlineStr">
        <is>
          <t>EffectiveHits</t>
        </is>
      </c>
      <c r="H1035" s="9" t="inlineStr">
        <is>
          <t>ProcProbability</t>
        </is>
      </c>
      <c r="I1035" s="9" t="inlineStr">
        <is>
          <t>MapleHeroMultiplier</t>
        </is>
      </c>
      <c r="J1035" s="9" t="inlineStr">
        <is>
          <t>BaseDamage</t>
        </is>
      </c>
      <c r="K1035" s="9" t="inlineStr">
        <is>
          <t>BaseHitDamage</t>
        </is>
      </c>
      <c r="L1035" s="9" t="inlineStr">
        <is>
          <t>NonCritAvg</t>
        </is>
      </c>
      <c r="M1035" s="9" t="inlineStr">
        <is>
          <t>CritAvg</t>
        </is>
      </c>
      <c r="N1035" s="9" t="inlineStr">
        <is>
          <t>ExpectedDamage(perHit)</t>
        </is>
      </c>
      <c r="O1035" s="9" t="inlineStr">
        <is>
          <t>DPS</t>
        </is>
      </c>
      <c r="P1035" s="9" t="inlineStr">
        <is>
          <t>% of Total</t>
        </is>
      </c>
      <c r="Q1035" s="9" t="inlineStr">
        <is>
          <t>InvCooldown</t>
        </is>
      </c>
      <c r="R1035" s="9" t="inlineStr">
        <is>
          <t>CastsInFight</t>
        </is>
      </c>
      <c r="S1035" s="9" t="inlineStr">
        <is>
          <t>HitRate(perSec)</t>
        </is>
      </c>
      <c r="U1035" t="inlineStr">
        <is>
          <t>helpers</t>
        </is>
      </c>
    </row>
    <row r="1036">
      <c r="A1036">
        <f>Skills!A2</f>
        <v/>
      </c>
      <c r="B1036">
        <f>Skills!B2</f>
        <v/>
      </c>
      <c r="C1036">
        <f>Inputs!$B$3&gt;=100</f>
        <v/>
      </c>
      <c r="D1036" t="inlineStr"/>
      <c r="E1036" t="inlineStr"/>
      <c r="F1036">
        <f>U1038+Skills!O2</f>
        <v/>
      </c>
      <c r="G1036">
        <f>Skills!G2*IF(Skills!H2&gt;0,Skills!I2/Skills!H2,1)</f>
        <v/>
      </c>
      <c r="H1036">
        <f>1-(1-Skills!J2/100)^Skills!K2</f>
        <v/>
      </c>
      <c r="I1036" t="inlineStr">
        <is>
          <t>1</t>
        </is>
      </c>
      <c r="J1036">
        <f>((Inputs!$B$6*(1+Inputs!$B$7/100))+(((Inputs!$B$12*(1+Inputs!$B$13/100))-(Inputs!$B$12*(1+Inputs!$B$13/100)))+0.25*(Inputs!$B$14-Inputs!$B$14))*(1+Inputs!$B$7/100))*(F1036/100)</f>
        <v/>
      </c>
      <c r="K1036">
        <f>J1036*(1+((Inputs!$B$12*(1+Inputs!$B$13/100))*0.01+Inputs!$B$14*0.0025)/100)*(1+Inputs!$B$15/100)*(1+Inputs!$B$16/100)*(5000/(6000+Inputs!$B$43*(1-Inputs!$B$19/100)))*(1+(Inputs!$B$24+((C1064=TRUE)*(F1064-Calc!F30)))/100)*(1+(IF(Skills!A2="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1036)</f>
        <v/>
      </c>
      <c r="L1036">
        <f>K1036*(MIN(Inputs!$B$22+((C1058=TRUE)*(F1058-Calc!F24)),Inputs!$B$23+((C1063=TRUE)*(F1063-Calc!F29)))/100+(Inputs!$B$23+((C1063=TRUE)*(F1063-Calc!F29)))/100)/2</f>
        <v/>
      </c>
      <c r="M1036">
        <f>L1036*(1+(Inputs!$B$10+((C1060=TRUE)*(F1060-Calc!F26))+B1074)/100)</f>
        <v/>
      </c>
      <c r="N1036">
        <f>L1036*(1-MIN((Inputs!$B$9+((C1059=TRUE)*(F1059-Calc!F25))+B1067),100)/100)+M1036*(MIN((Inputs!$B$9+((C1059=TRUE)*(F1059-Calc!F25))+B1067),100)/100)</f>
        <v/>
      </c>
      <c r="O1036">
        <f>(1-Summary!$B$55)*T1036+Summary!$B$55*V1036</f>
        <v/>
      </c>
      <c r="P1036">
        <f>IF(B1079=0,0,O1036/B1079)</f>
        <v/>
      </c>
      <c r="Q1036" t="n">
        <v>0</v>
      </c>
      <c r="R1036" t="n">
        <v>0</v>
      </c>
      <c r="S1036">
        <f>IFERROR(O1036/N1036,0)</f>
        <v/>
      </c>
      <c r="T1036">
        <f>IF(C1036,(Skills!G2*N1036*B1073)*IF(Inputs!$B$39="pvp",1,1+(Inputs!$B$20+0+Skills!P2+B1068)/100),0)</f>
        <v/>
      </c>
      <c r="U1036">
        <f>MAX(0,(Inputs!$B$3-100)*3)+Inputs!$B$28+(Inputs!$B$29+1)</f>
        <v/>
      </c>
      <c r="V1036">
        <f>IF(C1036,(Skills!G2*N1036*B1073)*IF(Inputs!$B$39="pvp",1,(1+(Inputs!$B$21+Skills!Q2+B1068)/100)*(MIN((6+Inputs!$B$33),Inputs!$B$37))),0)</f>
        <v/>
      </c>
    </row>
    <row r="1037">
      <c r="A1037">
        <f>Skills!A3</f>
        <v/>
      </c>
      <c r="B1037">
        <f>Skills!B3</f>
        <v/>
      </c>
      <c r="C1037">
        <f>Inputs!$B$3&gt;=35</f>
        <v/>
      </c>
      <c r="D1037">
        <f>IF(Skills!C3=1,60+Inputs!$B$25+(Inputs!$B$29+1),IF(Skills!C3=2,90+Inputs!$B$26+(Inputs!$B$29+1),IF(Skills!C3=3,120+Inputs!$B$27+(Inputs!$B$29+1),MAX(0,(Inputs!$B$3-100)*3)+Inputs!$B$28+(Inputs!$B$29+1))))</f>
        <v/>
      </c>
      <c r="E1037">
        <f>INDEX(FactorTable!$B$2:$Y$301, MATCH(ROUND(MIN(300,MAX(1,D1037)),0), FactorTable!$A$2:$A$301,0), Skills!M3+1)</f>
        <v/>
      </c>
      <c r="F1037">
        <f>IF(Skills!N3=TRUE,(Skills!L3/10)*(E1037/1000),Skills!L3/10)+Skills!O3</f>
        <v/>
      </c>
      <c r="G1037">
        <f>Skills!G3*IF(Skills!H3&gt;0,Skills!I3/Skills!H3,1)</f>
        <v/>
      </c>
      <c r="H1037">
        <f>1-(1-Skills!J3/100)^Skills!K3</f>
        <v/>
      </c>
      <c r="I1037" t="inlineStr">
        <is>
          <t>1</t>
        </is>
      </c>
      <c r="J1037" t="inlineStr"/>
      <c r="K1037" t="inlineStr"/>
      <c r="L1037" t="inlineStr"/>
      <c r="M1037" t="inlineStr"/>
      <c r="N1037" t="inlineStr"/>
      <c r="O1037">
        <f>(1-Summary!$B$55)*T1037+Summary!$B$55*V1037</f>
        <v/>
      </c>
      <c r="P1037">
        <f>IF(B1079=0,0,O1037/B1079)</f>
        <v/>
      </c>
      <c r="Q1037" t="n">
        <v>0</v>
      </c>
      <c r="R1037" t="n">
        <v>0</v>
      </c>
      <c r="S1037">
        <f>IFERROR(O1037/N1037,0)</f>
        <v/>
      </c>
      <c r="T1037" t="n">
        <v>0</v>
      </c>
      <c r="U1037">
        <f>INDEX(FactorTable!$B$2:$Y$301, MATCH(ROUND(MIN(300,MAX(1,U1036)),0), FactorTable!$A$2:$A$301,0), 22)</f>
        <v/>
      </c>
      <c r="V1037" t="n">
        <v>0</v>
      </c>
    </row>
    <row r="1038">
      <c r="A1038">
        <f>Skills!A4</f>
        <v/>
      </c>
      <c r="B1038">
        <f>Skills!B4</f>
        <v/>
      </c>
      <c r="C1038">
        <f>Inputs!$B$3&gt;=66</f>
        <v/>
      </c>
      <c r="D1038">
        <f>IF(Skills!C4=1,60+Inputs!$B$25+(Inputs!$B$29+1),IF(Skills!C4=2,90+Inputs!$B$26+(Inputs!$B$29+1),IF(Skills!C4=3,120+Inputs!$B$27+(Inputs!$B$29+1),MAX(0,(Inputs!$B$3-100)*3)+Inputs!$B$28+(Inputs!$B$29+1))))</f>
        <v/>
      </c>
      <c r="E1038">
        <f>INDEX(FactorTable!$B$2:$Y$301, MATCH(ROUND(MIN(300,MAX(1,D1038)),0), FactorTable!$A$2:$A$301,0), Skills!M4+1)</f>
        <v/>
      </c>
      <c r="F1038">
        <f>IF(Skills!N4=TRUE,(Skills!L4/10)*(E1038/1000),Skills!L4/10)+Skills!O4</f>
        <v/>
      </c>
      <c r="G1038">
        <f>Skills!G4*IF(Skills!H4&gt;0,Skills!I4/Skills!H4,1)</f>
        <v/>
      </c>
      <c r="H1038">
        <f>1-(1-Skills!J4/100)^Skills!K4</f>
        <v/>
      </c>
      <c r="I1038" t="inlineStr">
        <is>
          <t>1</t>
        </is>
      </c>
      <c r="J1038">
        <f>((Inputs!$B$6*(1+Inputs!$B$7/100))+(((Inputs!$B$12*(1+Inputs!$B$13/100))-(Inputs!$B$12*(1+Inputs!$B$13/100)))+0.25*(Inputs!$B$14-Inputs!$B$14))*(1+Inputs!$B$7/100))*(F1038/100)</f>
        <v/>
      </c>
      <c r="K1038">
        <f>J1038*(1+((Inputs!$B$12*(1+Inputs!$B$13/100))*0.01+Inputs!$B$14*0.0025)/100)*(1+Inputs!$B$15/100)*(1+Inputs!$B$16/100)*(5000/(6000+Inputs!$B$43*(1-Inputs!$B$19/100)))*(1+(Inputs!$B$24+((C1064=TRUE)*(F1064-Calc!F30)))/100)*(1+(IF(Skills!A4="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1038)</f>
        <v/>
      </c>
      <c r="L1038">
        <f>K1038*(MIN(Inputs!$B$22+((C1058=TRUE)*(F1058-Calc!F24)),Inputs!$B$23+((C1063=TRUE)*(F1063-Calc!F29)))/100+(Inputs!$B$23+((C1063=TRUE)*(F1063-Calc!F29)))/100)/2</f>
        <v/>
      </c>
      <c r="M1038">
        <f>L1038*(1+(Inputs!$B$10+((C1060=TRUE)*(F1060-Calc!F26))+B1074)/100)</f>
        <v/>
      </c>
      <c r="N1038">
        <f>L1038*(1-MIN((Inputs!$B$9+((C1059=TRUE)*(F1059-Calc!F25))+B1067),100)/100)+M1038*(MIN((Inputs!$B$9+((C1059=TRUE)*(F1059-Calc!F25))+B1067),100)/100)</f>
        <v/>
      </c>
      <c r="O1038">
        <f>(1-Summary!$B$55)*T1038+Summary!$B$55*V1038</f>
        <v/>
      </c>
      <c r="P1038">
        <f>IF(B1079=0,0,O1038/B1079)</f>
        <v/>
      </c>
      <c r="Q1038">
        <f>IFERROR(1/IF(Inputs!$B$39="pvp",15,MAX(0.1,Skills!D4-IF(Skills!E4=TRUE,Inputs!$B$32,0))),0)</f>
        <v/>
      </c>
      <c r="R1038">
        <f>IF(AND(Inputs!$B$39&lt;&gt;"pvp",Inputs!$B$44&gt;0),IF(MAX(0,Inputs!$B$44-B1078)&lt;=0,0,(INT(MAX(0,Inputs!$B$44-B1078)/IF(Inputs!$B$39="pvp",15,MAX(0.1,Skills!D4-IF(Skills!E4=TRUE,Inputs!$B$32,0))))+1)),0)</f>
        <v/>
      </c>
      <c r="S1038">
        <f>IFERROR(O1038/N1038,0)</f>
        <v/>
      </c>
      <c r="T1038">
        <f>IF(C1038,(H1038*N1038*IF(AND(Inputs!$B$39&lt;&gt;"pvp",Inputs!$B$44&gt;0),((Skills!G4*((R1038-1)*IF(Skills!H4&gt;0,Skills!I4/Skills!H4,1)+IF(Skills!H4&gt;0,MIN(Skills!I4,MAX(0,MAX(0,Inputs!$B$44-B1078)-((R1038-1)*IF(Inputs!$B$39="pvp",15,MAX(0.1,Skills!D4-IF(Skills!E4=TRUE,Inputs!$B$32,0))))))/Skills!H4,1)))/Inputs!$B$44),G1038*Q1038))*IF(Inputs!$B$39="pvp",1,1+(Inputs!$B$20+0+Skills!P4+B1068)/100),0)</f>
        <v/>
      </c>
      <c r="U1038">
        <f>290*U1037/1000</f>
        <v/>
      </c>
      <c r="V1038">
        <f>IF(C1038,(H1038*N1038*IF(AND(Inputs!$B$39&lt;&gt;"pvp",Inputs!$B$44&gt;0),((Skills!G4*((R1038-1)*IF(Skills!H4&gt;0,Skills!I4/Skills!H4,1)+IF(Skills!H4&gt;0,MIN(Skills!I4,MAX(0,MAX(0,Inputs!$B$44-B1078)-((R1038-1)*IF(Inputs!$B$39="pvp",15,MAX(0.1,Skills!D4-IF(Skills!E4=TRUE,Inputs!$B$32,0))))))/Skills!H4,1)))/Inputs!$B$44),G1038*Q1038))*IF(Inputs!$B$39="pvp",1,(1+(Inputs!$B$21+Skills!Q4+B1068)/100)*(MIN(MIN(10,0.5*B1071*Skills!D4),Inputs!$B$37))),0)</f>
        <v/>
      </c>
    </row>
    <row r="1039">
      <c r="A1039">
        <f>Skills!A5</f>
        <v/>
      </c>
      <c r="B1039">
        <f>Skills!B5</f>
        <v/>
      </c>
      <c r="C1039">
        <f>Inputs!$B$3&gt;=63</f>
        <v/>
      </c>
      <c r="D1039">
        <f>IF(Skills!C5=1,60+Inputs!$B$25+(Inputs!$B$29+1),IF(Skills!C5=2,90+Inputs!$B$26+(Inputs!$B$29+1),IF(Skills!C5=3,120+Inputs!$B$27+(Inputs!$B$29+1),MAX(0,(Inputs!$B$3-100)*3)+Inputs!$B$28+(Inputs!$B$29+1))))</f>
        <v/>
      </c>
      <c r="E1039">
        <f>INDEX(FactorTable!$B$2:$Y$301, MATCH(ROUND(MIN(300,MAX(1,D1039)),0), FactorTable!$A$2:$A$301,0), Skills!M5+1)</f>
        <v/>
      </c>
      <c r="F1039">
        <f>IF(Skills!N5=TRUE,(Skills!L5/10)*(E1039/1000),Skills!L5/10)+Skills!O5</f>
        <v/>
      </c>
      <c r="G1039">
        <f>Skills!G5*IF(Skills!H5&gt;0,Skills!I5/Skills!H5,1)</f>
        <v/>
      </c>
      <c r="H1039">
        <f>1-(1-Skills!J5/100)^Skills!K5</f>
        <v/>
      </c>
      <c r="I1039" t="inlineStr">
        <is>
          <t>1</t>
        </is>
      </c>
      <c r="J1039">
        <f>((Inputs!$B$6*(1+Inputs!$B$7/100))+(((Inputs!$B$12*(1+Inputs!$B$13/100))-(Inputs!$B$12*(1+Inputs!$B$13/100)))+0.25*(Inputs!$B$14-Inputs!$B$14))*(1+Inputs!$B$7/100))*(F1039/100)</f>
        <v/>
      </c>
      <c r="K1039">
        <f>J1039*(1+((Inputs!$B$12*(1+Inputs!$B$13/100))*0.01+Inputs!$B$14*0.0025)/100)*(1+Inputs!$B$15/100)*(1+Inputs!$B$16/100)*(5000/(6000+Inputs!$B$43*(1-Inputs!$B$19/100)))*(1+(Inputs!$B$24+((C1064=TRUE)*(F1064-Calc!F30)))/100)*(1+2.6666666666666665*IF(C1052=TRUE,F1052,0)/100)*(1+(IF(Skills!A5="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1039)</f>
        <v/>
      </c>
      <c r="L1039">
        <f>K1039*(MIN(Inputs!$B$22+((C1058=TRUE)*(F1058-Calc!F24)),Inputs!$B$23+((C1063=TRUE)*(F1063-Calc!F29)))/100+(Inputs!$B$23+((C1063=TRUE)*(F1063-Calc!F29)))/100)/2</f>
        <v/>
      </c>
      <c r="M1039">
        <f>L1039*(1+(Inputs!$B$10+((C1060=TRUE)*(F1060-Calc!F26))+B1074)/100)</f>
        <v/>
      </c>
      <c r="N1039">
        <f>L1039*(1-MIN((Inputs!$B$9+((C1059=TRUE)*(F1059-Calc!F25))+B1067),100)/100)+M1039*(MIN((Inputs!$B$9+((C1059=TRUE)*(F1059-Calc!F25))+B1067),100)/100)</f>
        <v/>
      </c>
      <c r="O1039">
        <f>(1-Summary!$B$55)*T1039+Summary!$B$55*V1039</f>
        <v/>
      </c>
      <c r="P1039">
        <f>IF(B1079=0,0,O1039/B1079)</f>
        <v/>
      </c>
      <c r="Q1039">
        <f>IFERROR(1/IF(Inputs!$B$39="pvp",15,MAX(0.1,Skills!D5-IF(Skills!E5=TRUE,Inputs!$B$32,0))),0)</f>
        <v/>
      </c>
      <c r="R1039">
        <f>IF(AND(Inputs!$B$39&lt;&gt;"pvp",Inputs!$B$44&gt;0),IF(MAX(0,Inputs!$B$44-B1078)&lt;=0,0,(INT(MAX(0,Inputs!$B$44-B1078)/IF(Inputs!$B$39="pvp",15,MAX(0.1,Skills!D5-IF(Skills!E5=TRUE,Inputs!$B$32,0))))+1)),0)</f>
        <v/>
      </c>
      <c r="S1039">
        <f>IFERROR(O1039/N1039,0)</f>
        <v/>
      </c>
      <c r="T1039">
        <f>IF(C1039,(H1039*N1039*IF(AND(Inputs!$B$39&lt;&gt;"pvp",Inputs!$B$44&gt;0),((Skills!G5*((R1039-1)*IF(Skills!H5&gt;0,Skills!I5/Skills!H5,1)+IF(Skills!H5&gt;0,MIN(Skills!I5,MAX(0,MAX(0,Inputs!$B$44-B1078)-((R1039-1)*IF(Inputs!$B$39="pvp",15,MAX(0.1,Skills!D5-IF(Skills!E5=TRUE,Inputs!$B$32,0))))))/Skills!H5,1)))/Inputs!$B$44),G1039*Q1039))*IF(Inputs!$B$39="pvp",1,1+(Inputs!$B$20+0+Skills!P5+B1068)/100),0)</f>
        <v/>
      </c>
      <c r="V1039">
        <f>IF(C1039,(H1039*N1039*IF(AND(Inputs!$B$39&lt;&gt;"pvp",Inputs!$B$44&gt;0),((Skills!G5*((R1039-1)*IF(Skills!H5&gt;0,Skills!I5/Skills!H5,1)+IF(Skills!H5&gt;0,MIN(Skills!I5,MAX(0,MAX(0,Inputs!$B$44-B1078)-((R1039-1)*IF(Inputs!$B$39="pvp",15,MAX(0.1,Skills!D5-IF(Skills!E5=TRUE,Inputs!$B$32,0))))))/Skills!H5,1)))/Inputs!$B$44),G1039*Q1039))*IF(Inputs!$B$39="pvp",1,(1+(Inputs!$B$21+Skills!Q5+B1068)/100)*(MIN(Skills!W5,Inputs!$B$37))),0)</f>
        <v/>
      </c>
    </row>
    <row r="1040">
      <c r="A1040">
        <f>Skills!A6</f>
        <v/>
      </c>
      <c r="B1040">
        <f>Skills!B6</f>
        <v/>
      </c>
      <c r="C1040">
        <f>Inputs!$B$3&gt;=69</f>
        <v/>
      </c>
      <c r="D1040">
        <f>IF(Skills!C6=1,60+Inputs!$B$25+(Inputs!$B$29+1),IF(Skills!C6=2,90+Inputs!$B$26+(Inputs!$B$29+1),IF(Skills!C6=3,120+Inputs!$B$27+(Inputs!$B$29+1),MAX(0,(Inputs!$B$3-100)*3)+Inputs!$B$28+(Inputs!$B$29+1))))</f>
        <v/>
      </c>
      <c r="E1040">
        <f>INDEX(FactorTable!$B$2:$Y$301, MATCH(ROUND(MIN(300,MAX(1,D1040)),0), FactorTable!$A$2:$A$301,0), Skills!M6+1)</f>
        <v/>
      </c>
      <c r="F1040">
        <f>IF(Skills!N6=TRUE,(Skills!L6/10)*(E1040/1000),Skills!L6/10)+Skills!O6</f>
        <v/>
      </c>
      <c r="G1040">
        <f>Skills!G6*IF(Skills!H6&gt;0,Skills!I6/Skills!H6,1)</f>
        <v/>
      </c>
      <c r="H1040">
        <f>1-(1-Skills!J6/100)^Skills!K6</f>
        <v/>
      </c>
      <c r="I1040" t="inlineStr">
        <is>
          <t>1</t>
        </is>
      </c>
      <c r="J1040">
        <f>((Inputs!$B$6*(1+Inputs!$B$7/100))+(((Inputs!$B$12*(1+Inputs!$B$13/100))-(Inputs!$B$12*(1+Inputs!$B$13/100)))+0.25*(Inputs!$B$14-Inputs!$B$14))*(1+Inputs!$B$7/100))*(F1040/100)</f>
        <v/>
      </c>
      <c r="K1040">
        <f>J1040*(1+((Inputs!$B$12*(1+Inputs!$B$13/100))*0.01+Inputs!$B$14*0.0025)/100)*(1+Inputs!$B$15/100)*(1+Inputs!$B$16/100)*(5000/(6000+Inputs!$B$43*(1-Inputs!$B$19/100)))*(1+(Inputs!$B$24+((C1064=TRUE)*(F1064-Calc!F30)))/100)*(1+1.0*IF(C1052=TRUE,F1052,0)/100)*(1+(IF(Skills!A6="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1040)</f>
        <v/>
      </c>
      <c r="L1040">
        <f>K1040*(MIN(Inputs!$B$22+((C1058=TRUE)*(F1058-Calc!F24)),Inputs!$B$23+((C1063=TRUE)*(F1063-Calc!F29)))/100+(Inputs!$B$23+((C1063=TRUE)*(F1063-Calc!F29)))/100)/2</f>
        <v/>
      </c>
      <c r="M1040">
        <f>L1040*(1+(Inputs!$B$10+((C1060=TRUE)*(F1060-Calc!F26))+B1074)/100)</f>
        <v/>
      </c>
      <c r="N1040">
        <f>L1040*(1-MIN((Inputs!$B$9+((C1059=TRUE)*(F1059-Calc!F25))+B1067),100)/100)+M1040*(MIN((Inputs!$B$9+((C1059=TRUE)*(F1059-Calc!F25))+B1067),100)/100)</f>
        <v/>
      </c>
      <c r="O1040">
        <f>(1-Summary!$B$55)*T1040+Summary!$B$55*V1040</f>
        <v/>
      </c>
      <c r="P1040">
        <f>IF(B1079=0,0,O1040/B1079)</f>
        <v/>
      </c>
      <c r="Q1040">
        <f>IFERROR(1/IF(Inputs!$B$39="pvp",15,MAX(0.1,Skills!D6-IF(Skills!E6=TRUE,Inputs!$B$32,0))),0)</f>
        <v/>
      </c>
      <c r="R1040">
        <f>IF(AND(Inputs!$B$39&lt;&gt;"pvp",Inputs!$B$44&gt;0),IF(MAX(0,Inputs!$B$44-B1078)&lt;=0,0,(INT(MAX(0,Inputs!$B$44-B1078)/IF(Inputs!$B$39="pvp",15,MAX(0.1,Skills!D6-IF(Skills!E6=TRUE,Inputs!$B$32,0))))+1)),0)</f>
        <v/>
      </c>
      <c r="S1040">
        <f>IFERROR(O1040/N1040,0)</f>
        <v/>
      </c>
      <c r="T1040">
        <f>IF(C1040,(H1040*N1040*IF(AND(Inputs!$B$39&lt;&gt;"pvp",Inputs!$B$44&gt;0),((Skills!G6*((R1040-1)*IF(Skills!H6&gt;0,Skills!I6/Skills!H6,1)+IF(Skills!H6&gt;0,MIN(Skills!I6,MAX(0,MAX(0,Inputs!$B$44-B1078)-((R1040-1)*IF(Inputs!$B$39="pvp",15,MAX(0.1,Skills!D6-IF(Skills!E6=TRUE,Inputs!$B$32,0))))))/Skills!H6,1)))/Inputs!$B$44),G1040*Q1040))*IF(Inputs!$B$39="pvp",1,1+(Inputs!$B$20+0+Skills!P6+B1068)/100),0)</f>
        <v/>
      </c>
      <c r="V1040">
        <f>IF(C1040,(H1040*N1040*IF(AND(Inputs!$B$39&lt;&gt;"pvp",Inputs!$B$44&gt;0),((Skills!G6*((R1040-1)*IF(Skills!H6&gt;0,Skills!I6/Skills!H6,1)+IF(Skills!H6&gt;0,MIN(Skills!I6,MAX(0,MAX(0,Inputs!$B$44-B1078)-((R1040-1)*IF(Inputs!$B$39="pvp",15,MAX(0.1,Skills!D6-IF(Skills!E6=TRUE,Inputs!$B$32,0))))))/Skills!H6,1)))/Inputs!$B$44),G1040*Q1040))*IF(Inputs!$B$39="pvp",1,(1+(Inputs!$B$21+Skills!Q6+B1068)/100)*(MIN(Skills!W6,Inputs!$B$37))),0)</f>
        <v/>
      </c>
    </row>
    <row r="1041">
      <c r="A1041">
        <f>Skills!A7</f>
        <v/>
      </c>
      <c r="B1041">
        <f>Skills!B7</f>
        <v/>
      </c>
      <c r="C1041">
        <f>Inputs!$B$3&gt;=60</f>
        <v/>
      </c>
      <c r="D1041">
        <f>IF(Skills!C7=1,60+Inputs!$B$25+(Inputs!$B$29+1),IF(Skills!C7=2,90+Inputs!$B$26+(Inputs!$B$29+1),IF(Skills!C7=3,120+Inputs!$B$27+(Inputs!$B$29+1),MAX(0,(Inputs!$B$3-100)*3)+Inputs!$B$28+(Inputs!$B$29+1))))</f>
        <v/>
      </c>
      <c r="E1041">
        <f>INDEX(FactorTable!$B$2:$Y$301, MATCH(ROUND(MIN(300,MAX(1,D1041)),0), FactorTable!$A$2:$A$301,0), Skills!M7+1)</f>
        <v/>
      </c>
      <c r="F1041">
        <f>IF(Skills!N7=TRUE,(Skills!L7/10)*(E1041/1000),Skills!L7/10)+Skills!O7</f>
        <v/>
      </c>
      <c r="G1041">
        <f>Skills!G7*IF(Skills!H7&gt;0,Skills!I7/Skills!H7,1)</f>
        <v/>
      </c>
      <c r="H1041">
        <f>1-(1-Skills!J7/100)^Skills!K7</f>
        <v/>
      </c>
      <c r="I1041" t="inlineStr">
        <is>
          <t>1</t>
        </is>
      </c>
      <c r="J1041" t="inlineStr"/>
      <c r="K1041" t="inlineStr"/>
      <c r="L1041" t="inlineStr"/>
      <c r="M1041" t="inlineStr"/>
      <c r="N1041" t="inlineStr"/>
      <c r="O1041">
        <f>(1-Summary!$B$55)*T1041+Summary!$B$55*V1041</f>
        <v/>
      </c>
      <c r="P1041">
        <f>IF(B1079=0,0,O1041/B1079)</f>
        <v/>
      </c>
      <c r="Q1041" t="n">
        <v>0</v>
      </c>
      <c r="R1041" t="n">
        <v>0</v>
      </c>
      <c r="S1041">
        <f>IFERROR(O1041/N1041,0)</f>
        <v/>
      </c>
      <c r="T1041" t="n">
        <v>0</v>
      </c>
      <c r="V1041" t="n">
        <v>0</v>
      </c>
    </row>
    <row r="1042">
      <c r="A1042">
        <f>Skills!A8</f>
        <v/>
      </c>
      <c r="B1042">
        <f>Skills!B8</f>
        <v/>
      </c>
      <c r="C1042">
        <f>Inputs!$B$3&gt;=72</f>
        <v/>
      </c>
      <c r="D1042">
        <f>IF(Skills!C8=1,60+Inputs!$B$25+(Inputs!$B$29+1),IF(Skills!C8=2,90+Inputs!$B$26+(Inputs!$B$29+1),IF(Skills!C8=3,120+Inputs!$B$27+(Inputs!$B$29+1),MAX(0,(Inputs!$B$3-100)*3)+Inputs!$B$28+(Inputs!$B$29+1))))</f>
        <v/>
      </c>
      <c r="E1042">
        <f>INDEX(FactorTable!$B$2:$Y$301, MATCH(ROUND(MIN(300,MAX(1,D1042)),0), FactorTable!$A$2:$A$301,0), Skills!M8+1)</f>
        <v/>
      </c>
      <c r="F1042">
        <f>IF(Skills!N8=TRUE,(Skills!L8/10)*(E1042/1000),Skills!L8/10)+Skills!O8</f>
        <v/>
      </c>
      <c r="G1042">
        <f>Skills!G8*IF(Skills!H8&gt;0,Skills!I8/Skills!H8,1)</f>
        <v/>
      </c>
      <c r="H1042">
        <f>1-(1-Skills!J8/100)^Skills!K8</f>
        <v/>
      </c>
      <c r="I1042" t="inlineStr">
        <is>
          <t>1</t>
        </is>
      </c>
      <c r="J1042">
        <f>((Inputs!$B$6*(1+Inputs!$B$7/100))+(((Inputs!$B$12*(1+Inputs!$B$13/100))-(Inputs!$B$12*(1+Inputs!$B$13/100)))+0.25*(Inputs!$B$14-Inputs!$B$14))*(1+Inputs!$B$7/100))*(F1042/100)</f>
        <v/>
      </c>
      <c r="K1042">
        <f>J1042*(1+((Inputs!$B$12*(1+Inputs!$B$13/100))*0.01+Inputs!$B$14*0.0025)/100)*(1+Inputs!$B$15/100)*(1+Inputs!$B$16/100)*(5000/(6000+Inputs!$B$43*(1-Inputs!$B$19/100)))*(1+(Inputs!$B$24+((C1064=TRUE)*(F1064-Calc!F30)))/100)*(1+3.3333333333333335*IF(C1052=TRUE,F1052,0)/100)*(1+(IF(Skills!A8="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1042)</f>
        <v/>
      </c>
      <c r="L1042">
        <f>K1042*(MIN(Inputs!$B$22+((C1058=TRUE)*(F1058-Calc!F24)),Inputs!$B$23+((C1063=TRUE)*(F1063-Calc!F29)))/100+(Inputs!$B$23+((C1063=TRUE)*(F1063-Calc!F29)))/100)/2</f>
        <v/>
      </c>
      <c r="M1042">
        <f>L1042*(1+(Inputs!$B$10+((C1060=TRUE)*(F1060-Calc!F26))+B1074)/100)</f>
        <v/>
      </c>
      <c r="N1042">
        <f>L1042*(1-MIN((Inputs!$B$9+((C1059=TRUE)*(F1059-Calc!F25))+B1067),100)/100)+M1042*(MIN((Inputs!$B$9+((C1059=TRUE)*(F1059-Calc!F25))+B1067),100)/100)</f>
        <v/>
      </c>
      <c r="O1042">
        <f>(1-Summary!$B$55)*T1042+Summary!$B$55*V1042</f>
        <v/>
      </c>
      <c r="P1042">
        <f>IF(B1079=0,0,O1042/B1079)</f>
        <v/>
      </c>
      <c r="Q1042">
        <f>IFERROR(1/IF(Inputs!$B$39="pvp",15,MAX(0.1,Skills!D8-IF(Skills!E8=TRUE,Inputs!$B$32,0))),0)</f>
        <v/>
      </c>
      <c r="R1042">
        <f>IF(AND(Inputs!$B$39&lt;&gt;"pvp",Inputs!$B$44&gt;0),IF(MAX(0,Inputs!$B$44-B1078)&lt;=0,0,(INT(MAX(0,Inputs!$B$44-B1078)/IF(Inputs!$B$39="pvp",15,MAX(0.1,Skills!D8-IF(Skills!E8=TRUE,Inputs!$B$32,0))))+1)),0)</f>
        <v/>
      </c>
      <c r="S1042">
        <f>IFERROR(O1042/N1042,0)</f>
        <v/>
      </c>
      <c r="T1042">
        <f>IF(C1042,(H1042*N1042*IF(AND(Inputs!$B$39&lt;&gt;"pvp",Inputs!$B$44&gt;0),((Skills!G8*((R1042-1)*IF(Skills!H8&gt;0,Skills!I8/Skills!H8,1)+IF(Skills!H8&gt;0,MIN(Skills!I8,MAX(0,MAX(0,Inputs!$B$44-B1078)-((R1042-1)*IF(Inputs!$B$39="pvp",15,MAX(0.1,Skills!D8-IF(Skills!E8=TRUE,Inputs!$B$32,0))))))/Skills!H8,1)))/Inputs!$B$44),G1042*Q1042))*IF(Inputs!$B$39="pvp",1,1+(Inputs!$B$20+0+Skills!P8+B1068)/100),0)</f>
        <v/>
      </c>
      <c r="V1042">
        <f>IF(C1042,(H1042*N1042*IF(AND(Inputs!$B$39&lt;&gt;"pvp",Inputs!$B$44&gt;0),((Skills!G8*((R1042-1)*IF(Skills!H8&gt;0,Skills!I8/Skills!H8,1)+IF(Skills!H8&gt;0,MIN(Skills!I8,MAX(0,MAX(0,Inputs!$B$44-B1078)-((R1042-1)*IF(Inputs!$B$39="pvp",15,MAX(0.1,Skills!D8-IF(Skills!E8=TRUE,Inputs!$B$32,0))))))/Skills!H8,1)))/Inputs!$B$44),G1042*Q1042))*IF(Inputs!$B$39="pvp",1,(1+(Inputs!$B$21+Skills!Q8+B1068)/100)*(MIN(Skills!W8,Inputs!$B$37))),0)</f>
        <v/>
      </c>
    </row>
    <row r="1043">
      <c r="A1043">
        <f>Skills!A9</f>
        <v/>
      </c>
      <c r="B1043">
        <f>Skills!B9</f>
        <v/>
      </c>
      <c r="C1043">
        <f>Inputs!$B$3&gt;=117</f>
        <v/>
      </c>
      <c r="D1043">
        <f>IF(Skills!C9=1,60+Inputs!$B$25+(Inputs!$B$29+1),IF(Skills!C9=2,90+Inputs!$B$26+(Inputs!$B$29+1),IF(Skills!C9=3,120+Inputs!$B$27+(Inputs!$B$29+1),MAX(0,(Inputs!$B$3-100)*3)+Inputs!$B$28+(Inputs!$B$29+1))))</f>
        <v/>
      </c>
      <c r="E1043">
        <f>INDEX(FactorTable!$B$2:$Y$301, MATCH(ROUND(MIN(300,MAX(1,D1043)),0), FactorTable!$A$2:$A$301,0), Skills!M9+1)</f>
        <v/>
      </c>
      <c r="F1043">
        <f>IF(Skills!N9=TRUE,(Skills!L9/10)*(E1043/1000),Skills!L9/10)+Skills!O9</f>
        <v/>
      </c>
      <c r="G1043">
        <f>Skills!G9*IF(Skills!H9&gt;0,Skills!I9/Skills!H9,1)</f>
        <v/>
      </c>
      <c r="H1043">
        <f>1-(1-Skills!J9/100)^Skills!K9</f>
        <v/>
      </c>
      <c r="I1043" t="inlineStr">
        <is>
          <t>1</t>
        </is>
      </c>
      <c r="J1043">
        <f>((Inputs!$B$6*(1+Inputs!$B$7/100))+(((Inputs!$B$12*(1+Inputs!$B$13/100))-(Inputs!$B$12*(1+Inputs!$B$13/100)))+0.25*(Inputs!$B$14-Inputs!$B$14))*(1+Inputs!$B$7/100))*(F1043/100)</f>
        <v/>
      </c>
      <c r="K1043">
        <f>J1043*(1+((Inputs!$B$12*(1+Inputs!$B$13/100))*0.01+Inputs!$B$14*0.0025)/100)*(1+Inputs!$B$15/100)*(1+Inputs!$B$16/100)*(5000/(6000+Inputs!$B$43*(1-Inputs!$B$19/100)))*(1+(Inputs!$B$24+((C1064=TRUE)*(F1064-Calc!F30)))/100)*(1+(IF(Skills!A9="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1043)</f>
        <v/>
      </c>
      <c r="L1043">
        <f>K1043*(MIN(Inputs!$B$22+((C1058=TRUE)*(F1058-Calc!F24)),Inputs!$B$23+((C1063=TRUE)*(F1063-Calc!F29)))/100+(Inputs!$B$23+((C1063=TRUE)*(F1063-Calc!F29)))/100)/2</f>
        <v/>
      </c>
      <c r="M1043">
        <f>L1043*(1+(Inputs!$B$10+((C1060=TRUE)*(F1060-Calc!F26))+B1074)/100)</f>
        <v/>
      </c>
      <c r="N1043">
        <f>L1043*(1-MIN((Inputs!$B$9+((C1059=TRUE)*(F1059-Calc!F25))+B1067),100)/100)+M1043*(MIN((Inputs!$B$9+((C1059=TRUE)*(F1059-Calc!F25))+B1067),100)/100)</f>
        <v/>
      </c>
      <c r="O1043">
        <f>(1-Summary!$B$55)*T1043+Summary!$B$55*V1043</f>
        <v/>
      </c>
      <c r="P1043">
        <f>IF(B1079=0,0,O1043/B1079)</f>
        <v/>
      </c>
      <c r="Q1043" t="n">
        <v>0</v>
      </c>
      <c r="R1043" t="n">
        <v>0</v>
      </c>
      <c r="S1043" t="n">
        <v>0</v>
      </c>
      <c r="T1043">
        <f>IF(C1043,(0.2*SUMPRODUCT((Skills!Z2:Z30=TRUE)*(C1036:C1064=TRUE)*S1036:S1064)*N1043)*IF(Inputs!$B$39="pvp",1,1+(Inputs!$B$20+0+Skills!P9+B1068)/100),0)</f>
        <v/>
      </c>
      <c r="V1043">
        <f>IF(C1043,(0.2*SUMPRODUCT((Skills!Z2:Z30=TRUE)*(C1036:C1064=TRUE)*S1036:S1064)*N1043)*IF(Inputs!$B$39="pvp",1,(1+(Inputs!$B$21+Skills!Q9+B1068)/100)*(MIN(Skills!W9,Inputs!$B$37))),0)</f>
        <v/>
      </c>
    </row>
    <row r="1044">
      <c r="A1044">
        <f>Skills!A10</f>
        <v/>
      </c>
      <c r="B1044">
        <f>Skills!B10</f>
        <v/>
      </c>
      <c r="C1044">
        <f>Inputs!$B$3&gt;=74</f>
        <v/>
      </c>
      <c r="D1044">
        <f>IF(Skills!C10=1,60+Inputs!$B$25+(Inputs!$B$29+1),IF(Skills!C10=2,90+Inputs!$B$26+(Inputs!$B$29+1),IF(Skills!C10=3,120+Inputs!$B$27+(Inputs!$B$29+1),MAX(0,(Inputs!$B$3-100)*3)+Inputs!$B$28+(Inputs!$B$29+1))))</f>
        <v/>
      </c>
      <c r="E1044">
        <f>INDEX(FactorTable!$B$2:$Y$301, MATCH(ROUND(MIN(300,MAX(1,D1044)),0), FactorTable!$A$2:$A$301,0), Skills!M10+1)</f>
        <v/>
      </c>
      <c r="F1044">
        <f>IF(Skills!N10=TRUE,(Skills!L10/10)*(E1044/1000),Skills!L10/10)+Skills!O10</f>
        <v/>
      </c>
      <c r="G1044">
        <f>Skills!G10*IF(Skills!H10&gt;0,Skills!I10/Skills!H10,1)</f>
        <v/>
      </c>
      <c r="H1044">
        <f>1-(1-Skills!J10/100)^Skills!K10</f>
        <v/>
      </c>
      <c r="I1044" t="inlineStr">
        <is>
          <t>1</t>
        </is>
      </c>
      <c r="J1044" t="inlineStr"/>
      <c r="K1044" t="inlineStr"/>
      <c r="L1044" t="inlineStr"/>
      <c r="M1044" t="inlineStr"/>
      <c r="N1044" t="inlineStr"/>
      <c r="O1044">
        <f>(1-Summary!$B$55)*T1044+Summary!$B$55*V1044</f>
        <v/>
      </c>
      <c r="P1044">
        <f>IF(B1079=0,0,O1044/B1079)</f>
        <v/>
      </c>
      <c r="Q1044">
        <f>IFERROR(1/IF(Inputs!$B$39="pvp",15,MAX(0.1,Skills!D10-IF(Skills!E10=TRUE,Inputs!$B$32,0))),0)</f>
        <v/>
      </c>
      <c r="R1044">
        <f>IF(AND(Inputs!$B$39&lt;&gt;"pvp",Inputs!$B$44&gt;0),IF(Inputs!$B$44&lt;=0,0,(INT(Inputs!$B$44/IF(Inputs!$B$39="pvp",15,MAX(0.1,Skills!D10-IF(Skills!E10=TRUE,Inputs!$B$32,0))))+1)),0)</f>
        <v/>
      </c>
      <c r="S1044">
        <f>IFERROR(O1044/N1044,0)</f>
        <v/>
      </c>
      <c r="T1044" t="n">
        <v>0</v>
      </c>
      <c r="V1044" t="n">
        <v>0</v>
      </c>
    </row>
    <row r="1045">
      <c r="A1045">
        <f>Skills!A11</f>
        <v/>
      </c>
      <c r="B1045">
        <f>Skills!B11</f>
        <v/>
      </c>
      <c r="C1045">
        <f>Inputs!$B$3&gt;=103</f>
        <v/>
      </c>
      <c r="D1045">
        <f>IF(Skills!C11=1,60+Inputs!$B$25+(Inputs!$B$29+1),IF(Skills!C11=2,90+Inputs!$B$26+(Inputs!$B$29+1),IF(Skills!C11=3,120+Inputs!$B$27+(Inputs!$B$29+1),MAX(0,(Inputs!$B$3-100)*3)+Inputs!$B$28+(Inputs!$B$29+1))))</f>
        <v/>
      </c>
      <c r="E1045">
        <f>INDEX(FactorTable!$B$2:$Y$301, MATCH(ROUND(MIN(300,MAX(1,D1045)),0), FactorTable!$A$2:$A$301,0), Skills!M11+1)</f>
        <v/>
      </c>
      <c r="F1045">
        <f>(Skills!L11/10)*(E1045/1000)+IF(Inputs!$B$3&gt;=134,50,0)+0.5*(30000/10)*(INDEX(FactorTable!$B$2:$Y$301, MATCH(ROUND(MIN(300,MAX(1,D1045)),0), FactorTable!$A$2:$A$301,0), 13)/1000)*B1077</f>
        <v/>
      </c>
      <c r="G1045">
        <f>Skills!G11*IF(Skills!H11&gt;0,Skills!I11/Skills!H11,1)</f>
        <v/>
      </c>
      <c r="H1045">
        <f>1-(1-Skills!J11/100)^Skills!K11</f>
        <v/>
      </c>
      <c r="I1045" t="inlineStr">
        <is>
          <t>1</t>
        </is>
      </c>
      <c r="J1045">
        <f>((Inputs!$B$6*(1+Inputs!$B$7/100))+(((Inputs!$B$12*(1+Inputs!$B$13/100))-(Inputs!$B$12*(1+Inputs!$B$13/100)))+0.25*(Inputs!$B$14-Inputs!$B$14))*(1+Inputs!$B$7/100))*(F1045/100)</f>
        <v/>
      </c>
      <c r="K1045">
        <f>J1045*(1+((Inputs!$B$12*(1+Inputs!$B$13/100))*0.01+Inputs!$B$14*0.0025)/100)*(1+Inputs!$B$15/100)*(1+Inputs!$B$16/100)*(5000/(6000+Inputs!$B$43*(1-Inputs!$B$19/100)))*(1+(Inputs!$B$24+((C1064=TRUE)*(F1064-Calc!F30)))/100)*(1+(IF(Skills!A11="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1045)</f>
        <v/>
      </c>
      <c r="L1045">
        <f>K1045*(MIN(Inputs!$B$22+((C1058=TRUE)*(F1058-Calc!F24)),Inputs!$B$23+((C1063=TRUE)*(F1063-Calc!F29)))/100+(Inputs!$B$23+((C1063=TRUE)*(F1063-Calc!F29)))/100)/2</f>
        <v/>
      </c>
      <c r="M1045">
        <f>L1045*(1+(Inputs!$B$10+((C1060=TRUE)*(F1060-Calc!F26))+B1074)/100)</f>
        <v/>
      </c>
      <c r="N1045">
        <f>L1045*(1-MIN((Inputs!$B$9+((C1059=TRUE)*(F1059-Calc!F25))+B1067),100)/100)+M1045*(MIN((Inputs!$B$9+((C1059=TRUE)*(F1059-Calc!F25))+B1067),100)/100)</f>
        <v/>
      </c>
      <c r="O1045">
        <f>(1-Summary!$B$55)*T1045+Summary!$B$55*V1045</f>
        <v/>
      </c>
      <c r="P1045">
        <f>IF(B1079=0,0,O1045/B1079)</f>
        <v/>
      </c>
      <c r="Q1045">
        <f>IFERROR(1/IF(Inputs!$B$39="pvp",15,MAX(0.1,Skills!D11-IF(Skills!E11=TRUE,Inputs!$B$32,0))),0)</f>
        <v/>
      </c>
      <c r="R1045">
        <f>IF(AND(Inputs!$B$39&lt;&gt;"pvp",Inputs!$B$44&gt;0),IF(MAX(0,Inputs!$B$44-B1078)&lt;=0,0,(INT(MAX(0,Inputs!$B$44-B1078)/IF(Inputs!$B$39="pvp",15,MAX(0.1,Skills!D11-IF(Skills!E11=TRUE,Inputs!$B$32,0))))+1)),0)</f>
        <v/>
      </c>
      <c r="S1045">
        <f>IFERROR(O1045/N1045,0)</f>
        <v/>
      </c>
      <c r="T1045">
        <f>IF(C1045,(H1045*N1045*IF(AND(Inputs!$B$39&lt;&gt;"pvp",Inputs!$B$44&gt;0),((Skills!G11*((R1045-1)*IF(Skills!H11&gt;0,Skills!I11/Skills!H11,1)+IF(Skills!H11&gt;0,MIN(Skills!I11,MAX(0,MAX(0,Inputs!$B$44-B1078)-((R1045-1)*IF(Inputs!$B$39="pvp",15,MAX(0.1,Skills!D11-IF(Skills!E11=TRUE,Inputs!$B$32,0))))))/Skills!H11,1)))/Inputs!$B$44),G1045*Q1045))*IF(Inputs!$B$39="pvp",1,1+(Inputs!$B$20+0+Skills!P11+B1068)/100),0)</f>
        <v/>
      </c>
      <c r="V1045">
        <f>IF(C1045,(H1045*N1045*IF(AND(Inputs!$B$39&lt;&gt;"pvp",Inputs!$B$44&gt;0),((Skills!G11*((R1045-1)*IF(Skills!H11&gt;0,Skills!I11/Skills!H11,1)+IF(Skills!H11&gt;0,MIN(Skills!I11,MAX(0,MAX(0,Inputs!$B$44-B1078)-((R1045-1)*IF(Inputs!$B$39="pvp",15,MAX(0.1,Skills!D11-IF(Skills!E11=TRUE,Inputs!$B$32,0))))))/Skills!H11,1)))/Inputs!$B$44),G1045*Q1045))*IF(Inputs!$B$39="pvp",1,(1+(Inputs!$B$21+Skills!Q11+B1068)/100)*(MIN(Skills!W11,Inputs!$B$37))),0)</f>
        <v/>
      </c>
    </row>
    <row r="1046">
      <c r="A1046">
        <f>Skills!A12</f>
        <v/>
      </c>
      <c r="B1046">
        <f>Skills!B12</f>
        <v/>
      </c>
      <c r="C1046">
        <f>Inputs!$B$3&gt;=105</f>
        <v/>
      </c>
      <c r="D1046">
        <f>IF(Skills!C12=1,60+Inputs!$B$25+(Inputs!$B$29+1),IF(Skills!C12=2,90+Inputs!$B$26+(Inputs!$B$29+1),IF(Skills!C12=3,120+Inputs!$B$27+(Inputs!$B$29+1),MAX(0,(Inputs!$B$3-100)*3)+Inputs!$B$28+(Inputs!$B$29+1))))</f>
        <v/>
      </c>
      <c r="E1046">
        <f>INDEX(FactorTable!$B$2:$Y$301, MATCH(ROUND(MIN(300,MAX(1,D1046)),0), FactorTable!$A$2:$A$301,0), Skills!M12+1)</f>
        <v/>
      </c>
      <c r="F1046">
        <f>IF(Skills!N12=TRUE,(Skills!L12/10)*(E1046/1000),Skills!L12/10)+Skills!O12</f>
        <v/>
      </c>
      <c r="G1046">
        <f>Skills!G12*IF(Skills!H12&gt;0,Skills!I12/Skills!H12,1)</f>
        <v/>
      </c>
      <c r="H1046">
        <f>1-(1-Skills!J12/100)^Skills!K12</f>
        <v/>
      </c>
      <c r="I1046" t="inlineStr">
        <is>
          <t>1</t>
        </is>
      </c>
      <c r="J1046">
        <f>((Inputs!$B$6*(1+Inputs!$B$7/100))+(((Inputs!$B$12*(1+Inputs!$B$13/100))-(Inputs!$B$12*(1+Inputs!$B$13/100)))+0.25*(Inputs!$B$14-Inputs!$B$14))*(1+Inputs!$B$7/100))*(F1046/100)</f>
        <v/>
      </c>
      <c r="K1046">
        <f>J1046*(1+((Inputs!$B$12*(1+Inputs!$B$13/100))*0.01+Inputs!$B$14*0.0025)/100)*(1+Inputs!$B$15/100)*(1+Inputs!$B$16/100)*(5000/(6000+Inputs!$B$43*(1-Inputs!$B$19/100)))*(1+(Inputs!$B$24+((C1064=TRUE)*(F1064-Calc!F30)))/100)*(1+(IF(Skills!A12="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1046)</f>
        <v/>
      </c>
      <c r="L1046">
        <f>K1046*(MIN(Inputs!$B$22+((C1058=TRUE)*(F1058-Calc!F24)),Inputs!$B$23+((C1063=TRUE)*(F1063-Calc!F29)))/100+(Inputs!$B$23+((C1063=TRUE)*(F1063-Calc!F29)))/100)/2</f>
        <v/>
      </c>
      <c r="M1046">
        <f>L1046*(1+(Inputs!$B$10+((C1060=TRUE)*(F1060-Calc!F26))+B1074)/100)</f>
        <v/>
      </c>
      <c r="N1046">
        <f>L1046*(1-MIN((Inputs!$B$9+((C1059=TRUE)*(F1059-Calc!F25))+B1067),100)/100)+M1046*(MIN((Inputs!$B$9+((C1059=TRUE)*(F1059-Calc!F25))+B1067),100)/100)</f>
        <v/>
      </c>
      <c r="O1046">
        <f>(1-Summary!$B$55)*T1046+Summary!$B$55*V1046</f>
        <v/>
      </c>
      <c r="P1046">
        <f>IF(B1079=0,0,O1046/B1079)</f>
        <v/>
      </c>
      <c r="Q1046">
        <f>IFERROR(1/IF(Inputs!$B$39="pvp",15,MAX(0.1,Skills!D12-IF(Skills!E12=TRUE,Inputs!$B$32,0))),0)</f>
        <v/>
      </c>
      <c r="R1046">
        <f>IF(AND(Inputs!$B$39&lt;&gt;"pvp",Inputs!$B$44&gt;0),IF(MAX(0,Inputs!$B$44-B1078)&lt;=0,0,(INT(MAX(0,Inputs!$B$44-B1078)/IF(Inputs!$B$39="pvp",15,MAX(0.1,Skills!D12-IF(Skills!E12=TRUE,Inputs!$B$32,0))))+1)),0)</f>
        <v/>
      </c>
      <c r="S1046">
        <f>IFERROR(O1046/N1046,0)</f>
        <v/>
      </c>
      <c r="T1046">
        <f>IF(C1046,(H1046*N1046*IF(AND(Inputs!$B$39&lt;&gt;"pvp",Inputs!$B$44&gt;0),((Skills!G12*((R1046-1)*IF(Skills!H12&gt;0,Skills!I12/Skills!H12,1)+IF(Skills!H12&gt;0,MIN(Skills!I12,MAX(0,MAX(0,Inputs!$B$44-B1078)-((R1046-1)*IF(Inputs!$B$39="pvp",15,MAX(0.1,Skills!D12-IF(Skills!E12=TRUE,Inputs!$B$32,0))))))/Skills!H12,1)))/Inputs!$B$44),G1046*Q1046))*IF(Inputs!$B$39="pvp",1,1+(Inputs!$B$20+0+Skills!P12+B1068)/100),0)</f>
        <v/>
      </c>
      <c r="V1046">
        <f>IF(C1046,(H1046*N1046*IF(AND(Inputs!$B$39&lt;&gt;"pvp",Inputs!$B$44&gt;0),((Skills!G12*((R1046-1)*IF(Skills!H12&gt;0,Skills!I12/Skills!H12,1)+IF(Skills!H12&gt;0,MIN(Skills!I12,MAX(0,MAX(0,Inputs!$B$44-B1078)-((R1046-1)*IF(Inputs!$B$39="pvp",15,MAX(0.1,Skills!D12-IF(Skills!E12=TRUE,Inputs!$B$32,0))))))/Skills!H12,1)))/Inputs!$B$44),G1046*Q1046))*IF(Inputs!$B$39="pvp",1,(1+(Inputs!$B$21+Skills!Q12+B1068)/100)*(MIN(Skills!W12,Inputs!$B$37))),0)</f>
        <v/>
      </c>
    </row>
    <row r="1047">
      <c r="A1047">
        <f>Skills!A13</f>
        <v/>
      </c>
      <c r="B1047">
        <f>Skills!B13</f>
        <v/>
      </c>
      <c r="C1047">
        <f>Inputs!$B$3&gt;=105</f>
        <v/>
      </c>
      <c r="D1047">
        <f>IF(Skills!C13=1,60+Inputs!$B$25+(Inputs!$B$29+1),IF(Skills!C13=2,90+Inputs!$B$26+(Inputs!$B$29+1),IF(Skills!C13=3,120+Inputs!$B$27+(Inputs!$B$29+1),MAX(0,(Inputs!$B$3-100)*3)+Inputs!$B$28+(Inputs!$B$29+1))))</f>
        <v/>
      </c>
      <c r="E1047">
        <f>INDEX(FactorTable!$B$2:$Y$301, MATCH(ROUND(MIN(300,MAX(1,D1047)),0), FactorTable!$A$2:$A$301,0), Skills!M13+1)</f>
        <v/>
      </c>
      <c r="F1047">
        <f>IF(Skills!N13=TRUE,(Skills!L13/10)*(E1047/1000),Skills!L13/10)+Skills!O13</f>
        <v/>
      </c>
      <c r="G1047">
        <f>Skills!G13*IF(Skills!H13&gt;0,Skills!I13/Skills!H13,1)</f>
        <v/>
      </c>
      <c r="H1047">
        <f>1-(1-Skills!J13/100)^Skills!K13</f>
        <v/>
      </c>
      <c r="I1047" t="inlineStr">
        <is>
          <t>1</t>
        </is>
      </c>
      <c r="J1047">
        <f>((Inputs!$B$6*(1+Inputs!$B$7/100))+(((Inputs!$B$12*(1+Inputs!$B$13/100))-(Inputs!$B$12*(1+Inputs!$B$13/100)))+0.25*(Inputs!$B$14-Inputs!$B$14))*(1+Inputs!$B$7/100))*(F1047/100)</f>
        <v/>
      </c>
      <c r="K1047">
        <f>J1047*(1+((Inputs!$B$12*(1+Inputs!$B$13/100))*0.01+Inputs!$B$14*0.0025)/100)*(1+Inputs!$B$15/100)*(1+Inputs!$B$16/100)*(5000/(6000+Inputs!$B$43*(1-Inputs!$B$19/100)))*(1+(Inputs!$B$24+((C1064=TRUE)*(F1064-Calc!F30)))/100)*(1+(IF(Skills!A13="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1047)</f>
        <v/>
      </c>
      <c r="L1047">
        <f>K1047*(MIN(Inputs!$B$22+((C1058=TRUE)*(F1058-Calc!F24)),Inputs!$B$23+((C1063=TRUE)*(F1063-Calc!F29)))/100+(Inputs!$B$23+((C1063=TRUE)*(F1063-Calc!F29)))/100)/2</f>
        <v/>
      </c>
      <c r="M1047">
        <f>L1047*(1+(Inputs!$B$10+((C1060=TRUE)*(F1060-Calc!F26))+B1074)/100)</f>
        <v/>
      </c>
      <c r="N1047">
        <f>L1047*(1-MIN((Inputs!$B$9+((C1059=TRUE)*(F1059-Calc!F25))+B1067),100)/100)+M1047*(MIN((Inputs!$B$9+((C1059=TRUE)*(F1059-Calc!F25))+B1067),100)/100)</f>
        <v/>
      </c>
      <c r="O1047">
        <f>(1-Summary!$B$55)*T1047+Summary!$B$55*V1047</f>
        <v/>
      </c>
      <c r="P1047">
        <f>IF(B1079=0,0,O1047/B1079)</f>
        <v/>
      </c>
      <c r="Q1047">
        <f>IFERROR(1/IF(Inputs!$B$39="pvp",15,MAX(0.1,Skills!D13-IF(Skills!E13=TRUE,Inputs!$B$32,0))),0)</f>
        <v/>
      </c>
      <c r="R1047">
        <f>IF(AND(Inputs!$B$39&lt;&gt;"pvp",Inputs!$B$44&gt;0),IF(MAX(0,Inputs!$B$44-B1078)&lt;=0,0,(INT(MAX(0,Inputs!$B$44-B1078)/IF(Inputs!$B$39="pvp",15,MAX(0.1,Skills!D13-IF(Skills!E13=TRUE,Inputs!$B$32,0))))+1)),0)</f>
        <v/>
      </c>
      <c r="S1047">
        <f>IFERROR(O1047/N1047,0)</f>
        <v/>
      </c>
      <c r="T1047">
        <f>IF(C1047,(H1047*N1047*IF(AND(Inputs!$B$39&lt;&gt;"pvp",Inputs!$B$44&gt;0),((Skills!G13*((R1047-1)*IF(Skills!H13&gt;0,Skills!I13/Skills!H13,1)+IF(Skills!H13&gt;0,MIN(Skills!I13,MAX(0,MAX(0,Inputs!$B$44-B1078)-((R1047-1)*IF(Inputs!$B$39="pvp",15,MAX(0.1,Skills!D13-IF(Skills!E13=TRUE,Inputs!$B$32,0))))))/Skills!H13,1)))/Inputs!$B$44),G1047*Q1047))*IF(Inputs!$B$39="pvp",1,1+(Inputs!$B$20+0+Skills!P13+B1068)/100),0)</f>
        <v/>
      </c>
      <c r="V1047">
        <f>IF(C1047,(H1047*N1047*IF(AND(Inputs!$B$39&lt;&gt;"pvp",Inputs!$B$44&gt;0),((Skills!G13*((R1047-1)*IF(Skills!H13&gt;0,Skills!I13/Skills!H13,1)+IF(Skills!H13&gt;0,MIN(Skills!I13,MAX(0,MAX(0,Inputs!$B$44-B1078)-((R1047-1)*IF(Inputs!$B$39="pvp",15,MAX(0.1,Skills!D13-IF(Skills!E13=TRUE,Inputs!$B$32,0))))))/Skills!H13,1)))/Inputs!$B$44),G1047*Q1047))*IF(Inputs!$B$39="pvp",1,(1+(Inputs!$B$21+Skills!Q13+B1068)/100)*(MIN(Skills!W13,Inputs!$B$37))),0)</f>
        <v/>
      </c>
    </row>
    <row r="1048">
      <c r="A1048">
        <f>Skills!A14</f>
        <v/>
      </c>
      <c r="B1048">
        <f>Skills!B14</f>
        <v/>
      </c>
      <c r="C1048">
        <f>Inputs!$B$3&gt;=107</f>
        <v/>
      </c>
      <c r="D1048">
        <f>IF(Skills!C14=1,60+Inputs!$B$25+(Inputs!$B$29+1),IF(Skills!C14=2,90+Inputs!$B$26+(Inputs!$B$29+1),IF(Skills!C14=3,120+Inputs!$B$27+(Inputs!$B$29+1),MAX(0,(Inputs!$B$3-100)*3)+Inputs!$B$28+(Inputs!$B$29+1))))</f>
        <v/>
      </c>
      <c r="E1048">
        <f>INDEX(FactorTable!$B$2:$Y$301, MATCH(ROUND(MIN(300,MAX(1,D1048)),0), FactorTable!$A$2:$A$301,0), Skills!M14+1)</f>
        <v/>
      </c>
      <c r="F1048">
        <f>IF(Skills!N14=TRUE,(Skills!L14/10)*(E1048/1000),Skills!L14/10)+Skills!O14</f>
        <v/>
      </c>
      <c r="G1048">
        <f>Skills!G14*IF(Skills!H14&gt;0,Skills!I14/Skills!H14,1)</f>
        <v/>
      </c>
      <c r="H1048">
        <f>1-(1-Skills!J14/100)^Skills!K14</f>
        <v/>
      </c>
      <c r="I1048" t="inlineStr">
        <is>
          <t>1</t>
        </is>
      </c>
      <c r="J1048">
        <f>((Inputs!$B$6*(1+Inputs!$B$7/100))+(((Inputs!$B$12*(1+Inputs!$B$13/100))-(Inputs!$B$12*(1+Inputs!$B$13/100)))+0.25*(Inputs!$B$14-Inputs!$B$14))*(1+Inputs!$B$7/100))*(F1048/100)</f>
        <v/>
      </c>
      <c r="K1048">
        <f>J1048*(1+((Inputs!$B$12*(1+Inputs!$B$13/100))*0.01+Inputs!$B$14*0.0025)/100)*(1+Inputs!$B$15/100)*(1+Inputs!$B$16/100)*(5000/(6000+Inputs!$B$43*(1-Inputs!$B$19/100)))*(1+(Inputs!$B$24+((C1064=TRUE)*(F1064-Calc!F30)))/100)*(1+(IF(Skills!A14="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1048)</f>
        <v/>
      </c>
      <c r="L1048">
        <f>K1048*(MIN(Inputs!$B$22+((C1058=TRUE)*(F1058-Calc!F24)),Inputs!$B$23+((C1063=TRUE)*(F1063-Calc!F29)))/100+(Inputs!$B$23+((C1063=TRUE)*(F1063-Calc!F29)))/100)/2</f>
        <v/>
      </c>
      <c r="M1048">
        <f>L1048*(1+(Inputs!$B$10+((C1060=TRUE)*(F1060-Calc!F26))+B1074)/100)</f>
        <v/>
      </c>
      <c r="N1048">
        <f>L1048*(1-MIN((Inputs!$B$9+((C1059=TRUE)*(F1059-Calc!F25))+B1067),100)/100)+M1048*(MIN((Inputs!$B$9+((C1059=TRUE)*(F1059-Calc!F25))+B1067),100)/100)</f>
        <v/>
      </c>
      <c r="O1048">
        <f>(1-Summary!$B$55)*T1048+Summary!$B$55*V1048</f>
        <v/>
      </c>
      <c r="P1048">
        <f>IF(B1079=0,0,O1048/B1079)</f>
        <v/>
      </c>
      <c r="Q1048">
        <f>IFERROR(1/IF(Inputs!$B$39="pvp",15,MAX(0.1,Skills!D14-IF(Skills!E14=TRUE,Inputs!$B$32,0))),0)</f>
        <v/>
      </c>
      <c r="R1048">
        <f>IF(AND(Inputs!$B$39&lt;&gt;"pvp",Inputs!$B$44&gt;0),IF(MAX(0,Inputs!$B$44-B1078)&lt;=0,0,(INT(MAX(0,Inputs!$B$44-B1078)/IF(Inputs!$B$39="pvp",15,MAX(0.1,Skills!D14-IF(Skills!E14=TRUE,Inputs!$B$32,0))))+1)),0)</f>
        <v/>
      </c>
      <c r="S1048">
        <f>IFERROR(O1048/N1048,0)</f>
        <v/>
      </c>
      <c r="T1048">
        <f>IF(C1048,(H1048*N1048*IF(AND(Inputs!$B$39&lt;&gt;"pvp",Inputs!$B$44&gt;0),((Skills!G14*((R1048-1)*IF(Skills!H14&gt;0,Skills!I14/Skills!H14,1)+IF(Skills!H14&gt;0,MIN(Skills!I14,MAX(0,MAX(0,Inputs!$B$44-B1078)-((R1048-1)*IF(Inputs!$B$39="pvp",15,MAX(0.1,Skills!D14-IF(Skills!E14=TRUE,Inputs!$B$32,0))))))/Skills!H14,1)))/Inputs!$B$44),G1048*Q1048))*IF(Inputs!$B$39="pvp",1,1+(Inputs!$B$20+0+Skills!P14+B1068)/100),0)</f>
        <v/>
      </c>
      <c r="V1048">
        <f>IF(C1048,(H1048*N1048*IF(AND(Inputs!$B$39&lt;&gt;"pvp",Inputs!$B$44&gt;0),((Skills!G14*((R1048-1)*IF(Skills!H14&gt;0,Skills!I14/Skills!H14,1)+IF(Skills!H14&gt;0,MIN(Skills!I14,MAX(0,MAX(0,Inputs!$B$44-B1078)-((R1048-1)*IF(Inputs!$B$39="pvp",15,MAX(0.1,Skills!D14-IF(Skills!E14=TRUE,Inputs!$B$32,0))))))/Skills!H14,1)))/Inputs!$B$44),G1048*Q1048))*IF(Inputs!$B$39="pvp",1,(1+(Inputs!$B$21+Skills!Q14+B1068)/100)*(MIN(MIN(5,0.25*B1071*Skills!D4)*Skills!V14,Inputs!$B$37))),0)</f>
        <v/>
      </c>
    </row>
    <row r="1049">
      <c r="A1049">
        <f>Skills!A15</f>
        <v/>
      </c>
      <c r="B1049">
        <f>Skills!B15</f>
        <v/>
      </c>
      <c r="C1049">
        <f>Inputs!$B$3&gt;=110</f>
        <v/>
      </c>
      <c r="D1049">
        <f>IF(Skills!C15=1,60+Inputs!$B$25+(Inputs!$B$29+1),IF(Skills!C15=2,90+Inputs!$B$26+(Inputs!$B$29+1),IF(Skills!C15=3,120+Inputs!$B$27+(Inputs!$B$29+1),MAX(0,(Inputs!$B$3-100)*3)+Inputs!$B$28+(Inputs!$B$29+1))))</f>
        <v/>
      </c>
      <c r="E1049">
        <f>INDEX(FactorTable!$B$2:$Y$301, MATCH(ROUND(MIN(300,MAX(1,D1049)),0), FactorTable!$A$2:$A$301,0), Skills!M15+1)</f>
        <v/>
      </c>
      <c r="F1049">
        <f>IF(Skills!N15=TRUE,(Skills!L15/10)*(E1049/1000),Skills!L15/10)+Skills!O15</f>
        <v/>
      </c>
      <c r="G1049">
        <f>Skills!G15*IF(Skills!H15&gt;0,Skills!I15/Skills!H15,1)</f>
        <v/>
      </c>
      <c r="H1049">
        <f>1-(1-Skills!J15/100)^Skills!K15</f>
        <v/>
      </c>
      <c r="I1049" t="inlineStr">
        <is>
          <t>1</t>
        </is>
      </c>
      <c r="J1049" t="inlineStr"/>
      <c r="K1049" t="inlineStr"/>
      <c r="L1049" t="inlineStr"/>
      <c r="M1049" t="inlineStr"/>
      <c r="N1049" t="inlineStr"/>
      <c r="O1049">
        <f>(1-Summary!$B$55)*T1049+Summary!$B$55*V1049</f>
        <v/>
      </c>
      <c r="P1049">
        <f>IF(B1079=0,0,O1049/B1079)</f>
        <v/>
      </c>
      <c r="Q1049">
        <f>IFERROR(1/IF(Inputs!$B$39="pvp",15,MAX(0.1,Skills!D15-IF(Skills!E15=TRUE,Inputs!$B$32,0))),0)</f>
        <v/>
      </c>
      <c r="R1049">
        <f>IF(AND(Inputs!$B$39&lt;&gt;"pvp",Inputs!$B$44&gt;0),IF(Inputs!$B$44&lt;=0,0,(INT(Inputs!$B$44/IF(Inputs!$B$39="pvp",15,MAX(0.1,Skills!D15-IF(Skills!E15=TRUE,Inputs!$B$32,0))))+1)),0)</f>
        <v/>
      </c>
      <c r="S1049">
        <f>IFERROR(O1049/N1049,0)</f>
        <v/>
      </c>
      <c r="T1049" t="n">
        <v>0</v>
      </c>
      <c r="V1049" t="n">
        <v>0</v>
      </c>
    </row>
    <row r="1050">
      <c r="A1050">
        <f>Skills!A16</f>
        <v/>
      </c>
      <c r="B1050">
        <f>Skills!B16</f>
        <v/>
      </c>
      <c r="C1050">
        <f>Inputs!$B$3&gt;=115</f>
        <v/>
      </c>
      <c r="D1050">
        <f>IF(Skills!C16=1,60+Inputs!$B$25+(Inputs!$B$29+1),IF(Skills!C16=2,90+Inputs!$B$26+(Inputs!$B$29+1),IF(Skills!C16=3,120+Inputs!$B$27+(Inputs!$B$29+1),MAX(0,(Inputs!$B$3-100)*3)+Inputs!$B$28+(Inputs!$B$29+1))))</f>
        <v/>
      </c>
      <c r="E1050">
        <f>INDEX(FactorTable!$B$2:$Y$301, MATCH(ROUND(MIN(300,MAX(1,D1050)),0), FactorTable!$A$2:$A$301,0), Skills!M16+1)</f>
        <v/>
      </c>
      <c r="F1050">
        <f>IF(Skills!N16=TRUE,(Skills!L16/10)*(E1050/1000),Skills!L16/10)+Skills!O16</f>
        <v/>
      </c>
      <c r="G1050">
        <f>Skills!G16*IF(Skills!H16&gt;0,Skills!I16/Skills!H16,1)</f>
        <v/>
      </c>
      <c r="H1050">
        <f>1-(1-Skills!J16/100)^Skills!K16</f>
        <v/>
      </c>
      <c r="I1050" t="inlineStr">
        <is>
          <t>1</t>
        </is>
      </c>
      <c r="J1050">
        <f>((Inputs!$B$6*(1+Inputs!$B$7/100))+(((Inputs!$B$12*(1+Inputs!$B$13/100))-(Inputs!$B$12*(1+Inputs!$B$13/100)))+0.25*(Inputs!$B$14-Inputs!$B$14))*(1+Inputs!$B$7/100))*(F1050/100)</f>
        <v/>
      </c>
      <c r="K1050">
        <f>J1050*(1+((Inputs!$B$12*(1+Inputs!$B$13/100))*0.01+Inputs!$B$14*0.0025)/100)*(1+Inputs!$B$15/100)*(1+Inputs!$B$16/100)*(5000/(6000+Inputs!$B$43*(1-Inputs!$B$19/100)))*(1+(Inputs!$B$24+((C1064=TRUE)*(F1064-Calc!F30)))/100)*(1+(IF(Skills!A16="CRUEL_STAB",Inputs!$B$17+((C1061=TRUE)*(F1061-Calc!F27)),Inputs!$B$18+((C1062=TRUE)*(F1062-Calc!F28))))/100)*(((1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B1069*I1050)</f>
        <v/>
      </c>
      <c r="L1050">
        <f>K1050*(MIN(Inputs!$B$22+((C1058=TRUE)*(F1058-Calc!F24)),Inputs!$B$23+((C1063=TRUE)*(F1063-Calc!F29)))/100+(Inputs!$B$23+((C1063=TRUE)*(F1063-Calc!F29)))/100)/2</f>
        <v/>
      </c>
      <c r="M1050">
        <f>L1050*(1+(Inputs!$B$10+((C1060=TRUE)*(F1060-Calc!F26))+B1074)/100)</f>
        <v/>
      </c>
      <c r="N1050">
        <f>L1050*(1-MIN((Inputs!$B$9+((C1059=TRUE)*(F1059-Calc!F25))+B1067),100)/100)+M1050*(MIN((Inputs!$B$9+((C1059=TRUE)*(F1059-Calc!F25))+B1067),100)/100)</f>
        <v/>
      </c>
      <c r="O1050">
        <f>(1-Summary!$B$55)*T1050+Summary!$B$55*V1050</f>
        <v/>
      </c>
      <c r="P1050">
        <f>IF(B1079=0,0,O1050/B1079)</f>
        <v/>
      </c>
      <c r="Q1050" t="n">
        <v>0</v>
      </c>
      <c r="R1050" t="n">
        <v>0</v>
      </c>
      <c r="S1050">
        <f>IFERROR(O1050/N1050,0)</f>
        <v/>
      </c>
      <c r="T1050">
        <f>IF(C1050,(Inputs!$B$38*0.2*N1050)*IF(Inputs!$B$39="pvp",1,1+(Inputs!$B$20+0+Skills!P16+B1068)/100),0)</f>
        <v/>
      </c>
      <c r="V1050">
        <f>IF(C1050,(Inputs!$B$38*0.2*N1050)*IF(Inputs!$B$39="pvp",1,(1+(Inputs!$B$21+Skills!Q16+B1068)/100)*(MIN(Skills!W16,Inputs!$B$37))),0)</f>
        <v/>
      </c>
    </row>
    <row r="1051">
      <c r="A1051">
        <f>Skills!A17</f>
        <v/>
      </c>
      <c r="B1051">
        <f>Skills!B17</f>
        <v/>
      </c>
      <c r="C1051">
        <f>Inputs!$B$3&gt;=115</f>
        <v/>
      </c>
      <c r="D1051">
        <f>IF(Skills!C17=1,60+Inputs!$B$25+(Inputs!$B$29+1),IF(Skills!C17=2,90+Inputs!$B$26+(Inputs!$B$29+1),IF(Skills!C17=3,120+Inputs!$B$27+(Inputs!$B$29+1),MAX(0,(Inputs!$B$3-100)*3)+Inputs!$B$28+(Inputs!$B$29+1))))</f>
        <v/>
      </c>
      <c r="E1051">
        <f>INDEX(FactorTable!$B$2:$Y$301, MATCH(ROUND(MIN(300,MAX(1,D1051)),0), FactorTable!$A$2:$A$301,0), Skills!M17+1)</f>
        <v/>
      </c>
      <c r="F1051">
        <f>IF(Skills!N17=TRUE,(Skills!L17/10)*(E1051/1000),Skills!L17/10)+Skills!O17</f>
        <v/>
      </c>
      <c r="G1051">
        <f>Skills!G17*IF(Skills!H17&gt;0,Skills!I17/Skills!H17,1)</f>
        <v/>
      </c>
      <c r="H1051">
        <f>1-(1-Skills!J17/100)^Skills!K17</f>
        <v/>
      </c>
      <c r="I1051" t="inlineStr">
        <is>
          <t>1</t>
        </is>
      </c>
      <c r="J1051" t="inlineStr"/>
      <c r="K1051" t="inlineStr"/>
      <c r="L1051" t="inlineStr"/>
      <c r="M1051" t="inlineStr"/>
      <c r="N1051" t="inlineStr"/>
      <c r="O1051">
        <f>(1-Summary!$B$55)*T1051+Summary!$B$55*V1051</f>
        <v/>
      </c>
      <c r="P1051">
        <f>IF(B1079=0,0,O1051/B1079)</f>
        <v/>
      </c>
      <c r="Q1051" t="n">
        <v>0</v>
      </c>
      <c r="R1051" t="n">
        <v>0</v>
      </c>
      <c r="S1051">
        <f>IFERROR(O1051/N1051,0)</f>
        <v/>
      </c>
      <c r="T1051" t="n">
        <v>0</v>
      </c>
      <c r="V1051" t="n">
        <v>0</v>
      </c>
    </row>
    <row r="1052">
      <c r="A1052">
        <f>Skills!A18</f>
        <v/>
      </c>
      <c r="B1052">
        <f>Skills!B18</f>
        <v/>
      </c>
      <c r="C1052">
        <f>Inputs!$B$3&gt;=100</f>
        <v/>
      </c>
      <c r="D1052">
        <f>IF(Skills!C18=1,60+Inputs!$B$25+(Inputs!$B$29+1),IF(Skills!C18=2,90+Inputs!$B$26+(Inputs!$B$29+1),IF(Skills!C18=3,120+Inputs!$B$27+(Inputs!$B$29+1),MAX(0,(Inputs!$B$3-100)*3)+Inputs!$B$28+(Inputs!$B$29+1))))</f>
        <v/>
      </c>
      <c r="E1052">
        <f>INDEX(FactorTable!$B$2:$Y$301, MATCH(ROUND(MIN(300,MAX(1,D1052)),0), FactorTable!$A$2:$A$301,0), Skills!M18+1)</f>
        <v/>
      </c>
      <c r="F1052">
        <f>IF(Skills!N18=TRUE,(Skills!L18/10)*(E1052/1000),Skills!L18/10)+Skills!O18</f>
        <v/>
      </c>
      <c r="G1052">
        <f>Skills!G18*IF(Skills!H18&gt;0,Skills!I18/Skills!H18,1)</f>
        <v/>
      </c>
      <c r="H1052">
        <f>1-(1-Skills!J18/100)^Skills!K18</f>
        <v/>
      </c>
      <c r="I1052" t="inlineStr">
        <is>
          <t>1</t>
        </is>
      </c>
      <c r="J1052" t="inlineStr"/>
      <c r="K1052" t="inlineStr"/>
      <c r="L1052" t="inlineStr"/>
      <c r="M1052" t="inlineStr"/>
      <c r="N1052" t="inlineStr"/>
      <c r="O1052">
        <f>(1-Summary!$B$55)*T1052+Summary!$B$55*V1052</f>
        <v/>
      </c>
      <c r="P1052">
        <f>IF(B1079=0,0,O1052/B1079)</f>
        <v/>
      </c>
      <c r="Q1052" t="n">
        <v>0</v>
      </c>
      <c r="R1052" t="n">
        <v>0</v>
      </c>
      <c r="S1052">
        <f>IFERROR(O1052/N1052,0)</f>
        <v/>
      </c>
      <c r="T1052" t="n">
        <v>0</v>
      </c>
      <c r="V1052" t="n">
        <v>0</v>
      </c>
    </row>
    <row r="1053">
      <c r="A1053">
        <f>Skills!A19</f>
        <v/>
      </c>
      <c r="B1053">
        <f>Skills!B19</f>
        <v/>
      </c>
      <c r="C1053">
        <f>TRUE</f>
        <v/>
      </c>
      <c r="D1053">
        <f>IF(Skills!C19=1,60+Inputs!$B$25+(Inputs!$B$29+1),IF(Skills!C19=2,90+Inputs!$B$26+(Inputs!$B$29+1),IF(Skills!C19=3,120+Inputs!$B$27+(Inputs!$B$29+1),MAX(0,(Inputs!$B$3-100)*3)+Inputs!$B$28+(Inputs!$B$29+1))))</f>
        <v/>
      </c>
      <c r="E1053">
        <f>INDEX(FactorTable!$B$2:$Y$301, MATCH(ROUND(MIN(300,MAX(1,D1053)),0), FactorTable!$A$2:$A$301,0), Skills!M19+1)</f>
        <v/>
      </c>
      <c r="F1053">
        <f>IF(Skills!N19=TRUE,(Skills!L19/10)*(E1053/1000),Skills!L19/10)+Skills!O19</f>
        <v/>
      </c>
      <c r="G1053">
        <f>Skills!G19*IF(Skills!H19&gt;0,Skills!I19/Skills!H19,1)</f>
        <v/>
      </c>
      <c r="H1053">
        <f>1-(1-Skills!J19/100)^Skills!K19</f>
        <v/>
      </c>
      <c r="I1053" t="inlineStr">
        <is>
          <t>1</t>
        </is>
      </c>
      <c r="J1053" t="inlineStr"/>
      <c r="K1053" t="inlineStr"/>
      <c r="L1053" t="inlineStr"/>
      <c r="M1053" t="inlineStr"/>
      <c r="N1053" t="inlineStr"/>
      <c r="O1053">
        <f>(1-Summary!$B$55)*T1053+Summary!$B$55*V1053</f>
        <v/>
      </c>
      <c r="P1053">
        <f>IF(B1079=0,0,O1053/B1079)</f>
        <v/>
      </c>
      <c r="Q1053">
        <f>IFERROR(1/IF(Inputs!$B$39="pvp",15,MAX(0.1,Skills!D19-IF(Skills!E19=TRUE,Inputs!$B$32,0))),0)</f>
        <v/>
      </c>
      <c r="R1053">
        <f>IF(AND(Inputs!$B$39&lt;&gt;"pvp",Inputs!$B$44&gt;0),IF(Inputs!$B$44&lt;=0,0,(INT(Inputs!$B$44/IF(Inputs!$B$39="pvp",15,MAX(0.1,Skills!D19-IF(Skills!E19=TRUE,Inputs!$B$32,0))))+1)),0)</f>
        <v/>
      </c>
      <c r="S1053">
        <f>IFERROR(O1053/N1053,0)</f>
        <v/>
      </c>
      <c r="T1053" t="n">
        <v>0</v>
      </c>
      <c r="V1053" t="n">
        <v>0</v>
      </c>
    </row>
    <row r="1054">
      <c r="A1054">
        <f>Skills!A20</f>
        <v/>
      </c>
      <c r="B1054">
        <f>Skills!B20</f>
        <v/>
      </c>
      <c r="C1054">
        <f>Inputs!$B$3&gt;=15</f>
        <v/>
      </c>
      <c r="D1054">
        <f>IF(Skills!C20=1,60+Inputs!$B$25+(Inputs!$B$29+1),IF(Skills!C20=2,90+Inputs!$B$26+(Inputs!$B$29+1),IF(Skills!C20=3,120+Inputs!$B$27+(Inputs!$B$29+1),MAX(0,(Inputs!$B$3-100)*3)+Inputs!$B$28+(Inputs!$B$29+1))))</f>
        <v/>
      </c>
      <c r="E1054">
        <f>INDEX(FactorTable!$B$2:$Y$301, MATCH(ROUND(MIN(300,MAX(1,D1054)),0), FactorTable!$A$2:$A$301,0), Skills!M20+1)</f>
        <v/>
      </c>
      <c r="F1054">
        <f>IF(Skills!N20=TRUE,(Skills!L20/10)*(E1054/1000),Skills!L20/10)+Skills!O20</f>
        <v/>
      </c>
      <c r="G1054">
        <f>Skills!G20*IF(Skills!H20&gt;0,Skills!I20/Skills!H20,1)</f>
        <v/>
      </c>
      <c r="H1054">
        <f>1-(1-Skills!J20/100)^Skills!K20</f>
        <v/>
      </c>
      <c r="I1054" t="inlineStr">
        <is>
          <t>1</t>
        </is>
      </c>
      <c r="J1054" t="inlineStr"/>
      <c r="K1054" t="inlineStr"/>
      <c r="L1054" t="inlineStr"/>
      <c r="M1054" t="inlineStr"/>
      <c r="N1054" t="inlineStr"/>
      <c r="O1054">
        <f>(1-Summary!$B$55)*T1054+Summary!$B$55*V1054</f>
        <v/>
      </c>
      <c r="P1054">
        <f>IF(B1079=0,0,O1054/B1079)</f>
        <v/>
      </c>
      <c r="Q1054">
        <f>IFERROR(1/IF(Inputs!$B$39="pvp",15,MAX(0.1,Skills!D20-IF(Skills!E20=TRUE,Inputs!$B$32,0))),0)</f>
        <v/>
      </c>
      <c r="R1054">
        <f>IF(AND(Inputs!$B$39&lt;&gt;"pvp",Inputs!$B$44&gt;0),IF(Inputs!$B$44&lt;=0,0,(INT(Inputs!$B$44/IF(Inputs!$B$39="pvp",15,MAX(0.1,Skills!D20-IF(Skills!E20=TRUE,Inputs!$B$32,0))))+1)),0)</f>
        <v/>
      </c>
      <c r="S1054">
        <f>IFERROR(O1054/N1054,0)</f>
        <v/>
      </c>
      <c r="T1054" t="n">
        <v>0</v>
      </c>
      <c r="V1054" t="n">
        <v>0</v>
      </c>
    </row>
    <row r="1055">
      <c r="A1055">
        <f>Skills!A21</f>
        <v/>
      </c>
      <c r="B1055">
        <f>Skills!B21</f>
        <v/>
      </c>
      <c r="C1055">
        <f>Inputs!$B$3&gt;=15</f>
        <v/>
      </c>
      <c r="D1055">
        <f>IF(Skills!C21=1,60+Inputs!$B$25+(Inputs!$B$29+1),IF(Skills!C21=2,90+Inputs!$B$26+(Inputs!$B$29+1),IF(Skills!C21=3,120+Inputs!$B$27+(Inputs!$B$29+1),MAX(0,(Inputs!$B$3-100)*3)+Inputs!$B$28+(Inputs!$B$29+1))))</f>
        <v/>
      </c>
      <c r="E1055">
        <f>INDEX(FactorTable!$B$2:$Y$301, MATCH(ROUND(MIN(300,MAX(1,D1055)),0), FactorTable!$A$2:$A$301,0), Skills!M21+1)</f>
        <v/>
      </c>
      <c r="F1055">
        <f>IF(Skills!N21=TRUE,(Skills!L21/10)*(E1055/1000),Skills!L21/10)+Skills!O21</f>
        <v/>
      </c>
      <c r="G1055">
        <f>Skills!G21*IF(Skills!H21&gt;0,Skills!I21/Skills!H21,1)</f>
        <v/>
      </c>
      <c r="H1055">
        <f>1-(1-Skills!J21/100)^Skills!K21</f>
        <v/>
      </c>
      <c r="I1055" t="inlineStr">
        <is>
          <t>1</t>
        </is>
      </c>
      <c r="J1055" t="inlineStr"/>
      <c r="K1055" t="inlineStr"/>
      <c r="L1055" t="inlineStr"/>
      <c r="M1055" t="inlineStr"/>
      <c r="N1055" t="inlineStr"/>
      <c r="O1055">
        <f>(1-Summary!$B$55)*T1055+Summary!$B$55*V1055</f>
        <v/>
      </c>
      <c r="P1055">
        <f>IF(B1079=0,0,O1055/B1079)</f>
        <v/>
      </c>
      <c r="Q1055">
        <f>IFERROR(1/IF(Inputs!$B$39="pvp",15,MAX(0.1,Skills!D21-IF(Skills!E21=TRUE,Inputs!$B$32,0))),0)</f>
        <v/>
      </c>
      <c r="R1055">
        <f>IF(AND(Inputs!$B$39&lt;&gt;"pvp",Inputs!$B$44&gt;0),IF(Inputs!$B$44&lt;=0,0,(INT(Inputs!$B$44/IF(Inputs!$B$39="pvp",15,MAX(0.1,Skills!D21-IF(Skills!E21=TRUE,Inputs!$B$32,0))))+1)),0)</f>
        <v/>
      </c>
      <c r="S1055">
        <f>IFERROR(O1055/N1055,0)</f>
        <v/>
      </c>
      <c r="T1055" t="n">
        <v>0</v>
      </c>
      <c r="V1055" t="n">
        <v>0</v>
      </c>
    </row>
    <row r="1056">
      <c r="A1056">
        <f>Skills!A22</f>
        <v/>
      </c>
      <c r="B1056">
        <f>Skills!B22</f>
        <v/>
      </c>
      <c r="C1056">
        <f>Inputs!$B$3&gt;=33</f>
        <v/>
      </c>
      <c r="D1056">
        <f>IF(Skills!C22=1,60+Inputs!$B$25+(Inputs!$B$29+1),IF(Skills!C22=2,90+Inputs!$B$26+(Inputs!$B$29+1),IF(Skills!C22=3,120+Inputs!$B$27+(Inputs!$B$29+1),MAX(0,(Inputs!$B$3-100)*3)+Inputs!$B$28+(Inputs!$B$29+1))))</f>
        <v/>
      </c>
      <c r="E1056">
        <f>INDEX(FactorTable!$B$2:$Y$301, MATCH(ROUND(MIN(300,MAX(1,D1056)),0), FactorTable!$A$2:$A$301,0), Skills!M22+1)</f>
        <v/>
      </c>
      <c r="F1056">
        <f>IF(Skills!N22=TRUE,(Skills!L22/10)*(E1056/1000),Skills!L22/10)+Skills!O22</f>
        <v/>
      </c>
      <c r="G1056">
        <f>Skills!G22*IF(Skills!H22&gt;0,Skills!I22/Skills!H22,1)</f>
        <v/>
      </c>
      <c r="H1056">
        <f>1-(1-Skills!J22/100)^Skills!K22</f>
        <v/>
      </c>
      <c r="I1056" t="inlineStr">
        <is>
          <t>1</t>
        </is>
      </c>
      <c r="J1056" t="inlineStr"/>
      <c r="K1056" t="inlineStr"/>
      <c r="L1056" t="inlineStr"/>
      <c r="M1056" t="inlineStr"/>
      <c r="N1056" t="inlineStr"/>
      <c r="O1056">
        <f>(1-Summary!$B$55)*T1056+Summary!$B$55*V1056</f>
        <v/>
      </c>
      <c r="P1056">
        <f>IF(B1079=0,0,O1056/B1079)</f>
        <v/>
      </c>
      <c r="Q1056" t="n">
        <v>0</v>
      </c>
      <c r="R1056" t="n">
        <v>0</v>
      </c>
      <c r="S1056">
        <f>IFERROR(O1056/N1056,0)</f>
        <v/>
      </c>
      <c r="T1056" t="n">
        <v>0</v>
      </c>
      <c r="V1056" t="n">
        <v>0</v>
      </c>
    </row>
    <row r="1057">
      <c r="A1057">
        <f>Skills!A23</f>
        <v/>
      </c>
      <c r="B1057">
        <f>Skills!B23</f>
        <v/>
      </c>
      <c r="C1057">
        <f>Inputs!$B$3&gt;=40</f>
        <v/>
      </c>
      <c r="D1057">
        <f>IF(Skills!C23=1,60+Inputs!$B$25+(Inputs!$B$29+1),IF(Skills!C23=2,90+Inputs!$B$26+(Inputs!$B$29+1),IF(Skills!C23=3,120+Inputs!$B$27+(Inputs!$B$29+1),MAX(0,(Inputs!$B$3-100)*3)+Inputs!$B$28+(Inputs!$B$29+1))))</f>
        <v/>
      </c>
      <c r="E1057">
        <f>INDEX(FactorTable!$B$2:$Y$301, MATCH(ROUND(MIN(300,MAX(1,D1057)),0), FactorTable!$A$2:$A$301,0), Skills!M23+1)</f>
        <v/>
      </c>
      <c r="F1057">
        <f>IF(Skills!N23=TRUE,(Skills!L23/10)*(E1057/1000),Skills!L23/10)+Skills!O23</f>
        <v/>
      </c>
      <c r="G1057">
        <f>Skills!G23*IF(Skills!H23&gt;0,Skills!I23/Skills!H23,1)</f>
        <v/>
      </c>
      <c r="H1057">
        <f>1-(1-Skills!J23/100)^Skills!K23</f>
        <v/>
      </c>
      <c r="I1057" t="inlineStr">
        <is>
          <t>1</t>
        </is>
      </c>
      <c r="J1057" t="inlineStr"/>
      <c r="K1057" t="inlineStr"/>
      <c r="L1057" t="inlineStr"/>
      <c r="M1057" t="inlineStr"/>
      <c r="N1057" t="inlineStr"/>
      <c r="O1057">
        <f>(1-Summary!$B$55)*T1057+Summary!$B$55*V1057</f>
        <v/>
      </c>
      <c r="P1057">
        <f>IF(B1079=0,0,O1057/B1079)</f>
        <v/>
      </c>
      <c r="Q1057" t="n">
        <v>0</v>
      </c>
      <c r="R1057" t="n">
        <v>0</v>
      </c>
      <c r="S1057">
        <f>IFERROR(O1057/N1057,0)</f>
        <v/>
      </c>
      <c r="T1057" t="n">
        <v>0</v>
      </c>
      <c r="V1057" t="n">
        <v>0</v>
      </c>
    </row>
    <row r="1058">
      <c r="A1058">
        <f>Skills!A24</f>
        <v/>
      </c>
      <c r="B1058">
        <f>Skills!B24</f>
        <v/>
      </c>
      <c r="C1058">
        <f>Inputs!$B$3&gt;=43</f>
        <v/>
      </c>
      <c r="D1058">
        <f>IF(Skills!C24=1,60+Inputs!$B$25+(Inputs!$B$29+1),IF(Skills!C24=2,90+Inputs!$B$26+(Inputs!$B$29+1),IF(Skills!C24=3,120+Inputs!$B$27+(Inputs!$B$29+1),MAX(0,(Inputs!$B$3-100)*3)+Inputs!$B$28+(Inputs!$B$29+1))))</f>
        <v/>
      </c>
      <c r="E1058">
        <f>INDEX(FactorTable!$B$2:$Y$301, MATCH(ROUND(MIN(300,MAX(1,D1058)),0), FactorTable!$A$2:$A$301,0), Skills!M24+1)</f>
        <v/>
      </c>
      <c r="F1058">
        <f>IF(Skills!N24=TRUE,(Skills!L24/10)*(E1058/1000),Skills!L24/10)+Skills!O24</f>
        <v/>
      </c>
      <c r="G1058">
        <f>Skills!G24*IF(Skills!H24&gt;0,Skills!I24/Skills!H24,1)</f>
        <v/>
      </c>
      <c r="H1058">
        <f>1-(1-Skills!J24/100)^Skills!K24</f>
        <v/>
      </c>
      <c r="I1058" t="inlineStr">
        <is>
          <t>1</t>
        </is>
      </c>
      <c r="J1058" t="inlineStr"/>
      <c r="K1058" t="inlineStr"/>
      <c r="L1058" t="inlineStr"/>
      <c r="M1058" t="inlineStr"/>
      <c r="N1058" t="inlineStr"/>
      <c r="O1058">
        <f>(1-Summary!$B$55)*T1058+Summary!$B$55*V1058</f>
        <v/>
      </c>
      <c r="P1058">
        <f>IF(B1079=0,0,O1058/B1079)</f>
        <v/>
      </c>
      <c r="Q1058" t="n">
        <v>0</v>
      </c>
      <c r="R1058" t="n">
        <v>0</v>
      </c>
      <c r="S1058">
        <f>IFERROR(O1058/N1058,0)</f>
        <v/>
      </c>
      <c r="T1058" t="n">
        <v>0</v>
      </c>
      <c r="V1058" t="n">
        <v>0</v>
      </c>
    </row>
    <row r="1059">
      <c r="A1059">
        <f>Skills!A25</f>
        <v/>
      </c>
      <c r="B1059">
        <f>Skills!B25</f>
        <v/>
      </c>
      <c r="C1059">
        <f>Inputs!$B$3&gt;=50</f>
        <v/>
      </c>
      <c r="D1059">
        <f>IF(Skills!C25=1,60+Inputs!$B$25+(Inputs!$B$29+1),IF(Skills!C25=2,90+Inputs!$B$26+(Inputs!$B$29+1),IF(Skills!C25=3,120+Inputs!$B$27+(Inputs!$B$29+1),MAX(0,(Inputs!$B$3-100)*3)+Inputs!$B$28+(Inputs!$B$29+1))))</f>
        <v/>
      </c>
      <c r="E1059">
        <f>INDEX(FactorTable!$B$2:$Y$301, MATCH(ROUND(MIN(300,MAX(1,D1059)),0), FactorTable!$A$2:$A$301,0), Skills!M25+1)</f>
        <v/>
      </c>
      <c r="F1059">
        <f>IF(Skills!N25=TRUE,(Skills!L25/10)*(E1059/1000),Skills!L25/10)+Skills!O25</f>
        <v/>
      </c>
      <c r="G1059">
        <f>Skills!G25*IF(Skills!H25&gt;0,Skills!I25/Skills!H25,1)</f>
        <v/>
      </c>
      <c r="H1059">
        <f>1-(1-Skills!J25/100)^Skills!K25</f>
        <v/>
      </c>
      <c r="I1059" t="inlineStr">
        <is>
          <t>1</t>
        </is>
      </c>
      <c r="J1059" t="inlineStr"/>
      <c r="K1059" t="inlineStr"/>
      <c r="L1059" t="inlineStr"/>
      <c r="M1059" t="inlineStr"/>
      <c r="N1059" t="inlineStr"/>
      <c r="O1059">
        <f>(1-Summary!$B$55)*T1059+Summary!$B$55*V1059</f>
        <v/>
      </c>
      <c r="P1059">
        <f>IF(B1079=0,0,O1059/B1079)</f>
        <v/>
      </c>
      <c r="Q1059" t="n">
        <v>0</v>
      </c>
      <c r="R1059" t="n">
        <v>0</v>
      </c>
      <c r="S1059">
        <f>IFERROR(O1059/N1059,0)</f>
        <v/>
      </c>
      <c r="T1059" t="n">
        <v>0</v>
      </c>
      <c r="V1059" t="n">
        <v>0</v>
      </c>
    </row>
    <row r="1060">
      <c r="A1060">
        <f>Skills!A26</f>
        <v/>
      </c>
      <c r="B1060">
        <f>Skills!B26</f>
        <v/>
      </c>
      <c r="C1060">
        <f>Inputs!$B$3&gt;=50</f>
        <v/>
      </c>
      <c r="D1060">
        <f>IF(Skills!C26=1,60+Inputs!$B$25+(Inputs!$B$29+1),IF(Skills!C26=2,90+Inputs!$B$26+(Inputs!$B$29+1),IF(Skills!C26=3,120+Inputs!$B$27+(Inputs!$B$29+1),MAX(0,(Inputs!$B$3-100)*3)+Inputs!$B$28+(Inputs!$B$29+1))))</f>
        <v/>
      </c>
      <c r="E1060">
        <f>INDEX(FactorTable!$B$2:$Y$301, MATCH(ROUND(MIN(300,MAX(1,D1060)),0), FactorTable!$A$2:$A$301,0), Skills!M26+1)</f>
        <v/>
      </c>
      <c r="F1060">
        <f>IF(Skills!N26=TRUE,(Skills!L26/10)*(E1060/1000),Skills!L26/10)+Skills!O26</f>
        <v/>
      </c>
      <c r="G1060">
        <f>Skills!G26*IF(Skills!H26&gt;0,Skills!I26/Skills!H26,1)</f>
        <v/>
      </c>
      <c r="H1060">
        <f>1-(1-Skills!J26/100)^Skills!K26</f>
        <v/>
      </c>
      <c r="I1060" t="inlineStr">
        <is>
          <t>1</t>
        </is>
      </c>
      <c r="J1060" t="inlineStr"/>
      <c r="K1060" t="inlineStr"/>
      <c r="L1060" t="inlineStr"/>
      <c r="M1060" t="inlineStr"/>
      <c r="N1060" t="inlineStr"/>
      <c r="O1060">
        <f>(1-Summary!$B$55)*T1060+Summary!$B$55*V1060</f>
        <v/>
      </c>
      <c r="P1060">
        <f>IF(B1079=0,0,O1060/B1079)</f>
        <v/>
      </c>
      <c r="Q1060" t="n">
        <v>0</v>
      </c>
      <c r="R1060" t="n">
        <v>0</v>
      </c>
      <c r="S1060">
        <f>IFERROR(O1060/N1060,0)</f>
        <v/>
      </c>
      <c r="T1060" t="n">
        <v>0</v>
      </c>
      <c r="V1060" t="n">
        <v>0</v>
      </c>
    </row>
    <row r="1061">
      <c r="A1061">
        <f>Skills!A27</f>
        <v/>
      </c>
      <c r="B1061">
        <f>Skills!B27</f>
        <v/>
      </c>
      <c r="C1061">
        <f>Inputs!$B$3&gt;=38</f>
        <v/>
      </c>
      <c r="D1061">
        <f>IF(Skills!C27=1,60+Inputs!$B$25+(Inputs!$B$29+1),IF(Skills!C27=2,90+Inputs!$B$26+(Inputs!$B$29+1),IF(Skills!C27=3,120+Inputs!$B$27+(Inputs!$B$29+1),MAX(0,(Inputs!$B$3-100)*3)+Inputs!$B$28+(Inputs!$B$29+1))))</f>
        <v/>
      </c>
      <c r="E1061">
        <f>INDEX(FactorTable!$B$2:$Y$301, MATCH(ROUND(MIN(300,MAX(1,D1061)),0), FactorTable!$A$2:$A$301,0), Skills!M27+1)</f>
        <v/>
      </c>
      <c r="F1061">
        <f>IF(Skills!N27=TRUE,(Skills!L27/10)*(E1061/1000),Skills!L27/10)+Skills!O27</f>
        <v/>
      </c>
      <c r="G1061">
        <f>Skills!G27*IF(Skills!H27&gt;0,Skills!I27/Skills!H27,1)</f>
        <v/>
      </c>
      <c r="H1061">
        <f>1-(1-Skills!J27/100)^Skills!K27</f>
        <v/>
      </c>
      <c r="I1061" t="inlineStr">
        <is>
          <t>1</t>
        </is>
      </c>
      <c r="J1061" t="inlineStr"/>
      <c r="K1061" t="inlineStr"/>
      <c r="L1061" t="inlineStr"/>
      <c r="M1061" t="inlineStr"/>
      <c r="N1061" t="inlineStr"/>
      <c r="O1061">
        <f>(1-Summary!$B$55)*T1061+Summary!$B$55*V1061</f>
        <v/>
      </c>
      <c r="P1061">
        <f>IF(B1079=0,0,O1061/B1079)</f>
        <v/>
      </c>
      <c r="Q1061" t="n">
        <v>0</v>
      </c>
      <c r="R1061" t="n">
        <v>0</v>
      </c>
      <c r="S1061">
        <f>IFERROR(O1061/N1061,0)</f>
        <v/>
      </c>
      <c r="T1061" t="n">
        <v>0</v>
      </c>
      <c r="V1061" t="n">
        <v>0</v>
      </c>
    </row>
    <row r="1062">
      <c r="A1062">
        <f>Skills!A28</f>
        <v/>
      </c>
      <c r="B1062">
        <f>Skills!B28</f>
        <v/>
      </c>
      <c r="C1062">
        <f>Inputs!$B$3&gt;=120</f>
        <v/>
      </c>
      <c r="D1062">
        <f>IF(Skills!C28=1,60+Inputs!$B$25+(Inputs!$B$29+1),IF(Skills!C28=2,90+Inputs!$B$26+(Inputs!$B$29+1),IF(Skills!C28=3,120+Inputs!$B$27+(Inputs!$B$29+1),MAX(0,(Inputs!$B$3-100)*3)+Inputs!$B$28+(Inputs!$B$29+1))))</f>
        <v/>
      </c>
      <c r="E1062">
        <f>INDEX(FactorTable!$B$2:$Y$301, MATCH(ROUND(MIN(300,MAX(1,D1062)),0), FactorTable!$A$2:$A$301,0), Skills!M28+1)</f>
        <v/>
      </c>
      <c r="F1062">
        <f>IF(Skills!N28=TRUE,(Skills!L28/10)*(E1062/1000),Skills!L28/10)+Skills!O28</f>
        <v/>
      </c>
      <c r="G1062">
        <f>Skills!G28*IF(Skills!H28&gt;0,Skills!I28/Skills!H28,1)</f>
        <v/>
      </c>
      <c r="H1062">
        <f>1-(1-Skills!J28/100)^Skills!K28</f>
        <v/>
      </c>
      <c r="I1062" t="inlineStr">
        <is>
          <t>1</t>
        </is>
      </c>
      <c r="J1062" t="inlineStr"/>
      <c r="K1062" t="inlineStr"/>
      <c r="L1062" t="inlineStr"/>
      <c r="M1062" t="inlineStr"/>
      <c r="N1062" t="inlineStr"/>
      <c r="O1062">
        <f>(1-Summary!$B$55)*T1062+Summary!$B$55*V1062</f>
        <v/>
      </c>
      <c r="P1062">
        <f>IF(B1079=0,0,O1062/B1079)</f>
        <v/>
      </c>
      <c r="Q1062" t="n">
        <v>0</v>
      </c>
      <c r="R1062" t="n">
        <v>0</v>
      </c>
      <c r="S1062">
        <f>IFERROR(O1062/N1062,0)</f>
        <v/>
      </c>
      <c r="T1062" t="n">
        <v>0</v>
      </c>
      <c r="V1062" t="n">
        <v>0</v>
      </c>
    </row>
    <row r="1063">
      <c r="A1063">
        <f>Skills!A29</f>
        <v/>
      </c>
      <c r="B1063">
        <f>Skills!B29</f>
        <v/>
      </c>
      <c r="C1063">
        <f>Inputs!$B$3&gt;=120</f>
        <v/>
      </c>
      <c r="D1063">
        <f>IF(Skills!C29=1,60+Inputs!$B$25+(Inputs!$B$29+1),IF(Skills!C29=2,90+Inputs!$B$26+(Inputs!$B$29+1),IF(Skills!C29=3,120+Inputs!$B$27+(Inputs!$B$29+1),MAX(0,(Inputs!$B$3-100)*3)+Inputs!$B$28+(Inputs!$B$29+1))))</f>
        <v/>
      </c>
      <c r="E1063">
        <f>INDEX(FactorTable!$B$2:$Y$301, MATCH(ROUND(MIN(300,MAX(1,D1063)),0), FactorTable!$A$2:$A$301,0), Skills!M29+1)</f>
        <v/>
      </c>
      <c r="F1063">
        <f>IF(Skills!N29=TRUE,(Skills!L29/10)*(E1063/1000),Skills!L29/10)+Skills!O29</f>
        <v/>
      </c>
      <c r="G1063">
        <f>Skills!G29*IF(Skills!H29&gt;0,Skills!I29/Skills!H29,1)</f>
        <v/>
      </c>
      <c r="H1063">
        <f>1-(1-Skills!J29/100)^Skills!K29</f>
        <v/>
      </c>
      <c r="I1063" t="inlineStr">
        <is>
          <t>1</t>
        </is>
      </c>
      <c r="J1063" t="inlineStr"/>
      <c r="K1063" t="inlineStr"/>
      <c r="L1063" t="inlineStr"/>
      <c r="M1063" t="inlineStr"/>
      <c r="N1063" t="inlineStr"/>
      <c r="O1063">
        <f>(1-Summary!$B$55)*T1063+Summary!$B$55*V1063</f>
        <v/>
      </c>
      <c r="P1063">
        <f>IF(B1079=0,0,O1063/B1079)</f>
        <v/>
      </c>
      <c r="Q1063" t="n">
        <v>0</v>
      </c>
      <c r="R1063" t="n">
        <v>0</v>
      </c>
      <c r="S1063">
        <f>IFERROR(O1063/N1063,0)</f>
        <v/>
      </c>
      <c r="T1063" t="n">
        <v>0</v>
      </c>
      <c r="V1063" t="n">
        <v>0</v>
      </c>
    </row>
    <row r="1064">
      <c r="A1064">
        <f>Skills!A30</f>
        <v/>
      </c>
      <c r="B1064">
        <f>Skills!B30</f>
        <v/>
      </c>
      <c r="C1064">
        <f>Inputs!$B$3&gt;=125</f>
        <v/>
      </c>
      <c r="D1064">
        <f>IF(Skills!C30=1,60+Inputs!$B$25+(Inputs!$B$29+1),IF(Skills!C30=2,90+Inputs!$B$26+(Inputs!$B$29+1),IF(Skills!C30=3,120+Inputs!$B$27+(Inputs!$B$29+1),MAX(0,(Inputs!$B$3-100)*3)+Inputs!$B$28+(Inputs!$B$29+1))))</f>
        <v/>
      </c>
      <c r="E1064">
        <f>INDEX(FactorTable!$B$2:$Y$301, MATCH(ROUND(MIN(300,MAX(1,D1064)),0), FactorTable!$A$2:$A$301,0), Skills!M30+1)</f>
        <v/>
      </c>
      <c r="F1064">
        <f>IF(Skills!N30=TRUE,(Skills!L30/10)*(E1064/1000),Skills!L30/10)+Skills!O30</f>
        <v/>
      </c>
      <c r="G1064">
        <f>Skills!G30*IF(Skills!H30&gt;0,Skills!I30/Skills!H30,1)</f>
        <v/>
      </c>
      <c r="H1064">
        <f>1-(1-Skills!J30/100)^Skills!K30</f>
        <v/>
      </c>
      <c r="I1064" t="inlineStr">
        <is>
          <t>1</t>
        </is>
      </c>
      <c r="J1064" t="inlineStr"/>
      <c r="K1064" t="inlineStr"/>
      <c r="L1064" t="inlineStr"/>
      <c r="M1064" t="inlineStr"/>
      <c r="N1064" t="inlineStr"/>
      <c r="O1064">
        <f>(1-Summary!$B$55)*T1064+Summary!$B$55*V1064</f>
        <v/>
      </c>
      <c r="P1064">
        <f>IF(B1079=0,0,O1064/B1079)</f>
        <v/>
      </c>
      <c r="Q1064" t="n">
        <v>0</v>
      </c>
      <c r="R1064" t="n">
        <v>0</v>
      </c>
      <c r="S1064">
        <f>IFERROR(O1064/N1064,0)</f>
        <v/>
      </c>
      <c r="T1064" t="n">
        <v>0</v>
      </c>
      <c r="V1064" t="n">
        <v>0</v>
      </c>
    </row>
    <row r="1066">
      <c r="A1066" t="inlineStr">
        <is>
          <t>Average Buff Multiplier</t>
        </is>
      </c>
      <c r="B1066">
        <f>(1+(((C1055=TRUE)*F1055*IF(AND(Inputs!$B$39&lt;&gt;"pvp",Inputs!$B$44&gt;0),(((R1055-1)*(Skills!Y21*(1+Inputs!$B$34/100))+MIN((Skills!Y21*(1+Inputs!$B$34/100)),MAX(0,Inputs!$B$44-((R1055-1)*Skills!D21))))/Inputs!$B$44),IF(Inputs!$B$39="pvp",MIN((Skills!Y21*(1+Inputs!$B$34/100)),15)/15,(Skills!Y21*(1+Inputs!$B$34/100))/Skills!D21)))+((C1057=TRUE)*(F1057-Calc!F23))+((C1051=TRUE)*(F1051-Calc!F17)))/100)*(1+((C1044=TRUE)*F1044*IF(AND(Inputs!$B$39&lt;&gt;"pvp",Inputs!$B$44&gt;0),(((R1044-1)*(Skills!Y10*(1+Inputs!$B$34/100))+MIN((Skills!Y10*(1+Inputs!$B$34/100)),MAX(0,Inputs!$B$44-((R1044-1)*Skills!D10))))/Inputs!$B$44),IF(Inputs!$B$39="pvp",MIN((Skills!Y10*(1+Inputs!$B$34/100)),15)/15,(Skills!Y10*(1+Inputs!$B$34/100))/Skills!D10)))/100)*(1+((C1049=TRUE)*F1049*IF(AND(Inputs!$B$39&lt;&gt;"pvp",Inputs!$B$44&gt;0),(((R1049-1)*(Skills!Y15*(1+Inputs!$B$34/100))+MIN((Skills!Y15*(1+Inputs!$B$34/100)),MAX(0,Inputs!$B$44-((R1049-1)*Skills!D15))))/Inputs!$B$44),IF(Inputs!$B$39="pvp",MIN((Skills!Y15*(1+Inputs!$B$34/100)),15)/15,(Skills!Y15*(1+Inputs!$B$34/100))/Skills!D15)))/100)</f>
        <v/>
      </c>
    </row>
    <row r="1067">
      <c r="A1067" t="inlineStr">
        <is>
          <t>Global Crit Rate Bonus %</t>
        </is>
      </c>
      <c r="B1067">
        <f>((C1054=TRUE)*F1054*IF(AND(Inputs!$B$39&lt;&gt;"pvp",Inputs!$B$44&gt;0),(((R1054-1)*(Skills!Y20*(1+Inputs!$B$34/100))+MIN((Skills!Y20*(1+Inputs!$B$34/100)),MAX(0,Inputs!$B$44-((R1054-1)*Skills!D20))))/Inputs!$B$44),IF(Inputs!$B$39="pvp",MIN((Skills!Y20*(1+Inputs!$B$34/100)),15)/15,(Skills!Y20*(1+Inputs!$B$34/100))/Skills!D20)))</f>
        <v/>
      </c>
    </row>
    <row r="1068">
      <c r="A1068" t="inlineStr">
        <is>
          <t>Global Monster Damage-Taken Bonus %</t>
        </is>
      </c>
      <c r="B1068">
        <f>IF(Inputs!$B$3&gt;=82,15,0)</f>
        <v/>
      </c>
    </row>
    <row r="1069">
      <c r="A1069" t="inlineStr">
        <is>
          <t>Shadow Partner Average Multiplier</t>
        </is>
      </c>
      <c r="B1069">
        <f>1+((C1041=TRUE)*F1041*(1+3.3333333333333335*IF(C1052=TRUE,F1052,0)/100)*I1041*Skills!J7/100)/100</f>
        <v/>
      </c>
    </row>
    <row r="1070">
      <c r="A1070" t="inlineStr">
        <is>
          <t>Attack Speed Buff Bonus %</t>
        </is>
      </c>
      <c r="B1070">
        <f>((C1053=TRUE)*F1053*IF(AND(Inputs!$B$39&lt;&gt;"pvp",Inputs!$B$44&gt;0),(((R1053-1)*(Skills!Y19*(1+Inputs!$B$34/100))+MIN((Skills!Y19*(1+Inputs!$B$34/100)),MAX(0,Inputs!$B$44-((R1053-1)*Skills!D19))))/Inputs!$B$44),IF(Inputs!$B$39="pvp",MIN((Skills!Y19*(1+Inputs!$B$34/100)),15)/15,(Skills!Y19*(1+Inputs!$B$34/100))/Skills!D19)))+((C1037=TRUE)*F1037*3)</f>
        <v/>
      </c>
    </row>
    <row r="1071">
      <c r="A1071" t="inlineStr">
        <is>
          <t>Actions Per Second</t>
        </is>
      </c>
      <c r="B1071">
        <f>1+MIN(150,150*(1-(1-(Inputs!$B$11+((C1056=TRUE)*(F1056-Calc!F22)))/150)*(1-B1070/150)))/100</f>
        <v/>
      </c>
    </row>
    <row r="1072">
      <c r="A1072" t="inlineStr">
        <is>
          <t>Skill + Buff Cast Rate</t>
        </is>
      </c>
      <c r="B1072">
        <f>IF(AND(Inputs!$B$39&lt;&gt;"pvp",Inputs!$B$44&gt;0),SUMPRODUCT((Skills!E2:E30=TRUE)*(C1036:C1064=TRUE)*R1036:R1064*Skills!F2:F30)/Inputs!$B$44,SUMPRODUCT((Skills!E2:E30=TRUE)*(C1036:C1064=TRUE)*Q1036:Q1064*Skills!F2:F30))</f>
        <v/>
      </c>
    </row>
    <row r="1073">
      <c r="A1073" t="inlineStr">
        <is>
          <t>Cruel Stab Casts Per Second</t>
        </is>
      </c>
      <c r="B1073">
        <f>MAX(0,B1071-B1072)</f>
        <v/>
      </c>
    </row>
    <row r="1074">
      <c r="A1074" t="inlineStr">
        <is>
          <t>Global Critical Damage Bonus % (Smokescreen Mastery Lv.113)</t>
        </is>
      </c>
      <c r="B1074">
        <f>IF(Inputs!$B$3&gt;=113,30,0)*IF(AND(Inputs!$B$39&lt;&gt;"pvp",Inputs!$B$44&gt;0),(((R1049-1)*(Skills!Y15*(1+Inputs!$B$34/100))+MIN((Skills!Y15*(1+Inputs!$B$34/100)),MAX(0,Inputs!$B$44-((R1049-1)*Skills!D15))))/Inputs!$B$44),IF(Inputs!$B$39="pvp",MIN((Skills!Y15*(1+Inputs!$B$34/100)),15)/15,(Skills!Y15*(1+Inputs!$B$34/100))/Skills!D15))</f>
        <v/>
      </c>
    </row>
    <row r="1075">
      <c r="A1075" t="inlineStr">
        <is>
          <t>Meso Explosion average stack count</t>
        </is>
      </c>
      <c r="B1075">
        <f>MIN(10,0.5*B1071*Skills!D4)</f>
        <v/>
      </c>
    </row>
    <row r="1076">
      <c r="A1076" t="inlineStr">
        <is>
          <t>Blood Money average stack count</t>
        </is>
      </c>
      <c r="B1076">
        <f>MIN(5,0.25*B1071*Skills!D4)</f>
        <v/>
      </c>
    </row>
    <row r="1077">
      <c r="A1077" t="inlineStr">
        <is>
          <t>Assassinate Murderous Intent Multiplier</t>
        </is>
      </c>
      <c r="B1077">
        <f>1+IFERROR(MIN(1,Q1048*2/Q1045),0)</f>
        <v/>
      </c>
    </row>
    <row r="1078">
      <c r="A1078" t="inlineStr">
        <is>
          <t>Buff-Casting Startup Delay (s, fixed-duration only)</t>
        </is>
      </c>
      <c r="B1078">
        <f>IF(AND(Inputs!$B$39&lt;&gt;"pvp",Inputs!$B$44&gt;0),SUMPRODUCT((Skills!Y2:Y30&gt;0)*(Skills!E2:E30=TRUE)*(C1036:C1064=TRUE))/B1071,0)</f>
        <v/>
      </c>
    </row>
    <row r="1079">
      <c r="A1079" s="5" t="inlineStr">
        <is>
          <t>TOTAL DPS</t>
        </is>
      </c>
      <c r="B1079" s="5">
        <f>SUM(O1036:O1064)</f>
        <v/>
      </c>
    </row>
    <row r="1080">
      <c r="A1080" t="inlineStr">
        <is>
          <t>Boss-Only Total DPS (this block's swept value)</t>
        </is>
      </c>
      <c r="B1080">
        <f>SUM(T1036:T1064)</f>
        <v/>
      </c>
    </row>
    <row r="1081">
      <c r="A1081" t="inlineStr">
        <is>
          <t>Normal-Only Total DPS (this block's swept value)</t>
        </is>
      </c>
      <c r="B1081">
        <f>SUM(V1036:V1064)</f>
        <v/>
      </c>
    </row>
    <row r="1084">
      <c r="A1084" s="5" t="inlineStr">
        <is>
          <t>Stat: Flat ATTACK</t>
        </is>
      </c>
    </row>
    <row r="1085">
      <c r="A1085" s="9" t="inlineStr">
        <is>
          <t>Key</t>
        </is>
      </c>
      <c r="B1085" s="9" t="inlineStr">
        <is>
          <t>Name</t>
        </is>
      </c>
      <c r="C1085" s="9" t="inlineStr">
        <is>
          <t>Unlocked</t>
        </is>
      </c>
      <c r="D1085" s="9" t="inlineStr">
        <is>
          <t>InputLevel</t>
        </is>
      </c>
      <c r="E1085" s="9" t="inlineStr">
        <is>
          <t>Factor</t>
        </is>
      </c>
      <c r="F1085" s="9" t="inlineStr">
        <is>
          <t>CoefficientPercent</t>
        </is>
      </c>
      <c r="G1085" s="9" t="inlineStr">
        <is>
          <t>EffectiveHits</t>
        </is>
      </c>
      <c r="H1085" s="9" t="inlineStr">
        <is>
          <t>ProcProbability</t>
        </is>
      </c>
      <c r="I1085" s="9" t="inlineStr">
        <is>
          <t>MapleHeroMultiplier</t>
        </is>
      </c>
      <c r="J1085" s="9" t="inlineStr">
        <is>
          <t>BaseDamage</t>
        </is>
      </c>
      <c r="K1085" s="9" t="inlineStr">
        <is>
          <t>BaseHitDamage</t>
        </is>
      </c>
      <c r="L1085" s="9" t="inlineStr">
        <is>
          <t>NonCritAvg</t>
        </is>
      </c>
      <c r="M1085" s="9" t="inlineStr">
        <is>
          <t>CritAvg</t>
        </is>
      </c>
      <c r="N1085" s="9" t="inlineStr">
        <is>
          <t>ExpectedDamage(perHit)</t>
        </is>
      </c>
      <c r="O1085" s="9" t="inlineStr">
        <is>
          <t>DPS</t>
        </is>
      </c>
      <c r="P1085" s="9" t="inlineStr">
        <is>
          <t>% of Total</t>
        </is>
      </c>
      <c r="Q1085" s="9" t="inlineStr">
        <is>
          <t>InvCooldown</t>
        </is>
      </c>
      <c r="R1085" s="9" t="inlineStr">
        <is>
          <t>CastsInFight</t>
        </is>
      </c>
      <c r="S1085" s="9" t="inlineStr">
        <is>
          <t>HitRate(perSec)</t>
        </is>
      </c>
      <c r="U1085" t="inlineStr">
        <is>
          <t>helpers</t>
        </is>
      </c>
    </row>
    <row r="1086">
      <c r="A1086">
        <f>Skills!A2</f>
        <v/>
      </c>
      <c r="B1086">
        <f>Skills!B2</f>
        <v/>
      </c>
      <c r="C1086">
        <f>Inputs!$B$3&gt;=100</f>
        <v/>
      </c>
      <c r="D1086" t="inlineStr"/>
      <c r="E1086" t="inlineStr"/>
      <c r="F1086">
        <f>U1088+Skills!O2</f>
        <v/>
      </c>
      <c r="G1086">
        <f>Skills!G2*IF(Skills!H2&gt;0,Skills!I2/Skills!H2,1)</f>
        <v/>
      </c>
      <c r="H1086">
        <f>1-(1-Skills!J2/100)^Skills!K2</f>
        <v/>
      </c>
      <c r="I1086" t="inlineStr">
        <is>
          <t>1</t>
        </is>
      </c>
      <c r="J1086">
        <f>(((Inputs!$B$6+1)*(1+Inputs!$B$7/100))+(((Inputs!$B$12*(1+Inputs!$B$13/100))-(Inputs!$B$12*(1+Inputs!$B$13/100)))+0.25*(Inputs!$B$14-Inputs!$B$14))*(1+Inputs!$B$7/100))*(F1086/100)</f>
        <v/>
      </c>
      <c r="K1086">
        <f>J1086*(1+((Inputs!$B$12*(1+Inputs!$B$13/100))*0.01+Inputs!$B$14*0.0025)/100)*(1+Inputs!$B$15/100)*(1+Inputs!$B$16/100)*(5000/(6000+Inputs!$B$43*(1-Inputs!$B$19/100)))*(1+(Inputs!$B$24+((C1114=TRUE)*(F1114-Calc!F30)))/100)*(1+(IF(Skills!A2="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1086)</f>
        <v/>
      </c>
      <c r="L1086">
        <f>K1086*(MIN(Inputs!$B$22+((C1108=TRUE)*(F1108-Calc!F24)),Inputs!$B$23+((C1113=TRUE)*(F1113-Calc!F29)))/100+(Inputs!$B$23+((C1113=TRUE)*(F1113-Calc!F29)))/100)/2</f>
        <v/>
      </c>
      <c r="M1086">
        <f>L1086*(1+(Inputs!$B$10+((C1110=TRUE)*(F1110-Calc!F26))+B1124)/100)</f>
        <v/>
      </c>
      <c r="N1086">
        <f>L1086*(1-MIN((Inputs!$B$9+((C1109=TRUE)*(F1109-Calc!F25))+B1117),100)/100)+M1086*(MIN((Inputs!$B$9+((C1109=TRUE)*(F1109-Calc!F25))+B1117),100)/100)</f>
        <v/>
      </c>
      <c r="O1086">
        <f>(1-Summary!$B$55)*T1086+Summary!$B$55*V1086</f>
        <v/>
      </c>
      <c r="P1086">
        <f>IF(B1129=0,0,O1086/B1129)</f>
        <v/>
      </c>
      <c r="Q1086" t="n">
        <v>0</v>
      </c>
      <c r="R1086" t="n">
        <v>0</v>
      </c>
      <c r="S1086">
        <f>IFERROR(O1086/N1086,0)</f>
        <v/>
      </c>
      <c r="T1086">
        <f>IF(C1086,(Skills!G2*N1086*B1123)*IF(Inputs!$B$39="pvp",1,1+(Inputs!$B$20+0+Skills!P2+B1118)/100),0)</f>
        <v/>
      </c>
      <c r="U1086">
        <f>MAX(0,(Inputs!$B$3-100)*3)+Inputs!$B$28+Inputs!$B$29</f>
        <v/>
      </c>
      <c r="V1086">
        <f>IF(C1086,(Skills!G2*N1086*B1123)*IF(Inputs!$B$39="pvp",1,(1+(Inputs!$B$21+Skills!Q2+B1118)/100)*(MIN((6+Inputs!$B$33),Inputs!$B$37))),0)</f>
        <v/>
      </c>
    </row>
    <row r="1087">
      <c r="A1087">
        <f>Skills!A3</f>
        <v/>
      </c>
      <c r="B1087">
        <f>Skills!B3</f>
        <v/>
      </c>
      <c r="C1087">
        <f>Inputs!$B$3&gt;=35</f>
        <v/>
      </c>
      <c r="D1087">
        <f>IF(Skills!C3=1,60+Inputs!$B$25+Inputs!$B$29,IF(Skills!C3=2,90+Inputs!$B$26+Inputs!$B$29,IF(Skills!C3=3,120+Inputs!$B$27+Inputs!$B$29,MAX(0,(Inputs!$B$3-100)*3)+Inputs!$B$28+Inputs!$B$29)))</f>
        <v/>
      </c>
      <c r="E1087">
        <f>INDEX(FactorTable!$B$2:$Y$301, MATCH(ROUND(MIN(300,MAX(1,D1087)),0), FactorTable!$A$2:$A$301,0), Skills!M3+1)</f>
        <v/>
      </c>
      <c r="F1087">
        <f>IF(Skills!N3=TRUE,(Skills!L3/10)*(E1087/1000),Skills!L3/10)+Skills!O3</f>
        <v/>
      </c>
      <c r="G1087">
        <f>Skills!G3*IF(Skills!H3&gt;0,Skills!I3/Skills!H3,1)</f>
        <v/>
      </c>
      <c r="H1087">
        <f>1-(1-Skills!J3/100)^Skills!K3</f>
        <v/>
      </c>
      <c r="I1087" t="inlineStr">
        <is>
          <t>1</t>
        </is>
      </c>
      <c r="J1087" t="inlineStr"/>
      <c r="K1087" t="inlineStr"/>
      <c r="L1087" t="inlineStr"/>
      <c r="M1087" t="inlineStr"/>
      <c r="N1087" t="inlineStr"/>
      <c r="O1087">
        <f>(1-Summary!$B$55)*T1087+Summary!$B$55*V1087</f>
        <v/>
      </c>
      <c r="P1087">
        <f>IF(B1129=0,0,O1087/B1129)</f>
        <v/>
      </c>
      <c r="Q1087" t="n">
        <v>0</v>
      </c>
      <c r="R1087" t="n">
        <v>0</v>
      </c>
      <c r="S1087">
        <f>IFERROR(O1087/N1087,0)</f>
        <v/>
      </c>
      <c r="T1087" t="n">
        <v>0</v>
      </c>
      <c r="U1087">
        <f>INDEX(FactorTable!$B$2:$Y$301, MATCH(ROUND(MIN(300,MAX(1,U1086)),0), FactorTable!$A$2:$A$301,0), 22)</f>
        <v/>
      </c>
      <c r="V1087" t="n">
        <v>0</v>
      </c>
    </row>
    <row r="1088">
      <c r="A1088">
        <f>Skills!A4</f>
        <v/>
      </c>
      <c r="B1088">
        <f>Skills!B4</f>
        <v/>
      </c>
      <c r="C1088">
        <f>Inputs!$B$3&gt;=66</f>
        <v/>
      </c>
      <c r="D1088">
        <f>IF(Skills!C4=1,60+Inputs!$B$25+Inputs!$B$29,IF(Skills!C4=2,90+Inputs!$B$26+Inputs!$B$29,IF(Skills!C4=3,120+Inputs!$B$27+Inputs!$B$29,MAX(0,(Inputs!$B$3-100)*3)+Inputs!$B$28+Inputs!$B$29)))</f>
        <v/>
      </c>
      <c r="E1088">
        <f>INDEX(FactorTable!$B$2:$Y$301, MATCH(ROUND(MIN(300,MAX(1,D1088)),0), FactorTable!$A$2:$A$301,0), Skills!M4+1)</f>
        <v/>
      </c>
      <c r="F1088">
        <f>IF(Skills!N4=TRUE,(Skills!L4/10)*(E1088/1000),Skills!L4/10)+Skills!O4</f>
        <v/>
      </c>
      <c r="G1088">
        <f>Skills!G4*IF(Skills!H4&gt;0,Skills!I4/Skills!H4,1)</f>
        <v/>
      </c>
      <c r="H1088">
        <f>1-(1-Skills!J4/100)^Skills!K4</f>
        <v/>
      </c>
      <c r="I1088" t="inlineStr">
        <is>
          <t>1</t>
        </is>
      </c>
      <c r="J1088">
        <f>(((Inputs!$B$6+1)*(1+Inputs!$B$7/100))+(((Inputs!$B$12*(1+Inputs!$B$13/100))-(Inputs!$B$12*(1+Inputs!$B$13/100)))+0.25*(Inputs!$B$14-Inputs!$B$14))*(1+Inputs!$B$7/100))*(F1088/100)</f>
        <v/>
      </c>
      <c r="K1088">
        <f>J1088*(1+((Inputs!$B$12*(1+Inputs!$B$13/100))*0.01+Inputs!$B$14*0.0025)/100)*(1+Inputs!$B$15/100)*(1+Inputs!$B$16/100)*(5000/(6000+Inputs!$B$43*(1-Inputs!$B$19/100)))*(1+(Inputs!$B$24+((C1114=TRUE)*(F1114-Calc!F30)))/100)*(1+(IF(Skills!A4="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1088)</f>
        <v/>
      </c>
      <c r="L1088">
        <f>K1088*(MIN(Inputs!$B$22+((C1108=TRUE)*(F1108-Calc!F24)),Inputs!$B$23+((C1113=TRUE)*(F1113-Calc!F29)))/100+(Inputs!$B$23+((C1113=TRUE)*(F1113-Calc!F29)))/100)/2</f>
        <v/>
      </c>
      <c r="M1088">
        <f>L1088*(1+(Inputs!$B$10+((C1110=TRUE)*(F1110-Calc!F26))+B1124)/100)</f>
        <v/>
      </c>
      <c r="N1088">
        <f>L1088*(1-MIN((Inputs!$B$9+((C1109=TRUE)*(F1109-Calc!F25))+B1117),100)/100)+M1088*(MIN((Inputs!$B$9+((C1109=TRUE)*(F1109-Calc!F25))+B1117),100)/100)</f>
        <v/>
      </c>
      <c r="O1088">
        <f>(1-Summary!$B$55)*T1088+Summary!$B$55*V1088</f>
        <v/>
      </c>
      <c r="P1088">
        <f>IF(B1129=0,0,O1088/B1129)</f>
        <v/>
      </c>
      <c r="Q1088">
        <f>IFERROR(1/IF(Inputs!$B$39="pvp",15,MAX(0.1,Skills!D4-IF(Skills!E4=TRUE,Inputs!$B$32,0))),0)</f>
        <v/>
      </c>
      <c r="R1088">
        <f>IF(AND(Inputs!$B$39&lt;&gt;"pvp",Inputs!$B$44&gt;0),IF(MAX(0,Inputs!$B$44-B1128)&lt;=0,0,(INT(MAX(0,Inputs!$B$44-B1128)/IF(Inputs!$B$39="pvp",15,MAX(0.1,Skills!D4-IF(Skills!E4=TRUE,Inputs!$B$32,0))))+1)),0)</f>
        <v/>
      </c>
      <c r="S1088">
        <f>IFERROR(O1088/N1088,0)</f>
        <v/>
      </c>
      <c r="T1088">
        <f>IF(C1088,(H1088*N1088*IF(AND(Inputs!$B$39&lt;&gt;"pvp",Inputs!$B$44&gt;0),((Skills!G4*((R1088-1)*IF(Skills!H4&gt;0,Skills!I4/Skills!H4,1)+IF(Skills!H4&gt;0,MIN(Skills!I4,MAX(0,MAX(0,Inputs!$B$44-B1128)-((R1088-1)*IF(Inputs!$B$39="pvp",15,MAX(0.1,Skills!D4-IF(Skills!E4=TRUE,Inputs!$B$32,0))))))/Skills!H4,1)))/Inputs!$B$44),G1088*Q1088))*IF(Inputs!$B$39="pvp",1,1+(Inputs!$B$20+0+Skills!P4+B1118)/100),0)</f>
        <v/>
      </c>
      <c r="U1088">
        <f>290*U1087/1000</f>
        <v/>
      </c>
      <c r="V1088">
        <f>IF(C1088,(H1088*N1088*IF(AND(Inputs!$B$39&lt;&gt;"pvp",Inputs!$B$44&gt;0),((Skills!G4*((R1088-1)*IF(Skills!H4&gt;0,Skills!I4/Skills!H4,1)+IF(Skills!H4&gt;0,MIN(Skills!I4,MAX(0,MAX(0,Inputs!$B$44-B1128)-((R1088-1)*IF(Inputs!$B$39="pvp",15,MAX(0.1,Skills!D4-IF(Skills!E4=TRUE,Inputs!$B$32,0))))))/Skills!H4,1)))/Inputs!$B$44),G1088*Q1088))*IF(Inputs!$B$39="pvp",1,(1+(Inputs!$B$21+Skills!Q4+B1118)/100)*(MIN(MIN(10,0.5*B1121*Skills!D4),Inputs!$B$37))),0)</f>
        <v/>
      </c>
    </row>
    <row r="1089">
      <c r="A1089">
        <f>Skills!A5</f>
        <v/>
      </c>
      <c r="B1089">
        <f>Skills!B5</f>
        <v/>
      </c>
      <c r="C1089">
        <f>Inputs!$B$3&gt;=63</f>
        <v/>
      </c>
      <c r="D1089">
        <f>IF(Skills!C5=1,60+Inputs!$B$25+Inputs!$B$29,IF(Skills!C5=2,90+Inputs!$B$26+Inputs!$B$29,IF(Skills!C5=3,120+Inputs!$B$27+Inputs!$B$29,MAX(0,(Inputs!$B$3-100)*3)+Inputs!$B$28+Inputs!$B$29)))</f>
        <v/>
      </c>
      <c r="E1089">
        <f>INDEX(FactorTable!$B$2:$Y$301, MATCH(ROUND(MIN(300,MAX(1,D1089)),0), FactorTable!$A$2:$A$301,0), Skills!M5+1)</f>
        <v/>
      </c>
      <c r="F1089">
        <f>IF(Skills!N5=TRUE,(Skills!L5/10)*(E1089/1000),Skills!L5/10)+Skills!O5</f>
        <v/>
      </c>
      <c r="G1089">
        <f>Skills!G5*IF(Skills!H5&gt;0,Skills!I5/Skills!H5,1)</f>
        <v/>
      </c>
      <c r="H1089">
        <f>1-(1-Skills!J5/100)^Skills!K5</f>
        <v/>
      </c>
      <c r="I1089" t="inlineStr">
        <is>
          <t>1</t>
        </is>
      </c>
      <c r="J1089">
        <f>(((Inputs!$B$6+1)*(1+Inputs!$B$7/100))+(((Inputs!$B$12*(1+Inputs!$B$13/100))-(Inputs!$B$12*(1+Inputs!$B$13/100)))+0.25*(Inputs!$B$14-Inputs!$B$14))*(1+Inputs!$B$7/100))*(F1089/100)</f>
        <v/>
      </c>
      <c r="K1089">
        <f>J1089*(1+((Inputs!$B$12*(1+Inputs!$B$13/100))*0.01+Inputs!$B$14*0.0025)/100)*(1+Inputs!$B$15/100)*(1+Inputs!$B$16/100)*(5000/(6000+Inputs!$B$43*(1-Inputs!$B$19/100)))*(1+(Inputs!$B$24+((C1114=TRUE)*(F1114-Calc!F30)))/100)*(1+2.6666666666666665*IF(C1102=TRUE,F1102,0)/100)*(1+(IF(Skills!A5="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1089)</f>
        <v/>
      </c>
      <c r="L1089">
        <f>K1089*(MIN(Inputs!$B$22+((C1108=TRUE)*(F1108-Calc!F24)),Inputs!$B$23+((C1113=TRUE)*(F1113-Calc!F29)))/100+(Inputs!$B$23+((C1113=TRUE)*(F1113-Calc!F29)))/100)/2</f>
        <v/>
      </c>
      <c r="M1089">
        <f>L1089*(1+(Inputs!$B$10+((C1110=TRUE)*(F1110-Calc!F26))+B1124)/100)</f>
        <v/>
      </c>
      <c r="N1089">
        <f>L1089*(1-MIN((Inputs!$B$9+((C1109=TRUE)*(F1109-Calc!F25))+B1117),100)/100)+M1089*(MIN((Inputs!$B$9+((C1109=TRUE)*(F1109-Calc!F25))+B1117),100)/100)</f>
        <v/>
      </c>
      <c r="O1089">
        <f>(1-Summary!$B$55)*T1089+Summary!$B$55*V1089</f>
        <v/>
      </c>
      <c r="P1089">
        <f>IF(B1129=0,0,O1089/B1129)</f>
        <v/>
      </c>
      <c r="Q1089">
        <f>IFERROR(1/IF(Inputs!$B$39="pvp",15,MAX(0.1,Skills!D5-IF(Skills!E5=TRUE,Inputs!$B$32,0))),0)</f>
        <v/>
      </c>
      <c r="R1089">
        <f>IF(AND(Inputs!$B$39&lt;&gt;"pvp",Inputs!$B$44&gt;0),IF(MAX(0,Inputs!$B$44-B1128)&lt;=0,0,(INT(MAX(0,Inputs!$B$44-B1128)/IF(Inputs!$B$39="pvp",15,MAX(0.1,Skills!D5-IF(Skills!E5=TRUE,Inputs!$B$32,0))))+1)),0)</f>
        <v/>
      </c>
      <c r="S1089">
        <f>IFERROR(O1089/N1089,0)</f>
        <v/>
      </c>
      <c r="T1089">
        <f>IF(C1089,(H1089*N1089*IF(AND(Inputs!$B$39&lt;&gt;"pvp",Inputs!$B$44&gt;0),((Skills!G5*((R1089-1)*IF(Skills!H5&gt;0,Skills!I5/Skills!H5,1)+IF(Skills!H5&gt;0,MIN(Skills!I5,MAX(0,MAX(0,Inputs!$B$44-B1128)-((R1089-1)*IF(Inputs!$B$39="pvp",15,MAX(0.1,Skills!D5-IF(Skills!E5=TRUE,Inputs!$B$32,0))))))/Skills!H5,1)))/Inputs!$B$44),G1089*Q1089))*IF(Inputs!$B$39="pvp",1,1+(Inputs!$B$20+0+Skills!P5+B1118)/100),0)</f>
        <v/>
      </c>
      <c r="V1089">
        <f>IF(C1089,(H1089*N1089*IF(AND(Inputs!$B$39&lt;&gt;"pvp",Inputs!$B$44&gt;0),((Skills!G5*((R1089-1)*IF(Skills!H5&gt;0,Skills!I5/Skills!H5,1)+IF(Skills!H5&gt;0,MIN(Skills!I5,MAX(0,MAX(0,Inputs!$B$44-B1128)-((R1089-1)*IF(Inputs!$B$39="pvp",15,MAX(0.1,Skills!D5-IF(Skills!E5=TRUE,Inputs!$B$32,0))))))/Skills!H5,1)))/Inputs!$B$44),G1089*Q1089))*IF(Inputs!$B$39="pvp",1,(1+(Inputs!$B$21+Skills!Q5+B1118)/100)*(MIN(Skills!W5,Inputs!$B$37))),0)</f>
        <v/>
      </c>
    </row>
    <row r="1090">
      <c r="A1090">
        <f>Skills!A6</f>
        <v/>
      </c>
      <c r="B1090">
        <f>Skills!B6</f>
        <v/>
      </c>
      <c r="C1090">
        <f>Inputs!$B$3&gt;=69</f>
        <v/>
      </c>
      <c r="D1090">
        <f>IF(Skills!C6=1,60+Inputs!$B$25+Inputs!$B$29,IF(Skills!C6=2,90+Inputs!$B$26+Inputs!$B$29,IF(Skills!C6=3,120+Inputs!$B$27+Inputs!$B$29,MAX(0,(Inputs!$B$3-100)*3)+Inputs!$B$28+Inputs!$B$29)))</f>
        <v/>
      </c>
      <c r="E1090">
        <f>INDEX(FactorTable!$B$2:$Y$301, MATCH(ROUND(MIN(300,MAX(1,D1090)),0), FactorTable!$A$2:$A$301,0), Skills!M6+1)</f>
        <v/>
      </c>
      <c r="F1090">
        <f>IF(Skills!N6=TRUE,(Skills!L6/10)*(E1090/1000),Skills!L6/10)+Skills!O6</f>
        <v/>
      </c>
      <c r="G1090">
        <f>Skills!G6*IF(Skills!H6&gt;0,Skills!I6/Skills!H6,1)</f>
        <v/>
      </c>
      <c r="H1090">
        <f>1-(1-Skills!J6/100)^Skills!K6</f>
        <v/>
      </c>
      <c r="I1090" t="inlineStr">
        <is>
          <t>1</t>
        </is>
      </c>
      <c r="J1090">
        <f>(((Inputs!$B$6+1)*(1+Inputs!$B$7/100))+(((Inputs!$B$12*(1+Inputs!$B$13/100))-(Inputs!$B$12*(1+Inputs!$B$13/100)))+0.25*(Inputs!$B$14-Inputs!$B$14))*(1+Inputs!$B$7/100))*(F1090/100)</f>
        <v/>
      </c>
      <c r="K1090">
        <f>J1090*(1+((Inputs!$B$12*(1+Inputs!$B$13/100))*0.01+Inputs!$B$14*0.0025)/100)*(1+Inputs!$B$15/100)*(1+Inputs!$B$16/100)*(5000/(6000+Inputs!$B$43*(1-Inputs!$B$19/100)))*(1+(Inputs!$B$24+((C1114=TRUE)*(F1114-Calc!F30)))/100)*(1+1.0*IF(C1102=TRUE,F1102,0)/100)*(1+(IF(Skills!A6="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1090)</f>
        <v/>
      </c>
      <c r="L1090">
        <f>K1090*(MIN(Inputs!$B$22+((C1108=TRUE)*(F1108-Calc!F24)),Inputs!$B$23+((C1113=TRUE)*(F1113-Calc!F29)))/100+(Inputs!$B$23+((C1113=TRUE)*(F1113-Calc!F29)))/100)/2</f>
        <v/>
      </c>
      <c r="M1090">
        <f>L1090*(1+(Inputs!$B$10+((C1110=TRUE)*(F1110-Calc!F26))+B1124)/100)</f>
        <v/>
      </c>
      <c r="N1090">
        <f>L1090*(1-MIN((Inputs!$B$9+((C1109=TRUE)*(F1109-Calc!F25))+B1117),100)/100)+M1090*(MIN((Inputs!$B$9+((C1109=TRUE)*(F1109-Calc!F25))+B1117),100)/100)</f>
        <v/>
      </c>
      <c r="O1090">
        <f>(1-Summary!$B$55)*T1090+Summary!$B$55*V1090</f>
        <v/>
      </c>
      <c r="P1090">
        <f>IF(B1129=0,0,O1090/B1129)</f>
        <v/>
      </c>
      <c r="Q1090">
        <f>IFERROR(1/IF(Inputs!$B$39="pvp",15,MAX(0.1,Skills!D6-IF(Skills!E6=TRUE,Inputs!$B$32,0))),0)</f>
        <v/>
      </c>
      <c r="R1090">
        <f>IF(AND(Inputs!$B$39&lt;&gt;"pvp",Inputs!$B$44&gt;0),IF(MAX(0,Inputs!$B$44-B1128)&lt;=0,0,(INT(MAX(0,Inputs!$B$44-B1128)/IF(Inputs!$B$39="pvp",15,MAX(0.1,Skills!D6-IF(Skills!E6=TRUE,Inputs!$B$32,0))))+1)),0)</f>
        <v/>
      </c>
      <c r="S1090">
        <f>IFERROR(O1090/N1090,0)</f>
        <v/>
      </c>
      <c r="T1090">
        <f>IF(C1090,(H1090*N1090*IF(AND(Inputs!$B$39&lt;&gt;"pvp",Inputs!$B$44&gt;0),((Skills!G6*((R1090-1)*IF(Skills!H6&gt;0,Skills!I6/Skills!H6,1)+IF(Skills!H6&gt;0,MIN(Skills!I6,MAX(0,MAX(0,Inputs!$B$44-B1128)-((R1090-1)*IF(Inputs!$B$39="pvp",15,MAX(0.1,Skills!D6-IF(Skills!E6=TRUE,Inputs!$B$32,0))))))/Skills!H6,1)))/Inputs!$B$44),G1090*Q1090))*IF(Inputs!$B$39="pvp",1,1+(Inputs!$B$20+0+Skills!P6+B1118)/100),0)</f>
        <v/>
      </c>
      <c r="V1090">
        <f>IF(C1090,(H1090*N1090*IF(AND(Inputs!$B$39&lt;&gt;"pvp",Inputs!$B$44&gt;0),((Skills!G6*((R1090-1)*IF(Skills!H6&gt;0,Skills!I6/Skills!H6,1)+IF(Skills!H6&gt;0,MIN(Skills!I6,MAX(0,MAX(0,Inputs!$B$44-B1128)-((R1090-1)*IF(Inputs!$B$39="pvp",15,MAX(0.1,Skills!D6-IF(Skills!E6=TRUE,Inputs!$B$32,0))))))/Skills!H6,1)))/Inputs!$B$44),G1090*Q1090))*IF(Inputs!$B$39="pvp",1,(1+(Inputs!$B$21+Skills!Q6+B1118)/100)*(MIN(Skills!W6,Inputs!$B$37))),0)</f>
        <v/>
      </c>
    </row>
    <row r="1091">
      <c r="A1091">
        <f>Skills!A7</f>
        <v/>
      </c>
      <c r="B1091">
        <f>Skills!B7</f>
        <v/>
      </c>
      <c r="C1091">
        <f>Inputs!$B$3&gt;=60</f>
        <v/>
      </c>
      <c r="D1091">
        <f>IF(Skills!C7=1,60+Inputs!$B$25+Inputs!$B$29,IF(Skills!C7=2,90+Inputs!$B$26+Inputs!$B$29,IF(Skills!C7=3,120+Inputs!$B$27+Inputs!$B$29,MAX(0,(Inputs!$B$3-100)*3)+Inputs!$B$28+Inputs!$B$29)))</f>
        <v/>
      </c>
      <c r="E1091">
        <f>INDEX(FactorTable!$B$2:$Y$301, MATCH(ROUND(MIN(300,MAX(1,D1091)),0), FactorTable!$A$2:$A$301,0), Skills!M7+1)</f>
        <v/>
      </c>
      <c r="F1091">
        <f>IF(Skills!N7=TRUE,(Skills!L7/10)*(E1091/1000),Skills!L7/10)+Skills!O7</f>
        <v/>
      </c>
      <c r="G1091">
        <f>Skills!G7*IF(Skills!H7&gt;0,Skills!I7/Skills!H7,1)</f>
        <v/>
      </c>
      <c r="H1091">
        <f>1-(1-Skills!J7/100)^Skills!K7</f>
        <v/>
      </c>
      <c r="I1091" t="inlineStr">
        <is>
          <t>1</t>
        </is>
      </c>
      <c r="J1091" t="inlineStr"/>
      <c r="K1091" t="inlineStr"/>
      <c r="L1091" t="inlineStr"/>
      <c r="M1091" t="inlineStr"/>
      <c r="N1091" t="inlineStr"/>
      <c r="O1091">
        <f>(1-Summary!$B$55)*T1091+Summary!$B$55*V1091</f>
        <v/>
      </c>
      <c r="P1091">
        <f>IF(B1129=0,0,O1091/B1129)</f>
        <v/>
      </c>
      <c r="Q1091" t="n">
        <v>0</v>
      </c>
      <c r="R1091" t="n">
        <v>0</v>
      </c>
      <c r="S1091">
        <f>IFERROR(O1091/N1091,0)</f>
        <v/>
      </c>
      <c r="T1091" t="n">
        <v>0</v>
      </c>
      <c r="V1091" t="n">
        <v>0</v>
      </c>
    </row>
    <row r="1092">
      <c r="A1092">
        <f>Skills!A8</f>
        <v/>
      </c>
      <c r="B1092">
        <f>Skills!B8</f>
        <v/>
      </c>
      <c r="C1092">
        <f>Inputs!$B$3&gt;=72</f>
        <v/>
      </c>
      <c r="D1092">
        <f>IF(Skills!C8=1,60+Inputs!$B$25+Inputs!$B$29,IF(Skills!C8=2,90+Inputs!$B$26+Inputs!$B$29,IF(Skills!C8=3,120+Inputs!$B$27+Inputs!$B$29,MAX(0,(Inputs!$B$3-100)*3)+Inputs!$B$28+Inputs!$B$29)))</f>
        <v/>
      </c>
      <c r="E1092">
        <f>INDEX(FactorTable!$B$2:$Y$301, MATCH(ROUND(MIN(300,MAX(1,D1092)),0), FactorTable!$A$2:$A$301,0), Skills!M8+1)</f>
        <v/>
      </c>
      <c r="F1092">
        <f>IF(Skills!N8=TRUE,(Skills!L8/10)*(E1092/1000),Skills!L8/10)+Skills!O8</f>
        <v/>
      </c>
      <c r="G1092">
        <f>Skills!G8*IF(Skills!H8&gt;0,Skills!I8/Skills!H8,1)</f>
        <v/>
      </c>
      <c r="H1092">
        <f>1-(1-Skills!J8/100)^Skills!K8</f>
        <v/>
      </c>
      <c r="I1092" t="inlineStr">
        <is>
          <t>1</t>
        </is>
      </c>
      <c r="J1092">
        <f>(((Inputs!$B$6+1)*(1+Inputs!$B$7/100))+(((Inputs!$B$12*(1+Inputs!$B$13/100))-(Inputs!$B$12*(1+Inputs!$B$13/100)))+0.25*(Inputs!$B$14-Inputs!$B$14))*(1+Inputs!$B$7/100))*(F1092/100)</f>
        <v/>
      </c>
      <c r="K1092">
        <f>J1092*(1+((Inputs!$B$12*(1+Inputs!$B$13/100))*0.01+Inputs!$B$14*0.0025)/100)*(1+Inputs!$B$15/100)*(1+Inputs!$B$16/100)*(5000/(6000+Inputs!$B$43*(1-Inputs!$B$19/100)))*(1+(Inputs!$B$24+((C1114=TRUE)*(F1114-Calc!F30)))/100)*(1+3.3333333333333335*IF(C1102=TRUE,F1102,0)/100)*(1+(IF(Skills!A8="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1092)</f>
        <v/>
      </c>
      <c r="L1092">
        <f>K1092*(MIN(Inputs!$B$22+((C1108=TRUE)*(F1108-Calc!F24)),Inputs!$B$23+((C1113=TRUE)*(F1113-Calc!F29)))/100+(Inputs!$B$23+((C1113=TRUE)*(F1113-Calc!F29)))/100)/2</f>
        <v/>
      </c>
      <c r="M1092">
        <f>L1092*(1+(Inputs!$B$10+((C1110=TRUE)*(F1110-Calc!F26))+B1124)/100)</f>
        <v/>
      </c>
      <c r="N1092">
        <f>L1092*(1-MIN((Inputs!$B$9+((C1109=TRUE)*(F1109-Calc!F25))+B1117),100)/100)+M1092*(MIN((Inputs!$B$9+((C1109=TRUE)*(F1109-Calc!F25))+B1117),100)/100)</f>
        <v/>
      </c>
      <c r="O1092">
        <f>(1-Summary!$B$55)*T1092+Summary!$B$55*V1092</f>
        <v/>
      </c>
      <c r="P1092">
        <f>IF(B1129=0,0,O1092/B1129)</f>
        <v/>
      </c>
      <c r="Q1092">
        <f>IFERROR(1/IF(Inputs!$B$39="pvp",15,MAX(0.1,Skills!D8-IF(Skills!E8=TRUE,Inputs!$B$32,0))),0)</f>
        <v/>
      </c>
      <c r="R1092">
        <f>IF(AND(Inputs!$B$39&lt;&gt;"pvp",Inputs!$B$44&gt;0),IF(MAX(0,Inputs!$B$44-B1128)&lt;=0,0,(INT(MAX(0,Inputs!$B$44-B1128)/IF(Inputs!$B$39="pvp",15,MAX(0.1,Skills!D8-IF(Skills!E8=TRUE,Inputs!$B$32,0))))+1)),0)</f>
        <v/>
      </c>
      <c r="S1092">
        <f>IFERROR(O1092/N1092,0)</f>
        <v/>
      </c>
      <c r="T1092">
        <f>IF(C1092,(H1092*N1092*IF(AND(Inputs!$B$39&lt;&gt;"pvp",Inputs!$B$44&gt;0),((Skills!G8*((R1092-1)*IF(Skills!H8&gt;0,Skills!I8/Skills!H8,1)+IF(Skills!H8&gt;0,MIN(Skills!I8,MAX(0,MAX(0,Inputs!$B$44-B1128)-((R1092-1)*IF(Inputs!$B$39="pvp",15,MAX(0.1,Skills!D8-IF(Skills!E8=TRUE,Inputs!$B$32,0))))))/Skills!H8,1)))/Inputs!$B$44),G1092*Q1092))*IF(Inputs!$B$39="pvp",1,1+(Inputs!$B$20+0+Skills!P8+B1118)/100),0)</f>
        <v/>
      </c>
      <c r="V1092">
        <f>IF(C1092,(H1092*N1092*IF(AND(Inputs!$B$39&lt;&gt;"pvp",Inputs!$B$44&gt;0),((Skills!G8*((R1092-1)*IF(Skills!H8&gt;0,Skills!I8/Skills!H8,1)+IF(Skills!H8&gt;0,MIN(Skills!I8,MAX(0,MAX(0,Inputs!$B$44-B1128)-((R1092-1)*IF(Inputs!$B$39="pvp",15,MAX(0.1,Skills!D8-IF(Skills!E8=TRUE,Inputs!$B$32,0))))))/Skills!H8,1)))/Inputs!$B$44),G1092*Q1092))*IF(Inputs!$B$39="pvp",1,(1+(Inputs!$B$21+Skills!Q8+B1118)/100)*(MIN(Skills!W8,Inputs!$B$37))),0)</f>
        <v/>
      </c>
    </row>
    <row r="1093">
      <c r="A1093">
        <f>Skills!A9</f>
        <v/>
      </c>
      <c r="B1093">
        <f>Skills!B9</f>
        <v/>
      </c>
      <c r="C1093">
        <f>Inputs!$B$3&gt;=117</f>
        <v/>
      </c>
      <c r="D1093">
        <f>IF(Skills!C9=1,60+Inputs!$B$25+Inputs!$B$29,IF(Skills!C9=2,90+Inputs!$B$26+Inputs!$B$29,IF(Skills!C9=3,120+Inputs!$B$27+Inputs!$B$29,MAX(0,(Inputs!$B$3-100)*3)+Inputs!$B$28+Inputs!$B$29)))</f>
        <v/>
      </c>
      <c r="E1093">
        <f>INDEX(FactorTable!$B$2:$Y$301, MATCH(ROUND(MIN(300,MAX(1,D1093)),0), FactorTable!$A$2:$A$301,0), Skills!M9+1)</f>
        <v/>
      </c>
      <c r="F1093">
        <f>IF(Skills!N9=TRUE,(Skills!L9/10)*(E1093/1000),Skills!L9/10)+Skills!O9</f>
        <v/>
      </c>
      <c r="G1093">
        <f>Skills!G9*IF(Skills!H9&gt;0,Skills!I9/Skills!H9,1)</f>
        <v/>
      </c>
      <c r="H1093">
        <f>1-(1-Skills!J9/100)^Skills!K9</f>
        <v/>
      </c>
      <c r="I1093" t="inlineStr">
        <is>
          <t>1</t>
        </is>
      </c>
      <c r="J1093">
        <f>(((Inputs!$B$6+1)*(1+Inputs!$B$7/100))+(((Inputs!$B$12*(1+Inputs!$B$13/100))-(Inputs!$B$12*(1+Inputs!$B$13/100)))+0.25*(Inputs!$B$14-Inputs!$B$14))*(1+Inputs!$B$7/100))*(F1093/100)</f>
        <v/>
      </c>
      <c r="K1093">
        <f>J1093*(1+((Inputs!$B$12*(1+Inputs!$B$13/100))*0.01+Inputs!$B$14*0.0025)/100)*(1+Inputs!$B$15/100)*(1+Inputs!$B$16/100)*(5000/(6000+Inputs!$B$43*(1-Inputs!$B$19/100)))*(1+(Inputs!$B$24+((C1114=TRUE)*(F1114-Calc!F30)))/100)*(1+(IF(Skills!A9="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1093)</f>
        <v/>
      </c>
      <c r="L1093">
        <f>K1093*(MIN(Inputs!$B$22+((C1108=TRUE)*(F1108-Calc!F24)),Inputs!$B$23+((C1113=TRUE)*(F1113-Calc!F29)))/100+(Inputs!$B$23+((C1113=TRUE)*(F1113-Calc!F29)))/100)/2</f>
        <v/>
      </c>
      <c r="M1093">
        <f>L1093*(1+(Inputs!$B$10+((C1110=TRUE)*(F1110-Calc!F26))+B1124)/100)</f>
        <v/>
      </c>
      <c r="N1093">
        <f>L1093*(1-MIN((Inputs!$B$9+((C1109=TRUE)*(F1109-Calc!F25))+B1117),100)/100)+M1093*(MIN((Inputs!$B$9+((C1109=TRUE)*(F1109-Calc!F25))+B1117),100)/100)</f>
        <v/>
      </c>
      <c r="O1093">
        <f>(1-Summary!$B$55)*T1093+Summary!$B$55*V1093</f>
        <v/>
      </c>
      <c r="P1093">
        <f>IF(B1129=0,0,O1093/B1129)</f>
        <v/>
      </c>
      <c r="Q1093" t="n">
        <v>0</v>
      </c>
      <c r="R1093" t="n">
        <v>0</v>
      </c>
      <c r="S1093" t="n">
        <v>0</v>
      </c>
      <c r="T1093">
        <f>IF(C1093,(0.2*SUMPRODUCT((Skills!Z2:Z30=TRUE)*(C1086:C1114=TRUE)*S1086:S1114)*N1093)*IF(Inputs!$B$39="pvp",1,1+(Inputs!$B$20+0+Skills!P9+B1118)/100),0)</f>
        <v/>
      </c>
      <c r="V1093">
        <f>IF(C1093,(0.2*SUMPRODUCT((Skills!Z2:Z30=TRUE)*(C1086:C1114=TRUE)*S1086:S1114)*N1093)*IF(Inputs!$B$39="pvp",1,(1+(Inputs!$B$21+Skills!Q9+B1118)/100)*(MIN(Skills!W9,Inputs!$B$37))),0)</f>
        <v/>
      </c>
    </row>
    <row r="1094">
      <c r="A1094">
        <f>Skills!A10</f>
        <v/>
      </c>
      <c r="B1094">
        <f>Skills!B10</f>
        <v/>
      </c>
      <c r="C1094">
        <f>Inputs!$B$3&gt;=74</f>
        <v/>
      </c>
      <c r="D1094">
        <f>IF(Skills!C10=1,60+Inputs!$B$25+Inputs!$B$29,IF(Skills!C10=2,90+Inputs!$B$26+Inputs!$B$29,IF(Skills!C10=3,120+Inputs!$B$27+Inputs!$B$29,MAX(0,(Inputs!$B$3-100)*3)+Inputs!$B$28+Inputs!$B$29)))</f>
        <v/>
      </c>
      <c r="E1094">
        <f>INDEX(FactorTable!$B$2:$Y$301, MATCH(ROUND(MIN(300,MAX(1,D1094)),0), FactorTable!$A$2:$A$301,0), Skills!M10+1)</f>
        <v/>
      </c>
      <c r="F1094">
        <f>IF(Skills!N10=TRUE,(Skills!L10/10)*(E1094/1000),Skills!L10/10)+Skills!O10</f>
        <v/>
      </c>
      <c r="G1094">
        <f>Skills!G10*IF(Skills!H10&gt;0,Skills!I10/Skills!H10,1)</f>
        <v/>
      </c>
      <c r="H1094">
        <f>1-(1-Skills!J10/100)^Skills!K10</f>
        <v/>
      </c>
      <c r="I1094" t="inlineStr">
        <is>
          <t>1</t>
        </is>
      </c>
      <c r="J1094" t="inlineStr"/>
      <c r="K1094" t="inlineStr"/>
      <c r="L1094" t="inlineStr"/>
      <c r="M1094" t="inlineStr"/>
      <c r="N1094" t="inlineStr"/>
      <c r="O1094">
        <f>(1-Summary!$B$55)*T1094+Summary!$B$55*V1094</f>
        <v/>
      </c>
      <c r="P1094">
        <f>IF(B1129=0,0,O1094/B1129)</f>
        <v/>
      </c>
      <c r="Q1094">
        <f>IFERROR(1/IF(Inputs!$B$39="pvp",15,MAX(0.1,Skills!D10-IF(Skills!E10=TRUE,Inputs!$B$32,0))),0)</f>
        <v/>
      </c>
      <c r="R1094">
        <f>IF(AND(Inputs!$B$39&lt;&gt;"pvp",Inputs!$B$44&gt;0),IF(Inputs!$B$44&lt;=0,0,(INT(Inputs!$B$44/IF(Inputs!$B$39="pvp",15,MAX(0.1,Skills!D10-IF(Skills!E10=TRUE,Inputs!$B$32,0))))+1)),0)</f>
        <v/>
      </c>
      <c r="S1094">
        <f>IFERROR(O1094/N1094,0)</f>
        <v/>
      </c>
      <c r="T1094" t="n">
        <v>0</v>
      </c>
      <c r="V1094" t="n">
        <v>0</v>
      </c>
    </row>
    <row r="1095">
      <c r="A1095">
        <f>Skills!A11</f>
        <v/>
      </c>
      <c r="B1095">
        <f>Skills!B11</f>
        <v/>
      </c>
      <c r="C1095">
        <f>Inputs!$B$3&gt;=103</f>
        <v/>
      </c>
      <c r="D1095">
        <f>IF(Skills!C11=1,60+Inputs!$B$25+Inputs!$B$29,IF(Skills!C11=2,90+Inputs!$B$26+Inputs!$B$29,IF(Skills!C11=3,120+Inputs!$B$27+Inputs!$B$29,MAX(0,(Inputs!$B$3-100)*3)+Inputs!$B$28+Inputs!$B$29)))</f>
        <v/>
      </c>
      <c r="E1095">
        <f>INDEX(FactorTable!$B$2:$Y$301, MATCH(ROUND(MIN(300,MAX(1,D1095)),0), FactorTable!$A$2:$A$301,0), Skills!M11+1)</f>
        <v/>
      </c>
      <c r="F1095">
        <f>(Skills!L11/10)*(E1095/1000)+IF(Inputs!$B$3&gt;=134,50,0)+0.5*(30000/10)*(INDEX(FactorTable!$B$2:$Y$301, MATCH(ROUND(MIN(300,MAX(1,D1095)),0), FactorTable!$A$2:$A$301,0), 13)/1000)*B1127</f>
        <v/>
      </c>
      <c r="G1095">
        <f>Skills!G11*IF(Skills!H11&gt;0,Skills!I11/Skills!H11,1)</f>
        <v/>
      </c>
      <c r="H1095">
        <f>1-(1-Skills!J11/100)^Skills!K11</f>
        <v/>
      </c>
      <c r="I1095" t="inlineStr">
        <is>
          <t>1</t>
        </is>
      </c>
      <c r="J1095">
        <f>(((Inputs!$B$6+1)*(1+Inputs!$B$7/100))+(((Inputs!$B$12*(1+Inputs!$B$13/100))-(Inputs!$B$12*(1+Inputs!$B$13/100)))+0.25*(Inputs!$B$14-Inputs!$B$14))*(1+Inputs!$B$7/100))*(F1095/100)</f>
        <v/>
      </c>
      <c r="K1095">
        <f>J1095*(1+((Inputs!$B$12*(1+Inputs!$B$13/100))*0.01+Inputs!$B$14*0.0025)/100)*(1+Inputs!$B$15/100)*(1+Inputs!$B$16/100)*(5000/(6000+Inputs!$B$43*(1-Inputs!$B$19/100)))*(1+(Inputs!$B$24+((C1114=TRUE)*(F1114-Calc!F30)))/100)*(1+(IF(Skills!A11="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1095)</f>
        <v/>
      </c>
      <c r="L1095">
        <f>K1095*(MIN(Inputs!$B$22+((C1108=TRUE)*(F1108-Calc!F24)),Inputs!$B$23+((C1113=TRUE)*(F1113-Calc!F29)))/100+(Inputs!$B$23+((C1113=TRUE)*(F1113-Calc!F29)))/100)/2</f>
        <v/>
      </c>
      <c r="M1095">
        <f>L1095*(1+(Inputs!$B$10+((C1110=TRUE)*(F1110-Calc!F26))+B1124)/100)</f>
        <v/>
      </c>
      <c r="N1095">
        <f>L1095*(1-MIN((Inputs!$B$9+((C1109=TRUE)*(F1109-Calc!F25))+B1117),100)/100)+M1095*(MIN((Inputs!$B$9+((C1109=TRUE)*(F1109-Calc!F25))+B1117),100)/100)</f>
        <v/>
      </c>
      <c r="O1095">
        <f>(1-Summary!$B$55)*T1095+Summary!$B$55*V1095</f>
        <v/>
      </c>
      <c r="P1095">
        <f>IF(B1129=0,0,O1095/B1129)</f>
        <v/>
      </c>
      <c r="Q1095">
        <f>IFERROR(1/IF(Inputs!$B$39="pvp",15,MAX(0.1,Skills!D11-IF(Skills!E11=TRUE,Inputs!$B$32,0))),0)</f>
        <v/>
      </c>
      <c r="R1095">
        <f>IF(AND(Inputs!$B$39&lt;&gt;"pvp",Inputs!$B$44&gt;0),IF(MAX(0,Inputs!$B$44-B1128)&lt;=0,0,(INT(MAX(0,Inputs!$B$44-B1128)/IF(Inputs!$B$39="pvp",15,MAX(0.1,Skills!D11-IF(Skills!E11=TRUE,Inputs!$B$32,0))))+1)),0)</f>
        <v/>
      </c>
      <c r="S1095">
        <f>IFERROR(O1095/N1095,0)</f>
        <v/>
      </c>
      <c r="T1095">
        <f>IF(C1095,(H1095*N1095*IF(AND(Inputs!$B$39&lt;&gt;"pvp",Inputs!$B$44&gt;0),((Skills!G11*((R1095-1)*IF(Skills!H11&gt;0,Skills!I11/Skills!H11,1)+IF(Skills!H11&gt;0,MIN(Skills!I11,MAX(0,MAX(0,Inputs!$B$44-B1128)-((R1095-1)*IF(Inputs!$B$39="pvp",15,MAX(0.1,Skills!D11-IF(Skills!E11=TRUE,Inputs!$B$32,0))))))/Skills!H11,1)))/Inputs!$B$44),G1095*Q1095))*IF(Inputs!$B$39="pvp",1,1+(Inputs!$B$20+0+Skills!P11+B1118)/100),0)</f>
        <v/>
      </c>
      <c r="V1095">
        <f>IF(C1095,(H1095*N1095*IF(AND(Inputs!$B$39&lt;&gt;"pvp",Inputs!$B$44&gt;0),((Skills!G11*((R1095-1)*IF(Skills!H11&gt;0,Skills!I11/Skills!H11,1)+IF(Skills!H11&gt;0,MIN(Skills!I11,MAX(0,MAX(0,Inputs!$B$44-B1128)-((R1095-1)*IF(Inputs!$B$39="pvp",15,MAX(0.1,Skills!D11-IF(Skills!E11=TRUE,Inputs!$B$32,0))))))/Skills!H11,1)))/Inputs!$B$44),G1095*Q1095))*IF(Inputs!$B$39="pvp",1,(1+(Inputs!$B$21+Skills!Q11+B1118)/100)*(MIN(Skills!W11,Inputs!$B$37))),0)</f>
        <v/>
      </c>
    </row>
    <row r="1096">
      <c r="A1096">
        <f>Skills!A12</f>
        <v/>
      </c>
      <c r="B1096">
        <f>Skills!B12</f>
        <v/>
      </c>
      <c r="C1096">
        <f>Inputs!$B$3&gt;=105</f>
        <v/>
      </c>
      <c r="D1096">
        <f>IF(Skills!C12=1,60+Inputs!$B$25+Inputs!$B$29,IF(Skills!C12=2,90+Inputs!$B$26+Inputs!$B$29,IF(Skills!C12=3,120+Inputs!$B$27+Inputs!$B$29,MAX(0,(Inputs!$B$3-100)*3)+Inputs!$B$28+Inputs!$B$29)))</f>
        <v/>
      </c>
      <c r="E1096">
        <f>INDEX(FactorTable!$B$2:$Y$301, MATCH(ROUND(MIN(300,MAX(1,D1096)),0), FactorTable!$A$2:$A$301,0), Skills!M12+1)</f>
        <v/>
      </c>
      <c r="F1096">
        <f>IF(Skills!N12=TRUE,(Skills!L12/10)*(E1096/1000),Skills!L12/10)+Skills!O12</f>
        <v/>
      </c>
      <c r="G1096">
        <f>Skills!G12*IF(Skills!H12&gt;0,Skills!I12/Skills!H12,1)</f>
        <v/>
      </c>
      <c r="H1096">
        <f>1-(1-Skills!J12/100)^Skills!K12</f>
        <v/>
      </c>
      <c r="I1096" t="inlineStr">
        <is>
          <t>1</t>
        </is>
      </c>
      <c r="J1096">
        <f>(((Inputs!$B$6+1)*(1+Inputs!$B$7/100))+(((Inputs!$B$12*(1+Inputs!$B$13/100))-(Inputs!$B$12*(1+Inputs!$B$13/100)))+0.25*(Inputs!$B$14-Inputs!$B$14))*(1+Inputs!$B$7/100))*(F1096/100)</f>
        <v/>
      </c>
      <c r="K1096">
        <f>J1096*(1+((Inputs!$B$12*(1+Inputs!$B$13/100))*0.01+Inputs!$B$14*0.0025)/100)*(1+Inputs!$B$15/100)*(1+Inputs!$B$16/100)*(5000/(6000+Inputs!$B$43*(1-Inputs!$B$19/100)))*(1+(Inputs!$B$24+((C1114=TRUE)*(F1114-Calc!F30)))/100)*(1+(IF(Skills!A12="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1096)</f>
        <v/>
      </c>
      <c r="L1096">
        <f>K1096*(MIN(Inputs!$B$22+((C1108=TRUE)*(F1108-Calc!F24)),Inputs!$B$23+((C1113=TRUE)*(F1113-Calc!F29)))/100+(Inputs!$B$23+((C1113=TRUE)*(F1113-Calc!F29)))/100)/2</f>
        <v/>
      </c>
      <c r="M1096">
        <f>L1096*(1+(Inputs!$B$10+((C1110=TRUE)*(F1110-Calc!F26))+B1124)/100)</f>
        <v/>
      </c>
      <c r="N1096">
        <f>L1096*(1-MIN((Inputs!$B$9+((C1109=TRUE)*(F1109-Calc!F25))+B1117),100)/100)+M1096*(MIN((Inputs!$B$9+((C1109=TRUE)*(F1109-Calc!F25))+B1117),100)/100)</f>
        <v/>
      </c>
      <c r="O1096">
        <f>(1-Summary!$B$55)*T1096+Summary!$B$55*V1096</f>
        <v/>
      </c>
      <c r="P1096">
        <f>IF(B1129=0,0,O1096/B1129)</f>
        <v/>
      </c>
      <c r="Q1096">
        <f>IFERROR(1/IF(Inputs!$B$39="pvp",15,MAX(0.1,Skills!D12-IF(Skills!E12=TRUE,Inputs!$B$32,0))),0)</f>
        <v/>
      </c>
      <c r="R1096">
        <f>IF(AND(Inputs!$B$39&lt;&gt;"pvp",Inputs!$B$44&gt;0),IF(MAX(0,Inputs!$B$44-B1128)&lt;=0,0,(INT(MAX(0,Inputs!$B$44-B1128)/IF(Inputs!$B$39="pvp",15,MAX(0.1,Skills!D12-IF(Skills!E12=TRUE,Inputs!$B$32,0))))+1)),0)</f>
        <v/>
      </c>
      <c r="S1096">
        <f>IFERROR(O1096/N1096,0)</f>
        <v/>
      </c>
      <c r="T1096">
        <f>IF(C1096,(H1096*N1096*IF(AND(Inputs!$B$39&lt;&gt;"pvp",Inputs!$B$44&gt;0),((Skills!G12*((R1096-1)*IF(Skills!H12&gt;0,Skills!I12/Skills!H12,1)+IF(Skills!H12&gt;0,MIN(Skills!I12,MAX(0,MAX(0,Inputs!$B$44-B1128)-((R1096-1)*IF(Inputs!$B$39="pvp",15,MAX(0.1,Skills!D12-IF(Skills!E12=TRUE,Inputs!$B$32,0))))))/Skills!H12,1)))/Inputs!$B$44),G1096*Q1096))*IF(Inputs!$B$39="pvp",1,1+(Inputs!$B$20+0+Skills!P12+B1118)/100),0)</f>
        <v/>
      </c>
      <c r="V1096">
        <f>IF(C1096,(H1096*N1096*IF(AND(Inputs!$B$39&lt;&gt;"pvp",Inputs!$B$44&gt;0),((Skills!G12*((R1096-1)*IF(Skills!H12&gt;0,Skills!I12/Skills!H12,1)+IF(Skills!H12&gt;0,MIN(Skills!I12,MAX(0,MAX(0,Inputs!$B$44-B1128)-((R1096-1)*IF(Inputs!$B$39="pvp",15,MAX(0.1,Skills!D12-IF(Skills!E12=TRUE,Inputs!$B$32,0))))))/Skills!H12,1)))/Inputs!$B$44),G1096*Q1096))*IF(Inputs!$B$39="pvp",1,(1+(Inputs!$B$21+Skills!Q12+B1118)/100)*(MIN(Skills!W12,Inputs!$B$37))),0)</f>
        <v/>
      </c>
    </row>
    <row r="1097">
      <c r="A1097">
        <f>Skills!A13</f>
        <v/>
      </c>
      <c r="B1097">
        <f>Skills!B13</f>
        <v/>
      </c>
      <c r="C1097">
        <f>Inputs!$B$3&gt;=105</f>
        <v/>
      </c>
      <c r="D1097">
        <f>IF(Skills!C13=1,60+Inputs!$B$25+Inputs!$B$29,IF(Skills!C13=2,90+Inputs!$B$26+Inputs!$B$29,IF(Skills!C13=3,120+Inputs!$B$27+Inputs!$B$29,MAX(0,(Inputs!$B$3-100)*3)+Inputs!$B$28+Inputs!$B$29)))</f>
        <v/>
      </c>
      <c r="E1097">
        <f>INDEX(FactorTable!$B$2:$Y$301, MATCH(ROUND(MIN(300,MAX(1,D1097)),0), FactorTable!$A$2:$A$301,0), Skills!M13+1)</f>
        <v/>
      </c>
      <c r="F1097">
        <f>IF(Skills!N13=TRUE,(Skills!L13/10)*(E1097/1000),Skills!L13/10)+Skills!O13</f>
        <v/>
      </c>
      <c r="G1097">
        <f>Skills!G13*IF(Skills!H13&gt;0,Skills!I13/Skills!H13,1)</f>
        <v/>
      </c>
      <c r="H1097">
        <f>1-(1-Skills!J13/100)^Skills!K13</f>
        <v/>
      </c>
      <c r="I1097" t="inlineStr">
        <is>
          <t>1</t>
        </is>
      </c>
      <c r="J1097">
        <f>(((Inputs!$B$6+1)*(1+Inputs!$B$7/100))+(((Inputs!$B$12*(1+Inputs!$B$13/100))-(Inputs!$B$12*(1+Inputs!$B$13/100)))+0.25*(Inputs!$B$14-Inputs!$B$14))*(1+Inputs!$B$7/100))*(F1097/100)</f>
        <v/>
      </c>
      <c r="K1097">
        <f>J1097*(1+((Inputs!$B$12*(1+Inputs!$B$13/100))*0.01+Inputs!$B$14*0.0025)/100)*(1+Inputs!$B$15/100)*(1+Inputs!$B$16/100)*(5000/(6000+Inputs!$B$43*(1-Inputs!$B$19/100)))*(1+(Inputs!$B$24+((C1114=TRUE)*(F1114-Calc!F30)))/100)*(1+(IF(Skills!A13="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1097)</f>
        <v/>
      </c>
      <c r="L1097">
        <f>K1097*(MIN(Inputs!$B$22+((C1108=TRUE)*(F1108-Calc!F24)),Inputs!$B$23+((C1113=TRUE)*(F1113-Calc!F29)))/100+(Inputs!$B$23+((C1113=TRUE)*(F1113-Calc!F29)))/100)/2</f>
        <v/>
      </c>
      <c r="M1097">
        <f>L1097*(1+(Inputs!$B$10+((C1110=TRUE)*(F1110-Calc!F26))+B1124)/100)</f>
        <v/>
      </c>
      <c r="N1097">
        <f>L1097*(1-MIN((Inputs!$B$9+((C1109=TRUE)*(F1109-Calc!F25))+B1117),100)/100)+M1097*(MIN((Inputs!$B$9+((C1109=TRUE)*(F1109-Calc!F25))+B1117),100)/100)</f>
        <v/>
      </c>
      <c r="O1097">
        <f>(1-Summary!$B$55)*T1097+Summary!$B$55*V1097</f>
        <v/>
      </c>
      <c r="P1097">
        <f>IF(B1129=0,0,O1097/B1129)</f>
        <v/>
      </c>
      <c r="Q1097">
        <f>IFERROR(1/IF(Inputs!$B$39="pvp",15,MAX(0.1,Skills!D13-IF(Skills!E13=TRUE,Inputs!$B$32,0))),0)</f>
        <v/>
      </c>
      <c r="R1097">
        <f>IF(AND(Inputs!$B$39&lt;&gt;"pvp",Inputs!$B$44&gt;0),IF(MAX(0,Inputs!$B$44-B1128)&lt;=0,0,(INT(MAX(0,Inputs!$B$44-B1128)/IF(Inputs!$B$39="pvp",15,MAX(0.1,Skills!D13-IF(Skills!E13=TRUE,Inputs!$B$32,0))))+1)),0)</f>
        <v/>
      </c>
      <c r="S1097">
        <f>IFERROR(O1097/N1097,0)</f>
        <v/>
      </c>
      <c r="T1097">
        <f>IF(C1097,(H1097*N1097*IF(AND(Inputs!$B$39&lt;&gt;"pvp",Inputs!$B$44&gt;0),((Skills!G13*((R1097-1)*IF(Skills!H13&gt;0,Skills!I13/Skills!H13,1)+IF(Skills!H13&gt;0,MIN(Skills!I13,MAX(0,MAX(0,Inputs!$B$44-B1128)-((R1097-1)*IF(Inputs!$B$39="pvp",15,MAX(0.1,Skills!D13-IF(Skills!E13=TRUE,Inputs!$B$32,0))))))/Skills!H13,1)))/Inputs!$B$44),G1097*Q1097))*IF(Inputs!$B$39="pvp",1,1+(Inputs!$B$20+0+Skills!P13+B1118)/100),0)</f>
        <v/>
      </c>
      <c r="V1097">
        <f>IF(C1097,(H1097*N1097*IF(AND(Inputs!$B$39&lt;&gt;"pvp",Inputs!$B$44&gt;0),((Skills!G13*((R1097-1)*IF(Skills!H13&gt;0,Skills!I13/Skills!H13,1)+IF(Skills!H13&gt;0,MIN(Skills!I13,MAX(0,MAX(0,Inputs!$B$44-B1128)-((R1097-1)*IF(Inputs!$B$39="pvp",15,MAX(0.1,Skills!D13-IF(Skills!E13=TRUE,Inputs!$B$32,0))))))/Skills!H13,1)))/Inputs!$B$44),G1097*Q1097))*IF(Inputs!$B$39="pvp",1,(1+(Inputs!$B$21+Skills!Q13+B1118)/100)*(MIN(Skills!W13,Inputs!$B$37))),0)</f>
        <v/>
      </c>
    </row>
    <row r="1098">
      <c r="A1098">
        <f>Skills!A14</f>
        <v/>
      </c>
      <c r="B1098">
        <f>Skills!B14</f>
        <v/>
      </c>
      <c r="C1098">
        <f>Inputs!$B$3&gt;=107</f>
        <v/>
      </c>
      <c r="D1098">
        <f>IF(Skills!C14=1,60+Inputs!$B$25+Inputs!$B$29,IF(Skills!C14=2,90+Inputs!$B$26+Inputs!$B$29,IF(Skills!C14=3,120+Inputs!$B$27+Inputs!$B$29,MAX(0,(Inputs!$B$3-100)*3)+Inputs!$B$28+Inputs!$B$29)))</f>
        <v/>
      </c>
      <c r="E1098">
        <f>INDEX(FactorTable!$B$2:$Y$301, MATCH(ROUND(MIN(300,MAX(1,D1098)),0), FactorTable!$A$2:$A$301,0), Skills!M14+1)</f>
        <v/>
      </c>
      <c r="F1098">
        <f>IF(Skills!N14=TRUE,(Skills!L14/10)*(E1098/1000),Skills!L14/10)+Skills!O14</f>
        <v/>
      </c>
      <c r="G1098">
        <f>Skills!G14*IF(Skills!H14&gt;0,Skills!I14/Skills!H14,1)</f>
        <v/>
      </c>
      <c r="H1098">
        <f>1-(1-Skills!J14/100)^Skills!K14</f>
        <v/>
      </c>
      <c r="I1098" t="inlineStr">
        <is>
          <t>1</t>
        </is>
      </c>
      <c r="J1098">
        <f>(((Inputs!$B$6+1)*(1+Inputs!$B$7/100))+(((Inputs!$B$12*(1+Inputs!$B$13/100))-(Inputs!$B$12*(1+Inputs!$B$13/100)))+0.25*(Inputs!$B$14-Inputs!$B$14))*(1+Inputs!$B$7/100))*(F1098/100)</f>
        <v/>
      </c>
      <c r="K1098">
        <f>J1098*(1+((Inputs!$B$12*(1+Inputs!$B$13/100))*0.01+Inputs!$B$14*0.0025)/100)*(1+Inputs!$B$15/100)*(1+Inputs!$B$16/100)*(5000/(6000+Inputs!$B$43*(1-Inputs!$B$19/100)))*(1+(Inputs!$B$24+((C1114=TRUE)*(F1114-Calc!F30)))/100)*(1+(IF(Skills!A14="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1098)</f>
        <v/>
      </c>
      <c r="L1098">
        <f>K1098*(MIN(Inputs!$B$22+((C1108=TRUE)*(F1108-Calc!F24)),Inputs!$B$23+((C1113=TRUE)*(F1113-Calc!F29)))/100+(Inputs!$B$23+((C1113=TRUE)*(F1113-Calc!F29)))/100)/2</f>
        <v/>
      </c>
      <c r="M1098">
        <f>L1098*(1+(Inputs!$B$10+((C1110=TRUE)*(F1110-Calc!F26))+B1124)/100)</f>
        <v/>
      </c>
      <c r="N1098">
        <f>L1098*(1-MIN((Inputs!$B$9+((C1109=TRUE)*(F1109-Calc!F25))+B1117),100)/100)+M1098*(MIN((Inputs!$B$9+((C1109=TRUE)*(F1109-Calc!F25))+B1117),100)/100)</f>
        <v/>
      </c>
      <c r="O1098">
        <f>(1-Summary!$B$55)*T1098+Summary!$B$55*V1098</f>
        <v/>
      </c>
      <c r="P1098">
        <f>IF(B1129=0,0,O1098/B1129)</f>
        <v/>
      </c>
      <c r="Q1098">
        <f>IFERROR(1/IF(Inputs!$B$39="pvp",15,MAX(0.1,Skills!D14-IF(Skills!E14=TRUE,Inputs!$B$32,0))),0)</f>
        <v/>
      </c>
      <c r="R1098">
        <f>IF(AND(Inputs!$B$39&lt;&gt;"pvp",Inputs!$B$44&gt;0),IF(MAX(0,Inputs!$B$44-B1128)&lt;=0,0,(INT(MAX(0,Inputs!$B$44-B1128)/IF(Inputs!$B$39="pvp",15,MAX(0.1,Skills!D14-IF(Skills!E14=TRUE,Inputs!$B$32,0))))+1)),0)</f>
        <v/>
      </c>
      <c r="S1098">
        <f>IFERROR(O1098/N1098,0)</f>
        <v/>
      </c>
      <c r="T1098">
        <f>IF(C1098,(H1098*N1098*IF(AND(Inputs!$B$39&lt;&gt;"pvp",Inputs!$B$44&gt;0),((Skills!G14*((R1098-1)*IF(Skills!H14&gt;0,Skills!I14/Skills!H14,1)+IF(Skills!H14&gt;0,MIN(Skills!I14,MAX(0,MAX(0,Inputs!$B$44-B1128)-((R1098-1)*IF(Inputs!$B$39="pvp",15,MAX(0.1,Skills!D14-IF(Skills!E14=TRUE,Inputs!$B$32,0))))))/Skills!H14,1)))/Inputs!$B$44),G1098*Q1098))*IF(Inputs!$B$39="pvp",1,1+(Inputs!$B$20+0+Skills!P14+B1118)/100),0)</f>
        <v/>
      </c>
      <c r="V1098">
        <f>IF(C1098,(H1098*N1098*IF(AND(Inputs!$B$39&lt;&gt;"pvp",Inputs!$B$44&gt;0),((Skills!G14*((R1098-1)*IF(Skills!H14&gt;0,Skills!I14/Skills!H14,1)+IF(Skills!H14&gt;0,MIN(Skills!I14,MAX(0,MAX(0,Inputs!$B$44-B1128)-((R1098-1)*IF(Inputs!$B$39="pvp",15,MAX(0.1,Skills!D14-IF(Skills!E14=TRUE,Inputs!$B$32,0))))))/Skills!H14,1)))/Inputs!$B$44),G1098*Q1098))*IF(Inputs!$B$39="pvp",1,(1+(Inputs!$B$21+Skills!Q14+B1118)/100)*(MIN(MIN(5,0.25*B1121*Skills!D4)*Skills!V14,Inputs!$B$37))),0)</f>
        <v/>
      </c>
    </row>
    <row r="1099">
      <c r="A1099">
        <f>Skills!A15</f>
        <v/>
      </c>
      <c r="B1099">
        <f>Skills!B15</f>
        <v/>
      </c>
      <c r="C1099">
        <f>Inputs!$B$3&gt;=110</f>
        <v/>
      </c>
      <c r="D1099">
        <f>IF(Skills!C15=1,60+Inputs!$B$25+Inputs!$B$29,IF(Skills!C15=2,90+Inputs!$B$26+Inputs!$B$29,IF(Skills!C15=3,120+Inputs!$B$27+Inputs!$B$29,MAX(0,(Inputs!$B$3-100)*3)+Inputs!$B$28+Inputs!$B$29)))</f>
        <v/>
      </c>
      <c r="E1099">
        <f>INDEX(FactorTable!$B$2:$Y$301, MATCH(ROUND(MIN(300,MAX(1,D1099)),0), FactorTable!$A$2:$A$301,0), Skills!M15+1)</f>
        <v/>
      </c>
      <c r="F1099">
        <f>IF(Skills!N15=TRUE,(Skills!L15/10)*(E1099/1000),Skills!L15/10)+Skills!O15</f>
        <v/>
      </c>
      <c r="G1099">
        <f>Skills!G15*IF(Skills!H15&gt;0,Skills!I15/Skills!H15,1)</f>
        <v/>
      </c>
      <c r="H1099">
        <f>1-(1-Skills!J15/100)^Skills!K15</f>
        <v/>
      </c>
      <c r="I1099" t="inlineStr">
        <is>
          <t>1</t>
        </is>
      </c>
      <c r="J1099" t="inlineStr"/>
      <c r="K1099" t="inlineStr"/>
      <c r="L1099" t="inlineStr"/>
      <c r="M1099" t="inlineStr"/>
      <c r="N1099" t="inlineStr"/>
      <c r="O1099">
        <f>(1-Summary!$B$55)*T1099+Summary!$B$55*V1099</f>
        <v/>
      </c>
      <c r="P1099">
        <f>IF(B1129=0,0,O1099/B1129)</f>
        <v/>
      </c>
      <c r="Q1099">
        <f>IFERROR(1/IF(Inputs!$B$39="pvp",15,MAX(0.1,Skills!D15-IF(Skills!E15=TRUE,Inputs!$B$32,0))),0)</f>
        <v/>
      </c>
      <c r="R1099">
        <f>IF(AND(Inputs!$B$39&lt;&gt;"pvp",Inputs!$B$44&gt;0),IF(Inputs!$B$44&lt;=0,0,(INT(Inputs!$B$44/IF(Inputs!$B$39="pvp",15,MAX(0.1,Skills!D15-IF(Skills!E15=TRUE,Inputs!$B$32,0))))+1)),0)</f>
        <v/>
      </c>
      <c r="S1099">
        <f>IFERROR(O1099/N1099,0)</f>
        <v/>
      </c>
      <c r="T1099" t="n">
        <v>0</v>
      </c>
      <c r="V1099" t="n">
        <v>0</v>
      </c>
    </row>
    <row r="1100">
      <c r="A1100">
        <f>Skills!A16</f>
        <v/>
      </c>
      <c r="B1100">
        <f>Skills!B16</f>
        <v/>
      </c>
      <c r="C1100">
        <f>Inputs!$B$3&gt;=115</f>
        <v/>
      </c>
      <c r="D1100">
        <f>IF(Skills!C16=1,60+Inputs!$B$25+Inputs!$B$29,IF(Skills!C16=2,90+Inputs!$B$26+Inputs!$B$29,IF(Skills!C16=3,120+Inputs!$B$27+Inputs!$B$29,MAX(0,(Inputs!$B$3-100)*3)+Inputs!$B$28+Inputs!$B$29)))</f>
        <v/>
      </c>
      <c r="E1100">
        <f>INDEX(FactorTable!$B$2:$Y$301, MATCH(ROUND(MIN(300,MAX(1,D1100)),0), FactorTable!$A$2:$A$301,0), Skills!M16+1)</f>
        <v/>
      </c>
      <c r="F1100">
        <f>IF(Skills!N16=TRUE,(Skills!L16/10)*(E1100/1000),Skills!L16/10)+Skills!O16</f>
        <v/>
      </c>
      <c r="G1100">
        <f>Skills!G16*IF(Skills!H16&gt;0,Skills!I16/Skills!H16,1)</f>
        <v/>
      </c>
      <c r="H1100">
        <f>1-(1-Skills!J16/100)^Skills!K16</f>
        <v/>
      </c>
      <c r="I1100" t="inlineStr">
        <is>
          <t>1</t>
        </is>
      </c>
      <c r="J1100">
        <f>(((Inputs!$B$6+1)*(1+Inputs!$B$7/100))+(((Inputs!$B$12*(1+Inputs!$B$13/100))-(Inputs!$B$12*(1+Inputs!$B$13/100)))+0.25*(Inputs!$B$14-Inputs!$B$14))*(1+Inputs!$B$7/100))*(F1100/100)</f>
        <v/>
      </c>
      <c r="K1100">
        <f>J1100*(1+((Inputs!$B$12*(1+Inputs!$B$13/100))*0.01+Inputs!$B$14*0.0025)/100)*(1+Inputs!$B$15/100)*(1+Inputs!$B$16/100)*(5000/(6000+Inputs!$B$43*(1-Inputs!$B$19/100)))*(1+(Inputs!$B$24+((C1114=TRUE)*(F1114-Calc!F30)))/100)*(1+(IF(Skills!A16="CRUEL_STAB",Inputs!$B$17+((C1111=TRUE)*(F1111-Calc!F27)),Inputs!$B$18+((C1112=TRUE)*(F1112-Calc!F28))))/100)*(((1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B1119*I1100)</f>
        <v/>
      </c>
      <c r="L1100">
        <f>K1100*(MIN(Inputs!$B$22+((C1108=TRUE)*(F1108-Calc!F24)),Inputs!$B$23+((C1113=TRUE)*(F1113-Calc!F29)))/100+(Inputs!$B$23+((C1113=TRUE)*(F1113-Calc!F29)))/100)/2</f>
        <v/>
      </c>
      <c r="M1100">
        <f>L1100*(1+(Inputs!$B$10+((C1110=TRUE)*(F1110-Calc!F26))+B1124)/100)</f>
        <v/>
      </c>
      <c r="N1100">
        <f>L1100*(1-MIN((Inputs!$B$9+((C1109=TRUE)*(F1109-Calc!F25))+B1117),100)/100)+M1100*(MIN((Inputs!$B$9+((C1109=TRUE)*(F1109-Calc!F25))+B1117),100)/100)</f>
        <v/>
      </c>
      <c r="O1100">
        <f>(1-Summary!$B$55)*T1100+Summary!$B$55*V1100</f>
        <v/>
      </c>
      <c r="P1100">
        <f>IF(B1129=0,0,O1100/B1129)</f>
        <v/>
      </c>
      <c r="Q1100" t="n">
        <v>0</v>
      </c>
      <c r="R1100" t="n">
        <v>0</v>
      </c>
      <c r="S1100">
        <f>IFERROR(O1100/N1100,0)</f>
        <v/>
      </c>
      <c r="T1100">
        <f>IF(C1100,(Inputs!$B$38*0.2*N1100)*IF(Inputs!$B$39="pvp",1,1+(Inputs!$B$20+0+Skills!P16+B1118)/100),0)</f>
        <v/>
      </c>
      <c r="V1100">
        <f>IF(C1100,(Inputs!$B$38*0.2*N1100)*IF(Inputs!$B$39="pvp",1,(1+(Inputs!$B$21+Skills!Q16+B1118)/100)*(MIN(Skills!W16,Inputs!$B$37))),0)</f>
        <v/>
      </c>
    </row>
    <row r="1101">
      <c r="A1101">
        <f>Skills!A17</f>
        <v/>
      </c>
      <c r="B1101">
        <f>Skills!B17</f>
        <v/>
      </c>
      <c r="C1101">
        <f>Inputs!$B$3&gt;=115</f>
        <v/>
      </c>
      <c r="D1101">
        <f>IF(Skills!C17=1,60+Inputs!$B$25+Inputs!$B$29,IF(Skills!C17=2,90+Inputs!$B$26+Inputs!$B$29,IF(Skills!C17=3,120+Inputs!$B$27+Inputs!$B$29,MAX(0,(Inputs!$B$3-100)*3)+Inputs!$B$28+Inputs!$B$29)))</f>
        <v/>
      </c>
      <c r="E1101">
        <f>INDEX(FactorTable!$B$2:$Y$301, MATCH(ROUND(MIN(300,MAX(1,D1101)),0), FactorTable!$A$2:$A$301,0), Skills!M17+1)</f>
        <v/>
      </c>
      <c r="F1101">
        <f>IF(Skills!N17=TRUE,(Skills!L17/10)*(E1101/1000),Skills!L17/10)+Skills!O17</f>
        <v/>
      </c>
      <c r="G1101">
        <f>Skills!G17*IF(Skills!H17&gt;0,Skills!I17/Skills!H17,1)</f>
        <v/>
      </c>
      <c r="H1101">
        <f>1-(1-Skills!J17/100)^Skills!K17</f>
        <v/>
      </c>
      <c r="I1101" t="inlineStr">
        <is>
          <t>1</t>
        </is>
      </c>
      <c r="J1101" t="inlineStr"/>
      <c r="K1101" t="inlineStr"/>
      <c r="L1101" t="inlineStr"/>
      <c r="M1101" t="inlineStr"/>
      <c r="N1101" t="inlineStr"/>
      <c r="O1101">
        <f>(1-Summary!$B$55)*T1101+Summary!$B$55*V1101</f>
        <v/>
      </c>
      <c r="P1101">
        <f>IF(B1129=0,0,O1101/B1129)</f>
        <v/>
      </c>
      <c r="Q1101" t="n">
        <v>0</v>
      </c>
      <c r="R1101" t="n">
        <v>0</v>
      </c>
      <c r="S1101">
        <f>IFERROR(O1101/N1101,0)</f>
        <v/>
      </c>
      <c r="T1101" t="n">
        <v>0</v>
      </c>
      <c r="V1101" t="n">
        <v>0</v>
      </c>
    </row>
    <row r="1102">
      <c r="A1102">
        <f>Skills!A18</f>
        <v/>
      </c>
      <c r="B1102">
        <f>Skills!B18</f>
        <v/>
      </c>
      <c r="C1102">
        <f>Inputs!$B$3&gt;=100</f>
        <v/>
      </c>
      <c r="D1102">
        <f>IF(Skills!C18=1,60+Inputs!$B$25+Inputs!$B$29,IF(Skills!C18=2,90+Inputs!$B$26+Inputs!$B$29,IF(Skills!C18=3,120+Inputs!$B$27+Inputs!$B$29,MAX(0,(Inputs!$B$3-100)*3)+Inputs!$B$28+Inputs!$B$29)))</f>
        <v/>
      </c>
      <c r="E1102">
        <f>INDEX(FactorTable!$B$2:$Y$301, MATCH(ROUND(MIN(300,MAX(1,D1102)),0), FactorTable!$A$2:$A$301,0), Skills!M18+1)</f>
        <v/>
      </c>
      <c r="F1102">
        <f>IF(Skills!N18=TRUE,(Skills!L18/10)*(E1102/1000),Skills!L18/10)+Skills!O18</f>
        <v/>
      </c>
      <c r="G1102">
        <f>Skills!G18*IF(Skills!H18&gt;0,Skills!I18/Skills!H18,1)</f>
        <v/>
      </c>
      <c r="H1102">
        <f>1-(1-Skills!J18/100)^Skills!K18</f>
        <v/>
      </c>
      <c r="I1102" t="inlineStr">
        <is>
          <t>1</t>
        </is>
      </c>
      <c r="J1102" t="inlineStr"/>
      <c r="K1102" t="inlineStr"/>
      <c r="L1102" t="inlineStr"/>
      <c r="M1102" t="inlineStr"/>
      <c r="N1102" t="inlineStr"/>
      <c r="O1102">
        <f>(1-Summary!$B$55)*T1102+Summary!$B$55*V1102</f>
        <v/>
      </c>
      <c r="P1102">
        <f>IF(B1129=0,0,O1102/B1129)</f>
        <v/>
      </c>
      <c r="Q1102" t="n">
        <v>0</v>
      </c>
      <c r="R1102" t="n">
        <v>0</v>
      </c>
      <c r="S1102">
        <f>IFERROR(O1102/N1102,0)</f>
        <v/>
      </c>
      <c r="T1102" t="n">
        <v>0</v>
      </c>
      <c r="V1102" t="n">
        <v>0</v>
      </c>
    </row>
    <row r="1103">
      <c r="A1103">
        <f>Skills!A19</f>
        <v/>
      </c>
      <c r="B1103">
        <f>Skills!B19</f>
        <v/>
      </c>
      <c r="C1103">
        <f>TRUE</f>
        <v/>
      </c>
      <c r="D1103">
        <f>IF(Skills!C19=1,60+Inputs!$B$25+Inputs!$B$29,IF(Skills!C19=2,90+Inputs!$B$26+Inputs!$B$29,IF(Skills!C19=3,120+Inputs!$B$27+Inputs!$B$29,MAX(0,(Inputs!$B$3-100)*3)+Inputs!$B$28+Inputs!$B$29)))</f>
        <v/>
      </c>
      <c r="E1103">
        <f>INDEX(FactorTable!$B$2:$Y$301, MATCH(ROUND(MIN(300,MAX(1,D1103)),0), FactorTable!$A$2:$A$301,0), Skills!M19+1)</f>
        <v/>
      </c>
      <c r="F1103">
        <f>IF(Skills!N19=TRUE,(Skills!L19/10)*(E1103/1000),Skills!L19/10)+Skills!O19</f>
        <v/>
      </c>
      <c r="G1103">
        <f>Skills!G19*IF(Skills!H19&gt;0,Skills!I19/Skills!H19,1)</f>
        <v/>
      </c>
      <c r="H1103">
        <f>1-(1-Skills!J19/100)^Skills!K19</f>
        <v/>
      </c>
      <c r="I1103" t="inlineStr">
        <is>
          <t>1</t>
        </is>
      </c>
      <c r="J1103" t="inlineStr"/>
      <c r="K1103" t="inlineStr"/>
      <c r="L1103" t="inlineStr"/>
      <c r="M1103" t="inlineStr"/>
      <c r="N1103" t="inlineStr"/>
      <c r="O1103">
        <f>(1-Summary!$B$55)*T1103+Summary!$B$55*V1103</f>
        <v/>
      </c>
      <c r="P1103">
        <f>IF(B1129=0,0,O1103/B1129)</f>
        <v/>
      </c>
      <c r="Q1103">
        <f>IFERROR(1/IF(Inputs!$B$39="pvp",15,MAX(0.1,Skills!D19-IF(Skills!E19=TRUE,Inputs!$B$32,0))),0)</f>
        <v/>
      </c>
      <c r="R1103">
        <f>IF(AND(Inputs!$B$39&lt;&gt;"pvp",Inputs!$B$44&gt;0),IF(Inputs!$B$44&lt;=0,0,(INT(Inputs!$B$44/IF(Inputs!$B$39="pvp",15,MAX(0.1,Skills!D19-IF(Skills!E19=TRUE,Inputs!$B$32,0))))+1)),0)</f>
        <v/>
      </c>
      <c r="S1103">
        <f>IFERROR(O1103/N1103,0)</f>
        <v/>
      </c>
      <c r="T1103" t="n">
        <v>0</v>
      </c>
      <c r="V1103" t="n">
        <v>0</v>
      </c>
    </row>
    <row r="1104">
      <c r="A1104">
        <f>Skills!A20</f>
        <v/>
      </c>
      <c r="B1104">
        <f>Skills!B20</f>
        <v/>
      </c>
      <c r="C1104">
        <f>Inputs!$B$3&gt;=15</f>
        <v/>
      </c>
      <c r="D1104">
        <f>IF(Skills!C20=1,60+Inputs!$B$25+Inputs!$B$29,IF(Skills!C20=2,90+Inputs!$B$26+Inputs!$B$29,IF(Skills!C20=3,120+Inputs!$B$27+Inputs!$B$29,MAX(0,(Inputs!$B$3-100)*3)+Inputs!$B$28+Inputs!$B$29)))</f>
        <v/>
      </c>
      <c r="E1104">
        <f>INDEX(FactorTable!$B$2:$Y$301, MATCH(ROUND(MIN(300,MAX(1,D1104)),0), FactorTable!$A$2:$A$301,0), Skills!M20+1)</f>
        <v/>
      </c>
      <c r="F1104">
        <f>IF(Skills!N20=TRUE,(Skills!L20/10)*(E1104/1000),Skills!L20/10)+Skills!O20</f>
        <v/>
      </c>
      <c r="G1104">
        <f>Skills!G20*IF(Skills!H20&gt;0,Skills!I20/Skills!H20,1)</f>
        <v/>
      </c>
      <c r="H1104">
        <f>1-(1-Skills!J20/100)^Skills!K20</f>
        <v/>
      </c>
      <c r="I1104" t="inlineStr">
        <is>
          <t>1</t>
        </is>
      </c>
      <c r="J1104" t="inlineStr"/>
      <c r="K1104" t="inlineStr"/>
      <c r="L1104" t="inlineStr"/>
      <c r="M1104" t="inlineStr"/>
      <c r="N1104" t="inlineStr"/>
      <c r="O1104">
        <f>(1-Summary!$B$55)*T1104+Summary!$B$55*V1104</f>
        <v/>
      </c>
      <c r="P1104">
        <f>IF(B1129=0,0,O1104/B1129)</f>
        <v/>
      </c>
      <c r="Q1104">
        <f>IFERROR(1/IF(Inputs!$B$39="pvp",15,MAX(0.1,Skills!D20-IF(Skills!E20=TRUE,Inputs!$B$32,0))),0)</f>
        <v/>
      </c>
      <c r="R1104">
        <f>IF(AND(Inputs!$B$39&lt;&gt;"pvp",Inputs!$B$44&gt;0),IF(Inputs!$B$44&lt;=0,0,(INT(Inputs!$B$44/IF(Inputs!$B$39="pvp",15,MAX(0.1,Skills!D20-IF(Skills!E20=TRUE,Inputs!$B$32,0))))+1)),0)</f>
        <v/>
      </c>
      <c r="S1104">
        <f>IFERROR(O1104/N1104,0)</f>
        <v/>
      </c>
      <c r="T1104" t="n">
        <v>0</v>
      </c>
      <c r="V1104" t="n">
        <v>0</v>
      </c>
    </row>
    <row r="1105">
      <c r="A1105">
        <f>Skills!A21</f>
        <v/>
      </c>
      <c r="B1105">
        <f>Skills!B21</f>
        <v/>
      </c>
      <c r="C1105">
        <f>Inputs!$B$3&gt;=15</f>
        <v/>
      </c>
      <c r="D1105">
        <f>IF(Skills!C21=1,60+Inputs!$B$25+Inputs!$B$29,IF(Skills!C21=2,90+Inputs!$B$26+Inputs!$B$29,IF(Skills!C21=3,120+Inputs!$B$27+Inputs!$B$29,MAX(0,(Inputs!$B$3-100)*3)+Inputs!$B$28+Inputs!$B$29)))</f>
        <v/>
      </c>
      <c r="E1105">
        <f>INDEX(FactorTable!$B$2:$Y$301, MATCH(ROUND(MIN(300,MAX(1,D1105)),0), FactorTable!$A$2:$A$301,0), Skills!M21+1)</f>
        <v/>
      </c>
      <c r="F1105">
        <f>IF(Skills!N21=TRUE,(Skills!L21/10)*(E1105/1000),Skills!L21/10)+Skills!O21</f>
        <v/>
      </c>
      <c r="G1105">
        <f>Skills!G21*IF(Skills!H21&gt;0,Skills!I21/Skills!H21,1)</f>
        <v/>
      </c>
      <c r="H1105">
        <f>1-(1-Skills!J21/100)^Skills!K21</f>
        <v/>
      </c>
      <c r="I1105" t="inlineStr">
        <is>
          <t>1</t>
        </is>
      </c>
      <c r="J1105" t="inlineStr"/>
      <c r="K1105" t="inlineStr"/>
      <c r="L1105" t="inlineStr"/>
      <c r="M1105" t="inlineStr"/>
      <c r="N1105" t="inlineStr"/>
      <c r="O1105">
        <f>(1-Summary!$B$55)*T1105+Summary!$B$55*V1105</f>
        <v/>
      </c>
      <c r="P1105">
        <f>IF(B1129=0,0,O1105/B1129)</f>
        <v/>
      </c>
      <c r="Q1105">
        <f>IFERROR(1/IF(Inputs!$B$39="pvp",15,MAX(0.1,Skills!D21-IF(Skills!E21=TRUE,Inputs!$B$32,0))),0)</f>
        <v/>
      </c>
      <c r="R1105">
        <f>IF(AND(Inputs!$B$39&lt;&gt;"pvp",Inputs!$B$44&gt;0),IF(Inputs!$B$44&lt;=0,0,(INT(Inputs!$B$44/IF(Inputs!$B$39="pvp",15,MAX(0.1,Skills!D21-IF(Skills!E21=TRUE,Inputs!$B$32,0))))+1)),0)</f>
        <v/>
      </c>
      <c r="S1105">
        <f>IFERROR(O1105/N1105,0)</f>
        <v/>
      </c>
      <c r="T1105" t="n">
        <v>0</v>
      </c>
      <c r="V1105" t="n">
        <v>0</v>
      </c>
    </row>
    <row r="1106">
      <c r="A1106">
        <f>Skills!A22</f>
        <v/>
      </c>
      <c r="B1106">
        <f>Skills!B22</f>
        <v/>
      </c>
      <c r="C1106">
        <f>Inputs!$B$3&gt;=33</f>
        <v/>
      </c>
      <c r="D1106">
        <f>IF(Skills!C22=1,60+Inputs!$B$25+Inputs!$B$29,IF(Skills!C22=2,90+Inputs!$B$26+Inputs!$B$29,IF(Skills!C22=3,120+Inputs!$B$27+Inputs!$B$29,MAX(0,(Inputs!$B$3-100)*3)+Inputs!$B$28+Inputs!$B$29)))</f>
        <v/>
      </c>
      <c r="E1106">
        <f>INDEX(FactorTable!$B$2:$Y$301, MATCH(ROUND(MIN(300,MAX(1,D1106)),0), FactorTable!$A$2:$A$301,0), Skills!M22+1)</f>
        <v/>
      </c>
      <c r="F1106">
        <f>IF(Skills!N22=TRUE,(Skills!L22/10)*(E1106/1000),Skills!L22/10)+Skills!O22</f>
        <v/>
      </c>
      <c r="G1106">
        <f>Skills!G22*IF(Skills!H22&gt;0,Skills!I22/Skills!H22,1)</f>
        <v/>
      </c>
      <c r="H1106">
        <f>1-(1-Skills!J22/100)^Skills!K22</f>
        <v/>
      </c>
      <c r="I1106" t="inlineStr">
        <is>
          <t>1</t>
        </is>
      </c>
      <c r="J1106" t="inlineStr"/>
      <c r="K1106" t="inlineStr"/>
      <c r="L1106" t="inlineStr"/>
      <c r="M1106" t="inlineStr"/>
      <c r="N1106" t="inlineStr"/>
      <c r="O1106">
        <f>(1-Summary!$B$55)*T1106+Summary!$B$55*V1106</f>
        <v/>
      </c>
      <c r="P1106">
        <f>IF(B1129=0,0,O1106/B1129)</f>
        <v/>
      </c>
      <c r="Q1106" t="n">
        <v>0</v>
      </c>
      <c r="R1106" t="n">
        <v>0</v>
      </c>
      <c r="S1106">
        <f>IFERROR(O1106/N1106,0)</f>
        <v/>
      </c>
      <c r="T1106" t="n">
        <v>0</v>
      </c>
      <c r="V1106" t="n">
        <v>0</v>
      </c>
    </row>
    <row r="1107">
      <c r="A1107">
        <f>Skills!A23</f>
        <v/>
      </c>
      <c r="B1107">
        <f>Skills!B23</f>
        <v/>
      </c>
      <c r="C1107">
        <f>Inputs!$B$3&gt;=40</f>
        <v/>
      </c>
      <c r="D1107">
        <f>IF(Skills!C23=1,60+Inputs!$B$25+Inputs!$B$29,IF(Skills!C23=2,90+Inputs!$B$26+Inputs!$B$29,IF(Skills!C23=3,120+Inputs!$B$27+Inputs!$B$29,MAX(0,(Inputs!$B$3-100)*3)+Inputs!$B$28+Inputs!$B$29)))</f>
        <v/>
      </c>
      <c r="E1107">
        <f>INDEX(FactorTable!$B$2:$Y$301, MATCH(ROUND(MIN(300,MAX(1,D1107)),0), FactorTable!$A$2:$A$301,0), Skills!M23+1)</f>
        <v/>
      </c>
      <c r="F1107">
        <f>IF(Skills!N23=TRUE,(Skills!L23/10)*(E1107/1000),Skills!L23/10)+Skills!O23</f>
        <v/>
      </c>
      <c r="G1107">
        <f>Skills!G23*IF(Skills!H23&gt;0,Skills!I23/Skills!H23,1)</f>
        <v/>
      </c>
      <c r="H1107">
        <f>1-(1-Skills!J23/100)^Skills!K23</f>
        <v/>
      </c>
      <c r="I1107" t="inlineStr">
        <is>
          <t>1</t>
        </is>
      </c>
      <c r="J1107" t="inlineStr"/>
      <c r="K1107" t="inlineStr"/>
      <c r="L1107" t="inlineStr"/>
      <c r="M1107" t="inlineStr"/>
      <c r="N1107" t="inlineStr"/>
      <c r="O1107">
        <f>(1-Summary!$B$55)*T1107+Summary!$B$55*V1107</f>
        <v/>
      </c>
      <c r="P1107">
        <f>IF(B1129=0,0,O1107/B1129)</f>
        <v/>
      </c>
      <c r="Q1107" t="n">
        <v>0</v>
      </c>
      <c r="R1107" t="n">
        <v>0</v>
      </c>
      <c r="S1107">
        <f>IFERROR(O1107/N1107,0)</f>
        <v/>
      </c>
      <c r="T1107" t="n">
        <v>0</v>
      </c>
      <c r="V1107" t="n">
        <v>0</v>
      </c>
    </row>
    <row r="1108">
      <c r="A1108">
        <f>Skills!A24</f>
        <v/>
      </c>
      <c r="B1108">
        <f>Skills!B24</f>
        <v/>
      </c>
      <c r="C1108">
        <f>Inputs!$B$3&gt;=43</f>
        <v/>
      </c>
      <c r="D1108">
        <f>IF(Skills!C24=1,60+Inputs!$B$25+Inputs!$B$29,IF(Skills!C24=2,90+Inputs!$B$26+Inputs!$B$29,IF(Skills!C24=3,120+Inputs!$B$27+Inputs!$B$29,MAX(0,(Inputs!$B$3-100)*3)+Inputs!$B$28+Inputs!$B$29)))</f>
        <v/>
      </c>
      <c r="E1108">
        <f>INDEX(FactorTable!$B$2:$Y$301, MATCH(ROUND(MIN(300,MAX(1,D1108)),0), FactorTable!$A$2:$A$301,0), Skills!M24+1)</f>
        <v/>
      </c>
      <c r="F1108">
        <f>IF(Skills!N24=TRUE,(Skills!L24/10)*(E1108/1000),Skills!L24/10)+Skills!O24</f>
        <v/>
      </c>
      <c r="G1108">
        <f>Skills!G24*IF(Skills!H24&gt;0,Skills!I24/Skills!H24,1)</f>
        <v/>
      </c>
      <c r="H1108">
        <f>1-(1-Skills!J24/100)^Skills!K24</f>
        <v/>
      </c>
      <c r="I1108" t="inlineStr">
        <is>
          <t>1</t>
        </is>
      </c>
      <c r="J1108" t="inlineStr"/>
      <c r="K1108" t="inlineStr"/>
      <c r="L1108" t="inlineStr"/>
      <c r="M1108" t="inlineStr"/>
      <c r="N1108" t="inlineStr"/>
      <c r="O1108">
        <f>(1-Summary!$B$55)*T1108+Summary!$B$55*V1108</f>
        <v/>
      </c>
      <c r="P1108">
        <f>IF(B1129=0,0,O1108/B1129)</f>
        <v/>
      </c>
      <c r="Q1108" t="n">
        <v>0</v>
      </c>
      <c r="R1108" t="n">
        <v>0</v>
      </c>
      <c r="S1108">
        <f>IFERROR(O1108/N1108,0)</f>
        <v/>
      </c>
      <c r="T1108" t="n">
        <v>0</v>
      </c>
      <c r="V1108" t="n">
        <v>0</v>
      </c>
    </row>
    <row r="1109">
      <c r="A1109">
        <f>Skills!A25</f>
        <v/>
      </c>
      <c r="B1109">
        <f>Skills!B25</f>
        <v/>
      </c>
      <c r="C1109">
        <f>Inputs!$B$3&gt;=50</f>
        <v/>
      </c>
      <c r="D1109">
        <f>IF(Skills!C25=1,60+Inputs!$B$25+Inputs!$B$29,IF(Skills!C25=2,90+Inputs!$B$26+Inputs!$B$29,IF(Skills!C25=3,120+Inputs!$B$27+Inputs!$B$29,MAX(0,(Inputs!$B$3-100)*3)+Inputs!$B$28+Inputs!$B$29)))</f>
        <v/>
      </c>
      <c r="E1109">
        <f>INDEX(FactorTable!$B$2:$Y$301, MATCH(ROUND(MIN(300,MAX(1,D1109)),0), FactorTable!$A$2:$A$301,0), Skills!M25+1)</f>
        <v/>
      </c>
      <c r="F1109">
        <f>IF(Skills!N25=TRUE,(Skills!L25/10)*(E1109/1000),Skills!L25/10)+Skills!O25</f>
        <v/>
      </c>
      <c r="G1109">
        <f>Skills!G25*IF(Skills!H25&gt;0,Skills!I25/Skills!H25,1)</f>
        <v/>
      </c>
      <c r="H1109">
        <f>1-(1-Skills!J25/100)^Skills!K25</f>
        <v/>
      </c>
      <c r="I1109" t="inlineStr">
        <is>
          <t>1</t>
        </is>
      </c>
      <c r="J1109" t="inlineStr"/>
      <c r="K1109" t="inlineStr"/>
      <c r="L1109" t="inlineStr"/>
      <c r="M1109" t="inlineStr"/>
      <c r="N1109" t="inlineStr"/>
      <c r="O1109">
        <f>(1-Summary!$B$55)*T1109+Summary!$B$55*V1109</f>
        <v/>
      </c>
      <c r="P1109">
        <f>IF(B1129=0,0,O1109/B1129)</f>
        <v/>
      </c>
      <c r="Q1109" t="n">
        <v>0</v>
      </c>
      <c r="R1109" t="n">
        <v>0</v>
      </c>
      <c r="S1109">
        <f>IFERROR(O1109/N1109,0)</f>
        <v/>
      </c>
      <c r="T1109" t="n">
        <v>0</v>
      </c>
      <c r="V1109" t="n">
        <v>0</v>
      </c>
    </row>
    <row r="1110">
      <c r="A1110">
        <f>Skills!A26</f>
        <v/>
      </c>
      <c r="B1110">
        <f>Skills!B26</f>
        <v/>
      </c>
      <c r="C1110">
        <f>Inputs!$B$3&gt;=50</f>
        <v/>
      </c>
      <c r="D1110">
        <f>IF(Skills!C26=1,60+Inputs!$B$25+Inputs!$B$29,IF(Skills!C26=2,90+Inputs!$B$26+Inputs!$B$29,IF(Skills!C26=3,120+Inputs!$B$27+Inputs!$B$29,MAX(0,(Inputs!$B$3-100)*3)+Inputs!$B$28+Inputs!$B$29)))</f>
        <v/>
      </c>
      <c r="E1110">
        <f>INDEX(FactorTable!$B$2:$Y$301, MATCH(ROUND(MIN(300,MAX(1,D1110)),0), FactorTable!$A$2:$A$301,0), Skills!M26+1)</f>
        <v/>
      </c>
      <c r="F1110">
        <f>IF(Skills!N26=TRUE,(Skills!L26/10)*(E1110/1000),Skills!L26/10)+Skills!O26</f>
        <v/>
      </c>
      <c r="G1110">
        <f>Skills!G26*IF(Skills!H26&gt;0,Skills!I26/Skills!H26,1)</f>
        <v/>
      </c>
      <c r="H1110">
        <f>1-(1-Skills!J26/100)^Skills!K26</f>
        <v/>
      </c>
      <c r="I1110" t="inlineStr">
        <is>
          <t>1</t>
        </is>
      </c>
      <c r="J1110" t="inlineStr"/>
      <c r="K1110" t="inlineStr"/>
      <c r="L1110" t="inlineStr"/>
      <c r="M1110" t="inlineStr"/>
      <c r="N1110" t="inlineStr"/>
      <c r="O1110">
        <f>(1-Summary!$B$55)*T1110+Summary!$B$55*V1110</f>
        <v/>
      </c>
      <c r="P1110">
        <f>IF(B1129=0,0,O1110/B1129)</f>
        <v/>
      </c>
      <c r="Q1110" t="n">
        <v>0</v>
      </c>
      <c r="R1110" t="n">
        <v>0</v>
      </c>
      <c r="S1110">
        <f>IFERROR(O1110/N1110,0)</f>
        <v/>
      </c>
      <c r="T1110" t="n">
        <v>0</v>
      </c>
      <c r="V1110" t="n">
        <v>0</v>
      </c>
    </row>
    <row r="1111">
      <c r="A1111">
        <f>Skills!A27</f>
        <v/>
      </c>
      <c r="B1111">
        <f>Skills!B27</f>
        <v/>
      </c>
      <c r="C1111">
        <f>Inputs!$B$3&gt;=38</f>
        <v/>
      </c>
      <c r="D1111">
        <f>IF(Skills!C27=1,60+Inputs!$B$25+Inputs!$B$29,IF(Skills!C27=2,90+Inputs!$B$26+Inputs!$B$29,IF(Skills!C27=3,120+Inputs!$B$27+Inputs!$B$29,MAX(0,(Inputs!$B$3-100)*3)+Inputs!$B$28+Inputs!$B$29)))</f>
        <v/>
      </c>
      <c r="E1111">
        <f>INDEX(FactorTable!$B$2:$Y$301, MATCH(ROUND(MIN(300,MAX(1,D1111)),0), FactorTable!$A$2:$A$301,0), Skills!M27+1)</f>
        <v/>
      </c>
      <c r="F1111">
        <f>IF(Skills!N27=TRUE,(Skills!L27/10)*(E1111/1000),Skills!L27/10)+Skills!O27</f>
        <v/>
      </c>
      <c r="G1111">
        <f>Skills!G27*IF(Skills!H27&gt;0,Skills!I27/Skills!H27,1)</f>
        <v/>
      </c>
      <c r="H1111">
        <f>1-(1-Skills!J27/100)^Skills!K27</f>
        <v/>
      </c>
      <c r="I1111" t="inlineStr">
        <is>
          <t>1</t>
        </is>
      </c>
      <c r="J1111" t="inlineStr"/>
      <c r="K1111" t="inlineStr"/>
      <c r="L1111" t="inlineStr"/>
      <c r="M1111" t="inlineStr"/>
      <c r="N1111" t="inlineStr"/>
      <c r="O1111">
        <f>(1-Summary!$B$55)*T1111+Summary!$B$55*V1111</f>
        <v/>
      </c>
      <c r="P1111">
        <f>IF(B1129=0,0,O1111/B1129)</f>
        <v/>
      </c>
      <c r="Q1111" t="n">
        <v>0</v>
      </c>
      <c r="R1111" t="n">
        <v>0</v>
      </c>
      <c r="S1111">
        <f>IFERROR(O1111/N1111,0)</f>
        <v/>
      </c>
      <c r="T1111" t="n">
        <v>0</v>
      </c>
      <c r="V1111" t="n">
        <v>0</v>
      </c>
    </row>
    <row r="1112">
      <c r="A1112">
        <f>Skills!A28</f>
        <v/>
      </c>
      <c r="B1112">
        <f>Skills!B28</f>
        <v/>
      </c>
      <c r="C1112">
        <f>Inputs!$B$3&gt;=120</f>
        <v/>
      </c>
      <c r="D1112">
        <f>IF(Skills!C28=1,60+Inputs!$B$25+Inputs!$B$29,IF(Skills!C28=2,90+Inputs!$B$26+Inputs!$B$29,IF(Skills!C28=3,120+Inputs!$B$27+Inputs!$B$29,MAX(0,(Inputs!$B$3-100)*3)+Inputs!$B$28+Inputs!$B$29)))</f>
        <v/>
      </c>
      <c r="E1112">
        <f>INDEX(FactorTable!$B$2:$Y$301, MATCH(ROUND(MIN(300,MAX(1,D1112)),0), FactorTable!$A$2:$A$301,0), Skills!M28+1)</f>
        <v/>
      </c>
      <c r="F1112">
        <f>IF(Skills!N28=TRUE,(Skills!L28/10)*(E1112/1000),Skills!L28/10)+Skills!O28</f>
        <v/>
      </c>
      <c r="G1112">
        <f>Skills!G28*IF(Skills!H28&gt;0,Skills!I28/Skills!H28,1)</f>
        <v/>
      </c>
      <c r="H1112">
        <f>1-(1-Skills!J28/100)^Skills!K28</f>
        <v/>
      </c>
      <c r="I1112" t="inlineStr">
        <is>
          <t>1</t>
        </is>
      </c>
      <c r="J1112" t="inlineStr"/>
      <c r="K1112" t="inlineStr"/>
      <c r="L1112" t="inlineStr"/>
      <c r="M1112" t="inlineStr"/>
      <c r="N1112" t="inlineStr"/>
      <c r="O1112">
        <f>(1-Summary!$B$55)*T1112+Summary!$B$55*V1112</f>
        <v/>
      </c>
      <c r="P1112">
        <f>IF(B1129=0,0,O1112/B1129)</f>
        <v/>
      </c>
      <c r="Q1112" t="n">
        <v>0</v>
      </c>
      <c r="R1112" t="n">
        <v>0</v>
      </c>
      <c r="S1112">
        <f>IFERROR(O1112/N1112,0)</f>
        <v/>
      </c>
      <c r="T1112" t="n">
        <v>0</v>
      </c>
      <c r="V1112" t="n">
        <v>0</v>
      </c>
    </row>
    <row r="1113">
      <c r="A1113">
        <f>Skills!A29</f>
        <v/>
      </c>
      <c r="B1113">
        <f>Skills!B29</f>
        <v/>
      </c>
      <c r="C1113">
        <f>Inputs!$B$3&gt;=120</f>
        <v/>
      </c>
      <c r="D1113">
        <f>IF(Skills!C29=1,60+Inputs!$B$25+Inputs!$B$29,IF(Skills!C29=2,90+Inputs!$B$26+Inputs!$B$29,IF(Skills!C29=3,120+Inputs!$B$27+Inputs!$B$29,MAX(0,(Inputs!$B$3-100)*3)+Inputs!$B$28+Inputs!$B$29)))</f>
        <v/>
      </c>
      <c r="E1113">
        <f>INDEX(FactorTable!$B$2:$Y$301, MATCH(ROUND(MIN(300,MAX(1,D1113)),0), FactorTable!$A$2:$A$301,0), Skills!M29+1)</f>
        <v/>
      </c>
      <c r="F1113">
        <f>IF(Skills!N29=TRUE,(Skills!L29/10)*(E1113/1000),Skills!L29/10)+Skills!O29</f>
        <v/>
      </c>
      <c r="G1113">
        <f>Skills!G29*IF(Skills!H29&gt;0,Skills!I29/Skills!H29,1)</f>
        <v/>
      </c>
      <c r="H1113">
        <f>1-(1-Skills!J29/100)^Skills!K29</f>
        <v/>
      </c>
      <c r="I1113" t="inlineStr">
        <is>
          <t>1</t>
        </is>
      </c>
      <c r="J1113" t="inlineStr"/>
      <c r="K1113" t="inlineStr"/>
      <c r="L1113" t="inlineStr"/>
      <c r="M1113" t="inlineStr"/>
      <c r="N1113" t="inlineStr"/>
      <c r="O1113">
        <f>(1-Summary!$B$55)*T1113+Summary!$B$55*V1113</f>
        <v/>
      </c>
      <c r="P1113">
        <f>IF(B1129=0,0,O1113/B1129)</f>
        <v/>
      </c>
      <c r="Q1113" t="n">
        <v>0</v>
      </c>
      <c r="R1113" t="n">
        <v>0</v>
      </c>
      <c r="S1113">
        <f>IFERROR(O1113/N1113,0)</f>
        <v/>
      </c>
      <c r="T1113" t="n">
        <v>0</v>
      </c>
      <c r="V1113" t="n">
        <v>0</v>
      </c>
    </row>
    <row r="1114">
      <c r="A1114">
        <f>Skills!A30</f>
        <v/>
      </c>
      <c r="B1114">
        <f>Skills!B30</f>
        <v/>
      </c>
      <c r="C1114">
        <f>Inputs!$B$3&gt;=125</f>
        <v/>
      </c>
      <c r="D1114">
        <f>IF(Skills!C30=1,60+Inputs!$B$25+Inputs!$B$29,IF(Skills!C30=2,90+Inputs!$B$26+Inputs!$B$29,IF(Skills!C30=3,120+Inputs!$B$27+Inputs!$B$29,MAX(0,(Inputs!$B$3-100)*3)+Inputs!$B$28+Inputs!$B$29)))</f>
        <v/>
      </c>
      <c r="E1114">
        <f>INDEX(FactorTable!$B$2:$Y$301, MATCH(ROUND(MIN(300,MAX(1,D1114)),0), FactorTable!$A$2:$A$301,0), Skills!M30+1)</f>
        <v/>
      </c>
      <c r="F1114">
        <f>IF(Skills!N30=TRUE,(Skills!L30/10)*(E1114/1000),Skills!L30/10)+Skills!O30</f>
        <v/>
      </c>
      <c r="G1114">
        <f>Skills!G30*IF(Skills!H30&gt;0,Skills!I30/Skills!H30,1)</f>
        <v/>
      </c>
      <c r="H1114">
        <f>1-(1-Skills!J30/100)^Skills!K30</f>
        <v/>
      </c>
      <c r="I1114" t="inlineStr">
        <is>
          <t>1</t>
        </is>
      </c>
      <c r="J1114" t="inlineStr"/>
      <c r="K1114" t="inlineStr"/>
      <c r="L1114" t="inlineStr"/>
      <c r="M1114" t="inlineStr"/>
      <c r="N1114" t="inlineStr"/>
      <c r="O1114">
        <f>(1-Summary!$B$55)*T1114+Summary!$B$55*V1114</f>
        <v/>
      </c>
      <c r="P1114">
        <f>IF(B1129=0,0,O1114/B1129)</f>
        <v/>
      </c>
      <c r="Q1114" t="n">
        <v>0</v>
      </c>
      <c r="R1114" t="n">
        <v>0</v>
      </c>
      <c r="S1114">
        <f>IFERROR(O1114/N1114,0)</f>
        <v/>
      </c>
      <c r="T1114" t="n">
        <v>0</v>
      </c>
      <c r="V1114" t="n">
        <v>0</v>
      </c>
    </row>
    <row r="1116">
      <c r="A1116" t="inlineStr">
        <is>
          <t>Average Buff Multiplier</t>
        </is>
      </c>
      <c r="B1116">
        <f>(1+(((C1105=TRUE)*F1105*IF(AND(Inputs!$B$39&lt;&gt;"pvp",Inputs!$B$44&gt;0),(((R1105-1)*(Skills!Y21*(1+Inputs!$B$34/100))+MIN((Skills!Y21*(1+Inputs!$B$34/100)),MAX(0,Inputs!$B$44-((R1105-1)*Skills!D21))))/Inputs!$B$44),IF(Inputs!$B$39="pvp",MIN((Skills!Y21*(1+Inputs!$B$34/100)),15)/15,(Skills!Y21*(1+Inputs!$B$34/100))/Skills!D21)))+((C1107=TRUE)*(F1107-Calc!F23))+((C1101=TRUE)*(F1101-Calc!F17)))/100)*(1+((C1094=TRUE)*F1094*IF(AND(Inputs!$B$39&lt;&gt;"pvp",Inputs!$B$44&gt;0),(((R1094-1)*(Skills!Y10*(1+Inputs!$B$34/100))+MIN((Skills!Y10*(1+Inputs!$B$34/100)),MAX(0,Inputs!$B$44-((R1094-1)*Skills!D10))))/Inputs!$B$44),IF(Inputs!$B$39="pvp",MIN((Skills!Y10*(1+Inputs!$B$34/100)),15)/15,(Skills!Y10*(1+Inputs!$B$34/100))/Skills!D10)))/100)*(1+((C1099=TRUE)*F1099*IF(AND(Inputs!$B$39&lt;&gt;"pvp",Inputs!$B$44&gt;0),(((R1099-1)*(Skills!Y15*(1+Inputs!$B$34/100))+MIN((Skills!Y15*(1+Inputs!$B$34/100)),MAX(0,Inputs!$B$44-((R1099-1)*Skills!D15))))/Inputs!$B$44),IF(Inputs!$B$39="pvp",MIN((Skills!Y15*(1+Inputs!$B$34/100)),15)/15,(Skills!Y15*(1+Inputs!$B$34/100))/Skills!D15)))/100)</f>
        <v/>
      </c>
    </row>
    <row r="1117">
      <c r="A1117" t="inlineStr">
        <is>
          <t>Global Crit Rate Bonus %</t>
        </is>
      </c>
      <c r="B1117">
        <f>((C1104=TRUE)*F1104*IF(AND(Inputs!$B$39&lt;&gt;"pvp",Inputs!$B$44&gt;0),(((R1104-1)*(Skills!Y20*(1+Inputs!$B$34/100))+MIN((Skills!Y20*(1+Inputs!$B$34/100)),MAX(0,Inputs!$B$44-((R1104-1)*Skills!D20))))/Inputs!$B$44),IF(Inputs!$B$39="pvp",MIN((Skills!Y20*(1+Inputs!$B$34/100)),15)/15,(Skills!Y20*(1+Inputs!$B$34/100))/Skills!D20)))</f>
        <v/>
      </c>
    </row>
    <row r="1118">
      <c r="A1118" t="inlineStr">
        <is>
          <t>Global Monster Damage-Taken Bonus %</t>
        </is>
      </c>
      <c r="B1118">
        <f>IF(Inputs!$B$3&gt;=82,15,0)</f>
        <v/>
      </c>
    </row>
    <row r="1119">
      <c r="A1119" t="inlineStr">
        <is>
          <t>Shadow Partner Average Multiplier</t>
        </is>
      </c>
      <c r="B1119">
        <f>1+((C1091=TRUE)*F1091*(1+3.3333333333333335*IF(C1102=TRUE,F1102,0)/100)*I1091*Skills!J7/100)/100</f>
        <v/>
      </c>
    </row>
    <row r="1120">
      <c r="A1120" t="inlineStr">
        <is>
          <t>Attack Speed Buff Bonus %</t>
        </is>
      </c>
      <c r="B1120">
        <f>((C1103=TRUE)*F1103*IF(AND(Inputs!$B$39&lt;&gt;"pvp",Inputs!$B$44&gt;0),(((R1103-1)*(Skills!Y19*(1+Inputs!$B$34/100))+MIN((Skills!Y19*(1+Inputs!$B$34/100)),MAX(0,Inputs!$B$44-((R1103-1)*Skills!D19))))/Inputs!$B$44),IF(Inputs!$B$39="pvp",MIN((Skills!Y19*(1+Inputs!$B$34/100)),15)/15,(Skills!Y19*(1+Inputs!$B$34/100))/Skills!D19)))+((C1087=TRUE)*F1087*3)</f>
        <v/>
      </c>
    </row>
    <row r="1121">
      <c r="A1121" t="inlineStr">
        <is>
          <t>Actions Per Second</t>
        </is>
      </c>
      <c r="B1121">
        <f>1+MIN(150,150*(1-(1-(Inputs!$B$11+((C1106=TRUE)*(F1106-Calc!F22)))/150)*(1-B1120/150)))/100</f>
        <v/>
      </c>
    </row>
    <row r="1122">
      <c r="A1122" t="inlineStr">
        <is>
          <t>Skill + Buff Cast Rate</t>
        </is>
      </c>
      <c r="B1122">
        <f>IF(AND(Inputs!$B$39&lt;&gt;"pvp",Inputs!$B$44&gt;0),SUMPRODUCT((Skills!E2:E30=TRUE)*(C1086:C1114=TRUE)*R1086:R1114*Skills!F2:F30)/Inputs!$B$44,SUMPRODUCT((Skills!E2:E30=TRUE)*(C1086:C1114=TRUE)*Q1086:Q1114*Skills!F2:F30))</f>
        <v/>
      </c>
    </row>
    <row r="1123">
      <c r="A1123" t="inlineStr">
        <is>
          <t>Cruel Stab Casts Per Second</t>
        </is>
      </c>
      <c r="B1123">
        <f>MAX(0,B1121-B1122)</f>
        <v/>
      </c>
    </row>
    <row r="1124">
      <c r="A1124" t="inlineStr">
        <is>
          <t>Global Critical Damage Bonus % (Smokescreen Mastery Lv.113)</t>
        </is>
      </c>
      <c r="B1124">
        <f>IF(Inputs!$B$3&gt;=113,30,0)*IF(AND(Inputs!$B$39&lt;&gt;"pvp",Inputs!$B$44&gt;0),(((R1099-1)*(Skills!Y15*(1+Inputs!$B$34/100))+MIN((Skills!Y15*(1+Inputs!$B$34/100)),MAX(0,Inputs!$B$44-((R1099-1)*Skills!D15))))/Inputs!$B$44),IF(Inputs!$B$39="pvp",MIN((Skills!Y15*(1+Inputs!$B$34/100)),15)/15,(Skills!Y15*(1+Inputs!$B$34/100))/Skills!D15))</f>
        <v/>
      </c>
    </row>
    <row r="1125">
      <c r="A1125" t="inlineStr">
        <is>
          <t>Meso Explosion average stack count</t>
        </is>
      </c>
      <c r="B1125">
        <f>MIN(10,0.5*B1121*Skills!D4)</f>
        <v/>
      </c>
    </row>
    <row r="1126">
      <c r="A1126" t="inlineStr">
        <is>
          <t>Blood Money average stack count</t>
        </is>
      </c>
      <c r="B1126">
        <f>MIN(5,0.25*B1121*Skills!D4)</f>
        <v/>
      </c>
    </row>
    <row r="1127">
      <c r="A1127" t="inlineStr">
        <is>
          <t>Assassinate Murderous Intent Multiplier</t>
        </is>
      </c>
      <c r="B1127">
        <f>1+IFERROR(MIN(1,Q1098*2/Q1095),0)</f>
        <v/>
      </c>
    </row>
    <row r="1128">
      <c r="A1128" t="inlineStr">
        <is>
          <t>Buff-Casting Startup Delay (s, fixed-duration only)</t>
        </is>
      </c>
      <c r="B1128">
        <f>IF(AND(Inputs!$B$39&lt;&gt;"pvp",Inputs!$B$44&gt;0),SUMPRODUCT((Skills!Y2:Y30&gt;0)*(Skills!E2:E30=TRUE)*(C1086:C1114=TRUE))/B1121,0)</f>
        <v/>
      </c>
    </row>
    <row r="1129">
      <c r="A1129" s="5" t="inlineStr">
        <is>
          <t>TOTAL DPS</t>
        </is>
      </c>
      <c r="B1129" s="5">
        <f>SUM(O1086:O1114)</f>
        <v/>
      </c>
    </row>
    <row r="1130">
      <c r="A1130" t="inlineStr">
        <is>
          <t>Boss-Only Total DPS (this block's swept value)</t>
        </is>
      </c>
      <c r="B1130">
        <f>SUM(T1086:T1114)</f>
        <v/>
      </c>
    </row>
    <row r="1131">
      <c r="A1131" t="inlineStr">
        <is>
          <t>Normal-Only Total DPS (this block's swept value)</t>
        </is>
      </c>
      <c r="B1131">
        <f>SUM(V1086:V1114)</f>
        <v/>
      </c>
    </row>
    <row r="1134">
      <c r="A1134" s="5" t="inlineStr">
        <is>
          <t>Stat: ATTACK %</t>
        </is>
      </c>
    </row>
    <row r="1135">
      <c r="A1135" s="9" t="inlineStr">
        <is>
          <t>Key</t>
        </is>
      </c>
      <c r="B1135" s="9" t="inlineStr">
        <is>
          <t>Name</t>
        </is>
      </c>
      <c r="C1135" s="9" t="inlineStr">
        <is>
          <t>Unlocked</t>
        </is>
      </c>
      <c r="D1135" s="9" t="inlineStr">
        <is>
          <t>InputLevel</t>
        </is>
      </c>
      <c r="E1135" s="9" t="inlineStr">
        <is>
          <t>Factor</t>
        </is>
      </c>
      <c r="F1135" s="9" t="inlineStr">
        <is>
          <t>CoefficientPercent</t>
        </is>
      </c>
      <c r="G1135" s="9" t="inlineStr">
        <is>
          <t>EffectiveHits</t>
        </is>
      </c>
      <c r="H1135" s="9" t="inlineStr">
        <is>
          <t>ProcProbability</t>
        </is>
      </c>
      <c r="I1135" s="9" t="inlineStr">
        <is>
          <t>MapleHeroMultiplier</t>
        </is>
      </c>
      <c r="J1135" s="9" t="inlineStr">
        <is>
          <t>BaseDamage</t>
        </is>
      </c>
      <c r="K1135" s="9" t="inlineStr">
        <is>
          <t>BaseHitDamage</t>
        </is>
      </c>
      <c r="L1135" s="9" t="inlineStr">
        <is>
          <t>NonCritAvg</t>
        </is>
      </c>
      <c r="M1135" s="9" t="inlineStr">
        <is>
          <t>CritAvg</t>
        </is>
      </c>
      <c r="N1135" s="9" t="inlineStr">
        <is>
          <t>ExpectedDamage(perHit)</t>
        </is>
      </c>
      <c r="O1135" s="9" t="inlineStr">
        <is>
          <t>DPS</t>
        </is>
      </c>
      <c r="P1135" s="9" t="inlineStr">
        <is>
          <t>% of Total</t>
        </is>
      </c>
      <c r="Q1135" s="9" t="inlineStr">
        <is>
          <t>InvCooldown</t>
        </is>
      </c>
      <c r="R1135" s="9" t="inlineStr">
        <is>
          <t>CastsInFight</t>
        </is>
      </c>
      <c r="S1135" s="9" t="inlineStr">
        <is>
          <t>HitRate(perSec)</t>
        </is>
      </c>
      <c r="U1135" t="inlineStr">
        <is>
          <t>helpers</t>
        </is>
      </c>
    </row>
    <row r="1136">
      <c r="A1136">
        <f>Skills!A2</f>
        <v/>
      </c>
      <c r="B1136">
        <f>Skills!B2</f>
        <v/>
      </c>
      <c r="C1136">
        <f>Inputs!$B$3&gt;=100</f>
        <v/>
      </c>
      <c r="D1136" t="inlineStr"/>
      <c r="E1136" t="inlineStr"/>
      <c r="F1136">
        <f>U1138+Skills!O2</f>
        <v/>
      </c>
      <c r="G1136">
        <f>Skills!G2*IF(Skills!H2&gt;0,Skills!I2/Skills!H2,1)</f>
        <v/>
      </c>
      <c r="H1136">
        <f>1-(1-Skills!J2/100)^Skills!K2</f>
        <v/>
      </c>
      <c r="I1136" t="inlineStr">
        <is>
          <t>1</t>
        </is>
      </c>
      <c r="J1136">
        <f>((Inputs!$B$6*(1+(Inputs!$B$7+1)/100))+(((Inputs!$B$12*(1+Inputs!$B$13/100))-(Inputs!$B$12*(1+Inputs!$B$13/100)))+0.25*(Inputs!$B$14-Inputs!$B$14))*(1+(Inputs!$B$7+1)/100))*(F1136/100)</f>
        <v/>
      </c>
      <c r="K1136">
        <f>J1136*(1+((Inputs!$B$12*(1+Inputs!$B$13/100))*0.01+Inputs!$B$14*0.0025)/100)*(1+Inputs!$B$15/100)*(1+Inputs!$B$16/100)*(5000/(6000+Inputs!$B$43*(1-Inputs!$B$19/100)))*(1+(Inputs!$B$24+((C1164=TRUE)*(F1164-Calc!F30)))/100)*(1+(IF(Skills!A2="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1136)</f>
        <v/>
      </c>
      <c r="L1136">
        <f>K1136*(MIN(Inputs!$B$22+((C1158=TRUE)*(F1158-Calc!F24)),Inputs!$B$23+((C1163=TRUE)*(F1163-Calc!F29)))/100+(Inputs!$B$23+((C1163=TRUE)*(F1163-Calc!F29)))/100)/2</f>
        <v/>
      </c>
      <c r="M1136">
        <f>L1136*(1+(Inputs!$B$10+((C1160=TRUE)*(F1160-Calc!F26))+B1174)/100)</f>
        <v/>
      </c>
      <c r="N1136">
        <f>L1136*(1-MIN((Inputs!$B$9+((C1159=TRUE)*(F1159-Calc!F25))+B1167),100)/100)+M1136*(MIN((Inputs!$B$9+((C1159=TRUE)*(F1159-Calc!F25))+B1167),100)/100)</f>
        <v/>
      </c>
      <c r="O1136">
        <f>(1-Summary!$B$55)*T1136+Summary!$B$55*V1136</f>
        <v/>
      </c>
      <c r="P1136">
        <f>IF(B1179=0,0,O1136/B1179)</f>
        <v/>
      </c>
      <c r="Q1136" t="n">
        <v>0</v>
      </c>
      <c r="R1136" t="n">
        <v>0</v>
      </c>
      <c r="S1136">
        <f>IFERROR(O1136/N1136,0)</f>
        <v/>
      </c>
      <c r="T1136">
        <f>IF(C1136,(Skills!G2*N1136*B1173)*IF(Inputs!$B$39="pvp",1,1+(Inputs!$B$20+0+Skills!P2+B1168)/100),0)</f>
        <v/>
      </c>
      <c r="U1136">
        <f>MAX(0,(Inputs!$B$3-100)*3)+Inputs!$B$28+Inputs!$B$29</f>
        <v/>
      </c>
      <c r="V1136">
        <f>IF(C1136,(Skills!G2*N1136*B1173)*IF(Inputs!$B$39="pvp",1,(1+(Inputs!$B$21+Skills!Q2+B1168)/100)*(MIN((6+Inputs!$B$33),Inputs!$B$37))),0)</f>
        <v/>
      </c>
    </row>
    <row r="1137">
      <c r="A1137">
        <f>Skills!A3</f>
        <v/>
      </c>
      <c r="B1137">
        <f>Skills!B3</f>
        <v/>
      </c>
      <c r="C1137">
        <f>Inputs!$B$3&gt;=35</f>
        <v/>
      </c>
      <c r="D1137">
        <f>IF(Skills!C3=1,60+Inputs!$B$25+Inputs!$B$29,IF(Skills!C3=2,90+Inputs!$B$26+Inputs!$B$29,IF(Skills!C3=3,120+Inputs!$B$27+Inputs!$B$29,MAX(0,(Inputs!$B$3-100)*3)+Inputs!$B$28+Inputs!$B$29)))</f>
        <v/>
      </c>
      <c r="E1137">
        <f>INDEX(FactorTable!$B$2:$Y$301, MATCH(ROUND(MIN(300,MAX(1,D1137)),0), FactorTable!$A$2:$A$301,0), Skills!M3+1)</f>
        <v/>
      </c>
      <c r="F1137">
        <f>IF(Skills!N3=TRUE,(Skills!L3/10)*(E1137/1000),Skills!L3/10)+Skills!O3</f>
        <v/>
      </c>
      <c r="G1137">
        <f>Skills!G3*IF(Skills!H3&gt;0,Skills!I3/Skills!H3,1)</f>
        <v/>
      </c>
      <c r="H1137">
        <f>1-(1-Skills!J3/100)^Skills!K3</f>
        <v/>
      </c>
      <c r="I1137" t="inlineStr">
        <is>
          <t>1</t>
        </is>
      </c>
      <c r="J1137" t="inlineStr"/>
      <c r="K1137" t="inlineStr"/>
      <c r="L1137" t="inlineStr"/>
      <c r="M1137" t="inlineStr"/>
      <c r="N1137" t="inlineStr"/>
      <c r="O1137">
        <f>(1-Summary!$B$55)*T1137+Summary!$B$55*V1137</f>
        <v/>
      </c>
      <c r="P1137">
        <f>IF(B1179=0,0,O1137/B1179)</f>
        <v/>
      </c>
      <c r="Q1137" t="n">
        <v>0</v>
      </c>
      <c r="R1137" t="n">
        <v>0</v>
      </c>
      <c r="S1137">
        <f>IFERROR(O1137/N1137,0)</f>
        <v/>
      </c>
      <c r="T1137" t="n">
        <v>0</v>
      </c>
      <c r="U1137">
        <f>INDEX(FactorTable!$B$2:$Y$301, MATCH(ROUND(MIN(300,MAX(1,U1136)),0), FactorTable!$A$2:$A$301,0), 22)</f>
        <v/>
      </c>
      <c r="V1137" t="n">
        <v>0</v>
      </c>
    </row>
    <row r="1138">
      <c r="A1138">
        <f>Skills!A4</f>
        <v/>
      </c>
      <c r="B1138">
        <f>Skills!B4</f>
        <v/>
      </c>
      <c r="C1138">
        <f>Inputs!$B$3&gt;=66</f>
        <v/>
      </c>
      <c r="D1138">
        <f>IF(Skills!C4=1,60+Inputs!$B$25+Inputs!$B$29,IF(Skills!C4=2,90+Inputs!$B$26+Inputs!$B$29,IF(Skills!C4=3,120+Inputs!$B$27+Inputs!$B$29,MAX(0,(Inputs!$B$3-100)*3)+Inputs!$B$28+Inputs!$B$29)))</f>
        <v/>
      </c>
      <c r="E1138">
        <f>INDEX(FactorTable!$B$2:$Y$301, MATCH(ROUND(MIN(300,MAX(1,D1138)),0), FactorTable!$A$2:$A$301,0), Skills!M4+1)</f>
        <v/>
      </c>
      <c r="F1138">
        <f>IF(Skills!N4=TRUE,(Skills!L4/10)*(E1138/1000),Skills!L4/10)+Skills!O4</f>
        <v/>
      </c>
      <c r="G1138">
        <f>Skills!G4*IF(Skills!H4&gt;0,Skills!I4/Skills!H4,1)</f>
        <v/>
      </c>
      <c r="H1138">
        <f>1-(1-Skills!J4/100)^Skills!K4</f>
        <v/>
      </c>
      <c r="I1138" t="inlineStr">
        <is>
          <t>1</t>
        </is>
      </c>
      <c r="J1138">
        <f>((Inputs!$B$6*(1+(Inputs!$B$7+1)/100))+(((Inputs!$B$12*(1+Inputs!$B$13/100))-(Inputs!$B$12*(1+Inputs!$B$13/100)))+0.25*(Inputs!$B$14-Inputs!$B$14))*(1+(Inputs!$B$7+1)/100))*(F1138/100)</f>
        <v/>
      </c>
      <c r="K1138">
        <f>J1138*(1+((Inputs!$B$12*(1+Inputs!$B$13/100))*0.01+Inputs!$B$14*0.0025)/100)*(1+Inputs!$B$15/100)*(1+Inputs!$B$16/100)*(5000/(6000+Inputs!$B$43*(1-Inputs!$B$19/100)))*(1+(Inputs!$B$24+((C1164=TRUE)*(F1164-Calc!F30)))/100)*(1+(IF(Skills!A4="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1138)</f>
        <v/>
      </c>
      <c r="L1138">
        <f>K1138*(MIN(Inputs!$B$22+((C1158=TRUE)*(F1158-Calc!F24)),Inputs!$B$23+((C1163=TRUE)*(F1163-Calc!F29)))/100+(Inputs!$B$23+((C1163=TRUE)*(F1163-Calc!F29)))/100)/2</f>
        <v/>
      </c>
      <c r="M1138">
        <f>L1138*(1+(Inputs!$B$10+((C1160=TRUE)*(F1160-Calc!F26))+B1174)/100)</f>
        <v/>
      </c>
      <c r="N1138">
        <f>L1138*(1-MIN((Inputs!$B$9+((C1159=TRUE)*(F1159-Calc!F25))+B1167),100)/100)+M1138*(MIN((Inputs!$B$9+((C1159=TRUE)*(F1159-Calc!F25))+B1167),100)/100)</f>
        <v/>
      </c>
      <c r="O1138">
        <f>(1-Summary!$B$55)*T1138+Summary!$B$55*V1138</f>
        <v/>
      </c>
      <c r="P1138">
        <f>IF(B1179=0,0,O1138/B1179)</f>
        <v/>
      </c>
      <c r="Q1138">
        <f>IFERROR(1/IF(Inputs!$B$39="pvp",15,MAX(0.1,Skills!D4-IF(Skills!E4=TRUE,Inputs!$B$32,0))),0)</f>
        <v/>
      </c>
      <c r="R1138">
        <f>IF(AND(Inputs!$B$39&lt;&gt;"pvp",Inputs!$B$44&gt;0),IF(MAX(0,Inputs!$B$44-B1178)&lt;=0,0,(INT(MAX(0,Inputs!$B$44-B1178)/IF(Inputs!$B$39="pvp",15,MAX(0.1,Skills!D4-IF(Skills!E4=TRUE,Inputs!$B$32,0))))+1)),0)</f>
        <v/>
      </c>
      <c r="S1138">
        <f>IFERROR(O1138/N1138,0)</f>
        <v/>
      </c>
      <c r="T1138">
        <f>IF(C1138,(H1138*N1138*IF(AND(Inputs!$B$39&lt;&gt;"pvp",Inputs!$B$44&gt;0),((Skills!G4*((R1138-1)*IF(Skills!H4&gt;0,Skills!I4/Skills!H4,1)+IF(Skills!H4&gt;0,MIN(Skills!I4,MAX(0,MAX(0,Inputs!$B$44-B1178)-((R1138-1)*IF(Inputs!$B$39="pvp",15,MAX(0.1,Skills!D4-IF(Skills!E4=TRUE,Inputs!$B$32,0))))))/Skills!H4,1)))/Inputs!$B$44),G1138*Q1138))*IF(Inputs!$B$39="pvp",1,1+(Inputs!$B$20+0+Skills!P4+B1168)/100),0)</f>
        <v/>
      </c>
      <c r="U1138">
        <f>290*U1137/1000</f>
        <v/>
      </c>
      <c r="V1138">
        <f>IF(C1138,(H1138*N1138*IF(AND(Inputs!$B$39&lt;&gt;"pvp",Inputs!$B$44&gt;0),((Skills!G4*((R1138-1)*IF(Skills!H4&gt;0,Skills!I4/Skills!H4,1)+IF(Skills!H4&gt;0,MIN(Skills!I4,MAX(0,MAX(0,Inputs!$B$44-B1178)-((R1138-1)*IF(Inputs!$B$39="pvp",15,MAX(0.1,Skills!D4-IF(Skills!E4=TRUE,Inputs!$B$32,0))))))/Skills!H4,1)))/Inputs!$B$44),G1138*Q1138))*IF(Inputs!$B$39="pvp",1,(1+(Inputs!$B$21+Skills!Q4+B1168)/100)*(MIN(MIN(10,0.5*B1171*Skills!D4),Inputs!$B$37))),0)</f>
        <v/>
      </c>
    </row>
    <row r="1139">
      <c r="A1139">
        <f>Skills!A5</f>
        <v/>
      </c>
      <c r="B1139">
        <f>Skills!B5</f>
        <v/>
      </c>
      <c r="C1139">
        <f>Inputs!$B$3&gt;=63</f>
        <v/>
      </c>
      <c r="D1139">
        <f>IF(Skills!C5=1,60+Inputs!$B$25+Inputs!$B$29,IF(Skills!C5=2,90+Inputs!$B$26+Inputs!$B$29,IF(Skills!C5=3,120+Inputs!$B$27+Inputs!$B$29,MAX(0,(Inputs!$B$3-100)*3)+Inputs!$B$28+Inputs!$B$29)))</f>
        <v/>
      </c>
      <c r="E1139">
        <f>INDEX(FactorTable!$B$2:$Y$301, MATCH(ROUND(MIN(300,MAX(1,D1139)),0), FactorTable!$A$2:$A$301,0), Skills!M5+1)</f>
        <v/>
      </c>
      <c r="F1139">
        <f>IF(Skills!N5=TRUE,(Skills!L5/10)*(E1139/1000),Skills!L5/10)+Skills!O5</f>
        <v/>
      </c>
      <c r="G1139">
        <f>Skills!G5*IF(Skills!H5&gt;0,Skills!I5/Skills!H5,1)</f>
        <v/>
      </c>
      <c r="H1139">
        <f>1-(1-Skills!J5/100)^Skills!K5</f>
        <v/>
      </c>
      <c r="I1139" t="inlineStr">
        <is>
          <t>1</t>
        </is>
      </c>
      <c r="J1139">
        <f>((Inputs!$B$6*(1+(Inputs!$B$7+1)/100))+(((Inputs!$B$12*(1+Inputs!$B$13/100))-(Inputs!$B$12*(1+Inputs!$B$13/100)))+0.25*(Inputs!$B$14-Inputs!$B$14))*(1+(Inputs!$B$7+1)/100))*(F1139/100)</f>
        <v/>
      </c>
      <c r="K1139">
        <f>J1139*(1+((Inputs!$B$12*(1+Inputs!$B$13/100))*0.01+Inputs!$B$14*0.0025)/100)*(1+Inputs!$B$15/100)*(1+Inputs!$B$16/100)*(5000/(6000+Inputs!$B$43*(1-Inputs!$B$19/100)))*(1+(Inputs!$B$24+((C1164=TRUE)*(F1164-Calc!F30)))/100)*(1+2.6666666666666665*IF(C1152=TRUE,F1152,0)/100)*(1+(IF(Skills!A5="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1139)</f>
        <v/>
      </c>
      <c r="L1139">
        <f>K1139*(MIN(Inputs!$B$22+((C1158=TRUE)*(F1158-Calc!F24)),Inputs!$B$23+((C1163=TRUE)*(F1163-Calc!F29)))/100+(Inputs!$B$23+((C1163=TRUE)*(F1163-Calc!F29)))/100)/2</f>
        <v/>
      </c>
      <c r="M1139">
        <f>L1139*(1+(Inputs!$B$10+((C1160=TRUE)*(F1160-Calc!F26))+B1174)/100)</f>
        <v/>
      </c>
      <c r="N1139">
        <f>L1139*(1-MIN((Inputs!$B$9+((C1159=TRUE)*(F1159-Calc!F25))+B1167),100)/100)+M1139*(MIN((Inputs!$B$9+((C1159=TRUE)*(F1159-Calc!F25))+B1167),100)/100)</f>
        <v/>
      </c>
      <c r="O1139">
        <f>(1-Summary!$B$55)*T1139+Summary!$B$55*V1139</f>
        <v/>
      </c>
      <c r="P1139">
        <f>IF(B1179=0,0,O1139/B1179)</f>
        <v/>
      </c>
      <c r="Q1139">
        <f>IFERROR(1/IF(Inputs!$B$39="pvp",15,MAX(0.1,Skills!D5-IF(Skills!E5=TRUE,Inputs!$B$32,0))),0)</f>
        <v/>
      </c>
      <c r="R1139">
        <f>IF(AND(Inputs!$B$39&lt;&gt;"pvp",Inputs!$B$44&gt;0),IF(MAX(0,Inputs!$B$44-B1178)&lt;=0,0,(INT(MAX(0,Inputs!$B$44-B1178)/IF(Inputs!$B$39="pvp",15,MAX(0.1,Skills!D5-IF(Skills!E5=TRUE,Inputs!$B$32,0))))+1)),0)</f>
        <v/>
      </c>
      <c r="S1139">
        <f>IFERROR(O1139/N1139,0)</f>
        <v/>
      </c>
      <c r="T1139">
        <f>IF(C1139,(H1139*N1139*IF(AND(Inputs!$B$39&lt;&gt;"pvp",Inputs!$B$44&gt;0),((Skills!G5*((R1139-1)*IF(Skills!H5&gt;0,Skills!I5/Skills!H5,1)+IF(Skills!H5&gt;0,MIN(Skills!I5,MAX(0,MAX(0,Inputs!$B$44-B1178)-((R1139-1)*IF(Inputs!$B$39="pvp",15,MAX(0.1,Skills!D5-IF(Skills!E5=TRUE,Inputs!$B$32,0))))))/Skills!H5,1)))/Inputs!$B$44),G1139*Q1139))*IF(Inputs!$B$39="pvp",1,1+(Inputs!$B$20+0+Skills!P5+B1168)/100),0)</f>
        <v/>
      </c>
      <c r="V1139">
        <f>IF(C1139,(H1139*N1139*IF(AND(Inputs!$B$39&lt;&gt;"pvp",Inputs!$B$44&gt;0),((Skills!G5*((R1139-1)*IF(Skills!H5&gt;0,Skills!I5/Skills!H5,1)+IF(Skills!H5&gt;0,MIN(Skills!I5,MAX(0,MAX(0,Inputs!$B$44-B1178)-((R1139-1)*IF(Inputs!$B$39="pvp",15,MAX(0.1,Skills!D5-IF(Skills!E5=TRUE,Inputs!$B$32,0))))))/Skills!H5,1)))/Inputs!$B$44),G1139*Q1139))*IF(Inputs!$B$39="pvp",1,(1+(Inputs!$B$21+Skills!Q5+B1168)/100)*(MIN(Skills!W5,Inputs!$B$37))),0)</f>
        <v/>
      </c>
    </row>
    <row r="1140">
      <c r="A1140">
        <f>Skills!A6</f>
        <v/>
      </c>
      <c r="B1140">
        <f>Skills!B6</f>
        <v/>
      </c>
      <c r="C1140">
        <f>Inputs!$B$3&gt;=69</f>
        <v/>
      </c>
      <c r="D1140">
        <f>IF(Skills!C6=1,60+Inputs!$B$25+Inputs!$B$29,IF(Skills!C6=2,90+Inputs!$B$26+Inputs!$B$29,IF(Skills!C6=3,120+Inputs!$B$27+Inputs!$B$29,MAX(0,(Inputs!$B$3-100)*3)+Inputs!$B$28+Inputs!$B$29)))</f>
        <v/>
      </c>
      <c r="E1140">
        <f>INDEX(FactorTable!$B$2:$Y$301, MATCH(ROUND(MIN(300,MAX(1,D1140)),0), FactorTable!$A$2:$A$301,0), Skills!M6+1)</f>
        <v/>
      </c>
      <c r="F1140">
        <f>IF(Skills!N6=TRUE,(Skills!L6/10)*(E1140/1000),Skills!L6/10)+Skills!O6</f>
        <v/>
      </c>
      <c r="G1140">
        <f>Skills!G6*IF(Skills!H6&gt;0,Skills!I6/Skills!H6,1)</f>
        <v/>
      </c>
      <c r="H1140">
        <f>1-(1-Skills!J6/100)^Skills!K6</f>
        <v/>
      </c>
      <c r="I1140" t="inlineStr">
        <is>
          <t>1</t>
        </is>
      </c>
      <c r="J1140">
        <f>((Inputs!$B$6*(1+(Inputs!$B$7+1)/100))+(((Inputs!$B$12*(1+Inputs!$B$13/100))-(Inputs!$B$12*(1+Inputs!$B$13/100)))+0.25*(Inputs!$B$14-Inputs!$B$14))*(1+(Inputs!$B$7+1)/100))*(F1140/100)</f>
        <v/>
      </c>
      <c r="K1140">
        <f>J1140*(1+((Inputs!$B$12*(1+Inputs!$B$13/100))*0.01+Inputs!$B$14*0.0025)/100)*(1+Inputs!$B$15/100)*(1+Inputs!$B$16/100)*(5000/(6000+Inputs!$B$43*(1-Inputs!$B$19/100)))*(1+(Inputs!$B$24+((C1164=TRUE)*(F1164-Calc!F30)))/100)*(1+1.0*IF(C1152=TRUE,F1152,0)/100)*(1+(IF(Skills!A6="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1140)</f>
        <v/>
      </c>
      <c r="L1140">
        <f>K1140*(MIN(Inputs!$B$22+((C1158=TRUE)*(F1158-Calc!F24)),Inputs!$B$23+((C1163=TRUE)*(F1163-Calc!F29)))/100+(Inputs!$B$23+((C1163=TRUE)*(F1163-Calc!F29)))/100)/2</f>
        <v/>
      </c>
      <c r="M1140">
        <f>L1140*(1+(Inputs!$B$10+((C1160=TRUE)*(F1160-Calc!F26))+B1174)/100)</f>
        <v/>
      </c>
      <c r="N1140">
        <f>L1140*(1-MIN((Inputs!$B$9+((C1159=TRUE)*(F1159-Calc!F25))+B1167),100)/100)+M1140*(MIN((Inputs!$B$9+((C1159=TRUE)*(F1159-Calc!F25))+B1167),100)/100)</f>
        <v/>
      </c>
      <c r="O1140">
        <f>(1-Summary!$B$55)*T1140+Summary!$B$55*V1140</f>
        <v/>
      </c>
      <c r="P1140">
        <f>IF(B1179=0,0,O1140/B1179)</f>
        <v/>
      </c>
      <c r="Q1140">
        <f>IFERROR(1/IF(Inputs!$B$39="pvp",15,MAX(0.1,Skills!D6-IF(Skills!E6=TRUE,Inputs!$B$32,0))),0)</f>
        <v/>
      </c>
      <c r="R1140">
        <f>IF(AND(Inputs!$B$39&lt;&gt;"pvp",Inputs!$B$44&gt;0),IF(MAX(0,Inputs!$B$44-B1178)&lt;=0,0,(INT(MAX(0,Inputs!$B$44-B1178)/IF(Inputs!$B$39="pvp",15,MAX(0.1,Skills!D6-IF(Skills!E6=TRUE,Inputs!$B$32,0))))+1)),0)</f>
        <v/>
      </c>
      <c r="S1140">
        <f>IFERROR(O1140/N1140,0)</f>
        <v/>
      </c>
      <c r="T1140">
        <f>IF(C1140,(H1140*N1140*IF(AND(Inputs!$B$39&lt;&gt;"pvp",Inputs!$B$44&gt;0),((Skills!G6*((R1140-1)*IF(Skills!H6&gt;0,Skills!I6/Skills!H6,1)+IF(Skills!H6&gt;0,MIN(Skills!I6,MAX(0,MAX(0,Inputs!$B$44-B1178)-((R1140-1)*IF(Inputs!$B$39="pvp",15,MAX(0.1,Skills!D6-IF(Skills!E6=TRUE,Inputs!$B$32,0))))))/Skills!H6,1)))/Inputs!$B$44),G1140*Q1140))*IF(Inputs!$B$39="pvp",1,1+(Inputs!$B$20+0+Skills!P6+B1168)/100),0)</f>
        <v/>
      </c>
      <c r="V1140">
        <f>IF(C1140,(H1140*N1140*IF(AND(Inputs!$B$39&lt;&gt;"pvp",Inputs!$B$44&gt;0),((Skills!G6*((R1140-1)*IF(Skills!H6&gt;0,Skills!I6/Skills!H6,1)+IF(Skills!H6&gt;0,MIN(Skills!I6,MAX(0,MAX(0,Inputs!$B$44-B1178)-((R1140-1)*IF(Inputs!$B$39="pvp",15,MAX(0.1,Skills!D6-IF(Skills!E6=TRUE,Inputs!$B$32,0))))))/Skills!H6,1)))/Inputs!$B$44),G1140*Q1140))*IF(Inputs!$B$39="pvp",1,(1+(Inputs!$B$21+Skills!Q6+B1168)/100)*(MIN(Skills!W6,Inputs!$B$37))),0)</f>
        <v/>
      </c>
    </row>
    <row r="1141">
      <c r="A1141">
        <f>Skills!A7</f>
        <v/>
      </c>
      <c r="B1141">
        <f>Skills!B7</f>
        <v/>
      </c>
      <c r="C1141">
        <f>Inputs!$B$3&gt;=60</f>
        <v/>
      </c>
      <c r="D1141">
        <f>IF(Skills!C7=1,60+Inputs!$B$25+Inputs!$B$29,IF(Skills!C7=2,90+Inputs!$B$26+Inputs!$B$29,IF(Skills!C7=3,120+Inputs!$B$27+Inputs!$B$29,MAX(0,(Inputs!$B$3-100)*3)+Inputs!$B$28+Inputs!$B$29)))</f>
        <v/>
      </c>
      <c r="E1141">
        <f>INDEX(FactorTable!$B$2:$Y$301, MATCH(ROUND(MIN(300,MAX(1,D1141)),0), FactorTable!$A$2:$A$301,0), Skills!M7+1)</f>
        <v/>
      </c>
      <c r="F1141">
        <f>IF(Skills!N7=TRUE,(Skills!L7/10)*(E1141/1000),Skills!L7/10)+Skills!O7</f>
        <v/>
      </c>
      <c r="G1141">
        <f>Skills!G7*IF(Skills!H7&gt;0,Skills!I7/Skills!H7,1)</f>
        <v/>
      </c>
      <c r="H1141">
        <f>1-(1-Skills!J7/100)^Skills!K7</f>
        <v/>
      </c>
      <c r="I1141" t="inlineStr">
        <is>
          <t>1</t>
        </is>
      </c>
      <c r="J1141" t="inlineStr"/>
      <c r="K1141" t="inlineStr"/>
      <c r="L1141" t="inlineStr"/>
      <c r="M1141" t="inlineStr"/>
      <c r="N1141" t="inlineStr"/>
      <c r="O1141">
        <f>(1-Summary!$B$55)*T1141+Summary!$B$55*V1141</f>
        <v/>
      </c>
      <c r="P1141">
        <f>IF(B1179=0,0,O1141/B1179)</f>
        <v/>
      </c>
      <c r="Q1141" t="n">
        <v>0</v>
      </c>
      <c r="R1141" t="n">
        <v>0</v>
      </c>
      <c r="S1141">
        <f>IFERROR(O1141/N1141,0)</f>
        <v/>
      </c>
      <c r="T1141" t="n">
        <v>0</v>
      </c>
      <c r="V1141" t="n">
        <v>0</v>
      </c>
    </row>
    <row r="1142">
      <c r="A1142">
        <f>Skills!A8</f>
        <v/>
      </c>
      <c r="B1142">
        <f>Skills!B8</f>
        <v/>
      </c>
      <c r="C1142">
        <f>Inputs!$B$3&gt;=72</f>
        <v/>
      </c>
      <c r="D1142">
        <f>IF(Skills!C8=1,60+Inputs!$B$25+Inputs!$B$29,IF(Skills!C8=2,90+Inputs!$B$26+Inputs!$B$29,IF(Skills!C8=3,120+Inputs!$B$27+Inputs!$B$29,MAX(0,(Inputs!$B$3-100)*3)+Inputs!$B$28+Inputs!$B$29)))</f>
        <v/>
      </c>
      <c r="E1142">
        <f>INDEX(FactorTable!$B$2:$Y$301, MATCH(ROUND(MIN(300,MAX(1,D1142)),0), FactorTable!$A$2:$A$301,0), Skills!M8+1)</f>
        <v/>
      </c>
      <c r="F1142">
        <f>IF(Skills!N8=TRUE,(Skills!L8/10)*(E1142/1000),Skills!L8/10)+Skills!O8</f>
        <v/>
      </c>
      <c r="G1142">
        <f>Skills!G8*IF(Skills!H8&gt;0,Skills!I8/Skills!H8,1)</f>
        <v/>
      </c>
      <c r="H1142">
        <f>1-(1-Skills!J8/100)^Skills!K8</f>
        <v/>
      </c>
      <c r="I1142" t="inlineStr">
        <is>
          <t>1</t>
        </is>
      </c>
      <c r="J1142">
        <f>((Inputs!$B$6*(1+(Inputs!$B$7+1)/100))+(((Inputs!$B$12*(1+Inputs!$B$13/100))-(Inputs!$B$12*(1+Inputs!$B$13/100)))+0.25*(Inputs!$B$14-Inputs!$B$14))*(1+(Inputs!$B$7+1)/100))*(F1142/100)</f>
        <v/>
      </c>
      <c r="K1142">
        <f>J1142*(1+((Inputs!$B$12*(1+Inputs!$B$13/100))*0.01+Inputs!$B$14*0.0025)/100)*(1+Inputs!$B$15/100)*(1+Inputs!$B$16/100)*(5000/(6000+Inputs!$B$43*(1-Inputs!$B$19/100)))*(1+(Inputs!$B$24+((C1164=TRUE)*(F1164-Calc!F30)))/100)*(1+3.3333333333333335*IF(C1152=TRUE,F1152,0)/100)*(1+(IF(Skills!A8="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1142)</f>
        <v/>
      </c>
      <c r="L1142">
        <f>K1142*(MIN(Inputs!$B$22+((C1158=TRUE)*(F1158-Calc!F24)),Inputs!$B$23+((C1163=TRUE)*(F1163-Calc!F29)))/100+(Inputs!$B$23+((C1163=TRUE)*(F1163-Calc!F29)))/100)/2</f>
        <v/>
      </c>
      <c r="M1142">
        <f>L1142*(1+(Inputs!$B$10+((C1160=TRUE)*(F1160-Calc!F26))+B1174)/100)</f>
        <v/>
      </c>
      <c r="N1142">
        <f>L1142*(1-MIN((Inputs!$B$9+((C1159=TRUE)*(F1159-Calc!F25))+B1167),100)/100)+M1142*(MIN((Inputs!$B$9+((C1159=TRUE)*(F1159-Calc!F25))+B1167),100)/100)</f>
        <v/>
      </c>
      <c r="O1142">
        <f>(1-Summary!$B$55)*T1142+Summary!$B$55*V1142</f>
        <v/>
      </c>
      <c r="P1142">
        <f>IF(B1179=0,0,O1142/B1179)</f>
        <v/>
      </c>
      <c r="Q1142">
        <f>IFERROR(1/IF(Inputs!$B$39="pvp",15,MAX(0.1,Skills!D8-IF(Skills!E8=TRUE,Inputs!$B$32,0))),0)</f>
        <v/>
      </c>
      <c r="R1142">
        <f>IF(AND(Inputs!$B$39&lt;&gt;"pvp",Inputs!$B$44&gt;0),IF(MAX(0,Inputs!$B$44-B1178)&lt;=0,0,(INT(MAX(0,Inputs!$B$44-B1178)/IF(Inputs!$B$39="pvp",15,MAX(0.1,Skills!D8-IF(Skills!E8=TRUE,Inputs!$B$32,0))))+1)),0)</f>
        <v/>
      </c>
      <c r="S1142">
        <f>IFERROR(O1142/N1142,0)</f>
        <v/>
      </c>
      <c r="T1142">
        <f>IF(C1142,(H1142*N1142*IF(AND(Inputs!$B$39&lt;&gt;"pvp",Inputs!$B$44&gt;0),((Skills!G8*((R1142-1)*IF(Skills!H8&gt;0,Skills!I8/Skills!H8,1)+IF(Skills!H8&gt;0,MIN(Skills!I8,MAX(0,MAX(0,Inputs!$B$44-B1178)-((R1142-1)*IF(Inputs!$B$39="pvp",15,MAX(0.1,Skills!D8-IF(Skills!E8=TRUE,Inputs!$B$32,0))))))/Skills!H8,1)))/Inputs!$B$44),G1142*Q1142))*IF(Inputs!$B$39="pvp",1,1+(Inputs!$B$20+0+Skills!P8+B1168)/100),0)</f>
        <v/>
      </c>
      <c r="V1142">
        <f>IF(C1142,(H1142*N1142*IF(AND(Inputs!$B$39&lt;&gt;"pvp",Inputs!$B$44&gt;0),((Skills!G8*((R1142-1)*IF(Skills!H8&gt;0,Skills!I8/Skills!H8,1)+IF(Skills!H8&gt;0,MIN(Skills!I8,MAX(0,MAX(0,Inputs!$B$44-B1178)-((R1142-1)*IF(Inputs!$B$39="pvp",15,MAX(0.1,Skills!D8-IF(Skills!E8=TRUE,Inputs!$B$32,0))))))/Skills!H8,1)))/Inputs!$B$44),G1142*Q1142))*IF(Inputs!$B$39="pvp",1,(1+(Inputs!$B$21+Skills!Q8+B1168)/100)*(MIN(Skills!W8,Inputs!$B$37))),0)</f>
        <v/>
      </c>
    </row>
    <row r="1143">
      <c r="A1143">
        <f>Skills!A9</f>
        <v/>
      </c>
      <c r="B1143">
        <f>Skills!B9</f>
        <v/>
      </c>
      <c r="C1143">
        <f>Inputs!$B$3&gt;=117</f>
        <v/>
      </c>
      <c r="D1143">
        <f>IF(Skills!C9=1,60+Inputs!$B$25+Inputs!$B$29,IF(Skills!C9=2,90+Inputs!$B$26+Inputs!$B$29,IF(Skills!C9=3,120+Inputs!$B$27+Inputs!$B$29,MAX(0,(Inputs!$B$3-100)*3)+Inputs!$B$28+Inputs!$B$29)))</f>
        <v/>
      </c>
      <c r="E1143">
        <f>INDEX(FactorTable!$B$2:$Y$301, MATCH(ROUND(MIN(300,MAX(1,D1143)),0), FactorTable!$A$2:$A$301,0), Skills!M9+1)</f>
        <v/>
      </c>
      <c r="F1143">
        <f>IF(Skills!N9=TRUE,(Skills!L9/10)*(E1143/1000),Skills!L9/10)+Skills!O9</f>
        <v/>
      </c>
      <c r="G1143">
        <f>Skills!G9*IF(Skills!H9&gt;0,Skills!I9/Skills!H9,1)</f>
        <v/>
      </c>
      <c r="H1143">
        <f>1-(1-Skills!J9/100)^Skills!K9</f>
        <v/>
      </c>
      <c r="I1143" t="inlineStr">
        <is>
          <t>1</t>
        </is>
      </c>
      <c r="J1143">
        <f>((Inputs!$B$6*(1+(Inputs!$B$7+1)/100))+(((Inputs!$B$12*(1+Inputs!$B$13/100))-(Inputs!$B$12*(1+Inputs!$B$13/100)))+0.25*(Inputs!$B$14-Inputs!$B$14))*(1+(Inputs!$B$7+1)/100))*(F1143/100)</f>
        <v/>
      </c>
      <c r="K1143">
        <f>J1143*(1+((Inputs!$B$12*(1+Inputs!$B$13/100))*0.01+Inputs!$B$14*0.0025)/100)*(1+Inputs!$B$15/100)*(1+Inputs!$B$16/100)*(5000/(6000+Inputs!$B$43*(1-Inputs!$B$19/100)))*(1+(Inputs!$B$24+((C1164=TRUE)*(F1164-Calc!F30)))/100)*(1+(IF(Skills!A9="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1143)</f>
        <v/>
      </c>
      <c r="L1143">
        <f>K1143*(MIN(Inputs!$B$22+((C1158=TRUE)*(F1158-Calc!F24)),Inputs!$B$23+((C1163=TRUE)*(F1163-Calc!F29)))/100+(Inputs!$B$23+((C1163=TRUE)*(F1163-Calc!F29)))/100)/2</f>
        <v/>
      </c>
      <c r="M1143">
        <f>L1143*(1+(Inputs!$B$10+((C1160=TRUE)*(F1160-Calc!F26))+B1174)/100)</f>
        <v/>
      </c>
      <c r="N1143">
        <f>L1143*(1-MIN((Inputs!$B$9+((C1159=TRUE)*(F1159-Calc!F25))+B1167),100)/100)+M1143*(MIN((Inputs!$B$9+((C1159=TRUE)*(F1159-Calc!F25))+B1167),100)/100)</f>
        <v/>
      </c>
      <c r="O1143">
        <f>(1-Summary!$B$55)*T1143+Summary!$B$55*V1143</f>
        <v/>
      </c>
      <c r="P1143">
        <f>IF(B1179=0,0,O1143/B1179)</f>
        <v/>
      </c>
      <c r="Q1143" t="n">
        <v>0</v>
      </c>
      <c r="R1143" t="n">
        <v>0</v>
      </c>
      <c r="S1143" t="n">
        <v>0</v>
      </c>
      <c r="T1143">
        <f>IF(C1143,(0.2*SUMPRODUCT((Skills!Z2:Z30=TRUE)*(C1136:C1164=TRUE)*S1136:S1164)*N1143)*IF(Inputs!$B$39="pvp",1,1+(Inputs!$B$20+0+Skills!P9+B1168)/100),0)</f>
        <v/>
      </c>
      <c r="V1143">
        <f>IF(C1143,(0.2*SUMPRODUCT((Skills!Z2:Z30=TRUE)*(C1136:C1164=TRUE)*S1136:S1164)*N1143)*IF(Inputs!$B$39="pvp",1,(1+(Inputs!$B$21+Skills!Q9+B1168)/100)*(MIN(Skills!W9,Inputs!$B$37))),0)</f>
        <v/>
      </c>
    </row>
    <row r="1144">
      <c r="A1144">
        <f>Skills!A10</f>
        <v/>
      </c>
      <c r="B1144">
        <f>Skills!B10</f>
        <v/>
      </c>
      <c r="C1144">
        <f>Inputs!$B$3&gt;=74</f>
        <v/>
      </c>
      <c r="D1144">
        <f>IF(Skills!C10=1,60+Inputs!$B$25+Inputs!$B$29,IF(Skills!C10=2,90+Inputs!$B$26+Inputs!$B$29,IF(Skills!C10=3,120+Inputs!$B$27+Inputs!$B$29,MAX(0,(Inputs!$B$3-100)*3)+Inputs!$B$28+Inputs!$B$29)))</f>
        <v/>
      </c>
      <c r="E1144">
        <f>INDEX(FactorTable!$B$2:$Y$301, MATCH(ROUND(MIN(300,MAX(1,D1144)),0), FactorTable!$A$2:$A$301,0), Skills!M10+1)</f>
        <v/>
      </c>
      <c r="F1144">
        <f>IF(Skills!N10=TRUE,(Skills!L10/10)*(E1144/1000),Skills!L10/10)+Skills!O10</f>
        <v/>
      </c>
      <c r="G1144">
        <f>Skills!G10*IF(Skills!H10&gt;0,Skills!I10/Skills!H10,1)</f>
        <v/>
      </c>
      <c r="H1144">
        <f>1-(1-Skills!J10/100)^Skills!K10</f>
        <v/>
      </c>
      <c r="I1144" t="inlineStr">
        <is>
          <t>1</t>
        </is>
      </c>
      <c r="J1144" t="inlineStr"/>
      <c r="K1144" t="inlineStr"/>
      <c r="L1144" t="inlineStr"/>
      <c r="M1144" t="inlineStr"/>
      <c r="N1144" t="inlineStr"/>
      <c r="O1144">
        <f>(1-Summary!$B$55)*T1144+Summary!$B$55*V1144</f>
        <v/>
      </c>
      <c r="P1144">
        <f>IF(B1179=0,0,O1144/B1179)</f>
        <v/>
      </c>
      <c r="Q1144">
        <f>IFERROR(1/IF(Inputs!$B$39="pvp",15,MAX(0.1,Skills!D10-IF(Skills!E10=TRUE,Inputs!$B$32,0))),0)</f>
        <v/>
      </c>
      <c r="R1144">
        <f>IF(AND(Inputs!$B$39&lt;&gt;"pvp",Inputs!$B$44&gt;0),IF(Inputs!$B$44&lt;=0,0,(INT(Inputs!$B$44/IF(Inputs!$B$39="pvp",15,MAX(0.1,Skills!D10-IF(Skills!E10=TRUE,Inputs!$B$32,0))))+1)),0)</f>
        <v/>
      </c>
      <c r="S1144">
        <f>IFERROR(O1144/N1144,0)</f>
        <v/>
      </c>
      <c r="T1144" t="n">
        <v>0</v>
      </c>
      <c r="V1144" t="n">
        <v>0</v>
      </c>
    </row>
    <row r="1145">
      <c r="A1145">
        <f>Skills!A11</f>
        <v/>
      </c>
      <c r="B1145">
        <f>Skills!B11</f>
        <v/>
      </c>
      <c r="C1145">
        <f>Inputs!$B$3&gt;=103</f>
        <v/>
      </c>
      <c r="D1145">
        <f>IF(Skills!C11=1,60+Inputs!$B$25+Inputs!$B$29,IF(Skills!C11=2,90+Inputs!$B$26+Inputs!$B$29,IF(Skills!C11=3,120+Inputs!$B$27+Inputs!$B$29,MAX(0,(Inputs!$B$3-100)*3)+Inputs!$B$28+Inputs!$B$29)))</f>
        <v/>
      </c>
      <c r="E1145">
        <f>INDEX(FactorTable!$B$2:$Y$301, MATCH(ROUND(MIN(300,MAX(1,D1145)),0), FactorTable!$A$2:$A$301,0), Skills!M11+1)</f>
        <v/>
      </c>
      <c r="F1145">
        <f>(Skills!L11/10)*(E1145/1000)+IF(Inputs!$B$3&gt;=134,50,0)+0.5*(30000/10)*(INDEX(FactorTable!$B$2:$Y$301, MATCH(ROUND(MIN(300,MAX(1,D1145)),0), FactorTable!$A$2:$A$301,0), 13)/1000)*B1177</f>
        <v/>
      </c>
      <c r="G1145">
        <f>Skills!G11*IF(Skills!H11&gt;0,Skills!I11/Skills!H11,1)</f>
        <v/>
      </c>
      <c r="H1145">
        <f>1-(1-Skills!J11/100)^Skills!K11</f>
        <v/>
      </c>
      <c r="I1145" t="inlineStr">
        <is>
          <t>1</t>
        </is>
      </c>
      <c r="J1145">
        <f>((Inputs!$B$6*(1+(Inputs!$B$7+1)/100))+(((Inputs!$B$12*(1+Inputs!$B$13/100))-(Inputs!$B$12*(1+Inputs!$B$13/100)))+0.25*(Inputs!$B$14-Inputs!$B$14))*(1+(Inputs!$B$7+1)/100))*(F1145/100)</f>
        <v/>
      </c>
      <c r="K1145">
        <f>J1145*(1+((Inputs!$B$12*(1+Inputs!$B$13/100))*0.01+Inputs!$B$14*0.0025)/100)*(1+Inputs!$B$15/100)*(1+Inputs!$B$16/100)*(5000/(6000+Inputs!$B$43*(1-Inputs!$B$19/100)))*(1+(Inputs!$B$24+((C1164=TRUE)*(F1164-Calc!F30)))/100)*(1+(IF(Skills!A11="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1145)</f>
        <v/>
      </c>
      <c r="L1145">
        <f>K1145*(MIN(Inputs!$B$22+((C1158=TRUE)*(F1158-Calc!F24)),Inputs!$B$23+((C1163=TRUE)*(F1163-Calc!F29)))/100+(Inputs!$B$23+((C1163=TRUE)*(F1163-Calc!F29)))/100)/2</f>
        <v/>
      </c>
      <c r="M1145">
        <f>L1145*(1+(Inputs!$B$10+((C1160=TRUE)*(F1160-Calc!F26))+B1174)/100)</f>
        <v/>
      </c>
      <c r="N1145">
        <f>L1145*(1-MIN((Inputs!$B$9+((C1159=TRUE)*(F1159-Calc!F25))+B1167),100)/100)+M1145*(MIN((Inputs!$B$9+((C1159=TRUE)*(F1159-Calc!F25))+B1167),100)/100)</f>
        <v/>
      </c>
      <c r="O1145">
        <f>(1-Summary!$B$55)*T1145+Summary!$B$55*V1145</f>
        <v/>
      </c>
      <c r="P1145">
        <f>IF(B1179=0,0,O1145/B1179)</f>
        <v/>
      </c>
      <c r="Q1145">
        <f>IFERROR(1/IF(Inputs!$B$39="pvp",15,MAX(0.1,Skills!D11-IF(Skills!E11=TRUE,Inputs!$B$32,0))),0)</f>
        <v/>
      </c>
      <c r="R1145">
        <f>IF(AND(Inputs!$B$39&lt;&gt;"pvp",Inputs!$B$44&gt;0),IF(MAX(0,Inputs!$B$44-B1178)&lt;=0,0,(INT(MAX(0,Inputs!$B$44-B1178)/IF(Inputs!$B$39="pvp",15,MAX(0.1,Skills!D11-IF(Skills!E11=TRUE,Inputs!$B$32,0))))+1)),0)</f>
        <v/>
      </c>
      <c r="S1145">
        <f>IFERROR(O1145/N1145,0)</f>
        <v/>
      </c>
      <c r="T1145">
        <f>IF(C1145,(H1145*N1145*IF(AND(Inputs!$B$39&lt;&gt;"pvp",Inputs!$B$44&gt;0),((Skills!G11*((R1145-1)*IF(Skills!H11&gt;0,Skills!I11/Skills!H11,1)+IF(Skills!H11&gt;0,MIN(Skills!I11,MAX(0,MAX(0,Inputs!$B$44-B1178)-((R1145-1)*IF(Inputs!$B$39="pvp",15,MAX(0.1,Skills!D11-IF(Skills!E11=TRUE,Inputs!$B$32,0))))))/Skills!H11,1)))/Inputs!$B$44),G1145*Q1145))*IF(Inputs!$B$39="pvp",1,1+(Inputs!$B$20+0+Skills!P11+B1168)/100),0)</f>
        <v/>
      </c>
      <c r="V1145">
        <f>IF(C1145,(H1145*N1145*IF(AND(Inputs!$B$39&lt;&gt;"pvp",Inputs!$B$44&gt;0),((Skills!G11*((R1145-1)*IF(Skills!H11&gt;0,Skills!I11/Skills!H11,1)+IF(Skills!H11&gt;0,MIN(Skills!I11,MAX(0,MAX(0,Inputs!$B$44-B1178)-((R1145-1)*IF(Inputs!$B$39="pvp",15,MAX(0.1,Skills!D11-IF(Skills!E11=TRUE,Inputs!$B$32,0))))))/Skills!H11,1)))/Inputs!$B$44),G1145*Q1145))*IF(Inputs!$B$39="pvp",1,(1+(Inputs!$B$21+Skills!Q11+B1168)/100)*(MIN(Skills!W11,Inputs!$B$37))),0)</f>
        <v/>
      </c>
    </row>
    <row r="1146">
      <c r="A1146">
        <f>Skills!A12</f>
        <v/>
      </c>
      <c r="B1146">
        <f>Skills!B12</f>
        <v/>
      </c>
      <c r="C1146">
        <f>Inputs!$B$3&gt;=105</f>
        <v/>
      </c>
      <c r="D1146">
        <f>IF(Skills!C12=1,60+Inputs!$B$25+Inputs!$B$29,IF(Skills!C12=2,90+Inputs!$B$26+Inputs!$B$29,IF(Skills!C12=3,120+Inputs!$B$27+Inputs!$B$29,MAX(0,(Inputs!$B$3-100)*3)+Inputs!$B$28+Inputs!$B$29)))</f>
        <v/>
      </c>
      <c r="E1146">
        <f>INDEX(FactorTable!$B$2:$Y$301, MATCH(ROUND(MIN(300,MAX(1,D1146)),0), FactorTable!$A$2:$A$301,0), Skills!M12+1)</f>
        <v/>
      </c>
      <c r="F1146">
        <f>IF(Skills!N12=TRUE,(Skills!L12/10)*(E1146/1000),Skills!L12/10)+Skills!O12</f>
        <v/>
      </c>
      <c r="G1146">
        <f>Skills!G12*IF(Skills!H12&gt;0,Skills!I12/Skills!H12,1)</f>
        <v/>
      </c>
      <c r="H1146">
        <f>1-(1-Skills!J12/100)^Skills!K12</f>
        <v/>
      </c>
      <c r="I1146" t="inlineStr">
        <is>
          <t>1</t>
        </is>
      </c>
      <c r="J1146">
        <f>((Inputs!$B$6*(1+(Inputs!$B$7+1)/100))+(((Inputs!$B$12*(1+Inputs!$B$13/100))-(Inputs!$B$12*(1+Inputs!$B$13/100)))+0.25*(Inputs!$B$14-Inputs!$B$14))*(1+(Inputs!$B$7+1)/100))*(F1146/100)</f>
        <v/>
      </c>
      <c r="K1146">
        <f>J1146*(1+((Inputs!$B$12*(1+Inputs!$B$13/100))*0.01+Inputs!$B$14*0.0025)/100)*(1+Inputs!$B$15/100)*(1+Inputs!$B$16/100)*(5000/(6000+Inputs!$B$43*(1-Inputs!$B$19/100)))*(1+(Inputs!$B$24+((C1164=TRUE)*(F1164-Calc!F30)))/100)*(1+(IF(Skills!A12="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1146)</f>
        <v/>
      </c>
      <c r="L1146">
        <f>K1146*(MIN(Inputs!$B$22+((C1158=TRUE)*(F1158-Calc!F24)),Inputs!$B$23+((C1163=TRUE)*(F1163-Calc!F29)))/100+(Inputs!$B$23+((C1163=TRUE)*(F1163-Calc!F29)))/100)/2</f>
        <v/>
      </c>
      <c r="M1146">
        <f>L1146*(1+(Inputs!$B$10+((C1160=TRUE)*(F1160-Calc!F26))+B1174)/100)</f>
        <v/>
      </c>
      <c r="N1146">
        <f>L1146*(1-MIN((Inputs!$B$9+((C1159=TRUE)*(F1159-Calc!F25))+B1167),100)/100)+M1146*(MIN((Inputs!$B$9+((C1159=TRUE)*(F1159-Calc!F25))+B1167),100)/100)</f>
        <v/>
      </c>
      <c r="O1146">
        <f>(1-Summary!$B$55)*T1146+Summary!$B$55*V1146</f>
        <v/>
      </c>
      <c r="P1146">
        <f>IF(B1179=0,0,O1146/B1179)</f>
        <v/>
      </c>
      <c r="Q1146">
        <f>IFERROR(1/IF(Inputs!$B$39="pvp",15,MAX(0.1,Skills!D12-IF(Skills!E12=TRUE,Inputs!$B$32,0))),0)</f>
        <v/>
      </c>
      <c r="R1146">
        <f>IF(AND(Inputs!$B$39&lt;&gt;"pvp",Inputs!$B$44&gt;0),IF(MAX(0,Inputs!$B$44-B1178)&lt;=0,0,(INT(MAX(0,Inputs!$B$44-B1178)/IF(Inputs!$B$39="pvp",15,MAX(0.1,Skills!D12-IF(Skills!E12=TRUE,Inputs!$B$32,0))))+1)),0)</f>
        <v/>
      </c>
      <c r="S1146">
        <f>IFERROR(O1146/N1146,0)</f>
        <v/>
      </c>
      <c r="T1146">
        <f>IF(C1146,(H1146*N1146*IF(AND(Inputs!$B$39&lt;&gt;"pvp",Inputs!$B$44&gt;0),((Skills!G12*((R1146-1)*IF(Skills!H12&gt;0,Skills!I12/Skills!H12,1)+IF(Skills!H12&gt;0,MIN(Skills!I12,MAX(0,MAX(0,Inputs!$B$44-B1178)-((R1146-1)*IF(Inputs!$B$39="pvp",15,MAX(0.1,Skills!D12-IF(Skills!E12=TRUE,Inputs!$B$32,0))))))/Skills!H12,1)))/Inputs!$B$44),G1146*Q1146))*IF(Inputs!$B$39="pvp",1,1+(Inputs!$B$20+0+Skills!P12+B1168)/100),0)</f>
        <v/>
      </c>
      <c r="V1146">
        <f>IF(C1146,(H1146*N1146*IF(AND(Inputs!$B$39&lt;&gt;"pvp",Inputs!$B$44&gt;0),((Skills!G12*((R1146-1)*IF(Skills!H12&gt;0,Skills!I12/Skills!H12,1)+IF(Skills!H12&gt;0,MIN(Skills!I12,MAX(0,MAX(0,Inputs!$B$44-B1178)-((R1146-1)*IF(Inputs!$B$39="pvp",15,MAX(0.1,Skills!D12-IF(Skills!E12=TRUE,Inputs!$B$32,0))))))/Skills!H12,1)))/Inputs!$B$44),G1146*Q1146))*IF(Inputs!$B$39="pvp",1,(1+(Inputs!$B$21+Skills!Q12+B1168)/100)*(MIN(Skills!W12,Inputs!$B$37))),0)</f>
        <v/>
      </c>
    </row>
    <row r="1147">
      <c r="A1147">
        <f>Skills!A13</f>
        <v/>
      </c>
      <c r="B1147">
        <f>Skills!B13</f>
        <v/>
      </c>
      <c r="C1147">
        <f>Inputs!$B$3&gt;=105</f>
        <v/>
      </c>
      <c r="D1147">
        <f>IF(Skills!C13=1,60+Inputs!$B$25+Inputs!$B$29,IF(Skills!C13=2,90+Inputs!$B$26+Inputs!$B$29,IF(Skills!C13=3,120+Inputs!$B$27+Inputs!$B$29,MAX(0,(Inputs!$B$3-100)*3)+Inputs!$B$28+Inputs!$B$29)))</f>
        <v/>
      </c>
      <c r="E1147">
        <f>INDEX(FactorTable!$B$2:$Y$301, MATCH(ROUND(MIN(300,MAX(1,D1147)),0), FactorTable!$A$2:$A$301,0), Skills!M13+1)</f>
        <v/>
      </c>
      <c r="F1147">
        <f>IF(Skills!N13=TRUE,(Skills!L13/10)*(E1147/1000),Skills!L13/10)+Skills!O13</f>
        <v/>
      </c>
      <c r="G1147">
        <f>Skills!G13*IF(Skills!H13&gt;0,Skills!I13/Skills!H13,1)</f>
        <v/>
      </c>
      <c r="H1147">
        <f>1-(1-Skills!J13/100)^Skills!K13</f>
        <v/>
      </c>
      <c r="I1147" t="inlineStr">
        <is>
          <t>1</t>
        </is>
      </c>
      <c r="J1147">
        <f>((Inputs!$B$6*(1+(Inputs!$B$7+1)/100))+(((Inputs!$B$12*(1+Inputs!$B$13/100))-(Inputs!$B$12*(1+Inputs!$B$13/100)))+0.25*(Inputs!$B$14-Inputs!$B$14))*(1+(Inputs!$B$7+1)/100))*(F1147/100)</f>
        <v/>
      </c>
      <c r="K1147">
        <f>J1147*(1+((Inputs!$B$12*(1+Inputs!$B$13/100))*0.01+Inputs!$B$14*0.0025)/100)*(1+Inputs!$B$15/100)*(1+Inputs!$B$16/100)*(5000/(6000+Inputs!$B$43*(1-Inputs!$B$19/100)))*(1+(Inputs!$B$24+((C1164=TRUE)*(F1164-Calc!F30)))/100)*(1+(IF(Skills!A13="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1147)</f>
        <v/>
      </c>
      <c r="L1147">
        <f>K1147*(MIN(Inputs!$B$22+((C1158=TRUE)*(F1158-Calc!F24)),Inputs!$B$23+((C1163=TRUE)*(F1163-Calc!F29)))/100+(Inputs!$B$23+((C1163=TRUE)*(F1163-Calc!F29)))/100)/2</f>
        <v/>
      </c>
      <c r="M1147">
        <f>L1147*(1+(Inputs!$B$10+((C1160=TRUE)*(F1160-Calc!F26))+B1174)/100)</f>
        <v/>
      </c>
      <c r="N1147">
        <f>L1147*(1-MIN((Inputs!$B$9+((C1159=TRUE)*(F1159-Calc!F25))+B1167),100)/100)+M1147*(MIN((Inputs!$B$9+((C1159=TRUE)*(F1159-Calc!F25))+B1167),100)/100)</f>
        <v/>
      </c>
      <c r="O1147">
        <f>(1-Summary!$B$55)*T1147+Summary!$B$55*V1147</f>
        <v/>
      </c>
      <c r="P1147">
        <f>IF(B1179=0,0,O1147/B1179)</f>
        <v/>
      </c>
      <c r="Q1147">
        <f>IFERROR(1/IF(Inputs!$B$39="pvp",15,MAX(0.1,Skills!D13-IF(Skills!E13=TRUE,Inputs!$B$32,0))),0)</f>
        <v/>
      </c>
      <c r="R1147">
        <f>IF(AND(Inputs!$B$39&lt;&gt;"pvp",Inputs!$B$44&gt;0),IF(MAX(0,Inputs!$B$44-B1178)&lt;=0,0,(INT(MAX(0,Inputs!$B$44-B1178)/IF(Inputs!$B$39="pvp",15,MAX(0.1,Skills!D13-IF(Skills!E13=TRUE,Inputs!$B$32,0))))+1)),0)</f>
        <v/>
      </c>
      <c r="S1147">
        <f>IFERROR(O1147/N1147,0)</f>
        <v/>
      </c>
      <c r="T1147">
        <f>IF(C1147,(H1147*N1147*IF(AND(Inputs!$B$39&lt;&gt;"pvp",Inputs!$B$44&gt;0),((Skills!G13*((R1147-1)*IF(Skills!H13&gt;0,Skills!I13/Skills!H13,1)+IF(Skills!H13&gt;0,MIN(Skills!I13,MAX(0,MAX(0,Inputs!$B$44-B1178)-((R1147-1)*IF(Inputs!$B$39="pvp",15,MAX(0.1,Skills!D13-IF(Skills!E13=TRUE,Inputs!$B$32,0))))))/Skills!H13,1)))/Inputs!$B$44),G1147*Q1147))*IF(Inputs!$B$39="pvp",1,1+(Inputs!$B$20+0+Skills!P13+B1168)/100),0)</f>
        <v/>
      </c>
      <c r="V1147">
        <f>IF(C1147,(H1147*N1147*IF(AND(Inputs!$B$39&lt;&gt;"pvp",Inputs!$B$44&gt;0),((Skills!G13*((R1147-1)*IF(Skills!H13&gt;0,Skills!I13/Skills!H13,1)+IF(Skills!H13&gt;0,MIN(Skills!I13,MAX(0,MAX(0,Inputs!$B$44-B1178)-((R1147-1)*IF(Inputs!$B$39="pvp",15,MAX(0.1,Skills!D13-IF(Skills!E13=TRUE,Inputs!$B$32,0))))))/Skills!H13,1)))/Inputs!$B$44),G1147*Q1147))*IF(Inputs!$B$39="pvp",1,(1+(Inputs!$B$21+Skills!Q13+B1168)/100)*(MIN(Skills!W13,Inputs!$B$37))),0)</f>
        <v/>
      </c>
    </row>
    <row r="1148">
      <c r="A1148">
        <f>Skills!A14</f>
        <v/>
      </c>
      <c r="B1148">
        <f>Skills!B14</f>
        <v/>
      </c>
      <c r="C1148">
        <f>Inputs!$B$3&gt;=107</f>
        <v/>
      </c>
      <c r="D1148">
        <f>IF(Skills!C14=1,60+Inputs!$B$25+Inputs!$B$29,IF(Skills!C14=2,90+Inputs!$B$26+Inputs!$B$29,IF(Skills!C14=3,120+Inputs!$B$27+Inputs!$B$29,MAX(0,(Inputs!$B$3-100)*3)+Inputs!$B$28+Inputs!$B$29)))</f>
        <v/>
      </c>
      <c r="E1148">
        <f>INDEX(FactorTable!$B$2:$Y$301, MATCH(ROUND(MIN(300,MAX(1,D1148)),0), FactorTable!$A$2:$A$301,0), Skills!M14+1)</f>
        <v/>
      </c>
      <c r="F1148">
        <f>IF(Skills!N14=TRUE,(Skills!L14/10)*(E1148/1000),Skills!L14/10)+Skills!O14</f>
        <v/>
      </c>
      <c r="G1148">
        <f>Skills!G14*IF(Skills!H14&gt;0,Skills!I14/Skills!H14,1)</f>
        <v/>
      </c>
      <c r="H1148">
        <f>1-(1-Skills!J14/100)^Skills!K14</f>
        <v/>
      </c>
      <c r="I1148" t="inlineStr">
        <is>
          <t>1</t>
        </is>
      </c>
      <c r="J1148">
        <f>((Inputs!$B$6*(1+(Inputs!$B$7+1)/100))+(((Inputs!$B$12*(1+Inputs!$B$13/100))-(Inputs!$B$12*(1+Inputs!$B$13/100)))+0.25*(Inputs!$B$14-Inputs!$B$14))*(1+(Inputs!$B$7+1)/100))*(F1148/100)</f>
        <v/>
      </c>
      <c r="K1148">
        <f>J1148*(1+((Inputs!$B$12*(1+Inputs!$B$13/100))*0.01+Inputs!$B$14*0.0025)/100)*(1+Inputs!$B$15/100)*(1+Inputs!$B$16/100)*(5000/(6000+Inputs!$B$43*(1-Inputs!$B$19/100)))*(1+(Inputs!$B$24+((C1164=TRUE)*(F1164-Calc!F30)))/100)*(1+(IF(Skills!A14="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1148)</f>
        <v/>
      </c>
      <c r="L1148">
        <f>K1148*(MIN(Inputs!$B$22+((C1158=TRUE)*(F1158-Calc!F24)),Inputs!$B$23+((C1163=TRUE)*(F1163-Calc!F29)))/100+(Inputs!$B$23+((C1163=TRUE)*(F1163-Calc!F29)))/100)/2</f>
        <v/>
      </c>
      <c r="M1148">
        <f>L1148*(1+(Inputs!$B$10+((C1160=TRUE)*(F1160-Calc!F26))+B1174)/100)</f>
        <v/>
      </c>
      <c r="N1148">
        <f>L1148*(1-MIN((Inputs!$B$9+((C1159=TRUE)*(F1159-Calc!F25))+B1167),100)/100)+M1148*(MIN((Inputs!$B$9+((C1159=TRUE)*(F1159-Calc!F25))+B1167),100)/100)</f>
        <v/>
      </c>
      <c r="O1148">
        <f>(1-Summary!$B$55)*T1148+Summary!$B$55*V1148</f>
        <v/>
      </c>
      <c r="P1148">
        <f>IF(B1179=0,0,O1148/B1179)</f>
        <v/>
      </c>
      <c r="Q1148">
        <f>IFERROR(1/IF(Inputs!$B$39="pvp",15,MAX(0.1,Skills!D14-IF(Skills!E14=TRUE,Inputs!$B$32,0))),0)</f>
        <v/>
      </c>
      <c r="R1148">
        <f>IF(AND(Inputs!$B$39&lt;&gt;"pvp",Inputs!$B$44&gt;0),IF(MAX(0,Inputs!$B$44-B1178)&lt;=0,0,(INT(MAX(0,Inputs!$B$44-B1178)/IF(Inputs!$B$39="pvp",15,MAX(0.1,Skills!D14-IF(Skills!E14=TRUE,Inputs!$B$32,0))))+1)),0)</f>
        <v/>
      </c>
      <c r="S1148">
        <f>IFERROR(O1148/N1148,0)</f>
        <v/>
      </c>
      <c r="T1148">
        <f>IF(C1148,(H1148*N1148*IF(AND(Inputs!$B$39&lt;&gt;"pvp",Inputs!$B$44&gt;0),((Skills!G14*((R1148-1)*IF(Skills!H14&gt;0,Skills!I14/Skills!H14,1)+IF(Skills!H14&gt;0,MIN(Skills!I14,MAX(0,MAX(0,Inputs!$B$44-B1178)-((R1148-1)*IF(Inputs!$B$39="pvp",15,MAX(0.1,Skills!D14-IF(Skills!E14=TRUE,Inputs!$B$32,0))))))/Skills!H14,1)))/Inputs!$B$44),G1148*Q1148))*IF(Inputs!$B$39="pvp",1,1+(Inputs!$B$20+0+Skills!P14+B1168)/100),0)</f>
        <v/>
      </c>
      <c r="V1148">
        <f>IF(C1148,(H1148*N1148*IF(AND(Inputs!$B$39&lt;&gt;"pvp",Inputs!$B$44&gt;0),((Skills!G14*((R1148-1)*IF(Skills!H14&gt;0,Skills!I14/Skills!H14,1)+IF(Skills!H14&gt;0,MIN(Skills!I14,MAX(0,MAX(0,Inputs!$B$44-B1178)-((R1148-1)*IF(Inputs!$B$39="pvp",15,MAX(0.1,Skills!D14-IF(Skills!E14=TRUE,Inputs!$B$32,0))))))/Skills!H14,1)))/Inputs!$B$44),G1148*Q1148))*IF(Inputs!$B$39="pvp",1,(1+(Inputs!$B$21+Skills!Q14+B1168)/100)*(MIN(MIN(5,0.25*B1171*Skills!D4)*Skills!V14,Inputs!$B$37))),0)</f>
        <v/>
      </c>
    </row>
    <row r="1149">
      <c r="A1149">
        <f>Skills!A15</f>
        <v/>
      </c>
      <c r="B1149">
        <f>Skills!B15</f>
        <v/>
      </c>
      <c r="C1149">
        <f>Inputs!$B$3&gt;=110</f>
        <v/>
      </c>
      <c r="D1149">
        <f>IF(Skills!C15=1,60+Inputs!$B$25+Inputs!$B$29,IF(Skills!C15=2,90+Inputs!$B$26+Inputs!$B$29,IF(Skills!C15=3,120+Inputs!$B$27+Inputs!$B$29,MAX(0,(Inputs!$B$3-100)*3)+Inputs!$B$28+Inputs!$B$29)))</f>
        <v/>
      </c>
      <c r="E1149">
        <f>INDEX(FactorTable!$B$2:$Y$301, MATCH(ROUND(MIN(300,MAX(1,D1149)),0), FactorTable!$A$2:$A$301,0), Skills!M15+1)</f>
        <v/>
      </c>
      <c r="F1149">
        <f>IF(Skills!N15=TRUE,(Skills!L15/10)*(E1149/1000),Skills!L15/10)+Skills!O15</f>
        <v/>
      </c>
      <c r="G1149">
        <f>Skills!G15*IF(Skills!H15&gt;0,Skills!I15/Skills!H15,1)</f>
        <v/>
      </c>
      <c r="H1149">
        <f>1-(1-Skills!J15/100)^Skills!K15</f>
        <v/>
      </c>
      <c r="I1149" t="inlineStr">
        <is>
          <t>1</t>
        </is>
      </c>
      <c r="J1149" t="inlineStr"/>
      <c r="K1149" t="inlineStr"/>
      <c r="L1149" t="inlineStr"/>
      <c r="M1149" t="inlineStr"/>
      <c r="N1149" t="inlineStr"/>
      <c r="O1149">
        <f>(1-Summary!$B$55)*T1149+Summary!$B$55*V1149</f>
        <v/>
      </c>
      <c r="P1149">
        <f>IF(B1179=0,0,O1149/B1179)</f>
        <v/>
      </c>
      <c r="Q1149">
        <f>IFERROR(1/IF(Inputs!$B$39="pvp",15,MAX(0.1,Skills!D15-IF(Skills!E15=TRUE,Inputs!$B$32,0))),0)</f>
        <v/>
      </c>
      <c r="R1149">
        <f>IF(AND(Inputs!$B$39&lt;&gt;"pvp",Inputs!$B$44&gt;0),IF(Inputs!$B$44&lt;=0,0,(INT(Inputs!$B$44/IF(Inputs!$B$39="pvp",15,MAX(0.1,Skills!D15-IF(Skills!E15=TRUE,Inputs!$B$32,0))))+1)),0)</f>
        <v/>
      </c>
      <c r="S1149">
        <f>IFERROR(O1149/N1149,0)</f>
        <v/>
      </c>
      <c r="T1149" t="n">
        <v>0</v>
      </c>
      <c r="V1149" t="n">
        <v>0</v>
      </c>
    </row>
    <row r="1150">
      <c r="A1150">
        <f>Skills!A16</f>
        <v/>
      </c>
      <c r="B1150">
        <f>Skills!B16</f>
        <v/>
      </c>
      <c r="C1150">
        <f>Inputs!$B$3&gt;=115</f>
        <v/>
      </c>
      <c r="D1150">
        <f>IF(Skills!C16=1,60+Inputs!$B$25+Inputs!$B$29,IF(Skills!C16=2,90+Inputs!$B$26+Inputs!$B$29,IF(Skills!C16=3,120+Inputs!$B$27+Inputs!$B$29,MAX(0,(Inputs!$B$3-100)*3)+Inputs!$B$28+Inputs!$B$29)))</f>
        <v/>
      </c>
      <c r="E1150">
        <f>INDEX(FactorTable!$B$2:$Y$301, MATCH(ROUND(MIN(300,MAX(1,D1150)),0), FactorTable!$A$2:$A$301,0), Skills!M16+1)</f>
        <v/>
      </c>
      <c r="F1150">
        <f>IF(Skills!N16=TRUE,(Skills!L16/10)*(E1150/1000),Skills!L16/10)+Skills!O16</f>
        <v/>
      </c>
      <c r="G1150">
        <f>Skills!G16*IF(Skills!H16&gt;0,Skills!I16/Skills!H16,1)</f>
        <v/>
      </c>
      <c r="H1150">
        <f>1-(1-Skills!J16/100)^Skills!K16</f>
        <v/>
      </c>
      <c r="I1150" t="inlineStr">
        <is>
          <t>1</t>
        </is>
      </c>
      <c r="J1150">
        <f>((Inputs!$B$6*(1+(Inputs!$B$7+1)/100))+(((Inputs!$B$12*(1+Inputs!$B$13/100))-(Inputs!$B$12*(1+Inputs!$B$13/100)))+0.25*(Inputs!$B$14-Inputs!$B$14))*(1+(Inputs!$B$7+1)/100))*(F1150/100)</f>
        <v/>
      </c>
      <c r="K1150">
        <f>J1150*(1+((Inputs!$B$12*(1+Inputs!$B$13/100))*0.01+Inputs!$B$14*0.0025)/100)*(1+Inputs!$B$15/100)*(1+Inputs!$B$16/100)*(5000/(6000+Inputs!$B$43*(1-Inputs!$B$19/100)))*(1+(Inputs!$B$24+((C1164=TRUE)*(F1164-Calc!F30)))/100)*(1+(IF(Skills!A16="CRUEL_STAB",Inputs!$B$17+((C1161=TRUE)*(F1161-Calc!F27)),Inputs!$B$18+((C1162=TRUE)*(F1162-Calc!F28))))/100)*(((1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B1169*I1150)</f>
        <v/>
      </c>
      <c r="L1150">
        <f>K1150*(MIN(Inputs!$B$22+((C1158=TRUE)*(F1158-Calc!F24)),Inputs!$B$23+((C1163=TRUE)*(F1163-Calc!F29)))/100+(Inputs!$B$23+((C1163=TRUE)*(F1163-Calc!F29)))/100)/2</f>
        <v/>
      </c>
      <c r="M1150">
        <f>L1150*(1+(Inputs!$B$10+((C1160=TRUE)*(F1160-Calc!F26))+B1174)/100)</f>
        <v/>
      </c>
      <c r="N1150">
        <f>L1150*(1-MIN((Inputs!$B$9+((C1159=TRUE)*(F1159-Calc!F25))+B1167),100)/100)+M1150*(MIN((Inputs!$B$9+((C1159=TRUE)*(F1159-Calc!F25))+B1167),100)/100)</f>
        <v/>
      </c>
      <c r="O1150">
        <f>(1-Summary!$B$55)*T1150+Summary!$B$55*V1150</f>
        <v/>
      </c>
      <c r="P1150">
        <f>IF(B1179=0,0,O1150/B1179)</f>
        <v/>
      </c>
      <c r="Q1150" t="n">
        <v>0</v>
      </c>
      <c r="R1150" t="n">
        <v>0</v>
      </c>
      <c r="S1150">
        <f>IFERROR(O1150/N1150,0)</f>
        <v/>
      </c>
      <c r="T1150">
        <f>IF(C1150,(Inputs!$B$38*0.2*N1150)*IF(Inputs!$B$39="pvp",1,1+(Inputs!$B$20+0+Skills!P16+B1168)/100),0)</f>
        <v/>
      </c>
      <c r="V1150">
        <f>IF(C1150,(Inputs!$B$38*0.2*N1150)*IF(Inputs!$B$39="pvp",1,(1+(Inputs!$B$21+Skills!Q16+B1168)/100)*(MIN(Skills!W16,Inputs!$B$37))),0)</f>
        <v/>
      </c>
    </row>
    <row r="1151">
      <c r="A1151">
        <f>Skills!A17</f>
        <v/>
      </c>
      <c r="B1151">
        <f>Skills!B17</f>
        <v/>
      </c>
      <c r="C1151">
        <f>Inputs!$B$3&gt;=115</f>
        <v/>
      </c>
      <c r="D1151">
        <f>IF(Skills!C17=1,60+Inputs!$B$25+Inputs!$B$29,IF(Skills!C17=2,90+Inputs!$B$26+Inputs!$B$29,IF(Skills!C17=3,120+Inputs!$B$27+Inputs!$B$29,MAX(0,(Inputs!$B$3-100)*3)+Inputs!$B$28+Inputs!$B$29)))</f>
        <v/>
      </c>
      <c r="E1151">
        <f>INDEX(FactorTable!$B$2:$Y$301, MATCH(ROUND(MIN(300,MAX(1,D1151)),0), FactorTable!$A$2:$A$301,0), Skills!M17+1)</f>
        <v/>
      </c>
      <c r="F1151">
        <f>IF(Skills!N17=TRUE,(Skills!L17/10)*(E1151/1000),Skills!L17/10)+Skills!O17</f>
        <v/>
      </c>
      <c r="G1151">
        <f>Skills!G17*IF(Skills!H17&gt;0,Skills!I17/Skills!H17,1)</f>
        <v/>
      </c>
      <c r="H1151">
        <f>1-(1-Skills!J17/100)^Skills!K17</f>
        <v/>
      </c>
      <c r="I1151" t="inlineStr">
        <is>
          <t>1</t>
        </is>
      </c>
      <c r="J1151" t="inlineStr"/>
      <c r="K1151" t="inlineStr"/>
      <c r="L1151" t="inlineStr"/>
      <c r="M1151" t="inlineStr"/>
      <c r="N1151" t="inlineStr"/>
      <c r="O1151">
        <f>(1-Summary!$B$55)*T1151+Summary!$B$55*V1151</f>
        <v/>
      </c>
      <c r="P1151">
        <f>IF(B1179=0,0,O1151/B1179)</f>
        <v/>
      </c>
      <c r="Q1151" t="n">
        <v>0</v>
      </c>
      <c r="R1151" t="n">
        <v>0</v>
      </c>
      <c r="S1151">
        <f>IFERROR(O1151/N1151,0)</f>
        <v/>
      </c>
      <c r="T1151" t="n">
        <v>0</v>
      </c>
      <c r="V1151" t="n">
        <v>0</v>
      </c>
    </row>
    <row r="1152">
      <c r="A1152">
        <f>Skills!A18</f>
        <v/>
      </c>
      <c r="B1152">
        <f>Skills!B18</f>
        <v/>
      </c>
      <c r="C1152">
        <f>Inputs!$B$3&gt;=100</f>
        <v/>
      </c>
      <c r="D1152">
        <f>IF(Skills!C18=1,60+Inputs!$B$25+Inputs!$B$29,IF(Skills!C18=2,90+Inputs!$B$26+Inputs!$B$29,IF(Skills!C18=3,120+Inputs!$B$27+Inputs!$B$29,MAX(0,(Inputs!$B$3-100)*3)+Inputs!$B$28+Inputs!$B$29)))</f>
        <v/>
      </c>
      <c r="E1152">
        <f>INDEX(FactorTable!$B$2:$Y$301, MATCH(ROUND(MIN(300,MAX(1,D1152)),0), FactorTable!$A$2:$A$301,0), Skills!M18+1)</f>
        <v/>
      </c>
      <c r="F1152">
        <f>IF(Skills!N18=TRUE,(Skills!L18/10)*(E1152/1000),Skills!L18/10)+Skills!O18</f>
        <v/>
      </c>
      <c r="G1152">
        <f>Skills!G18*IF(Skills!H18&gt;0,Skills!I18/Skills!H18,1)</f>
        <v/>
      </c>
      <c r="H1152">
        <f>1-(1-Skills!J18/100)^Skills!K18</f>
        <v/>
      </c>
      <c r="I1152" t="inlineStr">
        <is>
          <t>1</t>
        </is>
      </c>
      <c r="J1152" t="inlineStr"/>
      <c r="K1152" t="inlineStr"/>
      <c r="L1152" t="inlineStr"/>
      <c r="M1152" t="inlineStr"/>
      <c r="N1152" t="inlineStr"/>
      <c r="O1152">
        <f>(1-Summary!$B$55)*T1152+Summary!$B$55*V1152</f>
        <v/>
      </c>
      <c r="P1152">
        <f>IF(B1179=0,0,O1152/B1179)</f>
        <v/>
      </c>
      <c r="Q1152" t="n">
        <v>0</v>
      </c>
      <c r="R1152" t="n">
        <v>0</v>
      </c>
      <c r="S1152">
        <f>IFERROR(O1152/N1152,0)</f>
        <v/>
      </c>
      <c r="T1152" t="n">
        <v>0</v>
      </c>
      <c r="V1152" t="n">
        <v>0</v>
      </c>
    </row>
    <row r="1153">
      <c r="A1153">
        <f>Skills!A19</f>
        <v/>
      </c>
      <c r="B1153">
        <f>Skills!B19</f>
        <v/>
      </c>
      <c r="C1153">
        <f>TRUE</f>
        <v/>
      </c>
      <c r="D1153">
        <f>IF(Skills!C19=1,60+Inputs!$B$25+Inputs!$B$29,IF(Skills!C19=2,90+Inputs!$B$26+Inputs!$B$29,IF(Skills!C19=3,120+Inputs!$B$27+Inputs!$B$29,MAX(0,(Inputs!$B$3-100)*3)+Inputs!$B$28+Inputs!$B$29)))</f>
        <v/>
      </c>
      <c r="E1153">
        <f>INDEX(FactorTable!$B$2:$Y$301, MATCH(ROUND(MIN(300,MAX(1,D1153)),0), FactorTable!$A$2:$A$301,0), Skills!M19+1)</f>
        <v/>
      </c>
      <c r="F1153">
        <f>IF(Skills!N19=TRUE,(Skills!L19/10)*(E1153/1000),Skills!L19/10)+Skills!O19</f>
        <v/>
      </c>
      <c r="G1153">
        <f>Skills!G19*IF(Skills!H19&gt;0,Skills!I19/Skills!H19,1)</f>
        <v/>
      </c>
      <c r="H1153">
        <f>1-(1-Skills!J19/100)^Skills!K19</f>
        <v/>
      </c>
      <c r="I1153" t="inlineStr">
        <is>
          <t>1</t>
        </is>
      </c>
      <c r="J1153" t="inlineStr"/>
      <c r="K1153" t="inlineStr"/>
      <c r="L1153" t="inlineStr"/>
      <c r="M1153" t="inlineStr"/>
      <c r="N1153" t="inlineStr"/>
      <c r="O1153">
        <f>(1-Summary!$B$55)*T1153+Summary!$B$55*V1153</f>
        <v/>
      </c>
      <c r="P1153">
        <f>IF(B1179=0,0,O1153/B1179)</f>
        <v/>
      </c>
      <c r="Q1153">
        <f>IFERROR(1/IF(Inputs!$B$39="pvp",15,MAX(0.1,Skills!D19-IF(Skills!E19=TRUE,Inputs!$B$32,0))),0)</f>
        <v/>
      </c>
      <c r="R1153">
        <f>IF(AND(Inputs!$B$39&lt;&gt;"pvp",Inputs!$B$44&gt;0),IF(Inputs!$B$44&lt;=0,0,(INT(Inputs!$B$44/IF(Inputs!$B$39="pvp",15,MAX(0.1,Skills!D19-IF(Skills!E19=TRUE,Inputs!$B$32,0))))+1)),0)</f>
        <v/>
      </c>
      <c r="S1153">
        <f>IFERROR(O1153/N1153,0)</f>
        <v/>
      </c>
      <c r="T1153" t="n">
        <v>0</v>
      </c>
      <c r="V1153" t="n">
        <v>0</v>
      </c>
    </row>
    <row r="1154">
      <c r="A1154">
        <f>Skills!A20</f>
        <v/>
      </c>
      <c r="B1154">
        <f>Skills!B20</f>
        <v/>
      </c>
      <c r="C1154">
        <f>Inputs!$B$3&gt;=15</f>
        <v/>
      </c>
      <c r="D1154">
        <f>IF(Skills!C20=1,60+Inputs!$B$25+Inputs!$B$29,IF(Skills!C20=2,90+Inputs!$B$26+Inputs!$B$29,IF(Skills!C20=3,120+Inputs!$B$27+Inputs!$B$29,MAX(0,(Inputs!$B$3-100)*3)+Inputs!$B$28+Inputs!$B$29)))</f>
        <v/>
      </c>
      <c r="E1154">
        <f>INDEX(FactorTable!$B$2:$Y$301, MATCH(ROUND(MIN(300,MAX(1,D1154)),0), FactorTable!$A$2:$A$301,0), Skills!M20+1)</f>
        <v/>
      </c>
      <c r="F1154">
        <f>IF(Skills!N20=TRUE,(Skills!L20/10)*(E1154/1000),Skills!L20/10)+Skills!O20</f>
        <v/>
      </c>
      <c r="G1154">
        <f>Skills!G20*IF(Skills!H20&gt;0,Skills!I20/Skills!H20,1)</f>
        <v/>
      </c>
      <c r="H1154">
        <f>1-(1-Skills!J20/100)^Skills!K20</f>
        <v/>
      </c>
      <c r="I1154" t="inlineStr">
        <is>
          <t>1</t>
        </is>
      </c>
      <c r="J1154" t="inlineStr"/>
      <c r="K1154" t="inlineStr"/>
      <c r="L1154" t="inlineStr"/>
      <c r="M1154" t="inlineStr"/>
      <c r="N1154" t="inlineStr"/>
      <c r="O1154">
        <f>(1-Summary!$B$55)*T1154+Summary!$B$55*V1154</f>
        <v/>
      </c>
      <c r="P1154">
        <f>IF(B1179=0,0,O1154/B1179)</f>
        <v/>
      </c>
      <c r="Q1154">
        <f>IFERROR(1/IF(Inputs!$B$39="pvp",15,MAX(0.1,Skills!D20-IF(Skills!E20=TRUE,Inputs!$B$32,0))),0)</f>
        <v/>
      </c>
      <c r="R1154">
        <f>IF(AND(Inputs!$B$39&lt;&gt;"pvp",Inputs!$B$44&gt;0),IF(Inputs!$B$44&lt;=0,0,(INT(Inputs!$B$44/IF(Inputs!$B$39="pvp",15,MAX(0.1,Skills!D20-IF(Skills!E20=TRUE,Inputs!$B$32,0))))+1)),0)</f>
        <v/>
      </c>
      <c r="S1154">
        <f>IFERROR(O1154/N1154,0)</f>
        <v/>
      </c>
      <c r="T1154" t="n">
        <v>0</v>
      </c>
      <c r="V1154" t="n">
        <v>0</v>
      </c>
    </row>
    <row r="1155">
      <c r="A1155">
        <f>Skills!A21</f>
        <v/>
      </c>
      <c r="B1155">
        <f>Skills!B21</f>
        <v/>
      </c>
      <c r="C1155">
        <f>Inputs!$B$3&gt;=15</f>
        <v/>
      </c>
      <c r="D1155">
        <f>IF(Skills!C21=1,60+Inputs!$B$25+Inputs!$B$29,IF(Skills!C21=2,90+Inputs!$B$26+Inputs!$B$29,IF(Skills!C21=3,120+Inputs!$B$27+Inputs!$B$29,MAX(0,(Inputs!$B$3-100)*3)+Inputs!$B$28+Inputs!$B$29)))</f>
        <v/>
      </c>
      <c r="E1155">
        <f>INDEX(FactorTable!$B$2:$Y$301, MATCH(ROUND(MIN(300,MAX(1,D1155)),0), FactorTable!$A$2:$A$301,0), Skills!M21+1)</f>
        <v/>
      </c>
      <c r="F1155">
        <f>IF(Skills!N21=TRUE,(Skills!L21/10)*(E1155/1000),Skills!L21/10)+Skills!O21</f>
        <v/>
      </c>
      <c r="G1155">
        <f>Skills!G21*IF(Skills!H21&gt;0,Skills!I21/Skills!H21,1)</f>
        <v/>
      </c>
      <c r="H1155">
        <f>1-(1-Skills!J21/100)^Skills!K21</f>
        <v/>
      </c>
      <c r="I1155" t="inlineStr">
        <is>
          <t>1</t>
        </is>
      </c>
      <c r="J1155" t="inlineStr"/>
      <c r="K1155" t="inlineStr"/>
      <c r="L1155" t="inlineStr"/>
      <c r="M1155" t="inlineStr"/>
      <c r="N1155" t="inlineStr"/>
      <c r="O1155">
        <f>(1-Summary!$B$55)*T1155+Summary!$B$55*V1155</f>
        <v/>
      </c>
      <c r="P1155">
        <f>IF(B1179=0,0,O1155/B1179)</f>
        <v/>
      </c>
      <c r="Q1155">
        <f>IFERROR(1/IF(Inputs!$B$39="pvp",15,MAX(0.1,Skills!D21-IF(Skills!E21=TRUE,Inputs!$B$32,0))),0)</f>
        <v/>
      </c>
      <c r="R1155">
        <f>IF(AND(Inputs!$B$39&lt;&gt;"pvp",Inputs!$B$44&gt;0),IF(Inputs!$B$44&lt;=0,0,(INT(Inputs!$B$44/IF(Inputs!$B$39="pvp",15,MAX(0.1,Skills!D21-IF(Skills!E21=TRUE,Inputs!$B$32,0))))+1)),0)</f>
        <v/>
      </c>
      <c r="S1155">
        <f>IFERROR(O1155/N1155,0)</f>
        <v/>
      </c>
      <c r="T1155" t="n">
        <v>0</v>
      </c>
      <c r="V1155" t="n">
        <v>0</v>
      </c>
    </row>
    <row r="1156">
      <c r="A1156">
        <f>Skills!A22</f>
        <v/>
      </c>
      <c r="B1156">
        <f>Skills!B22</f>
        <v/>
      </c>
      <c r="C1156">
        <f>Inputs!$B$3&gt;=33</f>
        <v/>
      </c>
      <c r="D1156">
        <f>IF(Skills!C22=1,60+Inputs!$B$25+Inputs!$B$29,IF(Skills!C22=2,90+Inputs!$B$26+Inputs!$B$29,IF(Skills!C22=3,120+Inputs!$B$27+Inputs!$B$29,MAX(0,(Inputs!$B$3-100)*3)+Inputs!$B$28+Inputs!$B$29)))</f>
        <v/>
      </c>
      <c r="E1156">
        <f>INDEX(FactorTable!$B$2:$Y$301, MATCH(ROUND(MIN(300,MAX(1,D1156)),0), FactorTable!$A$2:$A$301,0), Skills!M22+1)</f>
        <v/>
      </c>
      <c r="F1156">
        <f>IF(Skills!N22=TRUE,(Skills!L22/10)*(E1156/1000),Skills!L22/10)+Skills!O22</f>
        <v/>
      </c>
      <c r="G1156">
        <f>Skills!G22*IF(Skills!H22&gt;0,Skills!I22/Skills!H22,1)</f>
        <v/>
      </c>
      <c r="H1156">
        <f>1-(1-Skills!J22/100)^Skills!K22</f>
        <v/>
      </c>
      <c r="I1156" t="inlineStr">
        <is>
          <t>1</t>
        </is>
      </c>
      <c r="J1156" t="inlineStr"/>
      <c r="K1156" t="inlineStr"/>
      <c r="L1156" t="inlineStr"/>
      <c r="M1156" t="inlineStr"/>
      <c r="N1156" t="inlineStr"/>
      <c r="O1156">
        <f>(1-Summary!$B$55)*T1156+Summary!$B$55*V1156</f>
        <v/>
      </c>
      <c r="P1156">
        <f>IF(B1179=0,0,O1156/B1179)</f>
        <v/>
      </c>
      <c r="Q1156" t="n">
        <v>0</v>
      </c>
      <c r="R1156" t="n">
        <v>0</v>
      </c>
      <c r="S1156">
        <f>IFERROR(O1156/N1156,0)</f>
        <v/>
      </c>
      <c r="T1156" t="n">
        <v>0</v>
      </c>
      <c r="V1156" t="n">
        <v>0</v>
      </c>
    </row>
    <row r="1157">
      <c r="A1157">
        <f>Skills!A23</f>
        <v/>
      </c>
      <c r="B1157">
        <f>Skills!B23</f>
        <v/>
      </c>
      <c r="C1157">
        <f>Inputs!$B$3&gt;=40</f>
        <v/>
      </c>
      <c r="D1157">
        <f>IF(Skills!C23=1,60+Inputs!$B$25+Inputs!$B$29,IF(Skills!C23=2,90+Inputs!$B$26+Inputs!$B$29,IF(Skills!C23=3,120+Inputs!$B$27+Inputs!$B$29,MAX(0,(Inputs!$B$3-100)*3)+Inputs!$B$28+Inputs!$B$29)))</f>
        <v/>
      </c>
      <c r="E1157">
        <f>INDEX(FactorTable!$B$2:$Y$301, MATCH(ROUND(MIN(300,MAX(1,D1157)),0), FactorTable!$A$2:$A$301,0), Skills!M23+1)</f>
        <v/>
      </c>
      <c r="F1157">
        <f>IF(Skills!N23=TRUE,(Skills!L23/10)*(E1157/1000),Skills!L23/10)+Skills!O23</f>
        <v/>
      </c>
      <c r="G1157">
        <f>Skills!G23*IF(Skills!H23&gt;0,Skills!I23/Skills!H23,1)</f>
        <v/>
      </c>
      <c r="H1157">
        <f>1-(1-Skills!J23/100)^Skills!K23</f>
        <v/>
      </c>
      <c r="I1157" t="inlineStr">
        <is>
          <t>1</t>
        </is>
      </c>
      <c r="J1157" t="inlineStr"/>
      <c r="K1157" t="inlineStr"/>
      <c r="L1157" t="inlineStr"/>
      <c r="M1157" t="inlineStr"/>
      <c r="N1157" t="inlineStr"/>
      <c r="O1157">
        <f>(1-Summary!$B$55)*T1157+Summary!$B$55*V1157</f>
        <v/>
      </c>
      <c r="P1157">
        <f>IF(B1179=0,0,O1157/B1179)</f>
        <v/>
      </c>
      <c r="Q1157" t="n">
        <v>0</v>
      </c>
      <c r="R1157" t="n">
        <v>0</v>
      </c>
      <c r="S1157">
        <f>IFERROR(O1157/N1157,0)</f>
        <v/>
      </c>
      <c r="T1157" t="n">
        <v>0</v>
      </c>
      <c r="V1157" t="n">
        <v>0</v>
      </c>
    </row>
    <row r="1158">
      <c r="A1158">
        <f>Skills!A24</f>
        <v/>
      </c>
      <c r="B1158">
        <f>Skills!B24</f>
        <v/>
      </c>
      <c r="C1158">
        <f>Inputs!$B$3&gt;=43</f>
        <v/>
      </c>
      <c r="D1158">
        <f>IF(Skills!C24=1,60+Inputs!$B$25+Inputs!$B$29,IF(Skills!C24=2,90+Inputs!$B$26+Inputs!$B$29,IF(Skills!C24=3,120+Inputs!$B$27+Inputs!$B$29,MAX(0,(Inputs!$B$3-100)*3)+Inputs!$B$28+Inputs!$B$29)))</f>
        <v/>
      </c>
      <c r="E1158">
        <f>INDEX(FactorTable!$B$2:$Y$301, MATCH(ROUND(MIN(300,MAX(1,D1158)),0), FactorTable!$A$2:$A$301,0), Skills!M24+1)</f>
        <v/>
      </c>
      <c r="F1158">
        <f>IF(Skills!N24=TRUE,(Skills!L24/10)*(E1158/1000),Skills!L24/10)+Skills!O24</f>
        <v/>
      </c>
      <c r="G1158">
        <f>Skills!G24*IF(Skills!H24&gt;0,Skills!I24/Skills!H24,1)</f>
        <v/>
      </c>
      <c r="H1158">
        <f>1-(1-Skills!J24/100)^Skills!K24</f>
        <v/>
      </c>
      <c r="I1158" t="inlineStr">
        <is>
          <t>1</t>
        </is>
      </c>
      <c r="J1158" t="inlineStr"/>
      <c r="K1158" t="inlineStr"/>
      <c r="L1158" t="inlineStr"/>
      <c r="M1158" t="inlineStr"/>
      <c r="N1158" t="inlineStr"/>
      <c r="O1158">
        <f>(1-Summary!$B$55)*T1158+Summary!$B$55*V1158</f>
        <v/>
      </c>
      <c r="P1158">
        <f>IF(B1179=0,0,O1158/B1179)</f>
        <v/>
      </c>
      <c r="Q1158" t="n">
        <v>0</v>
      </c>
      <c r="R1158" t="n">
        <v>0</v>
      </c>
      <c r="S1158">
        <f>IFERROR(O1158/N1158,0)</f>
        <v/>
      </c>
      <c r="T1158" t="n">
        <v>0</v>
      </c>
      <c r="V1158" t="n">
        <v>0</v>
      </c>
    </row>
    <row r="1159">
      <c r="A1159">
        <f>Skills!A25</f>
        <v/>
      </c>
      <c r="B1159">
        <f>Skills!B25</f>
        <v/>
      </c>
      <c r="C1159">
        <f>Inputs!$B$3&gt;=50</f>
        <v/>
      </c>
      <c r="D1159">
        <f>IF(Skills!C25=1,60+Inputs!$B$25+Inputs!$B$29,IF(Skills!C25=2,90+Inputs!$B$26+Inputs!$B$29,IF(Skills!C25=3,120+Inputs!$B$27+Inputs!$B$29,MAX(0,(Inputs!$B$3-100)*3)+Inputs!$B$28+Inputs!$B$29)))</f>
        <v/>
      </c>
      <c r="E1159">
        <f>INDEX(FactorTable!$B$2:$Y$301, MATCH(ROUND(MIN(300,MAX(1,D1159)),0), FactorTable!$A$2:$A$301,0), Skills!M25+1)</f>
        <v/>
      </c>
      <c r="F1159">
        <f>IF(Skills!N25=TRUE,(Skills!L25/10)*(E1159/1000),Skills!L25/10)+Skills!O25</f>
        <v/>
      </c>
      <c r="G1159">
        <f>Skills!G25*IF(Skills!H25&gt;0,Skills!I25/Skills!H25,1)</f>
        <v/>
      </c>
      <c r="H1159">
        <f>1-(1-Skills!J25/100)^Skills!K25</f>
        <v/>
      </c>
      <c r="I1159" t="inlineStr">
        <is>
          <t>1</t>
        </is>
      </c>
      <c r="J1159" t="inlineStr"/>
      <c r="K1159" t="inlineStr"/>
      <c r="L1159" t="inlineStr"/>
      <c r="M1159" t="inlineStr"/>
      <c r="N1159" t="inlineStr"/>
      <c r="O1159">
        <f>(1-Summary!$B$55)*T1159+Summary!$B$55*V1159</f>
        <v/>
      </c>
      <c r="P1159">
        <f>IF(B1179=0,0,O1159/B1179)</f>
        <v/>
      </c>
      <c r="Q1159" t="n">
        <v>0</v>
      </c>
      <c r="R1159" t="n">
        <v>0</v>
      </c>
      <c r="S1159">
        <f>IFERROR(O1159/N1159,0)</f>
        <v/>
      </c>
      <c r="T1159" t="n">
        <v>0</v>
      </c>
      <c r="V1159" t="n">
        <v>0</v>
      </c>
    </row>
    <row r="1160">
      <c r="A1160">
        <f>Skills!A26</f>
        <v/>
      </c>
      <c r="B1160">
        <f>Skills!B26</f>
        <v/>
      </c>
      <c r="C1160">
        <f>Inputs!$B$3&gt;=50</f>
        <v/>
      </c>
      <c r="D1160">
        <f>IF(Skills!C26=1,60+Inputs!$B$25+Inputs!$B$29,IF(Skills!C26=2,90+Inputs!$B$26+Inputs!$B$29,IF(Skills!C26=3,120+Inputs!$B$27+Inputs!$B$29,MAX(0,(Inputs!$B$3-100)*3)+Inputs!$B$28+Inputs!$B$29)))</f>
        <v/>
      </c>
      <c r="E1160">
        <f>INDEX(FactorTable!$B$2:$Y$301, MATCH(ROUND(MIN(300,MAX(1,D1160)),0), FactorTable!$A$2:$A$301,0), Skills!M26+1)</f>
        <v/>
      </c>
      <c r="F1160">
        <f>IF(Skills!N26=TRUE,(Skills!L26/10)*(E1160/1000),Skills!L26/10)+Skills!O26</f>
        <v/>
      </c>
      <c r="G1160">
        <f>Skills!G26*IF(Skills!H26&gt;0,Skills!I26/Skills!H26,1)</f>
        <v/>
      </c>
      <c r="H1160">
        <f>1-(1-Skills!J26/100)^Skills!K26</f>
        <v/>
      </c>
      <c r="I1160" t="inlineStr">
        <is>
          <t>1</t>
        </is>
      </c>
      <c r="J1160" t="inlineStr"/>
      <c r="K1160" t="inlineStr"/>
      <c r="L1160" t="inlineStr"/>
      <c r="M1160" t="inlineStr"/>
      <c r="N1160" t="inlineStr"/>
      <c r="O1160">
        <f>(1-Summary!$B$55)*T1160+Summary!$B$55*V1160</f>
        <v/>
      </c>
      <c r="P1160">
        <f>IF(B1179=0,0,O1160/B1179)</f>
        <v/>
      </c>
      <c r="Q1160" t="n">
        <v>0</v>
      </c>
      <c r="R1160" t="n">
        <v>0</v>
      </c>
      <c r="S1160">
        <f>IFERROR(O1160/N1160,0)</f>
        <v/>
      </c>
      <c r="T1160" t="n">
        <v>0</v>
      </c>
      <c r="V1160" t="n">
        <v>0</v>
      </c>
    </row>
    <row r="1161">
      <c r="A1161">
        <f>Skills!A27</f>
        <v/>
      </c>
      <c r="B1161">
        <f>Skills!B27</f>
        <v/>
      </c>
      <c r="C1161">
        <f>Inputs!$B$3&gt;=38</f>
        <v/>
      </c>
      <c r="D1161">
        <f>IF(Skills!C27=1,60+Inputs!$B$25+Inputs!$B$29,IF(Skills!C27=2,90+Inputs!$B$26+Inputs!$B$29,IF(Skills!C27=3,120+Inputs!$B$27+Inputs!$B$29,MAX(0,(Inputs!$B$3-100)*3)+Inputs!$B$28+Inputs!$B$29)))</f>
        <v/>
      </c>
      <c r="E1161">
        <f>INDEX(FactorTable!$B$2:$Y$301, MATCH(ROUND(MIN(300,MAX(1,D1161)),0), FactorTable!$A$2:$A$301,0), Skills!M27+1)</f>
        <v/>
      </c>
      <c r="F1161">
        <f>IF(Skills!N27=TRUE,(Skills!L27/10)*(E1161/1000),Skills!L27/10)+Skills!O27</f>
        <v/>
      </c>
      <c r="G1161">
        <f>Skills!G27*IF(Skills!H27&gt;0,Skills!I27/Skills!H27,1)</f>
        <v/>
      </c>
      <c r="H1161">
        <f>1-(1-Skills!J27/100)^Skills!K27</f>
        <v/>
      </c>
      <c r="I1161" t="inlineStr">
        <is>
          <t>1</t>
        </is>
      </c>
      <c r="J1161" t="inlineStr"/>
      <c r="K1161" t="inlineStr"/>
      <c r="L1161" t="inlineStr"/>
      <c r="M1161" t="inlineStr"/>
      <c r="N1161" t="inlineStr"/>
      <c r="O1161">
        <f>(1-Summary!$B$55)*T1161+Summary!$B$55*V1161</f>
        <v/>
      </c>
      <c r="P1161">
        <f>IF(B1179=0,0,O1161/B1179)</f>
        <v/>
      </c>
      <c r="Q1161" t="n">
        <v>0</v>
      </c>
      <c r="R1161" t="n">
        <v>0</v>
      </c>
      <c r="S1161">
        <f>IFERROR(O1161/N1161,0)</f>
        <v/>
      </c>
      <c r="T1161" t="n">
        <v>0</v>
      </c>
      <c r="V1161" t="n">
        <v>0</v>
      </c>
    </row>
    <row r="1162">
      <c r="A1162">
        <f>Skills!A28</f>
        <v/>
      </c>
      <c r="B1162">
        <f>Skills!B28</f>
        <v/>
      </c>
      <c r="C1162">
        <f>Inputs!$B$3&gt;=120</f>
        <v/>
      </c>
      <c r="D1162">
        <f>IF(Skills!C28=1,60+Inputs!$B$25+Inputs!$B$29,IF(Skills!C28=2,90+Inputs!$B$26+Inputs!$B$29,IF(Skills!C28=3,120+Inputs!$B$27+Inputs!$B$29,MAX(0,(Inputs!$B$3-100)*3)+Inputs!$B$28+Inputs!$B$29)))</f>
        <v/>
      </c>
      <c r="E1162">
        <f>INDEX(FactorTable!$B$2:$Y$301, MATCH(ROUND(MIN(300,MAX(1,D1162)),0), FactorTable!$A$2:$A$301,0), Skills!M28+1)</f>
        <v/>
      </c>
      <c r="F1162">
        <f>IF(Skills!N28=TRUE,(Skills!L28/10)*(E1162/1000),Skills!L28/10)+Skills!O28</f>
        <v/>
      </c>
      <c r="G1162">
        <f>Skills!G28*IF(Skills!H28&gt;0,Skills!I28/Skills!H28,1)</f>
        <v/>
      </c>
      <c r="H1162">
        <f>1-(1-Skills!J28/100)^Skills!K28</f>
        <v/>
      </c>
      <c r="I1162" t="inlineStr">
        <is>
          <t>1</t>
        </is>
      </c>
      <c r="J1162" t="inlineStr"/>
      <c r="K1162" t="inlineStr"/>
      <c r="L1162" t="inlineStr"/>
      <c r="M1162" t="inlineStr"/>
      <c r="N1162" t="inlineStr"/>
      <c r="O1162">
        <f>(1-Summary!$B$55)*T1162+Summary!$B$55*V1162</f>
        <v/>
      </c>
      <c r="P1162">
        <f>IF(B1179=0,0,O1162/B1179)</f>
        <v/>
      </c>
      <c r="Q1162" t="n">
        <v>0</v>
      </c>
      <c r="R1162" t="n">
        <v>0</v>
      </c>
      <c r="S1162">
        <f>IFERROR(O1162/N1162,0)</f>
        <v/>
      </c>
      <c r="T1162" t="n">
        <v>0</v>
      </c>
      <c r="V1162" t="n">
        <v>0</v>
      </c>
    </row>
    <row r="1163">
      <c r="A1163">
        <f>Skills!A29</f>
        <v/>
      </c>
      <c r="B1163">
        <f>Skills!B29</f>
        <v/>
      </c>
      <c r="C1163">
        <f>Inputs!$B$3&gt;=120</f>
        <v/>
      </c>
      <c r="D1163">
        <f>IF(Skills!C29=1,60+Inputs!$B$25+Inputs!$B$29,IF(Skills!C29=2,90+Inputs!$B$26+Inputs!$B$29,IF(Skills!C29=3,120+Inputs!$B$27+Inputs!$B$29,MAX(0,(Inputs!$B$3-100)*3)+Inputs!$B$28+Inputs!$B$29)))</f>
        <v/>
      </c>
      <c r="E1163">
        <f>INDEX(FactorTable!$B$2:$Y$301, MATCH(ROUND(MIN(300,MAX(1,D1163)),0), FactorTable!$A$2:$A$301,0), Skills!M29+1)</f>
        <v/>
      </c>
      <c r="F1163">
        <f>IF(Skills!N29=TRUE,(Skills!L29/10)*(E1163/1000),Skills!L29/10)+Skills!O29</f>
        <v/>
      </c>
      <c r="G1163">
        <f>Skills!G29*IF(Skills!H29&gt;0,Skills!I29/Skills!H29,1)</f>
        <v/>
      </c>
      <c r="H1163">
        <f>1-(1-Skills!J29/100)^Skills!K29</f>
        <v/>
      </c>
      <c r="I1163" t="inlineStr">
        <is>
          <t>1</t>
        </is>
      </c>
      <c r="J1163" t="inlineStr"/>
      <c r="K1163" t="inlineStr"/>
      <c r="L1163" t="inlineStr"/>
      <c r="M1163" t="inlineStr"/>
      <c r="N1163" t="inlineStr"/>
      <c r="O1163">
        <f>(1-Summary!$B$55)*T1163+Summary!$B$55*V1163</f>
        <v/>
      </c>
      <c r="P1163">
        <f>IF(B1179=0,0,O1163/B1179)</f>
        <v/>
      </c>
      <c r="Q1163" t="n">
        <v>0</v>
      </c>
      <c r="R1163" t="n">
        <v>0</v>
      </c>
      <c r="S1163">
        <f>IFERROR(O1163/N1163,0)</f>
        <v/>
      </c>
      <c r="T1163" t="n">
        <v>0</v>
      </c>
      <c r="V1163" t="n">
        <v>0</v>
      </c>
    </row>
    <row r="1164">
      <c r="A1164">
        <f>Skills!A30</f>
        <v/>
      </c>
      <c r="B1164">
        <f>Skills!B30</f>
        <v/>
      </c>
      <c r="C1164">
        <f>Inputs!$B$3&gt;=125</f>
        <v/>
      </c>
      <c r="D1164">
        <f>IF(Skills!C30=1,60+Inputs!$B$25+Inputs!$B$29,IF(Skills!C30=2,90+Inputs!$B$26+Inputs!$B$29,IF(Skills!C30=3,120+Inputs!$B$27+Inputs!$B$29,MAX(0,(Inputs!$B$3-100)*3)+Inputs!$B$28+Inputs!$B$29)))</f>
        <v/>
      </c>
      <c r="E1164">
        <f>INDEX(FactorTable!$B$2:$Y$301, MATCH(ROUND(MIN(300,MAX(1,D1164)),0), FactorTable!$A$2:$A$301,0), Skills!M30+1)</f>
        <v/>
      </c>
      <c r="F1164">
        <f>IF(Skills!N30=TRUE,(Skills!L30/10)*(E1164/1000),Skills!L30/10)+Skills!O30</f>
        <v/>
      </c>
      <c r="G1164">
        <f>Skills!G30*IF(Skills!H30&gt;0,Skills!I30/Skills!H30,1)</f>
        <v/>
      </c>
      <c r="H1164">
        <f>1-(1-Skills!J30/100)^Skills!K30</f>
        <v/>
      </c>
      <c r="I1164" t="inlineStr">
        <is>
          <t>1</t>
        </is>
      </c>
      <c r="J1164" t="inlineStr"/>
      <c r="K1164" t="inlineStr"/>
      <c r="L1164" t="inlineStr"/>
      <c r="M1164" t="inlineStr"/>
      <c r="N1164" t="inlineStr"/>
      <c r="O1164">
        <f>(1-Summary!$B$55)*T1164+Summary!$B$55*V1164</f>
        <v/>
      </c>
      <c r="P1164">
        <f>IF(B1179=0,0,O1164/B1179)</f>
        <v/>
      </c>
      <c r="Q1164" t="n">
        <v>0</v>
      </c>
      <c r="R1164" t="n">
        <v>0</v>
      </c>
      <c r="S1164">
        <f>IFERROR(O1164/N1164,0)</f>
        <v/>
      </c>
      <c r="T1164" t="n">
        <v>0</v>
      </c>
      <c r="V1164" t="n">
        <v>0</v>
      </c>
    </row>
    <row r="1166">
      <c r="A1166" t="inlineStr">
        <is>
          <t>Average Buff Multiplier</t>
        </is>
      </c>
      <c r="B1166">
        <f>(1+(((C1155=TRUE)*F1155*IF(AND(Inputs!$B$39&lt;&gt;"pvp",Inputs!$B$44&gt;0),(((R1155-1)*(Skills!Y21*(1+Inputs!$B$34/100))+MIN((Skills!Y21*(1+Inputs!$B$34/100)),MAX(0,Inputs!$B$44-((R1155-1)*Skills!D21))))/Inputs!$B$44),IF(Inputs!$B$39="pvp",MIN((Skills!Y21*(1+Inputs!$B$34/100)),15)/15,(Skills!Y21*(1+Inputs!$B$34/100))/Skills!D21)))+((C1157=TRUE)*(F1157-Calc!F23))+((C1151=TRUE)*(F1151-Calc!F17)))/100)*(1+((C1144=TRUE)*F1144*IF(AND(Inputs!$B$39&lt;&gt;"pvp",Inputs!$B$44&gt;0),(((R1144-1)*(Skills!Y10*(1+Inputs!$B$34/100))+MIN((Skills!Y10*(1+Inputs!$B$34/100)),MAX(0,Inputs!$B$44-((R1144-1)*Skills!D10))))/Inputs!$B$44),IF(Inputs!$B$39="pvp",MIN((Skills!Y10*(1+Inputs!$B$34/100)),15)/15,(Skills!Y10*(1+Inputs!$B$34/100))/Skills!D10)))/100)*(1+((C1149=TRUE)*F1149*IF(AND(Inputs!$B$39&lt;&gt;"pvp",Inputs!$B$44&gt;0),(((R1149-1)*(Skills!Y15*(1+Inputs!$B$34/100))+MIN((Skills!Y15*(1+Inputs!$B$34/100)),MAX(0,Inputs!$B$44-((R1149-1)*Skills!D15))))/Inputs!$B$44),IF(Inputs!$B$39="pvp",MIN((Skills!Y15*(1+Inputs!$B$34/100)),15)/15,(Skills!Y15*(1+Inputs!$B$34/100))/Skills!D15)))/100)</f>
        <v/>
      </c>
    </row>
    <row r="1167">
      <c r="A1167" t="inlineStr">
        <is>
          <t>Global Crit Rate Bonus %</t>
        </is>
      </c>
      <c r="B1167">
        <f>((C1154=TRUE)*F1154*IF(AND(Inputs!$B$39&lt;&gt;"pvp",Inputs!$B$44&gt;0),(((R1154-1)*(Skills!Y20*(1+Inputs!$B$34/100))+MIN((Skills!Y20*(1+Inputs!$B$34/100)),MAX(0,Inputs!$B$44-((R1154-1)*Skills!D20))))/Inputs!$B$44),IF(Inputs!$B$39="pvp",MIN((Skills!Y20*(1+Inputs!$B$34/100)),15)/15,(Skills!Y20*(1+Inputs!$B$34/100))/Skills!D20)))</f>
        <v/>
      </c>
    </row>
    <row r="1168">
      <c r="A1168" t="inlineStr">
        <is>
          <t>Global Monster Damage-Taken Bonus %</t>
        </is>
      </c>
      <c r="B1168">
        <f>IF(Inputs!$B$3&gt;=82,15,0)</f>
        <v/>
      </c>
    </row>
    <row r="1169">
      <c r="A1169" t="inlineStr">
        <is>
          <t>Shadow Partner Average Multiplier</t>
        </is>
      </c>
      <c r="B1169">
        <f>1+((C1141=TRUE)*F1141*(1+3.3333333333333335*IF(C1152=TRUE,F1152,0)/100)*I1141*Skills!J7/100)/100</f>
        <v/>
      </c>
    </row>
    <row r="1170">
      <c r="A1170" t="inlineStr">
        <is>
          <t>Attack Speed Buff Bonus %</t>
        </is>
      </c>
      <c r="B1170">
        <f>((C1153=TRUE)*F1153*IF(AND(Inputs!$B$39&lt;&gt;"pvp",Inputs!$B$44&gt;0),(((R1153-1)*(Skills!Y19*(1+Inputs!$B$34/100))+MIN((Skills!Y19*(1+Inputs!$B$34/100)),MAX(0,Inputs!$B$44-((R1153-1)*Skills!D19))))/Inputs!$B$44),IF(Inputs!$B$39="pvp",MIN((Skills!Y19*(1+Inputs!$B$34/100)),15)/15,(Skills!Y19*(1+Inputs!$B$34/100))/Skills!D19)))+((C1137=TRUE)*F1137*3)</f>
        <v/>
      </c>
    </row>
    <row r="1171">
      <c r="A1171" t="inlineStr">
        <is>
          <t>Actions Per Second</t>
        </is>
      </c>
      <c r="B1171">
        <f>1+MIN(150,150*(1-(1-(Inputs!$B$11+((C1156=TRUE)*(F1156-Calc!F22)))/150)*(1-B1170/150)))/100</f>
        <v/>
      </c>
    </row>
    <row r="1172">
      <c r="A1172" t="inlineStr">
        <is>
          <t>Skill + Buff Cast Rate</t>
        </is>
      </c>
      <c r="B1172">
        <f>IF(AND(Inputs!$B$39&lt;&gt;"pvp",Inputs!$B$44&gt;0),SUMPRODUCT((Skills!E2:E30=TRUE)*(C1136:C1164=TRUE)*R1136:R1164*Skills!F2:F30)/Inputs!$B$44,SUMPRODUCT((Skills!E2:E30=TRUE)*(C1136:C1164=TRUE)*Q1136:Q1164*Skills!F2:F30))</f>
        <v/>
      </c>
    </row>
    <row r="1173">
      <c r="A1173" t="inlineStr">
        <is>
          <t>Cruel Stab Casts Per Second</t>
        </is>
      </c>
      <c r="B1173">
        <f>MAX(0,B1171-B1172)</f>
        <v/>
      </c>
    </row>
    <row r="1174">
      <c r="A1174" t="inlineStr">
        <is>
          <t>Global Critical Damage Bonus % (Smokescreen Mastery Lv.113)</t>
        </is>
      </c>
      <c r="B1174">
        <f>IF(Inputs!$B$3&gt;=113,30,0)*IF(AND(Inputs!$B$39&lt;&gt;"pvp",Inputs!$B$44&gt;0),(((R1149-1)*(Skills!Y15*(1+Inputs!$B$34/100))+MIN((Skills!Y15*(1+Inputs!$B$34/100)),MAX(0,Inputs!$B$44-((R1149-1)*Skills!D15))))/Inputs!$B$44),IF(Inputs!$B$39="pvp",MIN((Skills!Y15*(1+Inputs!$B$34/100)),15)/15,(Skills!Y15*(1+Inputs!$B$34/100))/Skills!D15))</f>
        <v/>
      </c>
    </row>
    <row r="1175">
      <c r="A1175" t="inlineStr">
        <is>
          <t>Meso Explosion average stack count</t>
        </is>
      </c>
      <c r="B1175">
        <f>MIN(10,0.5*B1171*Skills!D4)</f>
        <v/>
      </c>
    </row>
    <row r="1176">
      <c r="A1176" t="inlineStr">
        <is>
          <t>Blood Money average stack count</t>
        </is>
      </c>
      <c r="B1176">
        <f>MIN(5,0.25*B1171*Skills!D4)</f>
        <v/>
      </c>
    </row>
    <row r="1177">
      <c r="A1177" t="inlineStr">
        <is>
          <t>Assassinate Murderous Intent Multiplier</t>
        </is>
      </c>
      <c r="B1177">
        <f>1+IFERROR(MIN(1,Q1148*2/Q1145),0)</f>
        <v/>
      </c>
    </row>
    <row r="1178">
      <c r="A1178" t="inlineStr">
        <is>
          <t>Buff-Casting Startup Delay (s, fixed-duration only)</t>
        </is>
      </c>
      <c r="B1178">
        <f>IF(AND(Inputs!$B$39&lt;&gt;"pvp",Inputs!$B$44&gt;0),SUMPRODUCT((Skills!Y2:Y30&gt;0)*(Skills!E2:E30=TRUE)*(C1136:C1164=TRUE))/B1171,0)</f>
        <v/>
      </c>
    </row>
    <row r="1179">
      <c r="A1179" s="5" t="inlineStr">
        <is>
          <t>TOTAL DPS</t>
        </is>
      </c>
      <c r="B1179" s="5">
        <f>SUM(O1136:O1164)</f>
        <v/>
      </c>
    </row>
    <row r="1180">
      <c r="A1180" t="inlineStr">
        <is>
          <t>Boss-Only Total DPS (this block's swept value)</t>
        </is>
      </c>
      <c r="B1180">
        <f>SUM(T1136:T1164)</f>
        <v/>
      </c>
    </row>
    <row r="1181">
      <c r="A1181" t="inlineStr">
        <is>
          <t>Normal-Only Total DPS (this block's swept value)</t>
        </is>
      </c>
      <c r="B1181">
        <f>SUM(V1136:V1164)</f>
        <v/>
      </c>
    </row>
    <row r="1184">
      <c r="A1184" s="5" t="inlineStr">
        <is>
          <t>Stat: Skill Cooldown Decrease (seconds)</t>
        </is>
      </c>
    </row>
    <row r="1185">
      <c r="A1185" s="9" t="inlineStr">
        <is>
          <t>Key</t>
        </is>
      </c>
      <c r="B1185" s="9" t="inlineStr">
        <is>
          <t>Name</t>
        </is>
      </c>
      <c r="C1185" s="9" t="inlineStr">
        <is>
          <t>Unlocked</t>
        </is>
      </c>
      <c r="D1185" s="9" t="inlineStr">
        <is>
          <t>InputLevel</t>
        </is>
      </c>
      <c r="E1185" s="9" t="inlineStr">
        <is>
          <t>Factor</t>
        </is>
      </c>
      <c r="F1185" s="9" t="inlineStr">
        <is>
          <t>CoefficientPercent</t>
        </is>
      </c>
      <c r="G1185" s="9" t="inlineStr">
        <is>
          <t>EffectiveHits</t>
        </is>
      </c>
      <c r="H1185" s="9" t="inlineStr">
        <is>
          <t>ProcProbability</t>
        </is>
      </c>
      <c r="I1185" s="9" t="inlineStr">
        <is>
          <t>MapleHeroMultiplier</t>
        </is>
      </c>
      <c r="J1185" s="9" t="inlineStr">
        <is>
          <t>BaseDamage</t>
        </is>
      </c>
      <c r="K1185" s="9" t="inlineStr">
        <is>
          <t>BaseHitDamage</t>
        </is>
      </c>
      <c r="L1185" s="9" t="inlineStr">
        <is>
          <t>NonCritAvg</t>
        </is>
      </c>
      <c r="M1185" s="9" t="inlineStr">
        <is>
          <t>CritAvg</t>
        </is>
      </c>
      <c r="N1185" s="9" t="inlineStr">
        <is>
          <t>ExpectedDamage(perHit)</t>
        </is>
      </c>
      <c r="O1185" s="9" t="inlineStr">
        <is>
          <t>DPS</t>
        </is>
      </c>
      <c r="P1185" s="9" t="inlineStr">
        <is>
          <t>% of Total</t>
        </is>
      </c>
      <c r="Q1185" s="9" t="inlineStr">
        <is>
          <t>InvCooldown</t>
        </is>
      </c>
      <c r="R1185" s="9" t="inlineStr">
        <is>
          <t>CastsInFight</t>
        </is>
      </c>
      <c r="S1185" s="9" t="inlineStr">
        <is>
          <t>HitRate(perSec)</t>
        </is>
      </c>
      <c r="U1185" t="inlineStr">
        <is>
          <t>helpers</t>
        </is>
      </c>
    </row>
    <row r="1186">
      <c r="A1186">
        <f>Skills!A2</f>
        <v/>
      </c>
      <c r="B1186">
        <f>Skills!B2</f>
        <v/>
      </c>
      <c r="C1186">
        <f>Inputs!$B$3&gt;=100</f>
        <v/>
      </c>
      <c r="D1186" t="inlineStr"/>
      <c r="E1186" t="inlineStr"/>
      <c r="F1186">
        <f>U1188+Skills!O2</f>
        <v/>
      </c>
      <c r="G1186">
        <f>Skills!G2*IF(Skills!H2&gt;0,Skills!I2/Skills!H2,1)</f>
        <v/>
      </c>
      <c r="H1186">
        <f>1-(1-Skills!J2/100)^Skills!K2</f>
        <v/>
      </c>
      <c r="I1186" t="inlineStr">
        <is>
          <t>1</t>
        </is>
      </c>
      <c r="J1186">
        <f>((Inputs!$B$6*(1+Inputs!$B$7/100))+(((Inputs!$B$12*(1+Inputs!$B$13/100))-(Inputs!$B$12*(1+Inputs!$B$13/100)))+0.25*(Inputs!$B$14-Inputs!$B$14))*(1+Inputs!$B$7/100))*(F1186/100)</f>
        <v/>
      </c>
      <c r="K1186">
        <f>J1186*(1+((Inputs!$B$12*(1+Inputs!$B$13/100))*0.01+Inputs!$B$14*0.0025)/100)*(1+Inputs!$B$15/100)*(1+Inputs!$B$16/100)*(5000/(6000+Inputs!$B$43*(1-Inputs!$B$19/100)))*(1+(Inputs!$B$24+((C1214=TRUE)*(F1214-Calc!F30)))/100)*(1+(IF(Skills!A2="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1186)</f>
        <v/>
      </c>
      <c r="L1186">
        <f>K1186*(MIN(Inputs!$B$22+((C1208=TRUE)*(F1208-Calc!F24)),Inputs!$B$23+((C1213=TRUE)*(F1213-Calc!F29)))/100+(Inputs!$B$23+((C1213=TRUE)*(F1213-Calc!F29)))/100)/2</f>
        <v/>
      </c>
      <c r="M1186">
        <f>L1186*(1+(Inputs!$B$10+((C1210=TRUE)*(F1210-Calc!F26))+B1224)/100)</f>
        <v/>
      </c>
      <c r="N1186">
        <f>L1186*(1-MIN((Inputs!$B$9+((C1209=TRUE)*(F1209-Calc!F25))+B1217),100)/100)+M1186*(MIN((Inputs!$B$9+((C1209=TRUE)*(F1209-Calc!F25))+B1217),100)/100)</f>
        <v/>
      </c>
      <c r="O1186">
        <f>(1-Summary!$B$55)*T1186+Summary!$B$55*V1186</f>
        <v/>
      </c>
      <c r="P1186">
        <f>IF(B1229=0,0,O1186/B1229)</f>
        <v/>
      </c>
      <c r="Q1186" t="n">
        <v>0</v>
      </c>
      <c r="R1186" t="n">
        <v>0</v>
      </c>
      <c r="S1186">
        <f>IFERROR(O1186/N1186,0)</f>
        <v/>
      </c>
      <c r="T1186">
        <f>IF(C1186,(Skills!G2*N1186*B1223)*IF(Inputs!$B$39="pvp",1,1+(Inputs!$B$20+0+Skills!P2+B1218)/100),0)</f>
        <v/>
      </c>
      <c r="U1186">
        <f>MAX(0,(Inputs!$B$3-100)*3)+Inputs!$B$28+Inputs!$B$29</f>
        <v/>
      </c>
      <c r="V1186">
        <f>IF(C1186,(Skills!G2*N1186*B1223)*IF(Inputs!$B$39="pvp",1,(1+(Inputs!$B$21+Skills!Q2+B1218)/100)*(MIN((6+Inputs!$B$33),Inputs!$B$37))),0)</f>
        <v/>
      </c>
    </row>
    <row r="1187">
      <c r="A1187">
        <f>Skills!A3</f>
        <v/>
      </c>
      <c r="B1187">
        <f>Skills!B3</f>
        <v/>
      </c>
      <c r="C1187">
        <f>Inputs!$B$3&gt;=35</f>
        <v/>
      </c>
      <c r="D1187">
        <f>IF(Skills!C3=1,60+Inputs!$B$25+Inputs!$B$29,IF(Skills!C3=2,90+Inputs!$B$26+Inputs!$B$29,IF(Skills!C3=3,120+Inputs!$B$27+Inputs!$B$29,MAX(0,(Inputs!$B$3-100)*3)+Inputs!$B$28+Inputs!$B$29)))</f>
        <v/>
      </c>
      <c r="E1187">
        <f>INDEX(FactorTable!$B$2:$Y$301, MATCH(ROUND(MIN(300,MAX(1,D1187)),0), FactorTable!$A$2:$A$301,0), Skills!M3+1)</f>
        <v/>
      </c>
      <c r="F1187">
        <f>IF(Skills!N3=TRUE,(Skills!L3/10)*(E1187/1000),Skills!L3/10)+Skills!O3</f>
        <v/>
      </c>
      <c r="G1187">
        <f>Skills!G3*IF(Skills!H3&gt;0,Skills!I3/Skills!H3,1)</f>
        <v/>
      </c>
      <c r="H1187">
        <f>1-(1-Skills!J3/100)^Skills!K3</f>
        <v/>
      </c>
      <c r="I1187" t="inlineStr">
        <is>
          <t>1</t>
        </is>
      </c>
      <c r="J1187" t="inlineStr"/>
      <c r="K1187" t="inlineStr"/>
      <c r="L1187" t="inlineStr"/>
      <c r="M1187" t="inlineStr"/>
      <c r="N1187" t="inlineStr"/>
      <c r="O1187">
        <f>(1-Summary!$B$55)*T1187+Summary!$B$55*V1187</f>
        <v/>
      </c>
      <c r="P1187">
        <f>IF(B1229=0,0,O1187/B1229)</f>
        <v/>
      </c>
      <c r="Q1187" t="n">
        <v>0</v>
      </c>
      <c r="R1187" t="n">
        <v>0</v>
      </c>
      <c r="S1187">
        <f>IFERROR(O1187/N1187,0)</f>
        <v/>
      </c>
      <c r="T1187" t="n">
        <v>0</v>
      </c>
      <c r="U1187">
        <f>INDEX(FactorTable!$B$2:$Y$301, MATCH(ROUND(MIN(300,MAX(1,U1186)),0), FactorTable!$A$2:$A$301,0), 22)</f>
        <v/>
      </c>
      <c r="V1187" t="n">
        <v>0</v>
      </c>
    </row>
    <row r="1188">
      <c r="A1188">
        <f>Skills!A4</f>
        <v/>
      </c>
      <c r="B1188">
        <f>Skills!B4</f>
        <v/>
      </c>
      <c r="C1188">
        <f>Inputs!$B$3&gt;=66</f>
        <v/>
      </c>
      <c r="D1188">
        <f>IF(Skills!C4=1,60+Inputs!$B$25+Inputs!$B$29,IF(Skills!C4=2,90+Inputs!$B$26+Inputs!$B$29,IF(Skills!C4=3,120+Inputs!$B$27+Inputs!$B$29,MAX(0,(Inputs!$B$3-100)*3)+Inputs!$B$28+Inputs!$B$29)))</f>
        <v/>
      </c>
      <c r="E1188">
        <f>INDEX(FactorTable!$B$2:$Y$301, MATCH(ROUND(MIN(300,MAX(1,D1188)),0), FactorTable!$A$2:$A$301,0), Skills!M4+1)</f>
        <v/>
      </c>
      <c r="F1188">
        <f>IF(Skills!N4=TRUE,(Skills!L4/10)*(E1188/1000),Skills!L4/10)+Skills!O4</f>
        <v/>
      </c>
      <c r="G1188">
        <f>Skills!G4*IF(Skills!H4&gt;0,Skills!I4/Skills!H4,1)</f>
        <v/>
      </c>
      <c r="H1188">
        <f>1-(1-Skills!J4/100)^Skills!K4</f>
        <v/>
      </c>
      <c r="I1188" t="inlineStr">
        <is>
          <t>1</t>
        </is>
      </c>
      <c r="J1188">
        <f>((Inputs!$B$6*(1+Inputs!$B$7/100))+(((Inputs!$B$12*(1+Inputs!$B$13/100))-(Inputs!$B$12*(1+Inputs!$B$13/100)))+0.25*(Inputs!$B$14-Inputs!$B$14))*(1+Inputs!$B$7/100))*(F1188/100)</f>
        <v/>
      </c>
      <c r="K1188">
        <f>J1188*(1+((Inputs!$B$12*(1+Inputs!$B$13/100))*0.01+Inputs!$B$14*0.0025)/100)*(1+Inputs!$B$15/100)*(1+Inputs!$B$16/100)*(5000/(6000+Inputs!$B$43*(1-Inputs!$B$19/100)))*(1+(Inputs!$B$24+((C1214=TRUE)*(F1214-Calc!F30)))/100)*(1+(IF(Skills!A4="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1188)</f>
        <v/>
      </c>
      <c r="L1188">
        <f>K1188*(MIN(Inputs!$B$22+((C1208=TRUE)*(F1208-Calc!F24)),Inputs!$B$23+((C1213=TRUE)*(F1213-Calc!F29)))/100+(Inputs!$B$23+((C1213=TRUE)*(F1213-Calc!F29)))/100)/2</f>
        <v/>
      </c>
      <c r="M1188">
        <f>L1188*(1+(Inputs!$B$10+((C1210=TRUE)*(F1210-Calc!F26))+B1224)/100)</f>
        <v/>
      </c>
      <c r="N1188">
        <f>L1188*(1-MIN((Inputs!$B$9+((C1209=TRUE)*(F1209-Calc!F25))+B1217),100)/100)+M1188*(MIN((Inputs!$B$9+((C1209=TRUE)*(F1209-Calc!F25))+B1217),100)/100)</f>
        <v/>
      </c>
      <c r="O1188">
        <f>(1-Summary!$B$55)*T1188+Summary!$B$55*V1188</f>
        <v/>
      </c>
      <c r="P1188">
        <f>IF(B1229=0,0,O1188/B1229)</f>
        <v/>
      </c>
      <c r="Q1188">
        <f>IFERROR(1/IF(Inputs!$B$39="pvp",15,MAX(0.1,Skills!D4-IF(Skills!E4=TRUE,(Inputs!$B$32+1),0))),0)</f>
        <v/>
      </c>
      <c r="R1188">
        <f>IF(AND(Inputs!$B$39&lt;&gt;"pvp",Inputs!$B$44&gt;0),IF(MAX(0,Inputs!$B$44-B1228)&lt;=0,0,(INT(MAX(0,Inputs!$B$44-B1228)/IF(Inputs!$B$39="pvp",15,MAX(0.1,Skills!D4-IF(Skills!E4=TRUE,(Inputs!$B$32+1),0))))+1)),0)</f>
        <v/>
      </c>
      <c r="S1188">
        <f>IFERROR(O1188/N1188,0)</f>
        <v/>
      </c>
      <c r="T1188">
        <f>IF(C1188,(H1188*N1188*IF(AND(Inputs!$B$39&lt;&gt;"pvp",Inputs!$B$44&gt;0),((Skills!G4*((R1188-1)*IF(Skills!H4&gt;0,Skills!I4/Skills!H4,1)+IF(Skills!H4&gt;0,MIN(Skills!I4,MAX(0,MAX(0,Inputs!$B$44-B1228)-((R1188-1)*IF(Inputs!$B$39="pvp",15,MAX(0.1,Skills!D4-IF(Skills!E4=TRUE,(Inputs!$B$32+1),0))))))/Skills!H4,1)))/Inputs!$B$44),G1188*Q1188))*IF(Inputs!$B$39="pvp",1,1+(Inputs!$B$20+0+Skills!P4+B1218)/100),0)</f>
        <v/>
      </c>
      <c r="U1188">
        <f>290*U1187/1000</f>
        <v/>
      </c>
      <c r="V1188">
        <f>IF(C1188,(H1188*N1188*IF(AND(Inputs!$B$39&lt;&gt;"pvp",Inputs!$B$44&gt;0),((Skills!G4*((R1188-1)*IF(Skills!H4&gt;0,Skills!I4/Skills!H4,1)+IF(Skills!H4&gt;0,MIN(Skills!I4,MAX(0,MAX(0,Inputs!$B$44-B1228)-((R1188-1)*IF(Inputs!$B$39="pvp",15,MAX(0.1,Skills!D4-IF(Skills!E4=TRUE,(Inputs!$B$32+1),0))))))/Skills!H4,1)))/Inputs!$B$44),G1188*Q1188))*IF(Inputs!$B$39="pvp",1,(1+(Inputs!$B$21+Skills!Q4+B1218)/100)*(MIN(MIN(10,0.5*B1221*Skills!D4),Inputs!$B$37))),0)</f>
        <v/>
      </c>
    </row>
    <row r="1189">
      <c r="A1189">
        <f>Skills!A5</f>
        <v/>
      </c>
      <c r="B1189">
        <f>Skills!B5</f>
        <v/>
      </c>
      <c r="C1189">
        <f>Inputs!$B$3&gt;=63</f>
        <v/>
      </c>
      <c r="D1189">
        <f>IF(Skills!C5=1,60+Inputs!$B$25+Inputs!$B$29,IF(Skills!C5=2,90+Inputs!$B$26+Inputs!$B$29,IF(Skills!C5=3,120+Inputs!$B$27+Inputs!$B$29,MAX(0,(Inputs!$B$3-100)*3)+Inputs!$B$28+Inputs!$B$29)))</f>
        <v/>
      </c>
      <c r="E1189">
        <f>INDEX(FactorTable!$B$2:$Y$301, MATCH(ROUND(MIN(300,MAX(1,D1189)),0), FactorTable!$A$2:$A$301,0), Skills!M5+1)</f>
        <v/>
      </c>
      <c r="F1189">
        <f>IF(Skills!N5=TRUE,(Skills!L5/10)*(E1189/1000),Skills!L5/10)+Skills!O5</f>
        <v/>
      </c>
      <c r="G1189">
        <f>Skills!G5*IF(Skills!H5&gt;0,Skills!I5/Skills!H5,1)</f>
        <v/>
      </c>
      <c r="H1189">
        <f>1-(1-Skills!J5/100)^Skills!K5</f>
        <v/>
      </c>
      <c r="I1189" t="inlineStr">
        <is>
          <t>1</t>
        </is>
      </c>
      <c r="J1189">
        <f>((Inputs!$B$6*(1+Inputs!$B$7/100))+(((Inputs!$B$12*(1+Inputs!$B$13/100))-(Inputs!$B$12*(1+Inputs!$B$13/100)))+0.25*(Inputs!$B$14-Inputs!$B$14))*(1+Inputs!$B$7/100))*(F1189/100)</f>
        <v/>
      </c>
      <c r="K1189">
        <f>J1189*(1+((Inputs!$B$12*(1+Inputs!$B$13/100))*0.01+Inputs!$B$14*0.0025)/100)*(1+Inputs!$B$15/100)*(1+Inputs!$B$16/100)*(5000/(6000+Inputs!$B$43*(1-Inputs!$B$19/100)))*(1+(Inputs!$B$24+((C1214=TRUE)*(F1214-Calc!F30)))/100)*(1+2.6666666666666665*IF(C1202=TRUE,F1202,0)/100)*(1+(IF(Skills!A5="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1189)</f>
        <v/>
      </c>
      <c r="L1189">
        <f>K1189*(MIN(Inputs!$B$22+((C1208=TRUE)*(F1208-Calc!F24)),Inputs!$B$23+((C1213=TRUE)*(F1213-Calc!F29)))/100+(Inputs!$B$23+((C1213=TRUE)*(F1213-Calc!F29)))/100)/2</f>
        <v/>
      </c>
      <c r="M1189">
        <f>L1189*(1+(Inputs!$B$10+((C1210=TRUE)*(F1210-Calc!F26))+B1224)/100)</f>
        <v/>
      </c>
      <c r="N1189">
        <f>L1189*(1-MIN((Inputs!$B$9+((C1209=TRUE)*(F1209-Calc!F25))+B1217),100)/100)+M1189*(MIN((Inputs!$B$9+((C1209=TRUE)*(F1209-Calc!F25))+B1217),100)/100)</f>
        <v/>
      </c>
      <c r="O1189">
        <f>(1-Summary!$B$55)*T1189+Summary!$B$55*V1189</f>
        <v/>
      </c>
      <c r="P1189">
        <f>IF(B1229=0,0,O1189/B1229)</f>
        <v/>
      </c>
      <c r="Q1189">
        <f>IFERROR(1/IF(Inputs!$B$39="pvp",15,MAX(0.1,Skills!D5-IF(Skills!E5=TRUE,(Inputs!$B$32+1),0))),0)</f>
        <v/>
      </c>
      <c r="R1189">
        <f>IF(AND(Inputs!$B$39&lt;&gt;"pvp",Inputs!$B$44&gt;0),IF(MAX(0,Inputs!$B$44-B1228)&lt;=0,0,(INT(MAX(0,Inputs!$B$44-B1228)/IF(Inputs!$B$39="pvp",15,MAX(0.1,Skills!D5-IF(Skills!E5=TRUE,(Inputs!$B$32+1),0))))+1)),0)</f>
        <v/>
      </c>
      <c r="S1189">
        <f>IFERROR(O1189/N1189,0)</f>
        <v/>
      </c>
      <c r="T1189">
        <f>IF(C1189,(H1189*N1189*IF(AND(Inputs!$B$39&lt;&gt;"pvp",Inputs!$B$44&gt;0),((Skills!G5*((R1189-1)*IF(Skills!H5&gt;0,Skills!I5/Skills!H5,1)+IF(Skills!H5&gt;0,MIN(Skills!I5,MAX(0,MAX(0,Inputs!$B$44-B1228)-((R1189-1)*IF(Inputs!$B$39="pvp",15,MAX(0.1,Skills!D5-IF(Skills!E5=TRUE,(Inputs!$B$32+1),0))))))/Skills!H5,1)))/Inputs!$B$44),G1189*Q1189))*IF(Inputs!$B$39="pvp",1,1+(Inputs!$B$20+0+Skills!P5+B1218)/100),0)</f>
        <v/>
      </c>
      <c r="V1189">
        <f>IF(C1189,(H1189*N1189*IF(AND(Inputs!$B$39&lt;&gt;"pvp",Inputs!$B$44&gt;0),((Skills!G5*((R1189-1)*IF(Skills!H5&gt;0,Skills!I5/Skills!H5,1)+IF(Skills!H5&gt;0,MIN(Skills!I5,MAX(0,MAX(0,Inputs!$B$44-B1228)-((R1189-1)*IF(Inputs!$B$39="pvp",15,MAX(0.1,Skills!D5-IF(Skills!E5=TRUE,(Inputs!$B$32+1),0))))))/Skills!H5,1)))/Inputs!$B$44),G1189*Q1189))*IF(Inputs!$B$39="pvp",1,(1+(Inputs!$B$21+Skills!Q5+B1218)/100)*(MIN(Skills!W5,Inputs!$B$37))),0)</f>
        <v/>
      </c>
    </row>
    <row r="1190">
      <c r="A1190">
        <f>Skills!A6</f>
        <v/>
      </c>
      <c r="B1190">
        <f>Skills!B6</f>
        <v/>
      </c>
      <c r="C1190">
        <f>Inputs!$B$3&gt;=69</f>
        <v/>
      </c>
      <c r="D1190">
        <f>IF(Skills!C6=1,60+Inputs!$B$25+Inputs!$B$29,IF(Skills!C6=2,90+Inputs!$B$26+Inputs!$B$29,IF(Skills!C6=3,120+Inputs!$B$27+Inputs!$B$29,MAX(0,(Inputs!$B$3-100)*3)+Inputs!$B$28+Inputs!$B$29)))</f>
        <v/>
      </c>
      <c r="E1190">
        <f>INDEX(FactorTable!$B$2:$Y$301, MATCH(ROUND(MIN(300,MAX(1,D1190)),0), FactorTable!$A$2:$A$301,0), Skills!M6+1)</f>
        <v/>
      </c>
      <c r="F1190">
        <f>IF(Skills!N6=TRUE,(Skills!L6/10)*(E1190/1000),Skills!L6/10)+Skills!O6</f>
        <v/>
      </c>
      <c r="G1190">
        <f>Skills!G6*IF(Skills!H6&gt;0,Skills!I6/Skills!H6,1)</f>
        <v/>
      </c>
      <c r="H1190">
        <f>1-(1-Skills!J6/100)^Skills!K6</f>
        <v/>
      </c>
      <c r="I1190" t="inlineStr">
        <is>
          <t>1</t>
        </is>
      </c>
      <c r="J1190">
        <f>((Inputs!$B$6*(1+Inputs!$B$7/100))+(((Inputs!$B$12*(1+Inputs!$B$13/100))-(Inputs!$B$12*(1+Inputs!$B$13/100)))+0.25*(Inputs!$B$14-Inputs!$B$14))*(1+Inputs!$B$7/100))*(F1190/100)</f>
        <v/>
      </c>
      <c r="K1190">
        <f>J1190*(1+((Inputs!$B$12*(1+Inputs!$B$13/100))*0.01+Inputs!$B$14*0.0025)/100)*(1+Inputs!$B$15/100)*(1+Inputs!$B$16/100)*(5000/(6000+Inputs!$B$43*(1-Inputs!$B$19/100)))*(1+(Inputs!$B$24+((C1214=TRUE)*(F1214-Calc!F30)))/100)*(1+1.0*IF(C1202=TRUE,F1202,0)/100)*(1+(IF(Skills!A6="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1190)</f>
        <v/>
      </c>
      <c r="L1190">
        <f>K1190*(MIN(Inputs!$B$22+((C1208=TRUE)*(F1208-Calc!F24)),Inputs!$B$23+((C1213=TRUE)*(F1213-Calc!F29)))/100+(Inputs!$B$23+((C1213=TRUE)*(F1213-Calc!F29)))/100)/2</f>
        <v/>
      </c>
      <c r="M1190">
        <f>L1190*(1+(Inputs!$B$10+((C1210=TRUE)*(F1210-Calc!F26))+B1224)/100)</f>
        <v/>
      </c>
      <c r="N1190">
        <f>L1190*(1-MIN((Inputs!$B$9+((C1209=TRUE)*(F1209-Calc!F25))+B1217),100)/100)+M1190*(MIN((Inputs!$B$9+((C1209=TRUE)*(F1209-Calc!F25))+B1217),100)/100)</f>
        <v/>
      </c>
      <c r="O1190">
        <f>(1-Summary!$B$55)*T1190+Summary!$B$55*V1190</f>
        <v/>
      </c>
      <c r="P1190">
        <f>IF(B1229=0,0,O1190/B1229)</f>
        <v/>
      </c>
      <c r="Q1190">
        <f>IFERROR(1/IF(Inputs!$B$39="pvp",15,MAX(0.1,Skills!D6-IF(Skills!E6=TRUE,(Inputs!$B$32+1),0))),0)</f>
        <v/>
      </c>
      <c r="R1190">
        <f>IF(AND(Inputs!$B$39&lt;&gt;"pvp",Inputs!$B$44&gt;0),IF(MAX(0,Inputs!$B$44-B1228)&lt;=0,0,(INT(MAX(0,Inputs!$B$44-B1228)/IF(Inputs!$B$39="pvp",15,MAX(0.1,Skills!D6-IF(Skills!E6=TRUE,(Inputs!$B$32+1),0))))+1)),0)</f>
        <v/>
      </c>
      <c r="S1190">
        <f>IFERROR(O1190/N1190,0)</f>
        <v/>
      </c>
      <c r="T1190">
        <f>IF(C1190,(H1190*N1190*IF(AND(Inputs!$B$39&lt;&gt;"pvp",Inputs!$B$44&gt;0),((Skills!G6*((R1190-1)*IF(Skills!H6&gt;0,Skills!I6/Skills!H6,1)+IF(Skills!H6&gt;0,MIN(Skills!I6,MAX(0,MAX(0,Inputs!$B$44-B1228)-((R1190-1)*IF(Inputs!$B$39="pvp",15,MAX(0.1,Skills!D6-IF(Skills!E6=TRUE,(Inputs!$B$32+1),0))))))/Skills!H6,1)))/Inputs!$B$44),G1190*Q1190))*IF(Inputs!$B$39="pvp",1,1+(Inputs!$B$20+0+Skills!P6+B1218)/100),0)</f>
        <v/>
      </c>
      <c r="V1190">
        <f>IF(C1190,(H1190*N1190*IF(AND(Inputs!$B$39&lt;&gt;"pvp",Inputs!$B$44&gt;0),((Skills!G6*((R1190-1)*IF(Skills!H6&gt;0,Skills!I6/Skills!H6,1)+IF(Skills!H6&gt;0,MIN(Skills!I6,MAX(0,MAX(0,Inputs!$B$44-B1228)-((R1190-1)*IF(Inputs!$B$39="pvp",15,MAX(0.1,Skills!D6-IF(Skills!E6=TRUE,(Inputs!$B$32+1),0))))))/Skills!H6,1)))/Inputs!$B$44),G1190*Q1190))*IF(Inputs!$B$39="pvp",1,(1+(Inputs!$B$21+Skills!Q6+B1218)/100)*(MIN(Skills!W6,Inputs!$B$37))),0)</f>
        <v/>
      </c>
    </row>
    <row r="1191">
      <c r="A1191">
        <f>Skills!A7</f>
        <v/>
      </c>
      <c r="B1191">
        <f>Skills!B7</f>
        <v/>
      </c>
      <c r="C1191">
        <f>Inputs!$B$3&gt;=60</f>
        <v/>
      </c>
      <c r="D1191">
        <f>IF(Skills!C7=1,60+Inputs!$B$25+Inputs!$B$29,IF(Skills!C7=2,90+Inputs!$B$26+Inputs!$B$29,IF(Skills!C7=3,120+Inputs!$B$27+Inputs!$B$29,MAX(0,(Inputs!$B$3-100)*3)+Inputs!$B$28+Inputs!$B$29)))</f>
        <v/>
      </c>
      <c r="E1191">
        <f>INDEX(FactorTable!$B$2:$Y$301, MATCH(ROUND(MIN(300,MAX(1,D1191)),0), FactorTable!$A$2:$A$301,0), Skills!M7+1)</f>
        <v/>
      </c>
      <c r="F1191">
        <f>IF(Skills!N7=TRUE,(Skills!L7/10)*(E1191/1000),Skills!L7/10)+Skills!O7</f>
        <v/>
      </c>
      <c r="G1191">
        <f>Skills!G7*IF(Skills!H7&gt;0,Skills!I7/Skills!H7,1)</f>
        <v/>
      </c>
      <c r="H1191">
        <f>1-(1-Skills!J7/100)^Skills!K7</f>
        <v/>
      </c>
      <c r="I1191" t="inlineStr">
        <is>
          <t>1</t>
        </is>
      </c>
      <c r="J1191" t="inlineStr"/>
      <c r="K1191" t="inlineStr"/>
      <c r="L1191" t="inlineStr"/>
      <c r="M1191" t="inlineStr"/>
      <c r="N1191" t="inlineStr"/>
      <c r="O1191">
        <f>(1-Summary!$B$55)*T1191+Summary!$B$55*V1191</f>
        <v/>
      </c>
      <c r="P1191">
        <f>IF(B1229=0,0,O1191/B1229)</f>
        <v/>
      </c>
      <c r="Q1191" t="n">
        <v>0</v>
      </c>
      <c r="R1191" t="n">
        <v>0</v>
      </c>
      <c r="S1191">
        <f>IFERROR(O1191/N1191,0)</f>
        <v/>
      </c>
      <c r="T1191" t="n">
        <v>0</v>
      </c>
      <c r="V1191" t="n">
        <v>0</v>
      </c>
    </row>
    <row r="1192">
      <c r="A1192">
        <f>Skills!A8</f>
        <v/>
      </c>
      <c r="B1192">
        <f>Skills!B8</f>
        <v/>
      </c>
      <c r="C1192">
        <f>Inputs!$B$3&gt;=72</f>
        <v/>
      </c>
      <c r="D1192">
        <f>IF(Skills!C8=1,60+Inputs!$B$25+Inputs!$B$29,IF(Skills!C8=2,90+Inputs!$B$26+Inputs!$B$29,IF(Skills!C8=3,120+Inputs!$B$27+Inputs!$B$29,MAX(0,(Inputs!$B$3-100)*3)+Inputs!$B$28+Inputs!$B$29)))</f>
        <v/>
      </c>
      <c r="E1192">
        <f>INDEX(FactorTable!$B$2:$Y$301, MATCH(ROUND(MIN(300,MAX(1,D1192)),0), FactorTable!$A$2:$A$301,0), Skills!M8+1)</f>
        <v/>
      </c>
      <c r="F1192">
        <f>IF(Skills!N8=TRUE,(Skills!L8/10)*(E1192/1000),Skills!L8/10)+Skills!O8</f>
        <v/>
      </c>
      <c r="G1192">
        <f>Skills!G8*IF(Skills!H8&gt;0,Skills!I8/Skills!H8,1)</f>
        <v/>
      </c>
      <c r="H1192">
        <f>1-(1-Skills!J8/100)^Skills!K8</f>
        <v/>
      </c>
      <c r="I1192" t="inlineStr">
        <is>
          <t>1</t>
        </is>
      </c>
      <c r="J1192">
        <f>((Inputs!$B$6*(1+Inputs!$B$7/100))+(((Inputs!$B$12*(1+Inputs!$B$13/100))-(Inputs!$B$12*(1+Inputs!$B$13/100)))+0.25*(Inputs!$B$14-Inputs!$B$14))*(1+Inputs!$B$7/100))*(F1192/100)</f>
        <v/>
      </c>
      <c r="K1192">
        <f>J1192*(1+((Inputs!$B$12*(1+Inputs!$B$13/100))*0.01+Inputs!$B$14*0.0025)/100)*(1+Inputs!$B$15/100)*(1+Inputs!$B$16/100)*(5000/(6000+Inputs!$B$43*(1-Inputs!$B$19/100)))*(1+(Inputs!$B$24+((C1214=TRUE)*(F1214-Calc!F30)))/100)*(1+3.3333333333333335*IF(C1202=TRUE,F1202,0)/100)*(1+(IF(Skills!A8="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1192)</f>
        <v/>
      </c>
      <c r="L1192">
        <f>K1192*(MIN(Inputs!$B$22+((C1208=TRUE)*(F1208-Calc!F24)),Inputs!$B$23+((C1213=TRUE)*(F1213-Calc!F29)))/100+(Inputs!$B$23+((C1213=TRUE)*(F1213-Calc!F29)))/100)/2</f>
        <v/>
      </c>
      <c r="M1192">
        <f>L1192*(1+(Inputs!$B$10+((C1210=TRUE)*(F1210-Calc!F26))+B1224)/100)</f>
        <v/>
      </c>
      <c r="N1192">
        <f>L1192*(1-MIN((Inputs!$B$9+((C1209=TRUE)*(F1209-Calc!F25))+B1217),100)/100)+M1192*(MIN((Inputs!$B$9+((C1209=TRUE)*(F1209-Calc!F25))+B1217),100)/100)</f>
        <v/>
      </c>
      <c r="O1192">
        <f>(1-Summary!$B$55)*T1192+Summary!$B$55*V1192</f>
        <v/>
      </c>
      <c r="P1192">
        <f>IF(B1229=0,0,O1192/B1229)</f>
        <v/>
      </c>
      <c r="Q1192">
        <f>IFERROR(1/IF(Inputs!$B$39="pvp",15,MAX(0.1,Skills!D8-IF(Skills!E8=TRUE,(Inputs!$B$32+1),0))),0)</f>
        <v/>
      </c>
      <c r="R1192">
        <f>IF(AND(Inputs!$B$39&lt;&gt;"pvp",Inputs!$B$44&gt;0),IF(MAX(0,Inputs!$B$44-B1228)&lt;=0,0,(INT(MAX(0,Inputs!$B$44-B1228)/IF(Inputs!$B$39="pvp",15,MAX(0.1,Skills!D8-IF(Skills!E8=TRUE,(Inputs!$B$32+1),0))))+1)),0)</f>
        <v/>
      </c>
      <c r="S1192">
        <f>IFERROR(O1192/N1192,0)</f>
        <v/>
      </c>
      <c r="T1192">
        <f>IF(C1192,(H1192*N1192*IF(AND(Inputs!$B$39&lt;&gt;"pvp",Inputs!$B$44&gt;0),((Skills!G8*((R1192-1)*IF(Skills!H8&gt;0,Skills!I8/Skills!H8,1)+IF(Skills!H8&gt;0,MIN(Skills!I8,MAX(0,MAX(0,Inputs!$B$44-B1228)-((R1192-1)*IF(Inputs!$B$39="pvp",15,MAX(0.1,Skills!D8-IF(Skills!E8=TRUE,(Inputs!$B$32+1),0))))))/Skills!H8,1)))/Inputs!$B$44),G1192*Q1192))*IF(Inputs!$B$39="pvp",1,1+(Inputs!$B$20+0+Skills!P8+B1218)/100),0)</f>
        <v/>
      </c>
      <c r="V1192">
        <f>IF(C1192,(H1192*N1192*IF(AND(Inputs!$B$39&lt;&gt;"pvp",Inputs!$B$44&gt;0),((Skills!G8*((R1192-1)*IF(Skills!H8&gt;0,Skills!I8/Skills!H8,1)+IF(Skills!H8&gt;0,MIN(Skills!I8,MAX(0,MAX(0,Inputs!$B$44-B1228)-((R1192-1)*IF(Inputs!$B$39="pvp",15,MAX(0.1,Skills!D8-IF(Skills!E8=TRUE,(Inputs!$B$32+1),0))))))/Skills!H8,1)))/Inputs!$B$44),G1192*Q1192))*IF(Inputs!$B$39="pvp",1,(1+(Inputs!$B$21+Skills!Q8+B1218)/100)*(MIN(Skills!W8,Inputs!$B$37))),0)</f>
        <v/>
      </c>
    </row>
    <row r="1193">
      <c r="A1193">
        <f>Skills!A9</f>
        <v/>
      </c>
      <c r="B1193">
        <f>Skills!B9</f>
        <v/>
      </c>
      <c r="C1193">
        <f>Inputs!$B$3&gt;=117</f>
        <v/>
      </c>
      <c r="D1193">
        <f>IF(Skills!C9=1,60+Inputs!$B$25+Inputs!$B$29,IF(Skills!C9=2,90+Inputs!$B$26+Inputs!$B$29,IF(Skills!C9=3,120+Inputs!$B$27+Inputs!$B$29,MAX(0,(Inputs!$B$3-100)*3)+Inputs!$B$28+Inputs!$B$29)))</f>
        <v/>
      </c>
      <c r="E1193">
        <f>INDEX(FactorTable!$B$2:$Y$301, MATCH(ROUND(MIN(300,MAX(1,D1193)),0), FactorTable!$A$2:$A$301,0), Skills!M9+1)</f>
        <v/>
      </c>
      <c r="F1193">
        <f>IF(Skills!N9=TRUE,(Skills!L9/10)*(E1193/1000),Skills!L9/10)+Skills!O9</f>
        <v/>
      </c>
      <c r="G1193">
        <f>Skills!G9*IF(Skills!H9&gt;0,Skills!I9/Skills!H9,1)</f>
        <v/>
      </c>
      <c r="H1193">
        <f>1-(1-Skills!J9/100)^Skills!K9</f>
        <v/>
      </c>
      <c r="I1193" t="inlineStr">
        <is>
          <t>1</t>
        </is>
      </c>
      <c r="J1193">
        <f>((Inputs!$B$6*(1+Inputs!$B$7/100))+(((Inputs!$B$12*(1+Inputs!$B$13/100))-(Inputs!$B$12*(1+Inputs!$B$13/100)))+0.25*(Inputs!$B$14-Inputs!$B$14))*(1+Inputs!$B$7/100))*(F1193/100)</f>
        <v/>
      </c>
      <c r="K1193">
        <f>J1193*(1+((Inputs!$B$12*(1+Inputs!$B$13/100))*0.01+Inputs!$B$14*0.0025)/100)*(1+Inputs!$B$15/100)*(1+Inputs!$B$16/100)*(5000/(6000+Inputs!$B$43*(1-Inputs!$B$19/100)))*(1+(Inputs!$B$24+((C1214=TRUE)*(F1214-Calc!F30)))/100)*(1+(IF(Skills!A9="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1193)</f>
        <v/>
      </c>
      <c r="L1193">
        <f>K1193*(MIN(Inputs!$B$22+((C1208=TRUE)*(F1208-Calc!F24)),Inputs!$B$23+((C1213=TRUE)*(F1213-Calc!F29)))/100+(Inputs!$B$23+((C1213=TRUE)*(F1213-Calc!F29)))/100)/2</f>
        <v/>
      </c>
      <c r="M1193">
        <f>L1193*(1+(Inputs!$B$10+((C1210=TRUE)*(F1210-Calc!F26))+B1224)/100)</f>
        <v/>
      </c>
      <c r="N1193">
        <f>L1193*(1-MIN((Inputs!$B$9+((C1209=TRUE)*(F1209-Calc!F25))+B1217),100)/100)+M1193*(MIN((Inputs!$B$9+((C1209=TRUE)*(F1209-Calc!F25))+B1217),100)/100)</f>
        <v/>
      </c>
      <c r="O1193">
        <f>(1-Summary!$B$55)*T1193+Summary!$B$55*V1193</f>
        <v/>
      </c>
      <c r="P1193">
        <f>IF(B1229=0,0,O1193/B1229)</f>
        <v/>
      </c>
      <c r="Q1193" t="n">
        <v>0</v>
      </c>
      <c r="R1193" t="n">
        <v>0</v>
      </c>
      <c r="S1193" t="n">
        <v>0</v>
      </c>
      <c r="T1193">
        <f>IF(C1193,(0.2*SUMPRODUCT((Skills!Z2:Z30=TRUE)*(C1186:C1214=TRUE)*S1186:S1214)*N1193)*IF(Inputs!$B$39="pvp",1,1+(Inputs!$B$20+0+Skills!P9+B1218)/100),0)</f>
        <v/>
      </c>
      <c r="V1193">
        <f>IF(C1193,(0.2*SUMPRODUCT((Skills!Z2:Z30=TRUE)*(C1186:C1214=TRUE)*S1186:S1214)*N1193)*IF(Inputs!$B$39="pvp",1,(1+(Inputs!$B$21+Skills!Q9+B1218)/100)*(MIN(Skills!W9,Inputs!$B$37))),0)</f>
        <v/>
      </c>
    </row>
    <row r="1194">
      <c r="A1194">
        <f>Skills!A10</f>
        <v/>
      </c>
      <c r="B1194">
        <f>Skills!B10</f>
        <v/>
      </c>
      <c r="C1194">
        <f>Inputs!$B$3&gt;=74</f>
        <v/>
      </c>
      <c r="D1194">
        <f>IF(Skills!C10=1,60+Inputs!$B$25+Inputs!$B$29,IF(Skills!C10=2,90+Inputs!$B$26+Inputs!$B$29,IF(Skills!C10=3,120+Inputs!$B$27+Inputs!$B$29,MAX(0,(Inputs!$B$3-100)*3)+Inputs!$B$28+Inputs!$B$29)))</f>
        <v/>
      </c>
      <c r="E1194">
        <f>INDEX(FactorTable!$B$2:$Y$301, MATCH(ROUND(MIN(300,MAX(1,D1194)),0), FactorTable!$A$2:$A$301,0), Skills!M10+1)</f>
        <v/>
      </c>
      <c r="F1194">
        <f>IF(Skills!N10=TRUE,(Skills!L10/10)*(E1194/1000),Skills!L10/10)+Skills!O10</f>
        <v/>
      </c>
      <c r="G1194">
        <f>Skills!G10*IF(Skills!H10&gt;0,Skills!I10/Skills!H10,1)</f>
        <v/>
      </c>
      <c r="H1194">
        <f>1-(1-Skills!J10/100)^Skills!K10</f>
        <v/>
      </c>
      <c r="I1194" t="inlineStr">
        <is>
          <t>1</t>
        </is>
      </c>
      <c r="J1194" t="inlineStr"/>
      <c r="K1194" t="inlineStr"/>
      <c r="L1194" t="inlineStr"/>
      <c r="M1194" t="inlineStr"/>
      <c r="N1194" t="inlineStr"/>
      <c r="O1194">
        <f>(1-Summary!$B$55)*T1194+Summary!$B$55*V1194</f>
        <v/>
      </c>
      <c r="P1194">
        <f>IF(B1229=0,0,O1194/B1229)</f>
        <v/>
      </c>
      <c r="Q1194">
        <f>IFERROR(1/IF(Inputs!$B$39="pvp",15,MAX(0.1,Skills!D10-IF(Skills!E10=TRUE,(Inputs!$B$32+1),0))),0)</f>
        <v/>
      </c>
      <c r="R1194">
        <f>IF(AND(Inputs!$B$39&lt;&gt;"pvp",Inputs!$B$44&gt;0),IF(Inputs!$B$44&lt;=0,0,(INT(Inputs!$B$44/IF(Inputs!$B$39="pvp",15,MAX(0.1,Skills!D10-IF(Skills!E10=TRUE,(Inputs!$B$32+1),0))))+1)),0)</f>
        <v/>
      </c>
      <c r="S1194">
        <f>IFERROR(O1194/N1194,0)</f>
        <v/>
      </c>
      <c r="T1194" t="n">
        <v>0</v>
      </c>
      <c r="V1194" t="n">
        <v>0</v>
      </c>
    </row>
    <row r="1195">
      <c r="A1195">
        <f>Skills!A11</f>
        <v/>
      </c>
      <c r="B1195">
        <f>Skills!B11</f>
        <v/>
      </c>
      <c r="C1195">
        <f>Inputs!$B$3&gt;=103</f>
        <v/>
      </c>
      <c r="D1195">
        <f>IF(Skills!C11=1,60+Inputs!$B$25+Inputs!$B$29,IF(Skills!C11=2,90+Inputs!$B$26+Inputs!$B$29,IF(Skills!C11=3,120+Inputs!$B$27+Inputs!$B$29,MAX(0,(Inputs!$B$3-100)*3)+Inputs!$B$28+Inputs!$B$29)))</f>
        <v/>
      </c>
      <c r="E1195">
        <f>INDEX(FactorTable!$B$2:$Y$301, MATCH(ROUND(MIN(300,MAX(1,D1195)),0), FactorTable!$A$2:$A$301,0), Skills!M11+1)</f>
        <v/>
      </c>
      <c r="F1195">
        <f>(Skills!L11/10)*(E1195/1000)+IF(Inputs!$B$3&gt;=134,50,0)+0.5*(30000/10)*(INDEX(FactorTable!$B$2:$Y$301, MATCH(ROUND(MIN(300,MAX(1,D1195)),0), FactorTable!$A$2:$A$301,0), 13)/1000)*B1227</f>
        <v/>
      </c>
      <c r="G1195">
        <f>Skills!G11*IF(Skills!H11&gt;0,Skills!I11/Skills!H11,1)</f>
        <v/>
      </c>
      <c r="H1195">
        <f>1-(1-Skills!J11/100)^Skills!K11</f>
        <v/>
      </c>
      <c r="I1195" t="inlineStr">
        <is>
          <t>1</t>
        </is>
      </c>
      <c r="J1195">
        <f>((Inputs!$B$6*(1+Inputs!$B$7/100))+(((Inputs!$B$12*(1+Inputs!$B$13/100))-(Inputs!$B$12*(1+Inputs!$B$13/100)))+0.25*(Inputs!$B$14-Inputs!$B$14))*(1+Inputs!$B$7/100))*(F1195/100)</f>
        <v/>
      </c>
      <c r="K1195">
        <f>J1195*(1+((Inputs!$B$12*(1+Inputs!$B$13/100))*0.01+Inputs!$B$14*0.0025)/100)*(1+Inputs!$B$15/100)*(1+Inputs!$B$16/100)*(5000/(6000+Inputs!$B$43*(1-Inputs!$B$19/100)))*(1+(Inputs!$B$24+((C1214=TRUE)*(F1214-Calc!F30)))/100)*(1+(IF(Skills!A11="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1195)</f>
        <v/>
      </c>
      <c r="L1195">
        <f>K1195*(MIN(Inputs!$B$22+((C1208=TRUE)*(F1208-Calc!F24)),Inputs!$B$23+((C1213=TRUE)*(F1213-Calc!F29)))/100+(Inputs!$B$23+((C1213=TRUE)*(F1213-Calc!F29)))/100)/2</f>
        <v/>
      </c>
      <c r="M1195">
        <f>L1195*(1+(Inputs!$B$10+((C1210=TRUE)*(F1210-Calc!F26))+B1224)/100)</f>
        <v/>
      </c>
      <c r="N1195">
        <f>L1195*(1-MIN((Inputs!$B$9+((C1209=TRUE)*(F1209-Calc!F25))+B1217),100)/100)+M1195*(MIN((Inputs!$B$9+((C1209=TRUE)*(F1209-Calc!F25))+B1217),100)/100)</f>
        <v/>
      </c>
      <c r="O1195">
        <f>(1-Summary!$B$55)*T1195+Summary!$B$55*V1195</f>
        <v/>
      </c>
      <c r="P1195">
        <f>IF(B1229=0,0,O1195/B1229)</f>
        <v/>
      </c>
      <c r="Q1195">
        <f>IFERROR(1/IF(Inputs!$B$39="pvp",15,MAX(0.1,Skills!D11-IF(Skills!E11=TRUE,(Inputs!$B$32+1),0))),0)</f>
        <v/>
      </c>
      <c r="R1195">
        <f>IF(AND(Inputs!$B$39&lt;&gt;"pvp",Inputs!$B$44&gt;0),IF(MAX(0,Inputs!$B$44-B1228)&lt;=0,0,(INT(MAX(0,Inputs!$B$44-B1228)/IF(Inputs!$B$39="pvp",15,MAX(0.1,Skills!D11-IF(Skills!E11=TRUE,(Inputs!$B$32+1),0))))+1)),0)</f>
        <v/>
      </c>
      <c r="S1195">
        <f>IFERROR(O1195/N1195,0)</f>
        <v/>
      </c>
      <c r="T1195">
        <f>IF(C1195,(H1195*N1195*IF(AND(Inputs!$B$39&lt;&gt;"pvp",Inputs!$B$44&gt;0),((Skills!G11*((R1195-1)*IF(Skills!H11&gt;0,Skills!I11/Skills!H11,1)+IF(Skills!H11&gt;0,MIN(Skills!I11,MAX(0,MAX(0,Inputs!$B$44-B1228)-((R1195-1)*IF(Inputs!$B$39="pvp",15,MAX(0.1,Skills!D11-IF(Skills!E11=TRUE,(Inputs!$B$32+1),0))))))/Skills!H11,1)))/Inputs!$B$44),G1195*Q1195))*IF(Inputs!$B$39="pvp",1,1+(Inputs!$B$20+0+Skills!P11+B1218)/100),0)</f>
        <v/>
      </c>
      <c r="V1195">
        <f>IF(C1195,(H1195*N1195*IF(AND(Inputs!$B$39&lt;&gt;"pvp",Inputs!$B$44&gt;0),((Skills!G11*((R1195-1)*IF(Skills!H11&gt;0,Skills!I11/Skills!H11,1)+IF(Skills!H11&gt;0,MIN(Skills!I11,MAX(0,MAX(0,Inputs!$B$44-B1228)-((R1195-1)*IF(Inputs!$B$39="pvp",15,MAX(0.1,Skills!D11-IF(Skills!E11=TRUE,(Inputs!$B$32+1),0))))))/Skills!H11,1)))/Inputs!$B$44),G1195*Q1195))*IF(Inputs!$B$39="pvp",1,(1+(Inputs!$B$21+Skills!Q11+B1218)/100)*(MIN(Skills!W11,Inputs!$B$37))),0)</f>
        <v/>
      </c>
    </row>
    <row r="1196">
      <c r="A1196">
        <f>Skills!A12</f>
        <v/>
      </c>
      <c r="B1196">
        <f>Skills!B12</f>
        <v/>
      </c>
      <c r="C1196">
        <f>Inputs!$B$3&gt;=105</f>
        <v/>
      </c>
      <c r="D1196">
        <f>IF(Skills!C12=1,60+Inputs!$B$25+Inputs!$B$29,IF(Skills!C12=2,90+Inputs!$B$26+Inputs!$B$29,IF(Skills!C12=3,120+Inputs!$B$27+Inputs!$B$29,MAX(0,(Inputs!$B$3-100)*3)+Inputs!$B$28+Inputs!$B$29)))</f>
        <v/>
      </c>
      <c r="E1196">
        <f>INDEX(FactorTable!$B$2:$Y$301, MATCH(ROUND(MIN(300,MAX(1,D1196)),0), FactorTable!$A$2:$A$301,0), Skills!M12+1)</f>
        <v/>
      </c>
      <c r="F1196">
        <f>IF(Skills!N12=TRUE,(Skills!L12/10)*(E1196/1000),Skills!L12/10)+Skills!O12</f>
        <v/>
      </c>
      <c r="G1196">
        <f>Skills!G12*IF(Skills!H12&gt;0,Skills!I12/Skills!H12,1)</f>
        <v/>
      </c>
      <c r="H1196">
        <f>1-(1-Skills!J12/100)^Skills!K12</f>
        <v/>
      </c>
      <c r="I1196" t="inlineStr">
        <is>
          <t>1</t>
        </is>
      </c>
      <c r="J1196">
        <f>((Inputs!$B$6*(1+Inputs!$B$7/100))+(((Inputs!$B$12*(1+Inputs!$B$13/100))-(Inputs!$B$12*(1+Inputs!$B$13/100)))+0.25*(Inputs!$B$14-Inputs!$B$14))*(1+Inputs!$B$7/100))*(F1196/100)</f>
        <v/>
      </c>
      <c r="K1196">
        <f>J1196*(1+((Inputs!$B$12*(1+Inputs!$B$13/100))*0.01+Inputs!$B$14*0.0025)/100)*(1+Inputs!$B$15/100)*(1+Inputs!$B$16/100)*(5000/(6000+Inputs!$B$43*(1-Inputs!$B$19/100)))*(1+(Inputs!$B$24+((C1214=TRUE)*(F1214-Calc!F30)))/100)*(1+(IF(Skills!A12="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1196)</f>
        <v/>
      </c>
      <c r="L1196">
        <f>K1196*(MIN(Inputs!$B$22+((C1208=TRUE)*(F1208-Calc!F24)),Inputs!$B$23+((C1213=TRUE)*(F1213-Calc!F29)))/100+(Inputs!$B$23+((C1213=TRUE)*(F1213-Calc!F29)))/100)/2</f>
        <v/>
      </c>
      <c r="M1196">
        <f>L1196*(1+(Inputs!$B$10+((C1210=TRUE)*(F1210-Calc!F26))+B1224)/100)</f>
        <v/>
      </c>
      <c r="N1196">
        <f>L1196*(1-MIN((Inputs!$B$9+((C1209=TRUE)*(F1209-Calc!F25))+B1217),100)/100)+M1196*(MIN((Inputs!$B$9+((C1209=TRUE)*(F1209-Calc!F25))+B1217),100)/100)</f>
        <v/>
      </c>
      <c r="O1196">
        <f>(1-Summary!$B$55)*T1196+Summary!$B$55*V1196</f>
        <v/>
      </c>
      <c r="P1196">
        <f>IF(B1229=0,0,O1196/B1229)</f>
        <v/>
      </c>
      <c r="Q1196">
        <f>IFERROR(1/IF(Inputs!$B$39="pvp",15,MAX(0.1,Skills!D12-IF(Skills!E12=TRUE,(Inputs!$B$32+1),0))),0)</f>
        <v/>
      </c>
      <c r="R1196">
        <f>IF(AND(Inputs!$B$39&lt;&gt;"pvp",Inputs!$B$44&gt;0),IF(MAX(0,Inputs!$B$44-B1228)&lt;=0,0,(INT(MAX(0,Inputs!$B$44-B1228)/IF(Inputs!$B$39="pvp",15,MAX(0.1,Skills!D12-IF(Skills!E12=TRUE,(Inputs!$B$32+1),0))))+1)),0)</f>
        <v/>
      </c>
      <c r="S1196">
        <f>IFERROR(O1196/N1196,0)</f>
        <v/>
      </c>
      <c r="T1196">
        <f>IF(C1196,(H1196*N1196*IF(AND(Inputs!$B$39&lt;&gt;"pvp",Inputs!$B$44&gt;0),((Skills!G12*((R1196-1)*IF(Skills!H12&gt;0,Skills!I12/Skills!H12,1)+IF(Skills!H12&gt;0,MIN(Skills!I12,MAX(0,MAX(0,Inputs!$B$44-B1228)-((R1196-1)*IF(Inputs!$B$39="pvp",15,MAX(0.1,Skills!D12-IF(Skills!E12=TRUE,(Inputs!$B$32+1),0))))))/Skills!H12,1)))/Inputs!$B$44),G1196*Q1196))*IF(Inputs!$B$39="pvp",1,1+(Inputs!$B$20+0+Skills!P12+B1218)/100),0)</f>
        <v/>
      </c>
      <c r="V1196">
        <f>IF(C1196,(H1196*N1196*IF(AND(Inputs!$B$39&lt;&gt;"pvp",Inputs!$B$44&gt;0),((Skills!G12*((R1196-1)*IF(Skills!H12&gt;0,Skills!I12/Skills!H12,1)+IF(Skills!H12&gt;0,MIN(Skills!I12,MAX(0,MAX(0,Inputs!$B$44-B1228)-((R1196-1)*IF(Inputs!$B$39="pvp",15,MAX(0.1,Skills!D12-IF(Skills!E12=TRUE,(Inputs!$B$32+1),0))))))/Skills!H12,1)))/Inputs!$B$44),G1196*Q1196))*IF(Inputs!$B$39="pvp",1,(1+(Inputs!$B$21+Skills!Q12+B1218)/100)*(MIN(Skills!W12,Inputs!$B$37))),0)</f>
        <v/>
      </c>
    </row>
    <row r="1197">
      <c r="A1197">
        <f>Skills!A13</f>
        <v/>
      </c>
      <c r="B1197">
        <f>Skills!B13</f>
        <v/>
      </c>
      <c r="C1197">
        <f>Inputs!$B$3&gt;=105</f>
        <v/>
      </c>
      <c r="D1197">
        <f>IF(Skills!C13=1,60+Inputs!$B$25+Inputs!$B$29,IF(Skills!C13=2,90+Inputs!$B$26+Inputs!$B$29,IF(Skills!C13=3,120+Inputs!$B$27+Inputs!$B$29,MAX(0,(Inputs!$B$3-100)*3)+Inputs!$B$28+Inputs!$B$29)))</f>
        <v/>
      </c>
      <c r="E1197">
        <f>INDEX(FactorTable!$B$2:$Y$301, MATCH(ROUND(MIN(300,MAX(1,D1197)),0), FactorTable!$A$2:$A$301,0), Skills!M13+1)</f>
        <v/>
      </c>
      <c r="F1197">
        <f>IF(Skills!N13=TRUE,(Skills!L13/10)*(E1197/1000),Skills!L13/10)+Skills!O13</f>
        <v/>
      </c>
      <c r="G1197">
        <f>Skills!G13*IF(Skills!H13&gt;0,Skills!I13/Skills!H13,1)</f>
        <v/>
      </c>
      <c r="H1197">
        <f>1-(1-Skills!J13/100)^Skills!K13</f>
        <v/>
      </c>
      <c r="I1197" t="inlineStr">
        <is>
          <t>1</t>
        </is>
      </c>
      <c r="J1197">
        <f>((Inputs!$B$6*(1+Inputs!$B$7/100))+(((Inputs!$B$12*(1+Inputs!$B$13/100))-(Inputs!$B$12*(1+Inputs!$B$13/100)))+0.25*(Inputs!$B$14-Inputs!$B$14))*(1+Inputs!$B$7/100))*(F1197/100)</f>
        <v/>
      </c>
      <c r="K1197">
        <f>J1197*(1+((Inputs!$B$12*(1+Inputs!$B$13/100))*0.01+Inputs!$B$14*0.0025)/100)*(1+Inputs!$B$15/100)*(1+Inputs!$B$16/100)*(5000/(6000+Inputs!$B$43*(1-Inputs!$B$19/100)))*(1+(Inputs!$B$24+((C1214=TRUE)*(F1214-Calc!F30)))/100)*(1+(IF(Skills!A13="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1197)</f>
        <v/>
      </c>
      <c r="L1197">
        <f>K1197*(MIN(Inputs!$B$22+((C1208=TRUE)*(F1208-Calc!F24)),Inputs!$B$23+((C1213=TRUE)*(F1213-Calc!F29)))/100+(Inputs!$B$23+((C1213=TRUE)*(F1213-Calc!F29)))/100)/2</f>
        <v/>
      </c>
      <c r="M1197">
        <f>L1197*(1+(Inputs!$B$10+((C1210=TRUE)*(F1210-Calc!F26))+B1224)/100)</f>
        <v/>
      </c>
      <c r="N1197">
        <f>L1197*(1-MIN((Inputs!$B$9+((C1209=TRUE)*(F1209-Calc!F25))+B1217),100)/100)+M1197*(MIN((Inputs!$B$9+((C1209=TRUE)*(F1209-Calc!F25))+B1217),100)/100)</f>
        <v/>
      </c>
      <c r="O1197">
        <f>(1-Summary!$B$55)*T1197+Summary!$B$55*V1197</f>
        <v/>
      </c>
      <c r="P1197">
        <f>IF(B1229=0,0,O1197/B1229)</f>
        <v/>
      </c>
      <c r="Q1197">
        <f>IFERROR(1/IF(Inputs!$B$39="pvp",15,MAX(0.1,Skills!D13-IF(Skills!E13=TRUE,(Inputs!$B$32+1),0))),0)</f>
        <v/>
      </c>
      <c r="R1197">
        <f>IF(AND(Inputs!$B$39&lt;&gt;"pvp",Inputs!$B$44&gt;0),IF(MAX(0,Inputs!$B$44-B1228)&lt;=0,0,(INT(MAX(0,Inputs!$B$44-B1228)/IF(Inputs!$B$39="pvp",15,MAX(0.1,Skills!D13-IF(Skills!E13=TRUE,(Inputs!$B$32+1),0))))+1)),0)</f>
        <v/>
      </c>
      <c r="S1197">
        <f>IFERROR(O1197/N1197,0)</f>
        <v/>
      </c>
      <c r="T1197">
        <f>IF(C1197,(H1197*N1197*IF(AND(Inputs!$B$39&lt;&gt;"pvp",Inputs!$B$44&gt;0),((Skills!G13*((R1197-1)*IF(Skills!H13&gt;0,Skills!I13/Skills!H13,1)+IF(Skills!H13&gt;0,MIN(Skills!I13,MAX(0,MAX(0,Inputs!$B$44-B1228)-((R1197-1)*IF(Inputs!$B$39="pvp",15,MAX(0.1,Skills!D13-IF(Skills!E13=TRUE,(Inputs!$B$32+1),0))))))/Skills!H13,1)))/Inputs!$B$44),G1197*Q1197))*IF(Inputs!$B$39="pvp",1,1+(Inputs!$B$20+0+Skills!P13+B1218)/100),0)</f>
        <v/>
      </c>
      <c r="V1197">
        <f>IF(C1197,(H1197*N1197*IF(AND(Inputs!$B$39&lt;&gt;"pvp",Inputs!$B$44&gt;0),((Skills!G13*((R1197-1)*IF(Skills!H13&gt;0,Skills!I13/Skills!H13,1)+IF(Skills!H13&gt;0,MIN(Skills!I13,MAX(0,MAX(0,Inputs!$B$44-B1228)-((R1197-1)*IF(Inputs!$B$39="pvp",15,MAX(0.1,Skills!D13-IF(Skills!E13=TRUE,(Inputs!$B$32+1),0))))))/Skills!H13,1)))/Inputs!$B$44),G1197*Q1197))*IF(Inputs!$B$39="pvp",1,(1+(Inputs!$B$21+Skills!Q13+B1218)/100)*(MIN(Skills!W13,Inputs!$B$37))),0)</f>
        <v/>
      </c>
    </row>
    <row r="1198">
      <c r="A1198">
        <f>Skills!A14</f>
        <v/>
      </c>
      <c r="B1198">
        <f>Skills!B14</f>
        <v/>
      </c>
      <c r="C1198">
        <f>Inputs!$B$3&gt;=107</f>
        <v/>
      </c>
      <c r="D1198">
        <f>IF(Skills!C14=1,60+Inputs!$B$25+Inputs!$B$29,IF(Skills!C14=2,90+Inputs!$B$26+Inputs!$B$29,IF(Skills!C14=3,120+Inputs!$B$27+Inputs!$B$29,MAX(0,(Inputs!$B$3-100)*3)+Inputs!$B$28+Inputs!$B$29)))</f>
        <v/>
      </c>
      <c r="E1198">
        <f>INDEX(FactorTable!$B$2:$Y$301, MATCH(ROUND(MIN(300,MAX(1,D1198)),0), FactorTable!$A$2:$A$301,0), Skills!M14+1)</f>
        <v/>
      </c>
      <c r="F1198">
        <f>IF(Skills!N14=TRUE,(Skills!L14/10)*(E1198/1000),Skills!L14/10)+Skills!O14</f>
        <v/>
      </c>
      <c r="G1198">
        <f>Skills!G14*IF(Skills!H14&gt;0,Skills!I14/Skills!H14,1)</f>
        <v/>
      </c>
      <c r="H1198">
        <f>1-(1-Skills!J14/100)^Skills!K14</f>
        <v/>
      </c>
      <c r="I1198" t="inlineStr">
        <is>
          <t>1</t>
        </is>
      </c>
      <c r="J1198">
        <f>((Inputs!$B$6*(1+Inputs!$B$7/100))+(((Inputs!$B$12*(1+Inputs!$B$13/100))-(Inputs!$B$12*(1+Inputs!$B$13/100)))+0.25*(Inputs!$B$14-Inputs!$B$14))*(1+Inputs!$B$7/100))*(F1198/100)</f>
        <v/>
      </c>
      <c r="K1198">
        <f>J1198*(1+((Inputs!$B$12*(1+Inputs!$B$13/100))*0.01+Inputs!$B$14*0.0025)/100)*(1+Inputs!$B$15/100)*(1+Inputs!$B$16/100)*(5000/(6000+Inputs!$B$43*(1-Inputs!$B$19/100)))*(1+(Inputs!$B$24+((C1214=TRUE)*(F1214-Calc!F30)))/100)*(1+(IF(Skills!A14="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1198)</f>
        <v/>
      </c>
      <c r="L1198">
        <f>K1198*(MIN(Inputs!$B$22+((C1208=TRUE)*(F1208-Calc!F24)),Inputs!$B$23+((C1213=TRUE)*(F1213-Calc!F29)))/100+(Inputs!$B$23+((C1213=TRUE)*(F1213-Calc!F29)))/100)/2</f>
        <v/>
      </c>
      <c r="M1198">
        <f>L1198*(1+(Inputs!$B$10+((C1210=TRUE)*(F1210-Calc!F26))+B1224)/100)</f>
        <v/>
      </c>
      <c r="N1198">
        <f>L1198*(1-MIN((Inputs!$B$9+((C1209=TRUE)*(F1209-Calc!F25))+B1217),100)/100)+M1198*(MIN((Inputs!$B$9+((C1209=TRUE)*(F1209-Calc!F25))+B1217),100)/100)</f>
        <v/>
      </c>
      <c r="O1198">
        <f>(1-Summary!$B$55)*T1198+Summary!$B$55*V1198</f>
        <v/>
      </c>
      <c r="P1198">
        <f>IF(B1229=0,0,O1198/B1229)</f>
        <v/>
      </c>
      <c r="Q1198">
        <f>IFERROR(1/IF(Inputs!$B$39="pvp",15,MAX(0.1,Skills!D14-IF(Skills!E14=TRUE,(Inputs!$B$32+1),0))),0)</f>
        <v/>
      </c>
      <c r="R1198">
        <f>IF(AND(Inputs!$B$39&lt;&gt;"pvp",Inputs!$B$44&gt;0),IF(MAX(0,Inputs!$B$44-B1228)&lt;=0,0,(INT(MAX(0,Inputs!$B$44-B1228)/IF(Inputs!$B$39="pvp",15,MAX(0.1,Skills!D14-IF(Skills!E14=TRUE,(Inputs!$B$32+1),0))))+1)),0)</f>
        <v/>
      </c>
      <c r="S1198">
        <f>IFERROR(O1198/N1198,0)</f>
        <v/>
      </c>
      <c r="T1198">
        <f>IF(C1198,(H1198*N1198*IF(AND(Inputs!$B$39&lt;&gt;"pvp",Inputs!$B$44&gt;0),((Skills!G14*((R1198-1)*IF(Skills!H14&gt;0,Skills!I14/Skills!H14,1)+IF(Skills!H14&gt;0,MIN(Skills!I14,MAX(0,MAX(0,Inputs!$B$44-B1228)-((R1198-1)*IF(Inputs!$B$39="pvp",15,MAX(0.1,Skills!D14-IF(Skills!E14=TRUE,(Inputs!$B$32+1),0))))))/Skills!H14,1)))/Inputs!$B$44),G1198*Q1198))*IF(Inputs!$B$39="pvp",1,1+(Inputs!$B$20+0+Skills!P14+B1218)/100),0)</f>
        <v/>
      </c>
      <c r="V1198">
        <f>IF(C1198,(H1198*N1198*IF(AND(Inputs!$B$39&lt;&gt;"pvp",Inputs!$B$44&gt;0),((Skills!G14*((R1198-1)*IF(Skills!H14&gt;0,Skills!I14/Skills!H14,1)+IF(Skills!H14&gt;0,MIN(Skills!I14,MAX(0,MAX(0,Inputs!$B$44-B1228)-((R1198-1)*IF(Inputs!$B$39="pvp",15,MAX(0.1,Skills!D14-IF(Skills!E14=TRUE,(Inputs!$B$32+1),0))))))/Skills!H14,1)))/Inputs!$B$44),G1198*Q1198))*IF(Inputs!$B$39="pvp",1,(1+(Inputs!$B$21+Skills!Q14+B1218)/100)*(MIN(MIN(5,0.25*B1221*Skills!D4)*Skills!V14,Inputs!$B$37))),0)</f>
        <v/>
      </c>
    </row>
    <row r="1199">
      <c r="A1199">
        <f>Skills!A15</f>
        <v/>
      </c>
      <c r="B1199">
        <f>Skills!B15</f>
        <v/>
      </c>
      <c r="C1199">
        <f>Inputs!$B$3&gt;=110</f>
        <v/>
      </c>
      <c r="D1199">
        <f>IF(Skills!C15=1,60+Inputs!$B$25+Inputs!$B$29,IF(Skills!C15=2,90+Inputs!$B$26+Inputs!$B$29,IF(Skills!C15=3,120+Inputs!$B$27+Inputs!$B$29,MAX(0,(Inputs!$B$3-100)*3)+Inputs!$B$28+Inputs!$B$29)))</f>
        <v/>
      </c>
      <c r="E1199">
        <f>INDEX(FactorTable!$B$2:$Y$301, MATCH(ROUND(MIN(300,MAX(1,D1199)),0), FactorTable!$A$2:$A$301,0), Skills!M15+1)</f>
        <v/>
      </c>
      <c r="F1199">
        <f>IF(Skills!N15=TRUE,(Skills!L15/10)*(E1199/1000),Skills!L15/10)+Skills!O15</f>
        <v/>
      </c>
      <c r="G1199">
        <f>Skills!G15*IF(Skills!H15&gt;0,Skills!I15/Skills!H15,1)</f>
        <v/>
      </c>
      <c r="H1199">
        <f>1-(1-Skills!J15/100)^Skills!K15</f>
        <v/>
      </c>
      <c r="I1199" t="inlineStr">
        <is>
          <t>1</t>
        </is>
      </c>
      <c r="J1199" t="inlineStr"/>
      <c r="K1199" t="inlineStr"/>
      <c r="L1199" t="inlineStr"/>
      <c r="M1199" t="inlineStr"/>
      <c r="N1199" t="inlineStr"/>
      <c r="O1199">
        <f>(1-Summary!$B$55)*T1199+Summary!$B$55*V1199</f>
        <v/>
      </c>
      <c r="P1199">
        <f>IF(B1229=0,0,O1199/B1229)</f>
        <v/>
      </c>
      <c r="Q1199">
        <f>IFERROR(1/IF(Inputs!$B$39="pvp",15,MAX(0.1,Skills!D15-IF(Skills!E15=TRUE,(Inputs!$B$32+1),0))),0)</f>
        <v/>
      </c>
      <c r="R1199">
        <f>IF(AND(Inputs!$B$39&lt;&gt;"pvp",Inputs!$B$44&gt;0),IF(Inputs!$B$44&lt;=0,0,(INT(Inputs!$B$44/IF(Inputs!$B$39="pvp",15,MAX(0.1,Skills!D15-IF(Skills!E15=TRUE,(Inputs!$B$32+1),0))))+1)),0)</f>
        <v/>
      </c>
      <c r="S1199">
        <f>IFERROR(O1199/N1199,0)</f>
        <v/>
      </c>
      <c r="T1199" t="n">
        <v>0</v>
      </c>
      <c r="V1199" t="n">
        <v>0</v>
      </c>
    </row>
    <row r="1200">
      <c r="A1200">
        <f>Skills!A16</f>
        <v/>
      </c>
      <c r="B1200">
        <f>Skills!B16</f>
        <v/>
      </c>
      <c r="C1200">
        <f>Inputs!$B$3&gt;=115</f>
        <v/>
      </c>
      <c r="D1200">
        <f>IF(Skills!C16=1,60+Inputs!$B$25+Inputs!$B$29,IF(Skills!C16=2,90+Inputs!$B$26+Inputs!$B$29,IF(Skills!C16=3,120+Inputs!$B$27+Inputs!$B$29,MAX(0,(Inputs!$B$3-100)*3)+Inputs!$B$28+Inputs!$B$29)))</f>
        <v/>
      </c>
      <c r="E1200">
        <f>INDEX(FactorTable!$B$2:$Y$301, MATCH(ROUND(MIN(300,MAX(1,D1200)),0), FactorTable!$A$2:$A$301,0), Skills!M16+1)</f>
        <v/>
      </c>
      <c r="F1200">
        <f>IF(Skills!N16=TRUE,(Skills!L16/10)*(E1200/1000),Skills!L16/10)+Skills!O16</f>
        <v/>
      </c>
      <c r="G1200">
        <f>Skills!G16*IF(Skills!H16&gt;0,Skills!I16/Skills!H16,1)</f>
        <v/>
      </c>
      <c r="H1200">
        <f>1-(1-Skills!J16/100)^Skills!K16</f>
        <v/>
      </c>
      <c r="I1200" t="inlineStr">
        <is>
          <t>1</t>
        </is>
      </c>
      <c r="J1200">
        <f>((Inputs!$B$6*(1+Inputs!$B$7/100))+(((Inputs!$B$12*(1+Inputs!$B$13/100))-(Inputs!$B$12*(1+Inputs!$B$13/100)))+0.25*(Inputs!$B$14-Inputs!$B$14))*(1+Inputs!$B$7/100))*(F1200/100)</f>
        <v/>
      </c>
      <c r="K1200">
        <f>J1200*(1+((Inputs!$B$12*(1+Inputs!$B$13/100))*0.01+Inputs!$B$14*0.0025)/100)*(1+Inputs!$B$15/100)*(1+Inputs!$B$16/100)*(5000/(6000+Inputs!$B$43*(1-Inputs!$B$19/100)))*(1+(Inputs!$B$24+((C1214=TRUE)*(F1214-Calc!F30)))/100)*(1+(IF(Skills!A16="CRUEL_STAB",Inputs!$B$17+((C1211=TRUE)*(F1211-Calc!F27)),Inputs!$B$18+((C1212=TRUE)*(F1212-Calc!F28))))/100)*(((1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B1219*I1200)</f>
        <v/>
      </c>
      <c r="L1200">
        <f>K1200*(MIN(Inputs!$B$22+((C1208=TRUE)*(F1208-Calc!F24)),Inputs!$B$23+((C1213=TRUE)*(F1213-Calc!F29)))/100+(Inputs!$B$23+((C1213=TRUE)*(F1213-Calc!F29)))/100)/2</f>
        <v/>
      </c>
      <c r="M1200">
        <f>L1200*(1+(Inputs!$B$10+((C1210=TRUE)*(F1210-Calc!F26))+B1224)/100)</f>
        <v/>
      </c>
      <c r="N1200">
        <f>L1200*(1-MIN((Inputs!$B$9+((C1209=TRUE)*(F1209-Calc!F25))+B1217),100)/100)+M1200*(MIN((Inputs!$B$9+((C1209=TRUE)*(F1209-Calc!F25))+B1217),100)/100)</f>
        <v/>
      </c>
      <c r="O1200">
        <f>(1-Summary!$B$55)*T1200+Summary!$B$55*V1200</f>
        <v/>
      </c>
      <c r="P1200">
        <f>IF(B1229=0,0,O1200/B1229)</f>
        <v/>
      </c>
      <c r="Q1200" t="n">
        <v>0</v>
      </c>
      <c r="R1200" t="n">
        <v>0</v>
      </c>
      <c r="S1200">
        <f>IFERROR(O1200/N1200,0)</f>
        <v/>
      </c>
      <c r="T1200">
        <f>IF(C1200,(Inputs!$B$38*0.2*N1200)*IF(Inputs!$B$39="pvp",1,1+(Inputs!$B$20+0+Skills!P16+B1218)/100),0)</f>
        <v/>
      </c>
      <c r="V1200">
        <f>IF(C1200,(Inputs!$B$38*0.2*N1200)*IF(Inputs!$B$39="pvp",1,(1+(Inputs!$B$21+Skills!Q16+B1218)/100)*(MIN(Skills!W16,Inputs!$B$37))),0)</f>
        <v/>
      </c>
    </row>
    <row r="1201">
      <c r="A1201">
        <f>Skills!A17</f>
        <v/>
      </c>
      <c r="B1201">
        <f>Skills!B17</f>
        <v/>
      </c>
      <c r="C1201">
        <f>Inputs!$B$3&gt;=115</f>
        <v/>
      </c>
      <c r="D1201">
        <f>IF(Skills!C17=1,60+Inputs!$B$25+Inputs!$B$29,IF(Skills!C17=2,90+Inputs!$B$26+Inputs!$B$29,IF(Skills!C17=3,120+Inputs!$B$27+Inputs!$B$29,MAX(0,(Inputs!$B$3-100)*3)+Inputs!$B$28+Inputs!$B$29)))</f>
        <v/>
      </c>
      <c r="E1201">
        <f>INDEX(FactorTable!$B$2:$Y$301, MATCH(ROUND(MIN(300,MAX(1,D1201)),0), FactorTable!$A$2:$A$301,0), Skills!M17+1)</f>
        <v/>
      </c>
      <c r="F1201">
        <f>IF(Skills!N17=TRUE,(Skills!L17/10)*(E1201/1000),Skills!L17/10)+Skills!O17</f>
        <v/>
      </c>
      <c r="G1201">
        <f>Skills!G17*IF(Skills!H17&gt;0,Skills!I17/Skills!H17,1)</f>
        <v/>
      </c>
      <c r="H1201">
        <f>1-(1-Skills!J17/100)^Skills!K17</f>
        <v/>
      </c>
      <c r="I1201" t="inlineStr">
        <is>
          <t>1</t>
        </is>
      </c>
      <c r="J1201" t="inlineStr"/>
      <c r="K1201" t="inlineStr"/>
      <c r="L1201" t="inlineStr"/>
      <c r="M1201" t="inlineStr"/>
      <c r="N1201" t="inlineStr"/>
      <c r="O1201">
        <f>(1-Summary!$B$55)*T1201+Summary!$B$55*V1201</f>
        <v/>
      </c>
      <c r="P1201">
        <f>IF(B1229=0,0,O1201/B1229)</f>
        <v/>
      </c>
      <c r="Q1201" t="n">
        <v>0</v>
      </c>
      <c r="R1201" t="n">
        <v>0</v>
      </c>
      <c r="S1201">
        <f>IFERROR(O1201/N1201,0)</f>
        <v/>
      </c>
      <c r="T1201" t="n">
        <v>0</v>
      </c>
      <c r="V1201" t="n">
        <v>0</v>
      </c>
    </row>
    <row r="1202">
      <c r="A1202">
        <f>Skills!A18</f>
        <v/>
      </c>
      <c r="B1202">
        <f>Skills!B18</f>
        <v/>
      </c>
      <c r="C1202">
        <f>Inputs!$B$3&gt;=100</f>
        <v/>
      </c>
      <c r="D1202">
        <f>IF(Skills!C18=1,60+Inputs!$B$25+Inputs!$B$29,IF(Skills!C18=2,90+Inputs!$B$26+Inputs!$B$29,IF(Skills!C18=3,120+Inputs!$B$27+Inputs!$B$29,MAX(0,(Inputs!$B$3-100)*3)+Inputs!$B$28+Inputs!$B$29)))</f>
        <v/>
      </c>
      <c r="E1202">
        <f>INDEX(FactorTable!$B$2:$Y$301, MATCH(ROUND(MIN(300,MAX(1,D1202)),0), FactorTable!$A$2:$A$301,0), Skills!M18+1)</f>
        <v/>
      </c>
      <c r="F1202">
        <f>IF(Skills!N18=TRUE,(Skills!L18/10)*(E1202/1000),Skills!L18/10)+Skills!O18</f>
        <v/>
      </c>
      <c r="G1202">
        <f>Skills!G18*IF(Skills!H18&gt;0,Skills!I18/Skills!H18,1)</f>
        <v/>
      </c>
      <c r="H1202">
        <f>1-(1-Skills!J18/100)^Skills!K18</f>
        <v/>
      </c>
      <c r="I1202" t="inlineStr">
        <is>
          <t>1</t>
        </is>
      </c>
      <c r="J1202" t="inlineStr"/>
      <c r="K1202" t="inlineStr"/>
      <c r="L1202" t="inlineStr"/>
      <c r="M1202" t="inlineStr"/>
      <c r="N1202" t="inlineStr"/>
      <c r="O1202">
        <f>(1-Summary!$B$55)*T1202+Summary!$B$55*V1202</f>
        <v/>
      </c>
      <c r="P1202">
        <f>IF(B1229=0,0,O1202/B1229)</f>
        <v/>
      </c>
      <c r="Q1202" t="n">
        <v>0</v>
      </c>
      <c r="R1202" t="n">
        <v>0</v>
      </c>
      <c r="S1202">
        <f>IFERROR(O1202/N1202,0)</f>
        <v/>
      </c>
      <c r="T1202" t="n">
        <v>0</v>
      </c>
      <c r="V1202" t="n">
        <v>0</v>
      </c>
    </row>
    <row r="1203">
      <c r="A1203">
        <f>Skills!A19</f>
        <v/>
      </c>
      <c r="B1203">
        <f>Skills!B19</f>
        <v/>
      </c>
      <c r="C1203">
        <f>TRUE</f>
        <v/>
      </c>
      <c r="D1203">
        <f>IF(Skills!C19=1,60+Inputs!$B$25+Inputs!$B$29,IF(Skills!C19=2,90+Inputs!$B$26+Inputs!$B$29,IF(Skills!C19=3,120+Inputs!$B$27+Inputs!$B$29,MAX(0,(Inputs!$B$3-100)*3)+Inputs!$B$28+Inputs!$B$29)))</f>
        <v/>
      </c>
      <c r="E1203">
        <f>INDEX(FactorTable!$B$2:$Y$301, MATCH(ROUND(MIN(300,MAX(1,D1203)),0), FactorTable!$A$2:$A$301,0), Skills!M19+1)</f>
        <v/>
      </c>
      <c r="F1203">
        <f>IF(Skills!N19=TRUE,(Skills!L19/10)*(E1203/1000),Skills!L19/10)+Skills!O19</f>
        <v/>
      </c>
      <c r="G1203">
        <f>Skills!G19*IF(Skills!H19&gt;0,Skills!I19/Skills!H19,1)</f>
        <v/>
      </c>
      <c r="H1203">
        <f>1-(1-Skills!J19/100)^Skills!K19</f>
        <v/>
      </c>
      <c r="I1203" t="inlineStr">
        <is>
          <t>1</t>
        </is>
      </c>
      <c r="J1203" t="inlineStr"/>
      <c r="K1203" t="inlineStr"/>
      <c r="L1203" t="inlineStr"/>
      <c r="M1203" t="inlineStr"/>
      <c r="N1203" t="inlineStr"/>
      <c r="O1203">
        <f>(1-Summary!$B$55)*T1203+Summary!$B$55*V1203</f>
        <v/>
      </c>
      <c r="P1203">
        <f>IF(B1229=0,0,O1203/B1229)</f>
        <v/>
      </c>
      <c r="Q1203">
        <f>IFERROR(1/IF(Inputs!$B$39="pvp",15,MAX(0.1,Skills!D19-IF(Skills!E19=TRUE,(Inputs!$B$32+1),0))),0)</f>
        <v/>
      </c>
      <c r="R1203">
        <f>IF(AND(Inputs!$B$39&lt;&gt;"pvp",Inputs!$B$44&gt;0),IF(Inputs!$B$44&lt;=0,0,(INT(Inputs!$B$44/IF(Inputs!$B$39="pvp",15,MAX(0.1,Skills!D19-IF(Skills!E19=TRUE,(Inputs!$B$32+1),0))))+1)),0)</f>
        <v/>
      </c>
      <c r="S1203">
        <f>IFERROR(O1203/N1203,0)</f>
        <v/>
      </c>
      <c r="T1203" t="n">
        <v>0</v>
      </c>
      <c r="V1203" t="n">
        <v>0</v>
      </c>
    </row>
    <row r="1204">
      <c r="A1204">
        <f>Skills!A20</f>
        <v/>
      </c>
      <c r="B1204">
        <f>Skills!B20</f>
        <v/>
      </c>
      <c r="C1204">
        <f>Inputs!$B$3&gt;=15</f>
        <v/>
      </c>
      <c r="D1204">
        <f>IF(Skills!C20=1,60+Inputs!$B$25+Inputs!$B$29,IF(Skills!C20=2,90+Inputs!$B$26+Inputs!$B$29,IF(Skills!C20=3,120+Inputs!$B$27+Inputs!$B$29,MAX(0,(Inputs!$B$3-100)*3)+Inputs!$B$28+Inputs!$B$29)))</f>
        <v/>
      </c>
      <c r="E1204">
        <f>INDEX(FactorTable!$B$2:$Y$301, MATCH(ROUND(MIN(300,MAX(1,D1204)),0), FactorTable!$A$2:$A$301,0), Skills!M20+1)</f>
        <v/>
      </c>
      <c r="F1204">
        <f>IF(Skills!N20=TRUE,(Skills!L20/10)*(E1204/1000),Skills!L20/10)+Skills!O20</f>
        <v/>
      </c>
      <c r="G1204">
        <f>Skills!G20*IF(Skills!H20&gt;0,Skills!I20/Skills!H20,1)</f>
        <v/>
      </c>
      <c r="H1204">
        <f>1-(1-Skills!J20/100)^Skills!K20</f>
        <v/>
      </c>
      <c r="I1204" t="inlineStr">
        <is>
          <t>1</t>
        </is>
      </c>
      <c r="J1204" t="inlineStr"/>
      <c r="K1204" t="inlineStr"/>
      <c r="L1204" t="inlineStr"/>
      <c r="M1204" t="inlineStr"/>
      <c r="N1204" t="inlineStr"/>
      <c r="O1204">
        <f>(1-Summary!$B$55)*T1204+Summary!$B$55*V1204</f>
        <v/>
      </c>
      <c r="P1204">
        <f>IF(B1229=0,0,O1204/B1229)</f>
        <v/>
      </c>
      <c r="Q1204">
        <f>IFERROR(1/IF(Inputs!$B$39="pvp",15,MAX(0.1,Skills!D20-IF(Skills!E20=TRUE,(Inputs!$B$32+1),0))),0)</f>
        <v/>
      </c>
      <c r="R1204">
        <f>IF(AND(Inputs!$B$39&lt;&gt;"pvp",Inputs!$B$44&gt;0),IF(Inputs!$B$44&lt;=0,0,(INT(Inputs!$B$44/IF(Inputs!$B$39="pvp",15,MAX(0.1,Skills!D20-IF(Skills!E20=TRUE,(Inputs!$B$32+1),0))))+1)),0)</f>
        <v/>
      </c>
      <c r="S1204">
        <f>IFERROR(O1204/N1204,0)</f>
        <v/>
      </c>
      <c r="T1204" t="n">
        <v>0</v>
      </c>
      <c r="V1204" t="n">
        <v>0</v>
      </c>
    </row>
    <row r="1205">
      <c r="A1205">
        <f>Skills!A21</f>
        <v/>
      </c>
      <c r="B1205">
        <f>Skills!B21</f>
        <v/>
      </c>
      <c r="C1205">
        <f>Inputs!$B$3&gt;=15</f>
        <v/>
      </c>
      <c r="D1205">
        <f>IF(Skills!C21=1,60+Inputs!$B$25+Inputs!$B$29,IF(Skills!C21=2,90+Inputs!$B$26+Inputs!$B$29,IF(Skills!C21=3,120+Inputs!$B$27+Inputs!$B$29,MAX(0,(Inputs!$B$3-100)*3)+Inputs!$B$28+Inputs!$B$29)))</f>
        <v/>
      </c>
      <c r="E1205">
        <f>INDEX(FactorTable!$B$2:$Y$301, MATCH(ROUND(MIN(300,MAX(1,D1205)),0), FactorTable!$A$2:$A$301,0), Skills!M21+1)</f>
        <v/>
      </c>
      <c r="F1205">
        <f>IF(Skills!N21=TRUE,(Skills!L21/10)*(E1205/1000),Skills!L21/10)+Skills!O21</f>
        <v/>
      </c>
      <c r="G1205">
        <f>Skills!G21*IF(Skills!H21&gt;0,Skills!I21/Skills!H21,1)</f>
        <v/>
      </c>
      <c r="H1205">
        <f>1-(1-Skills!J21/100)^Skills!K21</f>
        <v/>
      </c>
      <c r="I1205" t="inlineStr">
        <is>
          <t>1</t>
        </is>
      </c>
      <c r="J1205" t="inlineStr"/>
      <c r="K1205" t="inlineStr"/>
      <c r="L1205" t="inlineStr"/>
      <c r="M1205" t="inlineStr"/>
      <c r="N1205" t="inlineStr"/>
      <c r="O1205">
        <f>(1-Summary!$B$55)*T1205+Summary!$B$55*V1205</f>
        <v/>
      </c>
      <c r="P1205">
        <f>IF(B1229=0,0,O1205/B1229)</f>
        <v/>
      </c>
      <c r="Q1205">
        <f>IFERROR(1/IF(Inputs!$B$39="pvp",15,MAX(0.1,Skills!D21-IF(Skills!E21=TRUE,(Inputs!$B$32+1),0))),0)</f>
        <v/>
      </c>
      <c r="R1205">
        <f>IF(AND(Inputs!$B$39&lt;&gt;"pvp",Inputs!$B$44&gt;0),IF(Inputs!$B$44&lt;=0,0,(INT(Inputs!$B$44/IF(Inputs!$B$39="pvp",15,MAX(0.1,Skills!D21-IF(Skills!E21=TRUE,(Inputs!$B$32+1),0))))+1)),0)</f>
        <v/>
      </c>
      <c r="S1205">
        <f>IFERROR(O1205/N1205,0)</f>
        <v/>
      </c>
      <c r="T1205" t="n">
        <v>0</v>
      </c>
      <c r="V1205" t="n">
        <v>0</v>
      </c>
    </row>
    <row r="1206">
      <c r="A1206">
        <f>Skills!A22</f>
        <v/>
      </c>
      <c r="B1206">
        <f>Skills!B22</f>
        <v/>
      </c>
      <c r="C1206">
        <f>Inputs!$B$3&gt;=33</f>
        <v/>
      </c>
      <c r="D1206">
        <f>IF(Skills!C22=1,60+Inputs!$B$25+Inputs!$B$29,IF(Skills!C22=2,90+Inputs!$B$26+Inputs!$B$29,IF(Skills!C22=3,120+Inputs!$B$27+Inputs!$B$29,MAX(0,(Inputs!$B$3-100)*3)+Inputs!$B$28+Inputs!$B$29)))</f>
        <v/>
      </c>
      <c r="E1206">
        <f>INDEX(FactorTable!$B$2:$Y$301, MATCH(ROUND(MIN(300,MAX(1,D1206)),0), FactorTable!$A$2:$A$301,0), Skills!M22+1)</f>
        <v/>
      </c>
      <c r="F1206">
        <f>IF(Skills!N22=TRUE,(Skills!L22/10)*(E1206/1000),Skills!L22/10)+Skills!O22</f>
        <v/>
      </c>
      <c r="G1206">
        <f>Skills!G22*IF(Skills!H22&gt;0,Skills!I22/Skills!H22,1)</f>
        <v/>
      </c>
      <c r="H1206">
        <f>1-(1-Skills!J22/100)^Skills!K22</f>
        <v/>
      </c>
      <c r="I1206" t="inlineStr">
        <is>
          <t>1</t>
        </is>
      </c>
      <c r="J1206" t="inlineStr"/>
      <c r="K1206" t="inlineStr"/>
      <c r="L1206" t="inlineStr"/>
      <c r="M1206" t="inlineStr"/>
      <c r="N1206" t="inlineStr"/>
      <c r="O1206">
        <f>(1-Summary!$B$55)*T1206+Summary!$B$55*V1206</f>
        <v/>
      </c>
      <c r="P1206">
        <f>IF(B1229=0,0,O1206/B1229)</f>
        <v/>
      </c>
      <c r="Q1206" t="n">
        <v>0</v>
      </c>
      <c r="R1206" t="n">
        <v>0</v>
      </c>
      <c r="S1206">
        <f>IFERROR(O1206/N1206,0)</f>
        <v/>
      </c>
      <c r="T1206" t="n">
        <v>0</v>
      </c>
      <c r="V1206" t="n">
        <v>0</v>
      </c>
    </row>
    <row r="1207">
      <c r="A1207">
        <f>Skills!A23</f>
        <v/>
      </c>
      <c r="B1207">
        <f>Skills!B23</f>
        <v/>
      </c>
      <c r="C1207">
        <f>Inputs!$B$3&gt;=40</f>
        <v/>
      </c>
      <c r="D1207">
        <f>IF(Skills!C23=1,60+Inputs!$B$25+Inputs!$B$29,IF(Skills!C23=2,90+Inputs!$B$26+Inputs!$B$29,IF(Skills!C23=3,120+Inputs!$B$27+Inputs!$B$29,MAX(0,(Inputs!$B$3-100)*3)+Inputs!$B$28+Inputs!$B$29)))</f>
        <v/>
      </c>
      <c r="E1207">
        <f>INDEX(FactorTable!$B$2:$Y$301, MATCH(ROUND(MIN(300,MAX(1,D1207)),0), FactorTable!$A$2:$A$301,0), Skills!M23+1)</f>
        <v/>
      </c>
      <c r="F1207">
        <f>IF(Skills!N23=TRUE,(Skills!L23/10)*(E1207/1000),Skills!L23/10)+Skills!O23</f>
        <v/>
      </c>
      <c r="G1207">
        <f>Skills!G23*IF(Skills!H23&gt;0,Skills!I23/Skills!H23,1)</f>
        <v/>
      </c>
      <c r="H1207">
        <f>1-(1-Skills!J23/100)^Skills!K23</f>
        <v/>
      </c>
      <c r="I1207" t="inlineStr">
        <is>
          <t>1</t>
        </is>
      </c>
      <c r="J1207" t="inlineStr"/>
      <c r="K1207" t="inlineStr"/>
      <c r="L1207" t="inlineStr"/>
      <c r="M1207" t="inlineStr"/>
      <c r="N1207" t="inlineStr"/>
      <c r="O1207">
        <f>(1-Summary!$B$55)*T1207+Summary!$B$55*V1207</f>
        <v/>
      </c>
      <c r="P1207">
        <f>IF(B1229=0,0,O1207/B1229)</f>
        <v/>
      </c>
      <c r="Q1207" t="n">
        <v>0</v>
      </c>
      <c r="R1207" t="n">
        <v>0</v>
      </c>
      <c r="S1207">
        <f>IFERROR(O1207/N1207,0)</f>
        <v/>
      </c>
      <c r="T1207" t="n">
        <v>0</v>
      </c>
      <c r="V1207" t="n">
        <v>0</v>
      </c>
    </row>
    <row r="1208">
      <c r="A1208">
        <f>Skills!A24</f>
        <v/>
      </c>
      <c r="B1208">
        <f>Skills!B24</f>
        <v/>
      </c>
      <c r="C1208">
        <f>Inputs!$B$3&gt;=43</f>
        <v/>
      </c>
      <c r="D1208">
        <f>IF(Skills!C24=1,60+Inputs!$B$25+Inputs!$B$29,IF(Skills!C24=2,90+Inputs!$B$26+Inputs!$B$29,IF(Skills!C24=3,120+Inputs!$B$27+Inputs!$B$29,MAX(0,(Inputs!$B$3-100)*3)+Inputs!$B$28+Inputs!$B$29)))</f>
        <v/>
      </c>
      <c r="E1208">
        <f>INDEX(FactorTable!$B$2:$Y$301, MATCH(ROUND(MIN(300,MAX(1,D1208)),0), FactorTable!$A$2:$A$301,0), Skills!M24+1)</f>
        <v/>
      </c>
      <c r="F1208">
        <f>IF(Skills!N24=TRUE,(Skills!L24/10)*(E1208/1000),Skills!L24/10)+Skills!O24</f>
        <v/>
      </c>
      <c r="G1208">
        <f>Skills!G24*IF(Skills!H24&gt;0,Skills!I24/Skills!H24,1)</f>
        <v/>
      </c>
      <c r="H1208">
        <f>1-(1-Skills!J24/100)^Skills!K24</f>
        <v/>
      </c>
      <c r="I1208" t="inlineStr">
        <is>
          <t>1</t>
        </is>
      </c>
      <c r="J1208" t="inlineStr"/>
      <c r="K1208" t="inlineStr"/>
      <c r="L1208" t="inlineStr"/>
      <c r="M1208" t="inlineStr"/>
      <c r="N1208" t="inlineStr"/>
      <c r="O1208">
        <f>(1-Summary!$B$55)*T1208+Summary!$B$55*V1208</f>
        <v/>
      </c>
      <c r="P1208">
        <f>IF(B1229=0,0,O1208/B1229)</f>
        <v/>
      </c>
      <c r="Q1208" t="n">
        <v>0</v>
      </c>
      <c r="R1208" t="n">
        <v>0</v>
      </c>
      <c r="S1208">
        <f>IFERROR(O1208/N1208,0)</f>
        <v/>
      </c>
      <c r="T1208" t="n">
        <v>0</v>
      </c>
      <c r="V1208" t="n">
        <v>0</v>
      </c>
    </row>
    <row r="1209">
      <c r="A1209">
        <f>Skills!A25</f>
        <v/>
      </c>
      <c r="B1209">
        <f>Skills!B25</f>
        <v/>
      </c>
      <c r="C1209">
        <f>Inputs!$B$3&gt;=50</f>
        <v/>
      </c>
      <c r="D1209">
        <f>IF(Skills!C25=1,60+Inputs!$B$25+Inputs!$B$29,IF(Skills!C25=2,90+Inputs!$B$26+Inputs!$B$29,IF(Skills!C25=3,120+Inputs!$B$27+Inputs!$B$29,MAX(0,(Inputs!$B$3-100)*3)+Inputs!$B$28+Inputs!$B$29)))</f>
        <v/>
      </c>
      <c r="E1209">
        <f>INDEX(FactorTable!$B$2:$Y$301, MATCH(ROUND(MIN(300,MAX(1,D1209)),0), FactorTable!$A$2:$A$301,0), Skills!M25+1)</f>
        <v/>
      </c>
      <c r="F1209">
        <f>IF(Skills!N25=TRUE,(Skills!L25/10)*(E1209/1000),Skills!L25/10)+Skills!O25</f>
        <v/>
      </c>
      <c r="G1209">
        <f>Skills!G25*IF(Skills!H25&gt;0,Skills!I25/Skills!H25,1)</f>
        <v/>
      </c>
      <c r="H1209">
        <f>1-(1-Skills!J25/100)^Skills!K25</f>
        <v/>
      </c>
      <c r="I1209" t="inlineStr">
        <is>
          <t>1</t>
        </is>
      </c>
      <c r="J1209" t="inlineStr"/>
      <c r="K1209" t="inlineStr"/>
      <c r="L1209" t="inlineStr"/>
      <c r="M1209" t="inlineStr"/>
      <c r="N1209" t="inlineStr"/>
      <c r="O1209">
        <f>(1-Summary!$B$55)*T1209+Summary!$B$55*V1209</f>
        <v/>
      </c>
      <c r="P1209">
        <f>IF(B1229=0,0,O1209/B1229)</f>
        <v/>
      </c>
      <c r="Q1209" t="n">
        <v>0</v>
      </c>
      <c r="R1209" t="n">
        <v>0</v>
      </c>
      <c r="S1209">
        <f>IFERROR(O1209/N1209,0)</f>
        <v/>
      </c>
      <c r="T1209" t="n">
        <v>0</v>
      </c>
      <c r="V1209" t="n">
        <v>0</v>
      </c>
    </row>
    <row r="1210">
      <c r="A1210">
        <f>Skills!A26</f>
        <v/>
      </c>
      <c r="B1210">
        <f>Skills!B26</f>
        <v/>
      </c>
      <c r="C1210">
        <f>Inputs!$B$3&gt;=50</f>
        <v/>
      </c>
      <c r="D1210">
        <f>IF(Skills!C26=1,60+Inputs!$B$25+Inputs!$B$29,IF(Skills!C26=2,90+Inputs!$B$26+Inputs!$B$29,IF(Skills!C26=3,120+Inputs!$B$27+Inputs!$B$29,MAX(0,(Inputs!$B$3-100)*3)+Inputs!$B$28+Inputs!$B$29)))</f>
        <v/>
      </c>
      <c r="E1210">
        <f>INDEX(FactorTable!$B$2:$Y$301, MATCH(ROUND(MIN(300,MAX(1,D1210)),0), FactorTable!$A$2:$A$301,0), Skills!M26+1)</f>
        <v/>
      </c>
      <c r="F1210">
        <f>IF(Skills!N26=TRUE,(Skills!L26/10)*(E1210/1000),Skills!L26/10)+Skills!O26</f>
        <v/>
      </c>
      <c r="G1210">
        <f>Skills!G26*IF(Skills!H26&gt;0,Skills!I26/Skills!H26,1)</f>
        <v/>
      </c>
      <c r="H1210">
        <f>1-(1-Skills!J26/100)^Skills!K26</f>
        <v/>
      </c>
      <c r="I1210" t="inlineStr">
        <is>
          <t>1</t>
        </is>
      </c>
      <c r="J1210" t="inlineStr"/>
      <c r="K1210" t="inlineStr"/>
      <c r="L1210" t="inlineStr"/>
      <c r="M1210" t="inlineStr"/>
      <c r="N1210" t="inlineStr"/>
      <c r="O1210">
        <f>(1-Summary!$B$55)*T1210+Summary!$B$55*V1210</f>
        <v/>
      </c>
      <c r="P1210">
        <f>IF(B1229=0,0,O1210/B1229)</f>
        <v/>
      </c>
      <c r="Q1210" t="n">
        <v>0</v>
      </c>
      <c r="R1210" t="n">
        <v>0</v>
      </c>
      <c r="S1210">
        <f>IFERROR(O1210/N1210,0)</f>
        <v/>
      </c>
      <c r="T1210" t="n">
        <v>0</v>
      </c>
      <c r="V1210" t="n">
        <v>0</v>
      </c>
    </row>
    <row r="1211">
      <c r="A1211">
        <f>Skills!A27</f>
        <v/>
      </c>
      <c r="B1211">
        <f>Skills!B27</f>
        <v/>
      </c>
      <c r="C1211">
        <f>Inputs!$B$3&gt;=38</f>
        <v/>
      </c>
      <c r="D1211">
        <f>IF(Skills!C27=1,60+Inputs!$B$25+Inputs!$B$29,IF(Skills!C27=2,90+Inputs!$B$26+Inputs!$B$29,IF(Skills!C27=3,120+Inputs!$B$27+Inputs!$B$29,MAX(0,(Inputs!$B$3-100)*3)+Inputs!$B$28+Inputs!$B$29)))</f>
        <v/>
      </c>
      <c r="E1211">
        <f>INDEX(FactorTable!$B$2:$Y$301, MATCH(ROUND(MIN(300,MAX(1,D1211)),0), FactorTable!$A$2:$A$301,0), Skills!M27+1)</f>
        <v/>
      </c>
      <c r="F1211">
        <f>IF(Skills!N27=TRUE,(Skills!L27/10)*(E1211/1000),Skills!L27/10)+Skills!O27</f>
        <v/>
      </c>
      <c r="G1211">
        <f>Skills!G27*IF(Skills!H27&gt;0,Skills!I27/Skills!H27,1)</f>
        <v/>
      </c>
      <c r="H1211">
        <f>1-(1-Skills!J27/100)^Skills!K27</f>
        <v/>
      </c>
      <c r="I1211" t="inlineStr">
        <is>
          <t>1</t>
        </is>
      </c>
      <c r="J1211" t="inlineStr"/>
      <c r="K1211" t="inlineStr"/>
      <c r="L1211" t="inlineStr"/>
      <c r="M1211" t="inlineStr"/>
      <c r="N1211" t="inlineStr"/>
      <c r="O1211">
        <f>(1-Summary!$B$55)*T1211+Summary!$B$55*V1211</f>
        <v/>
      </c>
      <c r="P1211">
        <f>IF(B1229=0,0,O1211/B1229)</f>
        <v/>
      </c>
      <c r="Q1211" t="n">
        <v>0</v>
      </c>
      <c r="R1211" t="n">
        <v>0</v>
      </c>
      <c r="S1211">
        <f>IFERROR(O1211/N1211,0)</f>
        <v/>
      </c>
      <c r="T1211" t="n">
        <v>0</v>
      </c>
      <c r="V1211" t="n">
        <v>0</v>
      </c>
    </row>
    <row r="1212">
      <c r="A1212">
        <f>Skills!A28</f>
        <v/>
      </c>
      <c r="B1212">
        <f>Skills!B28</f>
        <v/>
      </c>
      <c r="C1212">
        <f>Inputs!$B$3&gt;=120</f>
        <v/>
      </c>
      <c r="D1212">
        <f>IF(Skills!C28=1,60+Inputs!$B$25+Inputs!$B$29,IF(Skills!C28=2,90+Inputs!$B$26+Inputs!$B$29,IF(Skills!C28=3,120+Inputs!$B$27+Inputs!$B$29,MAX(0,(Inputs!$B$3-100)*3)+Inputs!$B$28+Inputs!$B$29)))</f>
        <v/>
      </c>
      <c r="E1212">
        <f>INDEX(FactorTable!$B$2:$Y$301, MATCH(ROUND(MIN(300,MAX(1,D1212)),0), FactorTable!$A$2:$A$301,0), Skills!M28+1)</f>
        <v/>
      </c>
      <c r="F1212">
        <f>IF(Skills!N28=TRUE,(Skills!L28/10)*(E1212/1000),Skills!L28/10)+Skills!O28</f>
        <v/>
      </c>
      <c r="G1212">
        <f>Skills!G28*IF(Skills!H28&gt;0,Skills!I28/Skills!H28,1)</f>
        <v/>
      </c>
      <c r="H1212">
        <f>1-(1-Skills!J28/100)^Skills!K28</f>
        <v/>
      </c>
      <c r="I1212" t="inlineStr">
        <is>
          <t>1</t>
        </is>
      </c>
      <c r="J1212" t="inlineStr"/>
      <c r="K1212" t="inlineStr"/>
      <c r="L1212" t="inlineStr"/>
      <c r="M1212" t="inlineStr"/>
      <c r="N1212" t="inlineStr"/>
      <c r="O1212">
        <f>(1-Summary!$B$55)*T1212+Summary!$B$55*V1212</f>
        <v/>
      </c>
      <c r="P1212">
        <f>IF(B1229=0,0,O1212/B1229)</f>
        <v/>
      </c>
      <c r="Q1212" t="n">
        <v>0</v>
      </c>
      <c r="R1212" t="n">
        <v>0</v>
      </c>
      <c r="S1212">
        <f>IFERROR(O1212/N1212,0)</f>
        <v/>
      </c>
      <c r="T1212" t="n">
        <v>0</v>
      </c>
      <c r="V1212" t="n">
        <v>0</v>
      </c>
    </row>
    <row r="1213">
      <c r="A1213">
        <f>Skills!A29</f>
        <v/>
      </c>
      <c r="B1213">
        <f>Skills!B29</f>
        <v/>
      </c>
      <c r="C1213">
        <f>Inputs!$B$3&gt;=120</f>
        <v/>
      </c>
      <c r="D1213">
        <f>IF(Skills!C29=1,60+Inputs!$B$25+Inputs!$B$29,IF(Skills!C29=2,90+Inputs!$B$26+Inputs!$B$29,IF(Skills!C29=3,120+Inputs!$B$27+Inputs!$B$29,MAX(0,(Inputs!$B$3-100)*3)+Inputs!$B$28+Inputs!$B$29)))</f>
        <v/>
      </c>
      <c r="E1213">
        <f>INDEX(FactorTable!$B$2:$Y$301, MATCH(ROUND(MIN(300,MAX(1,D1213)),0), FactorTable!$A$2:$A$301,0), Skills!M29+1)</f>
        <v/>
      </c>
      <c r="F1213">
        <f>IF(Skills!N29=TRUE,(Skills!L29/10)*(E1213/1000),Skills!L29/10)+Skills!O29</f>
        <v/>
      </c>
      <c r="G1213">
        <f>Skills!G29*IF(Skills!H29&gt;0,Skills!I29/Skills!H29,1)</f>
        <v/>
      </c>
      <c r="H1213">
        <f>1-(1-Skills!J29/100)^Skills!K29</f>
        <v/>
      </c>
      <c r="I1213" t="inlineStr">
        <is>
          <t>1</t>
        </is>
      </c>
      <c r="J1213" t="inlineStr"/>
      <c r="K1213" t="inlineStr"/>
      <c r="L1213" t="inlineStr"/>
      <c r="M1213" t="inlineStr"/>
      <c r="N1213" t="inlineStr"/>
      <c r="O1213">
        <f>(1-Summary!$B$55)*T1213+Summary!$B$55*V1213</f>
        <v/>
      </c>
      <c r="P1213">
        <f>IF(B1229=0,0,O1213/B1229)</f>
        <v/>
      </c>
      <c r="Q1213" t="n">
        <v>0</v>
      </c>
      <c r="R1213" t="n">
        <v>0</v>
      </c>
      <c r="S1213">
        <f>IFERROR(O1213/N1213,0)</f>
        <v/>
      </c>
      <c r="T1213" t="n">
        <v>0</v>
      </c>
      <c r="V1213" t="n">
        <v>0</v>
      </c>
    </row>
    <row r="1214">
      <c r="A1214">
        <f>Skills!A30</f>
        <v/>
      </c>
      <c r="B1214">
        <f>Skills!B30</f>
        <v/>
      </c>
      <c r="C1214">
        <f>Inputs!$B$3&gt;=125</f>
        <v/>
      </c>
      <c r="D1214">
        <f>IF(Skills!C30=1,60+Inputs!$B$25+Inputs!$B$29,IF(Skills!C30=2,90+Inputs!$B$26+Inputs!$B$29,IF(Skills!C30=3,120+Inputs!$B$27+Inputs!$B$29,MAX(0,(Inputs!$B$3-100)*3)+Inputs!$B$28+Inputs!$B$29)))</f>
        <v/>
      </c>
      <c r="E1214">
        <f>INDEX(FactorTable!$B$2:$Y$301, MATCH(ROUND(MIN(300,MAX(1,D1214)),0), FactorTable!$A$2:$A$301,0), Skills!M30+1)</f>
        <v/>
      </c>
      <c r="F1214">
        <f>IF(Skills!N30=TRUE,(Skills!L30/10)*(E1214/1000),Skills!L30/10)+Skills!O30</f>
        <v/>
      </c>
      <c r="G1214">
        <f>Skills!G30*IF(Skills!H30&gt;0,Skills!I30/Skills!H30,1)</f>
        <v/>
      </c>
      <c r="H1214">
        <f>1-(1-Skills!J30/100)^Skills!K30</f>
        <v/>
      </c>
      <c r="I1214" t="inlineStr">
        <is>
          <t>1</t>
        </is>
      </c>
      <c r="J1214" t="inlineStr"/>
      <c r="K1214" t="inlineStr"/>
      <c r="L1214" t="inlineStr"/>
      <c r="M1214" t="inlineStr"/>
      <c r="N1214" t="inlineStr"/>
      <c r="O1214">
        <f>(1-Summary!$B$55)*T1214+Summary!$B$55*V1214</f>
        <v/>
      </c>
      <c r="P1214">
        <f>IF(B1229=0,0,O1214/B1229)</f>
        <v/>
      </c>
      <c r="Q1214" t="n">
        <v>0</v>
      </c>
      <c r="R1214" t="n">
        <v>0</v>
      </c>
      <c r="S1214">
        <f>IFERROR(O1214/N1214,0)</f>
        <v/>
      </c>
      <c r="T1214" t="n">
        <v>0</v>
      </c>
      <c r="V1214" t="n">
        <v>0</v>
      </c>
    </row>
    <row r="1216">
      <c r="A1216" t="inlineStr">
        <is>
          <t>Average Buff Multiplier</t>
        </is>
      </c>
      <c r="B1216">
        <f>(1+(((C1205=TRUE)*F1205*IF(AND(Inputs!$B$39&lt;&gt;"pvp",Inputs!$B$44&gt;0),(((R1205-1)*(Skills!Y21*(1+Inputs!$B$34/100))+MIN((Skills!Y21*(1+Inputs!$B$34/100)),MAX(0,Inputs!$B$44-((R1205-1)*Skills!D21))))/Inputs!$B$44),IF(Inputs!$B$39="pvp",MIN((Skills!Y21*(1+Inputs!$B$34/100)),15)/15,(Skills!Y21*(1+Inputs!$B$34/100))/Skills!D21)))+((C1207=TRUE)*(F1207-Calc!F23))+((C1201=TRUE)*(F1201-Calc!F17)))/100)*(1+((C1194=TRUE)*F1194*IF(AND(Inputs!$B$39&lt;&gt;"pvp",Inputs!$B$44&gt;0),(((R1194-1)*(Skills!Y10*(1+Inputs!$B$34/100))+MIN((Skills!Y10*(1+Inputs!$B$34/100)),MAX(0,Inputs!$B$44-((R1194-1)*Skills!D10))))/Inputs!$B$44),IF(Inputs!$B$39="pvp",MIN((Skills!Y10*(1+Inputs!$B$34/100)),15)/15,(Skills!Y10*(1+Inputs!$B$34/100))/Skills!D10)))/100)*(1+((C1199=TRUE)*F1199*IF(AND(Inputs!$B$39&lt;&gt;"pvp",Inputs!$B$44&gt;0),(((R1199-1)*(Skills!Y15*(1+Inputs!$B$34/100))+MIN((Skills!Y15*(1+Inputs!$B$34/100)),MAX(0,Inputs!$B$44-((R1199-1)*Skills!D15))))/Inputs!$B$44),IF(Inputs!$B$39="pvp",MIN((Skills!Y15*(1+Inputs!$B$34/100)),15)/15,(Skills!Y15*(1+Inputs!$B$34/100))/Skills!D15)))/100)</f>
        <v/>
      </c>
    </row>
    <row r="1217">
      <c r="A1217" t="inlineStr">
        <is>
          <t>Global Crit Rate Bonus %</t>
        </is>
      </c>
      <c r="B1217">
        <f>((C1204=TRUE)*F1204*IF(AND(Inputs!$B$39&lt;&gt;"pvp",Inputs!$B$44&gt;0),(((R1204-1)*(Skills!Y20*(1+Inputs!$B$34/100))+MIN((Skills!Y20*(1+Inputs!$B$34/100)),MAX(0,Inputs!$B$44-((R1204-1)*Skills!D20))))/Inputs!$B$44),IF(Inputs!$B$39="pvp",MIN((Skills!Y20*(1+Inputs!$B$34/100)),15)/15,(Skills!Y20*(1+Inputs!$B$34/100))/Skills!D20)))</f>
        <v/>
      </c>
    </row>
    <row r="1218">
      <c r="A1218" t="inlineStr">
        <is>
          <t>Global Monster Damage-Taken Bonus %</t>
        </is>
      </c>
      <c r="B1218">
        <f>IF(Inputs!$B$3&gt;=82,15,0)</f>
        <v/>
      </c>
    </row>
    <row r="1219">
      <c r="A1219" t="inlineStr">
        <is>
          <t>Shadow Partner Average Multiplier</t>
        </is>
      </c>
      <c r="B1219">
        <f>1+((C1191=TRUE)*F1191*(1+3.3333333333333335*IF(C1202=TRUE,F1202,0)/100)*I1191*Skills!J7/100)/100</f>
        <v/>
      </c>
    </row>
    <row r="1220">
      <c r="A1220" t="inlineStr">
        <is>
          <t>Attack Speed Buff Bonus %</t>
        </is>
      </c>
      <c r="B1220">
        <f>((C1203=TRUE)*F1203*IF(AND(Inputs!$B$39&lt;&gt;"pvp",Inputs!$B$44&gt;0),(((R1203-1)*(Skills!Y19*(1+Inputs!$B$34/100))+MIN((Skills!Y19*(1+Inputs!$B$34/100)),MAX(0,Inputs!$B$44-((R1203-1)*Skills!D19))))/Inputs!$B$44),IF(Inputs!$B$39="pvp",MIN((Skills!Y19*(1+Inputs!$B$34/100)),15)/15,(Skills!Y19*(1+Inputs!$B$34/100))/Skills!D19)))+((C1187=TRUE)*F1187*3)</f>
        <v/>
      </c>
    </row>
    <row r="1221">
      <c r="A1221" t="inlineStr">
        <is>
          <t>Actions Per Second</t>
        </is>
      </c>
      <c r="B1221">
        <f>1+MIN(150,150*(1-(1-(Inputs!$B$11+((C1206=TRUE)*(F1206-Calc!F22)))/150)*(1-B1220/150)))/100</f>
        <v/>
      </c>
    </row>
    <row r="1222">
      <c r="A1222" t="inlineStr">
        <is>
          <t>Skill + Buff Cast Rate</t>
        </is>
      </c>
      <c r="B1222">
        <f>IF(AND(Inputs!$B$39&lt;&gt;"pvp",Inputs!$B$44&gt;0),SUMPRODUCT((Skills!E2:E30=TRUE)*(C1186:C1214=TRUE)*R1186:R1214*Skills!F2:F30)/Inputs!$B$44,SUMPRODUCT((Skills!E2:E30=TRUE)*(C1186:C1214=TRUE)*Q1186:Q1214*Skills!F2:F30))</f>
        <v/>
      </c>
    </row>
    <row r="1223">
      <c r="A1223" t="inlineStr">
        <is>
          <t>Cruel Stab Casts Per Second</t>
        </is>
      </c>
      <c r="B1223">
        <f>MAX(0,B1221-B1222)</f>
        <v/>
      </c>
    </row>
    <row r="1224">
      <c r="A1224" t="inlineStr">
        <is>
          <t>Global Critical Damage Bonus % (Smokescreen Mastery Lv.113)</t>
        </is>
      </c>
      <c r="B1224">
        <f>IF(Inputs!$B$3&gt;=113,30,0)*IF(AND(Inputs!$B$39&lt;&gt;"pvp",Inputs!$B$44&gt;0),(((R1199-1)*(Skills!Y15*(1+Inputs!$B$34/100))+MIN((Skills!Y15*(1+Inputs!$B$34/100)),MAX(0,Inputs!$B$44-((R1199-1)*Skills!D15))))/Inputs!$B$44),IF(Inputs!$B$39="pvp",MIN((Skills!Y15*(1+Inputs!$B$34/100)),15)/15,(Skills!Y15*(1+Inputs!$B$34/100))/Skills!D15))</f>
        <v/>
      </c>
    </row>
    <row r="1225">
      <c r="A1225" t="inlineStr">
        <is>
          <t>Meso Explosion average stack count</t>
        </is>
      </c>
      <c r="B1225">
        <f>MIN(10,0.5*B1221*Skills!D4)</f>
        <v/>
      </c>
    </row>
    <row r="1226">
      <c r="A1226" t="inlineStr">
        <is>
          <t>Blood Money average stack count</t>
        </is>
      </c>
      <c r="B1226">
        <f>MIN(5,0.25*B1221*Skills!D4)</f>
        <v/>
      </c>
    </row>
    <row r="1227">
      <c r="A1227" t="inlineStr">
        <is>
          <t>Assassinate Murderous Intent Multiplier</t>
        </is>
      </c>
      <c r="B1227">
        <f>1+IFERROR(MIN(1,Q1198*2/Q1195),0)</f>
        <v/>
      </c>
    </row>
    <row r="1228">
      <c r="A1228" t="inlineStr">
        <is>
          <t>Buff-Casting Startup Delay (s, fixed-duration only)</t>
        </is>
      </c>
      <c r="B1228">
        <f>IF(AND(Inputs!$B$39&lt;&gt;"pvp",Inputs!$B$44&gt;0),SUMPRODUCT((Skills!Y2:Y30&gt;0)*(Skills!E2:E30=TRUE)*(C1186:C1214=TRUE))/B1221,0)</f>
        <v/>
      </c>
    </row>
    <row r="1229">
      <c r="A1229" s="5" t="inlineStr">
        <is>
          <t>TOTAL DPS</t>
        </is>
      </c>
      <c r="B1229" s="5">
        <f>SUM(O1186:O1214)</f>
        <v/>
      </c>
    </row>
    <row r="1230">
      <c r="A1230" t="inlineStr">
        <is>
          <t>Boss-Only Total DPS (this block's swept value)</t>
        </is>
      </c>
      <c r="B1230">
        <f>SUM(T1186:T1214)</f>
        <v/>
      </c>
    </row>
    <row r="1231">
      <c r="A1231" t="inlineStr">
        <is>
          <t>Normal-Only Total DPS (this block's swept value)</t>
        </is>
      </c>
      <c r="B1231">
        <f>SUM(V1186:V1214)</f>
        <v/>
      </c>
    </row>
    <row r="1234">
      <c r="A1234" s="5" t="inlineStr">
        <is>
          <t>Stat: Basic Attack Target Increase (flat)</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Q1235" s="9" t="inlineStr">
        <is>
          <t>InvCooldown</t>
        </is>
      </c>
      <c r="R1235" s="9" t="inlineStr">
        <is>
          <t>CastsInFight</t>
        </is>
      </c>
      <c r="S1235" s="9"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((Inputs!$B$6*(1+Inputs!$B$7/100))+(((Inputs!$B$12*(1+Inputs!$B$13/100))-(Inputs!$B$12*(1+Inputs!$B$13/100)))+0.25*(Inputs!$B$14-Inputs!$B$14))*(1+Inputs!$B$7/100))*(F1236/100)</f>
        <v/>
      </c>
      <c r="K1236">
        <f>J1236*(1+((Inputs!$B$12*(1+Inputs!$B$13/100))*0.01+Inputs!$B$14*0.0025)/100)*(1+Inputs!$B$15/100)*(1+Inputs!$B$16/100)*(5000/(6000+Inputs!$B$43*(1-Inputs!$B$19/100)))*(1+(Inputs!$B$24+((C1264=TRUE)*(F1264-Calc!F30)))/100)*(1+(IF(Skills!A2="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1236)</f>
        <v/>
      </c>
      <c r="L1236">
        <f>K1236*(MIN(Inputs!$B$22+((C1258=TRUE)*(F1258-Calc!F24)),Inputs!$B$23+((C1263=TRUE)*(F1263-Calc!F29)))/100+(Inputs!$B$23+((C1263=TRUE)*(F1263-Calc!F29)))/100)/2</f>
        <v/>
      </c>
      <c r="M1236">
        <f>L1236*(1+(Inputs!$B$10+((C1260=TRUE)*(F1260-Calc!F26))+B1274)/100)</f>
        <v/>
      </c>
      <c r="N1236">
        <f>L1236*(1-MIN((Inputs!$B$9+((C1259=TRUE)*(F1259-Calc!F25))+B1267),100)/100)+M1236*(MIN((Inputs!$B$9+((C1259=TRUE)*(F1259-Calc!F25))+B1267),100)/100)</f>
        <v/>
      </c>
      <c r="O1236">
        <f>(1-Summary!$B$55)*T1236+Summary!$B$55*V1236</f>
        <v/>
      </c>
      <c r="P1236">
        <f>IF(B1279=0,0,O1236/B1279)</f>
        <v/>
      </c>
      <c r="Q1236" t="n">
        <v>0</v>
      </c>
      <c r="R1236" t="n">
        <v>0</v>
      </c>
      <c r="S1236">
        <f>IFERROR(O1236/N1236,0)</f>
        <v/>
      </c>
      <c r="T1236">
        <f>IF(C1236,(Skills!G2*N1236*B1273)*IF(Inputs!$B$39="pvp",1,1+(Inputs!$B$20+0+Skills!P2+B1268)/100),0)</f>
        <v/>
      </c>
      <c r="U1236">
        <f>MAX(0,(Inputs!$B$3-100)*3)+Inputs!$B$28+Inputs!$B$29</f>
        <v/>
      </c>
      <c r="V1236">
        <f>IF(C1236,(Skills!G2*N1236*B1273)*IF(Inputs!$B$39="pvp",1,(1+(Inputs!$B$21+Skills!Q2+B1268)/100)*(MIN((6+(Inputs!$B$33+1)),Inputs!$B$37))),0)</f>
        <v/>
      </c>
    </row>
    <row r="1237">
      <c r="A1237">
        <f>Skills!A3</f>
        <v/>
      </c>
      <c r="B1237">
        <f>Skills!B3</f>
        <v/>
      </c>
      <c r="C1237">
        <f>Inputs!$B$3&gt;=35</f>
        <v/>
      </c>
      <c r="D1237">
        <f>IF(Skills!C3=1,60+Inputs!$B$25+Inputs!$B$29,IF(Skills!C3=2,90+Inputs!$B$26+Inputs!$B$29,IF(Skills!C3=3,120+Inputs!$B$27+Inputs!$B$29,MAX(0,(Inputs!$B$3-100)*3)+Inputs!$B$28+Inputs!$B$29)))</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f>(1-Summary!$B$55)*T1237+Summary!$B$55*V1237</f>
        <v/>
      </c>
      <c r="P1237">
        <f>IF(B1279=0,0,O1237/B1279)</f>
        <v/>
      </c>
      <c r="Q1237" t="n">
        <v>0</v>
      </c>
      <c r="R1237" t="n">
        <v>0</v>
      </c>
      <c r="S1237">
        <f>IFERROR(O1237/N1237,0)</f>
        <v/>
      </c>
      <c r="T1237" t="n">
        <v>0</v>
      </c>
      <c r="U1237">
        <f>INDEX(FactorTable!$B$2:$Y$301, MATCH(ROUND(MIN(300,MAX(1,U1236)),0), FactorTable!$A$2:$A$301,0), 22)</f>
        <v/>
      </c>
      <c r="V1237" t="n">
        <v>0</v>
      </c>
    </row>
    <row r="1238">
      <c r="A1238">
        <f>Skills!A4</f>
        <v/>
      </c>
      <c r="B1238">
        <f>Skills!B4</f>
        <v/>
      </c>
      <c r="C1238">
        <f>Inputs!$B$3&gt;=66</f>
        <v/>
      </c>
      <c r="D1238">
        <f>IF(Skills!C4=1,60+Inputs!$B$25+Inputs!$B$29,IF(Skills!C4=2,90+Inputs!$B$26+Inputs!$B$29,IF(Skills!C4=3,120+Inputs!$B$27+Inputs!$B$29,MAX(0,(Inputs!$B$3-100)*3)+Inputs!$B$28+Inputs!$B$29)))</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((Inputs!$B$6*(1+Inputs!$B$7/100))+(((Inputs!$B$12*(1+Inputs!$B$13/100))-(Inputs!$B$12*(1+Inputs!$B$13/100)))+0.25*(Inputs!$B$14-Inputs!$B$14))*(1+Inputs!$B$7/100))*(F1238/100)</f>
        <v/>
      </c>
      <c r="K1238">
        <f>J1238*(1+((Inputs!$B$12*(1+Inputs!$B$13/100))*0.01+Inputs!$B$14*0.0025)/100)*(1+Inputs!$B$15/100)*(1+Inputs!$B$16/100)*(5000/(6000+Inputs!$B$43*(1-Inputs!$B$19/100)))*(1+(Inputs!$B$24+((C1264=TRUE)*(F1264-Calc!F30)))/100)*(1+(IF(Skills!A4="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1238)</f>
        <v/>
      </c>
      <c r="L1238">
        <f>K1238*(MIN(Inputs!$B$22+((C1258=TRUE)*(F1258-Calc!F24)),Inputs!$B$23+((C1263=TRUE)*(F1263-Calc!F29)))/100+(Inputs!$B$23+((C1263=TRUE)*(F1263-Calc!F29)))/100)/2</f>
        <v/>
      </c>
      <c r="M1238">
        <f>L1238*(1+(Inputs!$B$10+((C1260=TRUE)*(F1260-Calc!F26))+B1274)/100)</f>
        <v/>
      </c>
      <c r="N1238">
        <f>L1238*(1-MIN((Inputs!$B$9+((C1259=TRUE)*(F1259-Calc!F25))+B1267),100)/100)+M1238*(MIN((Inputs!$B$9+((C1259=TRUE)*(F1259-Calc!F25))+B1267),100)/100)</f>
        <v/>
      </c>
      <c r="O1238">
        <f>(1-Summary!$B$55)*T1238+Summary!$B$55*V1238</f>
        <v/>
      </c>
      <c r="P1238">
        <f>IF(B1279=0,0,O1238/B1279)</f>
        <v/>
      </c>
      <c r="Q1238">
        <f>IFERROR(1/IF(Inputs!$B$39="pvp",15,MAX(0.1,Skills!D4-IF(Skills!E4=TRUE,Inputs!$B$32,0))),0)</f>
        <v/>
      </c>
      <c r="R1238">
        <f>IF(AND(Inputs!$B$39&lt;&gt;"pvp",Inputs!$B$44&gt;0),IF(MAX(0,Inputs!$B$44-B1278)&lt;=0,0,(INT(MAX(0,Inputs!$B$44-B1278)/IF(Inputs!$B$39="pvp",15,MAX(0.1,Skills!D4-IF(Skills!E4=TRUE,Inputs!$B$32,0))))+1)),0)</f>
        <v/>
      </c>
      <c r="S1238">
        <f>IFERROR(O1238/N1238,0)</f>
        <v/>
      </c>
      <c r="T1238">
        <f>IF(C1238,(H1238*N1238*IF(AND(Inputs!$B$39&lt;&gt;"pvp",Inputs!$B$44&gt;0),((Skills!G4*((R1238-1)*IF(Skills!H4&gt;0,Skills!I4/Skills!H4,1)+IF(Skills!H4&gt;0,MIN(Skills!I4,MAX(0,MAX(0,Inputs!$B$44-B1278)-((R1238-1)*IF(Inputs!$B$39="pvp",15,MAX(0.1,Skills!D4-IF(Skills!E4=TRUE,Inputs!$B$32,0))))))/Skills!H4,1)))/Inputs!$B$44),G1238*Q1238))*IF(Inputs!$B$39="pvp",1,1+(Inputs!$B$20+0+Skills!P4+B1268)/100),0)</f>
        <v/>
      </c>
      <c r="U1238">
        <f>290*U1237/1000</f>
        <v/>
      </c>
      <c r="V1238">
        <f>IF(C1238,(H1238*N1238*IF(AND(Inputs!$B$39&lt;&gt;"pvp",Inputs!$B$44&gt;0),((Skills!G4*((R1238-1)*IF(Skills!H4&gt;0,Skills!I4/Skills!H4,1)+IF(Skills!H4&gt;0,MIN(Skills!I4,MAX(0,MAX(0,Inputs!$B$44-B1278)-((R1238-1)*IF(Inputs!$B$39="pvp",15,MAX(0.1,Skills!D4-IF(Skills!E4=TRUE,Inputs!$B$32,0))))))/Skills!H4,1)))/Inputs!$B$44),G1238*Q1238))*IF(Inputs!$B$39="pvp",1,(1+(Inputs!$B$21+Skills!Q4+B1268)/100)*(MIN(MIN(10,0.5*B1271*Skills!D4),Inputs!$B$37))),0)</f>
        <v/>
      </c>
    </row>
    <row r="1239">
      <c r="A1239">
        <f>Skills!A5</f>
        <v/>
      </c>
      <c r="B1239">
        <f>Skills!B5</f>
        <v/>
      </c>
      <c r="C1239">
        <f>Inputs!$B$3&gt;=63</f>
        <v/>
      </c>
      <c r="D1239">
        <f>IF(Skills!C5=1,60+Inputs!$B$25+Inputs!$B$29,IF(Skills!C5=2,90+Inputs!$B$26+Inputs!$B$29,IF(Skills!C5=3,120+Inputs!$B$27+Inputs!$B$29,MAX(0,(Inputs!$B$3-100)*3)+Inputs!$B$28+Inputs!$B$29)))</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((Inputs!$B$6*(1+Inputs!$B$7/100))+(((Inputs!$B$12*(1+Inputs!$B$13/100))-(Inputs!$B$12*(1+Inputs!$B$13/100)))+0.25*(Inputs!$B$14-Inputs!$B$14))*(1+Inputs!$B$7/100))*(F1239/100)</f>
        <v/>
      </c>
      <c r="K1239">
        <f>J1239*(1+((Inputs!$B$12*(1+Inputs!$B$13/100))*0.01+Inputs!$B$14*0.0025)/100)*(1+Inputs!$B$15/100)*(1+Inputs!$B$16/100)*(5000/(6000+Inputs!$B$43*(1-Inputs!$B$19/100)))*(1+(Inputs!$B$24+((C1264=TRUE)*(F1264-Calc!F30)))/100)*(1+2.6666666666666665*IF(C1252=TRUE,F1252,0)/100)*(1+(IF(Skills!A5="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1239)</f>
        <v/>
      </c>
      <c r="L1239">
        <f>K1239*(MIN(Inputs!$B$22+((C1258=TRUE)*(F1258-Calc!F24)),Inputs!$B$23+((C1263=TRUE)*(F1263-Calc!F29)))/100+(Inputs!$B$23+((C1263=TRUE)*(F1263-Calc!F29)))/100)/2</f>
        <v/>
      </c>
      <c r="M1239">
        <f>L1239*(1+(Inputs!$B$10+((C1260=TRUE)*(F1260-Calc!F26))+B1274)/100)</f>
        <v/>
      </c>
      <c r="N1239">
        <f>L1239*(1-MIN((Inputs!$B$9+((C1259=TRUE)*(F1259-Calc!F25))+B1267),100)/100)+M1239*(MIN((Inputs!$B$9+((C1259=TRUE)*(F1259-Calc!F25))+B1267),100)/100)</f>
        <v/>
      </c>
      <c r="O1239">
        <f>(1-Summary!$B$55)*T1239+Summary!$B$55*V1239</f>
        <v/>
      </c>
      <c r="P1239">
        <f>IF(B1279=0,0,O1239/B1279)</f>
        <v/>
      </c>
      <c r="Q1239">
        <f>IFERROR(1/IF(Inputs!$B$39="pvp",15,MAX(0.1,Skills!D5-IF(Skills!E5=TRUE,Inputs!$B$32,0))),0)</f>
        <v/>
      </c>
      <c r="R1239">
        <f>IF(AND(Inputs!$B$39&lt;&gt;"pvp",Inputs!$B$44&gt;0),IF(MAX(0,Inputs!$B$44-B1278)&lt;=0,0,(INT(MAX(0,Inputs!$B$44-B1278)/IF(Inputs!$B$39="pvp",15,MAX(0.1,Skills!D5-IF(Skills!E5=TRUE,Inputs!$B$32,0))))+1)),0)</f>
        <v/>
      </c>
      <c r="S1239">
        <f>IFERROR(O1239/N1239,0)</f>
        <v/>
      </c>
      <c r="T1239">
        <f>IF(C1239,(H1239*N1239*IF(AND(Inputs!$B$39&lt;&gt;"pvp",Inputs!$B$44&gt;0),((Skills!G5*((R1239-1)*IF(Skills!H5&gt;0,Skills!I5/Skills!H5,1)+IF(Skills!H5&gt;0,MIN(Skills!I5,MAX(0,MAX(0,Inputs!$B$44-B1278)-((R1239-1)*IF(Inputs!$B$39="pvp",15,MAX(0.1,Skills!D5-IF(Skills!E5=TRUE,Inputs!$B$32,0))))))/Skills!H5,1)))/Inputs!$B$44),G1239*Q1239))*IF(Inputs!$B$39="pvp",1,1+(Inputs!$B$20+0+Skills!P5+B1268)/100),0)</f>
        <v/>
      </c>
      <c r="V1239">
        <f>IF(C1239,(H1239*N1239*IF(AND(Inputs!$B$39&lt;&gt;"pvp",Inputs!$B$44&gt;0),((Skills!G5*((R1239-1)*IF(Skills!H5&gt;0,Skills!I5/Skills!H5,1)+IF(Skills!H5&gt;0,MIN(Skills!I5,MAX(0,MAX(0,Inputs!$B$44-B1278)-((R1239-1)*IF(Inputs!$B$39="pvp",15,MAX(0.1,Skills!D5-IF(Skills!E5=TRUE,Inputs!$B$32,0))))))/Skills!H5,1)))/Inputs!$B$44),G1239*Q1239))*IF(Inputs!$B$39="pvp",1,(1+(Inputs!$B$21+Skills!Q5+B1268)/100)*(MIN(Skills!W5,Inputs!$B$37))),0)</f>
        <v/>
      </c>
    </row>
    <row r="1240">
      <c r="A1240">
        <f>Skills!A6</f>
        <v/>
      </c>
      <c r="B1240">
        <f>Skills!B6</f>
        <v/>
      </c>
      <c r="C1240">
        <f>Inputs!$B$3&gt;=69</f>
        <v/>
      </c>
      <c r="D1240">
        <f>IF(Skills!C6=1,60+Inputs!$B$25+Inputs!$B$29,IF(Skills!C6=2,90+Inputs!$B$26+Inputs!$B$29,IF(Skills!C6=3,120+Inputs!$B$27+Inputs!$B$29,MAX(0,(Inputs!$B$3-100)*3)+Inputs!$B$28+Inputs!$B$29)))</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((Inputs!$B$6*(1+Inputs!$B$7/100))+(((Inputs!$B$12*(1+Inputs!$B$13/100))-(Inputs!$B$12*(1+Inputs!$B$13/100)))+0.25*(Inputs!$B$14-Inputs!$B$14))*(1+Inputs!$B$7/100))*(F1240/100)</f>
        <v/>
      </c>
      <c r="K1240">
        <f>J1240*(1+((Inputs!$B$12*(1+Inputs!$B$13/100))*0.01+Inputs!$B$14*0.0025)/100)*(1+Inputs!$B$15/100)*(1+Inputs!$B$16/100)*(5000/(6000+Inputs!$B$43*(1-Inputs!$B$19/100)))*(1+(Inputs!$B$24+((C1264=TRUE)*(F1264-Calc!F30)))/100)*(1+1.0*IF(C1252=TRUE,F1252,0)/100)*(1+(IF(Skills!A6="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1240)</f>
        <v/>
      </c>
      <c r="L1240">
        <f>K1240*(MIN(Inputs!$B$22+((C1258=TRUE)*(F1258-Calc!F24)),Inputs!$B$23+((C1263=TRUE)*(F1263-Calc!F29)))/100+(Inputs!$B$23+((C1263=TRUE)*(F1263-Calc!F29)))/100)/2</f>
        <v/>
      </c>
      <c r="M1240">
        <f>L1240*(1+(Inputs!$B$10+((C1260=TRUE)*(F1260-Calc!F26))+B1274)/100)</f>
        <v/>
      </c>
      <c r="N1240">
        <f>L1240*(1-MIN((Inputs!$B$9+((C1259=TRUE)*(F1259-Calc!F25))+B1267),100)/100)+M1240*(MIN((Inputs!$B$9+((C1259=TRUE)*(F1259-Calc!F25))+B1267),100)/100)</f>
        <v/>
      </c>
      <c r="O1240">
        <f>(1-Summary!$B$55)*T1240+Summary!$B$55*V1240</f>
        <v/>
      </c>
      <c r="P1240">
        <f>IF(B1279=0,0,O1240/B1279)</f>
        <v/>
      </c>
      <c r="Q1240">
        <f>IFERROR(1/IF(Inputs!$B$39="pvp",15,MAX(0.1,Skills!D6-IF(Skills!E6=TRUE,Inputs!$B$32,0))),0)</f>
        <v/>
      </c>
      <c r="R1240">
        <f>IF(AND(Inputs!$B$39&lt;&gt;"pvp",Inputs!$B$44&gt;0),IF(MAX(0,Inputs!$B$44-B1278)&lt;=0,0,(INT(MAX(0,Inputs!$B$44-B1278)/IF(Inputs!$B$39="pvp",15,MAX(0.1,Skills!D6-IF(Skills!E6=TRUE,Inputs!$B$32,0))))+1)),0)</f>
        <v/>
      </c>
      <c r="S1240">
        <f>IFERROR(O1240/N1240,0)</f>
        <v/>
      </c>
      <c r="T1240">
        <f>IF(C1240,(H1240*N1240*IF(AND(Inputs!$B$39&lt;&gt;"pvp",Inputs!$B$44&gt;0),((Skills!G6*((R1240-1)*IF(Skills!H6&gt;0,Skills!I6/Skills!H6,1)+IF(Skills!H6&gt;0,MIN(Skills!I6,MAX(0,MAX(0,Inputs!$B$44-B1278)-((R1240-1)*IF(Inputs!$B$39="pvp",15,MAX(0.1,Skills!D6-IF(Skills!E6=TRUE,Inputs!$B$32,0))))))/Skills!H6,1)))/Inputs!$B$44),G1240*Q1240))*IF(Inputs!$B$39="pvp",1,1+(Inputs!$B$20+0+Skills!P6+B1268)/100),0)</f>
        <v/>
      </c>
      <c r="V1240">
        <f>IF(C1240,(H1240*N1240*IF(AND(Inputs!$B$39&lt;&gt;"pvp",Inputs!$B$44&gt;0),((Skills!G6*((R1240-1)*IF(Skills!H6&gt;0,Skills!I6/Skills!H6,1)+IF(Skills!H6&gt;0,MIN(Skills!I6,MAX(0,MAX(0,Inputs!$B$44-B1278)-((R1240-1)*IF(Inputs!$B$39="pvp",15,MAX(0.1,Skills!D6-IF(Skills!E6=TRUE,Inputs!$B$32,0))))))/Skills!H6,1)))/Inputs!$B$44),G1240*Q1240))*IF(Inputs!$B$39="pvp",1,(1+(Inputs!$B$21+Skills!Q6+B1268)/100)*(MIN(Skills!W6,Inputs!$B$37))),0)</f>
        <v/>
      </c>
    </row>
    <row r="1241">
      <c r="A1241">
        <f>Skills!A7</f>
        <v/>
      </c>
      <c r="B1241">
        <f>Skills!B7</f>
        <v/>
      </c>
      <c r="C1241">
        <f>Inputs!$B$3&gt;=60</f>
        <v/>
      </c>
      <c r="D1241">
        <f>IF(Skills!C7=1,60+Inputs!$B$25+Inputs!$B$29,IF(Skills!C7=2,90+Inputs!$B$26+Inputs!$B$29,IF(Skills!C7=3,120+Inputs!$B$27+Inputs!$B$29,MAX(0,(Inputs!$B$3-100)*3)+Inputs!$B$28+Inputs!$B$29)))</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f>(1-Summary!$B$55)*T1241+Summary!$B$55*V1241</f>
        <v/>
      </c>
      <c r="P1241">
        <f>IF(B1279=0,0,O1241/B1279)</f>
        <v/>
      </c>
      <c r="Q1241" t="n">
        <v>0</v>
      </c>
      <c r="R1241" t="n">
        <v>0</v>
      </c>
      <c r="S1241">
        <f>IFERROR(O1241/N1241,0)</f>
        <v/>
      </c>
      <c r="T1241" t="n">
        <v>0</v>
      </c>
      <c r="V1241" t="n">
        <v>0</v>
      </c>
    </row>
    <row r="1242">
      <c r="A1242">
        <f>Skills!A8</f>
        <v/>
      </c>
      <c r="B1242">
        <f>Skills!B8</f>
        <v/>
      </c>
      <c r="C1242">
        <f>Inputs!$B$3&gt;=72</f>
        <v/>
      </c>
      <c r="D1242">
        <f>IF(Skills!C8=1,60+Inputs!$B$25+Inputs!$B$29,IF(Skills!C8=2,90+Inputs!$B$26+Inputs!$B$29,IF(Skills!C8=3,120+Inputs!$B$27+Inputs!$B$29,MAX(0,(Inputs!$B$3-100)*3)+Inputs!$B$28+Inputs!$B$29)))</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((Inputs!$B$6*(1+Inputs!$B$7/100))+(((Inputs!$B$12*(1+Inputs!$B$13/100))-(Inputs!$B$12*(1+Inputs!$B$13/100)))+0.25*(Inputs!$B$14-Inputs!$B$14))*(1+Inputs!$B$7/100))*(F1242/100)</f>
        <v/>
      </c>
      <c r="K1242">
        <f>J1242*(1+((Inputs!$B$12*(1+Inputs!$B$13/100))*0.01+Inputs!$B$14*0.0025)/100)*(1+Inputs!$B$15/100)*(1+Inputs!$B$16/100)*(5000/(6000+Inputs!$B$43*(1-Inputs!$B$19/100)))*(1+(Inputs!$B$24+((C1264=TRUE)*(F1264-Calc!F30)))/100)*(1+3.3333333333333335*IF(C1252=TRUE,F1252,0)/100)*(1+(IF(Skills!A8="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1242)</f>
        <v/>
      </c>
      <c r="L1242">
        <f>K1242*(MIN(Inputs!$B$22+((C1258=TRUE)*(F1258-Calc!F24)),Inputs!$B$23+((C1263=TRUE)*(F1263-Calc!F29)))/100+(Inputs!$B$23+((C1263=TRUE)*(F1263-Calc!F29)))/100)/2</f>
        <v/>
      </c>
      <c r="M1242">
        <f>L1242*(1+(Inputs!$B$10+((C1260=TRUE)*(F1260-Calc!F26))+B1274)/100)</f>
        <v/>
      </c>
      <c r="N1242">
        <f>L1242*(1-MIN((Inputs!$B$9+((C1259=TRUE)*(F1259-Calc!F25))+B1267),100)/100)+M1242*(MIN((Inputs!$B$9+((C1259=TRUE)*(F1259-Calc!F25))+B1267),100)/100)</f>
        <v/>
      </c>
      <c r="O1242">
        <f>(1-Summary!$B$55)*T1242+Summary!$B$55*V1242</f>
        <v/>
      </c>
      <c r="P1242">
        <f>IF(B1279=0,0,O1242/B1279)</f>
        <v/>
      </c>
      <c r="Q1242">
        <f>IFERROR(1/IF(Inputs!$B$39="pvp",15,MAX(0.1,Skills!D8-IF(Skills!E8=TRUE,Inputs!$B$32,0))),0)</f>
        <v/>
      </c>
      <c r="R1242">
        <f>IF(AND(Inputs!$B$39&lt;&gt;"pvp",Inputs!$B$44&gt;0),IF(MAX(0,Inputs!$B$44-B1278)&lt;=0,0,(INT(MAX(0,Inputs!$B$44-B1278)/IF(Inputs!$B$39="pvp",15,MAX(0.1,Skills!D8-IF(Skills!E8=TRUE,Inputs!$B$32,0))))+1)),0)</f>
        <v/>
      </c>
      <c r="S1242">
        <f>IFERROR(O1242/N1242,0)</f>
        <v/>
      </c>
      <c r="T1242">
        <f>IF(C1242,(H1242*N1242*IF(AND(Inputs!$B$39&lt;&gt;"pvp",Inputs!$B$44&gt;0),((Skills!G8*((R1242-1)*IF(Skills!H8&gt;0,Skills!I8/Skills!H8,1)+IF(Skills!H8&gt;0,MIN(Skills!I8,MAX(0,MAX(0,Inputs!$B$44-B1278)-((R1242-1)*IF(Inputs!$B$39="pvp",15,MAX(0.1,Skills!D8-IF(Skills!E8=TRUE,Inputs!$B$32,0))))))/Skills!H8,1)))/Inputs!$B$44),G1242*Q1242))*IF(Inputs!$B$39="pvp",1,1+(Inputs!$B$20+0+Skills!P8+B1268)/100),0)</f>
        <v/>
      </c>
      <c r="V1242">
        <f>IF(C1242,(H1242*N1242*IF(AND(Inputs!$B$39&lt;&gt;"pvp",Inputs!$B$44&gt;0),((Skills!G8*((R1242-1)*IF(Skills!H8&gt;0,Skills!I8/Skills!H8,1)+IF(Skills!H8&gt;0,MIN(Skills!I8,MAX(0,MAX(0,Inputs!$B$44-B1278)-((R1242-1)*IF(Inputs!$B$39="pvp",15,MAX(0.1,Skills!D8-IF(Skills!E8=TRUE,Inputs!$B$32,0))))))/Skills!H8,1)))/Inputs!$B$44),G1242*Q1242))*IF(Inputs!$B$39="pvp",1,(1+(Inputs!$B$21+Skills!Q8+B1268)/100)*(MIN(Skills!W8,Inputs!$B$37))),0)</f>
        <v/>
      </c>
    </row>
    <row r="1243">
      <c r="A1243">
        <f>Skills!A9</f>
        <v/>
      </c>
      <c r="B1243">
        <f>Skills!B9</f>
        <v/>
      </c>
      <c r="C1243">
        <f>Inputs!$B$3&gt;=117</f>
        <v/>
      </c>
      <c r="D1243">
        <f>IF(Skills!C9=1,60+Inputs!$B$25+Inputs!$B$29,IF(Skills!C9=2,90+Inputs!$B$26+Inputs!$B$29,IF(Skills!C9=3,120+Inputs!$B$27+Inputs!$B$29,MAX(0,(Inputs!$B$3-100)*3)+Inputs!$B$28+Inputs!$B$29)))</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((Inputs!$B$6*(1+Inputs!$B$7/100))+(((Inputs!$B$12*(1+Inputs!$B$13/100))-(Inputs!$B$12*(1+Inputs!$B$13/100)))+0.25*(Inputs!$B$14-Inputs!$B$14))*(1+Inputs!$B$7/100))*(F1243/100)</f>
        <v/>
      </c>
      <c r="K1243">
        <f>J1243*(1+((Inputs!$B$12*(1+Inputs!$B$13/100))*0.01+Inputs!$B$14*0.0025)/100)*(1+Inputs!$B$15/100)*(1+Inputs!$B$16/100)*(5000/(6000+Inputs!$B$43*(1-Inputs!$B$19/100)))*(1+(Inputs!$B$24+((C1264=TRUE)*(F1264-Calc!F30)))/100)*(1+(IF(Skills!A9="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1243)</f>
        <v/>
      </c>
      <c r="L1243">
        <f>K1243*(MIN(Inputs!$B$22+((C1258=TRUE)*(F1258-Calc!F24)),Inputs!$B$23+((C1263=TRUE)*(F1263-Calc!F29)))/100+(Inputs!$B$23+((C1263=TRUE)*(F1263-Calc!F29)))/100)/2</f>
        <v/>
      </c>
      <c r="M1243">
        <f>L1243*(1+(Inputs!$B$10+((C1260=TRUE)*(F1260-Calc!F26))+B1274)/100)</f>
        <v/>
      </c>
      <c r="N1243">
        <f>L1243*(1-MIN((Inputs!$B$9+((C1259=TRUE)*(F1259-Calc!F25))+B1267),100)/100)+M1243*(MIN((Inputs!$B$9+((C1259=TRUE)*(F1259-Calc!F25))+B1267),100)/100)</f>
        <v/>
      </c>
      <c r="O1243">
        <f>(1-Summary!$B$55)*T1243+Summary!$B$55*V1243</f>
        <v/>
      </c>
      <c r="P1243">
        <f>IF(B1279=0,0,O1243/B1279)</f>
        <v/>
      </c>
      <c r="Q1243" t="n">
        <v>0</v>
      </c>
      <c r="R1243" t="n">
        <v>0</v>
      </c>
      <c r="S1243" t="n">
        <v>0</v>
      </c>
      <c r="T1243">
        <f>IF(C1243,(0.2*SUMPRODUCT((Skills!Z2:Z30=TRUE)*(C1236:C1264=TRUE)*S1236:S1264)*N1243)*IF(Inputs!$B$39="pvp",1,1+(Inputs!$B$20+0+Skills!P9+B1268)/100),0)</f>
        <v/>
      </c>
      <c r="V1243">
        <f>IF(C1243,(0.2*SUMPRODUCT((Skills!Z2:Z30=TRUE)*(C1236:C1264=TRUE)*S1236:S1264)*N1243)*IF(Inputs!$B$39="pvp",1,(1+(Inputs!$B$21+Skills!Q9+B1268)/100)*(MIN(Skills!W9,Inputs!$B$37))),0)</f>
        <v/>
      </c>
    </row>
    <row r="1244">
      <c r="A1244">
        <f>Skills!A10</f>
        <v/>
      </c>
      <c r="B1244">
        <f>Skills!B10</f>
        <v/>
      </c>
      <c r="C1244">
        <f>Inputs!$B$3&gt;=74</f>
        <v/>
      </c>
      <c r="D1244">
        <f>IF(Skills!C10=1,60+Inputs!$B$25+Inputs!$B$29,IF(Skills!C10=2,90+Inputs!$B$26+Inputs!$B$29,IF(Skills!C10=3,120+Inputs!$B$27+Inputs!$B$29,MAX(0,(Inputs!$B$3-100)*3)+Inputs!$B$28+Inputs!$B$29)))</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f>(1-Summary!$B$55)*T1244+Summary!$B$55*V1244</f>
        <v/>
      </c>
      <c r="P1244">
        <f>IF(B1279=0,0,O1244/B1279)</f>
        <v/>
      </c>
      <c r="Q1244">
        <f>IFERROR(1/IF(Inputs!$B$39="pvp",15,MAX(0.1,Skills!D10-IF(Skills!E10=TRUE,Inputs!$B$32,0))),0)</f>
        <v/>
      </c>
      <c r="R1244">
        <f>IF(AND(Inputs!$B$39&lt;&gt;"pvp",Inputs!$B$44&gt;0),IF(Inputs!$B$44&lt;=0,0,(INT(Inputs!$B$44/IF(Inputs!$B$39="pvp",15,MAX(0.1,Skills!D10-IF(Skills!E10=TRUE,Inputs!$B$32,0))))+1)),0)</f>
        <v/>
      </c>
      <c r="S1244">
        <f>IFERROR(O1244/N1244,0)</f>
        <v/>
      </c>
      <c r="T1244" t="n">
        <v>0</v>
      </c>
      <c r="V1244" t="n">
        <v>0</v>
      </c>
    </row>
    <row r="1245">
      <c r="A1245">
        <f>Skills!A11</f>
        <v/>
      </c>
      <c r="B1245">
        <f>Skills!B11</f>
        <v/>
      </c>
      <c r="C1245">
        <f>Inputs!$B$3&gt;=103</f>
        <v/>
      </c>
      <c r="D1245">
        <f>IF(Skills!C11=1,60+Inputs!$B$25+Inputs!$B$29,IF(Skills!C11=2,90+Inputs!$B$26+Inputs!$B$29,IF(Skills!C11=3,120+Inputs!$B$27+Inputs!$B$29,MAX(0,(Inputs!$B$3-100)*3)+Inputs!$B$28+Inputs!$B$29)))</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((Inputs!$B$6*(1+Inputs!$B$7/100))+(((Inputs!$B$12*(1+Inputs!$B$13/100))-(Inputs!$B$12*(1+Inputs!$B$13/100)))+0.25*(Inputs!$B$14-Inputs!$B$14))*(1+Inputs!$B$7/100))*(F1245/100)</f>
        <v/>
      </c>
      <c r="K1245">
        <f>J1245*(1+((Inputs!$B$12*(1+Inputs!$B$13/100))*0.01+Inputs!$B$14*0.0025)/100)*(1+Inputs!$B$15/100)*(1+Inputs!$B$16/100)*(5000/(6000+Inputs!$B$43*(1-Inputs!$B$19/100)))*(1+(Inputs!$B$24+((C1264=TRUE)*(F1264-Calc!F30)))/100)*(1+(IF(Skills!A11="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1245)</f>
        <v/>
      </c>
      <c r="L1245">
        <f>K1245*(MIN(Inputs!$B$22+((C1258=TRUE)*(F1258-Calc!F24)),Inputs!$B$23+((C1263=TRUE)*(F1263-Calc!F29)))/100+(Inputs!$B$23+((C1263=TRUE)*(F1263-Calc!F29)))/100)/2</f>
        <v/>
      </c>
      <c r="M1245">
        <f>L1245*(1+(Inputs!$B$10+((C1260=TRUE)*(F1260-Calc!F26))+B1274)/100)</f>
        <v/>
      </c>
      <c r="N1245">
        <f>L1245*(1-MIN((Inputs!$B$9+((C1259=TRUE)*(F1259-Calc!F25))+B1267),100)/100)+M1245*(MIN((Inputs!$B$9+((C1259=TRUE)*(F1259-Calc!F25))+B1267),100)/100)</f>
        <v/>
      </c>
      <c r="O1245">
        <f>(1-Summary!$B$55)*T1245+Summary!$B$55*V1245</f>
        <v/>
      </c>
      <c r="P1245">
        <f>IF(B1279=0,0,O1245/B1279)</f>
        <v/>
      </c>
      <c r="Q1245">
        <f>IFERROR(1/IF(Inputs!$B$39="pvp",15,MAX(0.1,Skills!D11-IF(Skills!E11=TRUE,Inputs!$B$32,0))),0)</f>
        <v/>
      </c>
      <c r="R1245">
        <f>IF(AND(Inputs!$B$39&lt;&gt;"pvp",Inputs!$B$44&gt;0),IF(MAX(0,Inputs!$B$44-B1278)&lt;=0,0,(INT(MAX(0,Inputs!$B$44-B1278)/IF(Inputs!$B$39="pvp",15,MAX(0.1,Skills!D11-IF(Skills!E11=TRUE,Inputs!$B$32,0))))+1)),0)</f>
        <v/>
      </c>
      <c r="S1245">
        <f>IFERROR(O1245/N1245,0)</f>
        <v/>
      </c>
      <c r="T1245">
        <f>IF(C1245,(H1245*N1245*IF(AND(Inputs!$B$39&lt;&gt;"pvp",Inputs!$B$44&gt;0),((Skills!G11*((R1245-1)*IF(Skills!H11&gt;0,Skills!I11/Skills!H11,1)+IF(Skills!H11&gt;0,MIN(Skills!I11,MAX(0,MAX(0,Inputs!$B$44-B1278)-((R1245-1)*IF(Inputs!$B$39="pvp",15,MAX(0.1,Skills!D11-IF(Skills!E11=TRUE,Inputs!$B$32,0))))))/Skills!H11,1)))/Inputs!$B$44),G1245*Q1245))*IF(Inputs!$B$39="pvp",1,1+(Inputs!$B$20+0+Skills!P11+B1268)/100),0)</f>
        <v/>
      </c>
      <c r="V1245">
        <f>IF(C1245,(H1245*N1245*IF(AND(Inputs!$B$39&lt;&gt;"pvp",Inputs!$B$44&gt;0),((Skills!G11*((R1245-1)*IF(Skills!H11&gt;0,Skills!I11/Skills!H11,1)+IF(Skills!H11&gt;0,MIN(Skills!I11,MAX(0,MAX(0,Inputs!$B$44-B1278)-((R1245-1)*IF(Inputs!$B$39="pvp",15,MAX(0.1,Skills!D11-IF(Skills!E11=TRUE,Inputs!$B$32,0))))))/Skills!H11,1)))/Inputs!$B$44),G1245*Q1245))*IF(Inputs!$B$39="pvp",1,(1+(Inputs!$B$21+Skills!Q11+B1268)/100)*(MIN(Skills!W11,Inputs!$B$37))),0)</f>
        <v/>
      </c>
    </row>
    <row r="1246">
      <c r="A1246">
        <f>Skills!A12</f>
        <v/>
      </c>
      <c r="B1246">
        <f>Skills!B12</f>
        <v/>
      </c>
      <c r="C1246">
        <f>Inputs!$B$3&gt;=105</f>
        <v/>
      </c>
      <c r="D1246">
        <f>IF(Skills!C12=1,60+Inputs!$B$25+Inputs!$B$29,IF(Skills!C12=2,90+Inputs!$B$26+Inputs!$B$29,IF(Skills!C12=3,120+Inputs!$B$27+Inputs!$B$29,MAX(0,(Inputs!$B$3-100)*3)+Inputs!$B$28+Inputs!$B$29)))</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((Inputs!$B$6*(1+Inputs!$B$7/100))+(((Inputs!$B$12*(1+Inputs!$B$13/100))-(Inputs!$B$12*(1+Inputs!$B$13/100)))+0.25*(Inputs!$B$14-Inputs!$B$14))*(1+Inputs!$B$7/100))*(F1246/100)</f>
        <v/>
      </c>
      <c r="K1246">
        <f>J1246*(1+((Inputs!$B$12*(1+Inputs!$B$13/100))*0.01+Inputs!$B$14*0.0025)/100)*(1+Inputs!$B$15/100)*(1+Inputs!$B$16/100)*(5000/(6000+Inputs!$B$43*(1-Inputs!$B$19/100)))*(1+(Inputs!$B$24+((C1264=TRUE)*(F1264-Calc!F30)))/100)*(1+(IF(Skills!A12="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1246)</f>
        <v/>
      </c>
      <c r="L1246">
        <f>K1246*(MIN(Inputs!$B$22+((C1258=TRUE)*(F1258-Calc!F24)),Inputs!$B$23+((C1263=TRUE)*(F1263-Calc!F29)))/100+(Inputs!$B$23+((C1263=TRUE)*(F1263-Calc!F29)))/100)/2</f>
        <v/>
      </c>
      <c r="M1246">
        <f>L1246*(1+(Inputs!$B$10+((C1260=TRUE)*(F1260-Calc!F26))+B1274)/100)</f>
        <v/>
      </c>
      <c r="N1246">
        <f>L1246*(1-MIN((Inputs!$B$9+((C1259=TRUE)*(F1259-Calc!F25))+B1267),100)/100)+M1246*(MIN((Inputs!$B$9+((C1259=TRUE)*(F1259-Calc!F25))+B1267),100)/100)</f>
        <v/>
      </c>
      <c r="O1246">
        <f>(1-Summary!$B$55)*T1246+Summary!$B$55*V1246</f>
        <v/>
      </c>
      <c r="P1246">
        <f>IF(B1279=0,0,O1246/B1279)</f>
        <v/>
      </c>
      <c r="Q1246">
        <f>IFERROR(1/IF(Inputs!$B$39="pvp",15,MAX(0.1,Skills!D12-IF(Skills!E12=TRUE,Inputs!$B$32,0))),0)</f>
        <v/>
      </c>
      <c r="R1246">
        <f>IF(AND(Inputs!$B$39&lt;&gt;"pvp",Inputs!$B$44&gt;0),IF(MAX(0,Inputs!$B$44-B1278)&lt;=0,0,(INT(MAX(0,Inputs!$B$44-B1278)/IF(Inputs!$B$39="pvp",15,MAX(0.1,Skills!D12-IF(Skills!E12=TRUE,Inputs!$B$32,0))))+1)),0)</f>
        <v/>
      </c>
      <c r="S1246">
        <f>IFERROR(O1246/N1246,0)</f>
        <v/>
      </c>
      <c r="T1246">
        <f>IF(C1246,(H1246*N1246*IF(AND(Inputs!$B$39&lt;&gt;"pvp",Inputs!$B$44&gt;0),((Skills!G12*((R1246-1)*IF(Skills!H12&gt;0,Skills!I12/Skills!H12,1)+IF(Skills!H12&gt;0,MIN(Skills!I12,MAX(0,MAX(0,Inputs!$B$44-B1278)-((R1246-1)*IF(Inputs!$B$39="pvp",15,MAX(0.1,Skills!D12-IF(Skills!E12=TRUE,Inputs!$B$32,0))))))/Skills!H12,1)))/Inputs!$B$44),G1246*Q1246))*IF(Inputs!$B$39="pvp",1,1+(Inputs!$B$20+0+Skills!P12+B1268)/100),0)</f>
        <v/>
      </c>
      <c r="V1246">
        <f>IF(C1246,(H1246*N1246*IF(AND(Inputs!$B$39&lt;&gt;"pvp",Inputs!$B$44&gt;0),((Skills!G12*((R1246-1)*IF(Skills!H12&gt;0,Skills!I12/Skills!H12,1)+IF(Skills!H12&gt;0,MIN(Skills!I12,MAX(0,MAX(0,Inputs!$B$44-B1278)-((R1246-1)*IF(Inputs!$B$39="pvp",15,MAX(0.1,Skills!D12-IF(Skills!E12=TRUE,Inputs!$B$32,0))))))/Skills!H12,1)))/Inputs!$B$44),G1246*Q1246))*IF(Inputs!$B$39="pvp",1,(1+(Inputs!$B$21+Skills!Q12+B1268)/100)*(MIN(Skills!W12,Inputs!$B$37))),0)</f>
        <v/>
      </c>
    </row>
    <row r="1247">
      <c r="A1247">
        <f>Skills!A13</f>
        <v/>
      </c>
      <c r="B1247">
        <f>Skills!B13</f>
        <v/>
      </c>
      <c r="C1247">
        <f>Inputs!$B$3&gt;=105</f>
        <v/>
      </c>
      <c r="D1247">
        <f>IF(Skills!C13=1,60+Inputs!$B$25+Inputs!$B$29,IF(Skills!C13=2,90+Inputs!$B$26+Inputs!$B$29,IF(Skills!C13=3,120+Inputs!$B$27+Inputs!$B$29,MAX(0,(Inputs!$B$3-100)*3)+Inputs!$B$28+Inputs!$B$29)))</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((Inputs!$B$6*(1+Inputs!$B$7/100))+(((Inputs!$B$12*(1+Inputs!$B$13/100))-(Inputs!$B$12*(1+Inputs!$B$13/100)))+0.25*(Inputs!$B$14-Inputs!$B$14))*(1+Inputs!$B$7/100))*(F1247/100)</f>
        <v/>
      </c>
      <c r="K1247">
        <f>J1247*(1+((Inputs!$B$12*(1+Inputs!$B$13/100))*0.01+Inputs!$B$14*0.0025)/100)*(1+Inputs!$B$15/100)*(1+Inputs!$B$16/100)*(5000/(6000+Inputs!$B$43*(1-Inputs!$B$19/100)))*(1+(Inputs!$B$24+((C1264=TRUE)*(F1264-Calc!F30)))/100)*(1+(IF(Skills!A13="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1247)</f>
        <v/>
      </c>
      <c r="L1247">
        <f>K1247*(MIN(Inputs!$B$22+((C1258=TRUE)*(F1258-Calc!F24)),Inputs!$B$23+((C1263=TRUE)*(F1263-Calc!F29)))/100+(Inputs!$B$23+((C1263=TRUE)*(F1263-Calc!F29)))/100)/2</f>
        <v/>
      </c>
      <c r="M1247">
        <f>L1247*(1+(Inputs!$B$10+((C1260=TRUE)*(F1260-Calc!F26))+B1274)/100)</f>
        <v/>
      </c>
      <c r="N1247">
        <f>L1247*(1-MIN((Inputs!$B$9+((C1259=TRUE)*(F1259-Calc!F25))+B1267),100)/100)+M1247*(MIN((Inputs!$B$9+((C1259=TRUE)*(F1259-Calc!F25))+B1267),100)/100)</f>
        <v/>
      </c>
      <c r="O1247">
        <f>(1-Summary!$B$55)*T1247+Summary!$B$55*V1247</f>
        <v/>
      </c>
      <c r="P1247">
        <f>IF(B1279=0,0,O1247/B1279)</f>
        <v/>
      </c>
      <c r="Q1247">
        <f>IFERROR(1/IF(Inputs!$B$39="pvp",15,MAX(0.1,Skills!D13-IF(Skills!E13=TRUE,Inputs!$B$32,0))),0)</f>
        <v/>
      </c>
      <c r="R1247">
        <f>IF(AND(Inputs!$B$39&lt;&gt;"pvp",Inputs!$B$44&gt;0),IF(MAX(0,Inputs!$B$44-B1278)&lt;=0,0,(INT(MAX(0,Inputs!$B$44-B1278)/IF(Inputs!$B$39="pvp",15,MAX(0.1,Skills!D13-IF(Skills!E13=TRUE,Inputs!$B$32,0))))+1)),0)</f>
        <v/>
      </c>
      <c r="S1247">
        <f>IFERROR(O1247/N1247,0)</f>
        <v/>
      </c>
      <c r="T1247">
        <f>IF(C1247,(H1247*N1247*IF(AND(Inputs!$B$39&lt;&gt;"pvp",Inputs!$B$44&gt;0),((Skills!G13*((R1247-1)*IF(Skills!H13&gt;0,Skills!I13/Skills!H13,1)+IF(Skills!H13&gt;0,MIN(Skills!I13,MAX(0,MAX(0,Inputs!$B$44-B1278)-((R1247-1)*IF(Inputs!$B$39="pvp",15,MAX(0.1,Skills!D13-IF(Skills!E13=TRUE,Inputs!$B$32,0))))))/Skills!H13,1)))/Inputs!$B$44),G1247*Q1247))*IF(Inputs!$B$39="pvp",1,1+(Inputs!$B$20+0+Skills!P13+B1268)/100),0)</f>
        <v/>
      </c>
      <c r="V1247">
        <f>IF(C1247,(H1247*N1247*IF(AND(Inputs!$B$39&lt;&gt;"pvp",Inputs!$B$44&gt;0),((Skills!G13*((R1247-1)*IF(Skills!H13&gt;0,Skills!I13/Skills!H13,1)+IF(Skills!H13&gt;0,MIN(Skills!I13,MAX(0,MAX(0,Inputs!$B$44-B1278)-((R1247-1)*IF(Inputs!$B$39="pvp",15,MAX(0.1,Skills!D13-IF(Skills!E13=TRUE,Inputs!$B$32,0))))))/Skills!H13,1)))/Inputs!$B$44),G1247*Q1247))*IF(Inputs!$B$39="pvp",1,(1+(Inputs!$B$21+Skills!Q13+B1268)/100)*(MIN(Skills!W13,Inputs!$B$37))),0)</f>
        <v/>
      </c>
    </row>
    <row r="1248">
      <c r="A1248">
        <f>Skills!A14</f>
        <v/>
      </c>
      <c r="B1248">
        <f>Skills!B14</f>
        <v/>
      </c>
      <c r="C1248">
        <f>Inputs!$B$3&gt;=107</f>
        <v/>
      </c>
      <c r="D1248">
        <f>IF(Skills!C14=1,60+Inputs!$B$25+Inputs!$B$29,IF(Skills!C14=2,90+Inputs!$B$26+Inputs!$B$29,IF(Skills!C14=3,120+Inputs!$B$27+Inputs!$B$29,MAX(0,(Inputs!$B$3-100)*3)+Inputs!$B$28+Inputs!$B$29)))</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((Inputs!$B$6*(1+Inputs!$B$7/100))+(((Inputs!$B$12*(1+Inputs!$B$13/100))-(Inputs!$B$12*(1+Inputs!$B$13/100)))+0.25*(Inputs!$B$14-Inputs!$B$14))*(1+Inputs!$B$7/100))*(F1248/100)</f>
        <v/>
      </c>
      <c r="K1248">
        <f>J1248*(1+((Inputs!$B$12*(1+Inputs!$B$13/100))*0.01+Inputs!$B$14*0.0025)/100)*(1+Inputs!$B$15/100)*(1+Inputs!$B$16/100)*(5000/(6000+Inputs!$B$43*(1-Inputs!$B$19/100)))*(1+(Inputs!$B$24+((C1264=TRUE)*(F1264-Calc!F30)))/100)*(1+(IF(Skills!A14="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1248)</f>
        <v/>
      </c>
      <c r="L1248">
        <f>K1248*(MIN(Inputs!$B$22+((C1258=TRUE)*(F1258-Calc!F24)),Inputs!$B$23+((C1263=TRUE)*(F1263-Calc!F29)))/100+(Inputs!$B$23+((C1263=TRUE)*(F1263-Calc!F29)))/100)/2</f>
        <v/>
      </c>
      <c r="M1248">
        <f>L1248*(1+(Inputs!$B$10+((C1260=TRUE)*(F1260-Calc!F26))+B1274)/100)</f>
        <v/>
      </c>
      <c r="N1248">
        <f>L1248*(1-MIN((Inputs!$B$9+((C1259=TRUE)*(F1259-Calc!F25))+B1267),100)/100)+M1248*(MIN((Inputs!$B$9+((C1259=TRUE)*(F1259-Calc!F25))+B1267),100)/100)</f>
        <v/>
      </c>
      <c r="O1248">
        <f>(1-Summary!$B$55)*T1248+Summary!$B$55*V1248</f>
        <v/>
      </c>
      <c r="P1248">
        <f>IF(B1279=0,0,O1248/B1279)</f>
        <v/>
      </c>
      <c r="Q1248">
        <f>IFERROR(1/IF(Inputs!$B$39="pvp",15,MAX(0.1,Skills!D14-IF(Skills!E14=TRUE,Inputs!$B$32,0))),0)</f>
        <v/>
      </c>
      <c r="R1248">
        <f>IF(AND(Inputs!$B$39&lt;&gt;"pvp",Inputs!$B$44&gt;0),IF(MAX(0,Inputs!$B$44-B1278)&lt;=0,0,(INT(MAX(0,Inputs!$B$44-B1278)/IF(Inputs!$B$39="pvp",15,MAX(0.1,Skills!D14-IF(Skills!E14=TRUE,Inputs!$B$32,0))))+1)),0)</f>
        <v/>
      </c>
      <c r="S1248">
        <f>IFERROR(O1248/N1248,0)</f>
        <v/>
      </c>
      <c r="T1248">
        <f>IF(C1248,(H1248*N1248*IF(AND(Inputs!$B$39&lt;&gt;"pvp",Inputs!$B$44&gt;0),((Skills!G14*((R1248-1)*IF(Skills!H14&gt;0,Skills!I14/Skills!H14,1)+IF(Skills!H14&gt;0,MIN(Skills!I14,MAX(0,MAX(0,Inputs!$B$44-B1278)-((R1248-1)*IF(Inputs!$B$39="pvp",15,MAX(0.1,Skills!D14-IF(Skills!E14=TRUE,Inputs!$B$32,0))))))/Skills!H14,1)))/Inputs!$B$44),G1248*Q1248))*IF(Inputs!$B$39="pvp",1,1+(Inputs!$B$20+0+Skills!P14+B1268)/100),0)</f>
        <v/>
      </c>
      <c r="V1248">
        <f>IF(C1248,(H1248*N1248*IF(AND(Inputs!$B$39&lt;&gt;"pvp",Inputs!$B$44&gt;0),((Skills!G14*((R1248-1)*IF(Skills!H14&gt;0,Skills!I14/Skills!H14,1)+IF(Skills!H14&gt;0,MIN(Skills!I14,MAX(0,MAX(0,Inputs!$B$44-B1278)-((R1248-1)*IF(Inputs!$B$39="pvp",15,MAX(0.1,Skills!D14-IF(Skills!E14=TRUE,Inputs!$B$32,0))))))/Skills!H14,1)))/Inputs!$B$44),G1248*Q1248))*IF(Inputs!$B$39="pvp",1,(1+(Inputs!$B$21+Skills!Q14+B1268)/100)*(MIN(MIN(5,0.25*B1271*Skills!D4)*Skills!V14,Inputs!$B$37))),0)</f>
        <v/>
      </c>
    </row>
    <row r="1249">
      <c r="A1249">
        <f>Skills!A15</f>
        <v/>
      </c>
      <c r="B1249">
        <f>Skills!B15</f>
        <v/>
      </c>
      <c r="C1249">
        <f>Inputs!$B$3&gt;=110</f>
        <v/>
      </c>
      <c r="D1249">
        <f>IF(Skills!C15=1,60+Inputs!$B$25+Inputs!$B$29,IF(Skills!C15=2,90+Inputs!$B$26+Inputs!$B$29,IF(Skills!C15=3,120+Inputs!$B$27+Inputs!$B$29,MAX(0,(Inputs!$B$3-100)*3)+Inputs!$B$28+Inputs!$B$29)))</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f>(1-Summary!$B$55)*T1249+Summary!$B$55*V1249</f>
        <v/>
      </c>
      <c r="P1249">
        <f>IF(B1279=0,0,O1249/B1279)</f>
        <v/>
      </c>
      <c r="Q1249">
        <f>IFERROR(1/IF(Inputs!$B$39="pvp",15,MAX(0.1,Skills!D15-IF(Skills!E15=TRUE,Inputs!$B$32,0))),0)</f>
        <v/>
      </c>
      <c r="R1249">
        <f>IF(AND(Inputs!$B$39&lt;&gt;"pvp",Inputs!$B$44&gt;0),IF(Inputs!$B$44&lt;=0,0,(INT(Inputs!$B$44/IF(Inputs!$B$39="pvp",15,MAX(0.1,Skills!D15-IF(Skills!E15=TRUE,Inputs!$B$32,0))))+1)),0)</f>
        <v/>
      </c>
      <c r="S1249">
        <f>IFERROR(O1249/N1249,0)</f>
        <v/>
      </c>
      <c r="T1249" t="n">
        <v>0</v>
      </c>
      <c r="V1249" t="n">
        <v>0</v>
      </c>
    </row>
    <row r="1250">
      <c r="A1250">
        <f>Skills!A16</f>
        <v/>
      </c>
      <c r="B1250">
        <f>Skills!B16</f>
        <v/>
      </c>
      <c r="C1250">
        <f>Inputs!$B$3&gt;=115</f>
        <v/>
      </c>
      <c r="D1250">
        <f>IF(Skills!C16=1,60+Inputs!$B$25+Inputs!$B$29,IF(Skills!C16=2,90+Inputs!$B$26+Inputs!$B$29,IF(Skills!C16=3,120+Inputs!$B$27+Inputs!$B$29,MAX(0,(Inputs!$B$3-100)*3)+Inputs!$B$28+Inputs!$B$29)))</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((Inputs!$B$6*(1+Inputs!$B$7/100))+(((Inputs!$B$12*(1+Inputs!$B$13/100))-(Inputs!$B$12*(1+Inputs!$B$13/100)))+0.25*(Inputs!$B$14-Inputs!$B$14))*(1+Inputs!$B$7/100))*(F1250/100)</f>
        <v/>
      </c>
      <c r="K1250">
        <f>J1250*(1+((Inputs!$B$12*(1+Inputs!$B$13/100))*0.01+Inputs!$B$14*0.0025)/100)*(1+Inputs!$B$15/100)*(1+Inputs!$B$16/100)*(5000/(6000+Inputs!$B$43*(1-Inputs!$B$19/100)))*(1+(Inputs!$B$24+((C1264=TRUE)*(F1264-Calc!F30)))/100)*(1+(IF(Skills!A16="CRUEL_STAB",Inputs!$B$17+((C1261=TRUE)*(F1261-Calc!F27)),Inputs!$B$18+((C1262=TRUE)*(F1262-Calc!F28))))/100)*(((1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B1269*I1250)</f>
        <v/>
      </c>
      <c r="L1250">
        <f>K1250*(MIN(Inputs!$B$22+((C1258=TRUE)*(F1258-Calc!F24)),Inputs!$B$23+((C1263=TRUE)*(F1263-Calc!F29)))/100+(Inputs!$B$23+((C1263=TRUE)*(F1263-Calc!F29)))/100)/2</f>
        <v/>
      </c>
      <c r="M1250">
        <f>L1250*(1+(Inputs!$B$10+((C1260=TRUE)*(F1260-Calc!F26))+B1274)/100)</f>
        <v/>
      </c>
      <c r="N1250">
        <f>L1250*(1-MIN((Inputs!$B$9+((C1259=TRUE)*(F1259-Calc!F25))+B1267),100)/100)+M1250*(MIN((Inputs!$B$9+((C1259=TRUE)*(F1259-Calc!F25))+B1267),100)/100)</f>
        <v/>
      </c>
      <c r="O1250">
        <f>(1-Summary!$B$55)*T1250+Summary!$B$55*V1250</f>
        <v/>
      </c>
      <c r="P1250">
        <f>IF(B1279=0,0,O1250/B1279)</f>
        <v/>
      </c>
      <c r="Q1250" t="n">
        <v>0</v>
      </c>
      <c r="R1250" t="n">
        <v>0</v>
      </c>
      <c r="S1250">
        <f>IFERROR(O1250/N1250,0)</f>
        <v/>
      </c>
      <c r="T1250">
        <f>IF(C1250,(Inputs!$B$38*0.2*N1250)*IF(Inputs!$B$39="pvp",1,1+(Inputs!$B$20+0+Skills!P16+B1268)/100),0)</f>
        <v/>
      </c>
      <c r="V1250">
        <f>IF(C1250,(Inputs!$B$38*0.2*N1250)*IF(Inputs!$B$39="pvp",1,(1+(Inputs!$B$21+Skills!Q16+B1268)/100)*(MIN(Skills!W16,Inputs!$B$37))),0)</f>
        <v/>
      </c>
    </row>
    <row r="1251">
      <c r="A1251">
        <f>Skills!A17</f>
        <v/>
      </c>
      <c r="B1251">
        <f>Skills!B17</f>
        <v/>
      </c>
      <c r="C1251">
        <f>Inputs!$B$3&gt;=115</f>
        <v/>
      </c>
      <c r="D1251">
        <f>IF(Skills!C17=1,60+Inputs!$B$25+Inputs!$B$29,IF(Skills!C17=2,90+Inputs!$B$26+Inputs!$B$29,IF(Skills!C17=3,120+Inputs!$B$27+Inputs!$B$29,MAX(0,(Inputs!$B$3-100)*3)+Inputs!$B$28+Inputs!$B$29)))</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f>(1-Summary!$B$55)*T1251+Summary!$B$55*V1251</f>
        <v/>
      </c>
      <c r="P1251">
        <f>IF(B1279=0,0,O1251/B1279)</f>
        <v/>
      </c>
      <c r="Q1251" t="n">
        <v>0</v>
      </c>
      <c r="R1251" t="n">
        <v>0</v>
      </c>
      <c r="S1251">
        <f>IFERROR(O1251/N1251,0)</f>
        <v/>
      </c>
      <c r="T1251" t="n">
        <v>0</v>
      </c>
      <c r="V1251" t="n">
        <v>0</v>
      </c>
    </row>
    <row r="1252">
      <c r="A1252">
        <f>Skills!A18</f>
        <v/>
      </c>
      <c r="B1252">
        <f>Skills!B18</f>
        <v/>
      </c>
      <c r="C1252">
        <f>Inputs!$B$3&gt;=100</f>
        <v/>
      </c>
      <c r="D1252">
        <f>IF(Skills!C18=1,60+Inputs!$B$25+Inputs!$B$29,IF(Skills!C18=2,90+Inputs!$B$26+Inputs!$B$29,IF(Skills!C18=3,120+Inputs!$B$27+Inputs!$B$29,MAX(0,(Inputs!$B$3-100)*3)+Inputs!$B$28+Inputs!$B$29)))</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f>(1-Summary!$B$55)*T1252+Summary!$B$55*V1252</f>
        <v/>
      </c>
      <c r="P1252">
        <f>IF(B1279=0,0,O1252/B1279)</f>
        <v/>
      </c>
      <c r="Q1252" t="n">
        <v>0</v>
      </c>
      <c r="R1252" t="n">
        <v>0</v>
      </c>
      <c r="S1252">
        <f>IFERROR(O1252/N1252,0)</f>
        <v/>
      </c>
      <c r="T1252" t="n">
        <v>0</v>
      </c>
      <c r="V1252" t="n">
        <v>0</v>
      </c>
    </row>
    <row r="1253">
      <c r="A1253">
        <f>Skills!A19</f>
        <v/>
      </c>
      <c r="B1253">
        <f>Skills!B19</f>
        <v/>
      </c>
      <c r="C1253">
        <f>TRUE</f>
        <v/>
      </c>
      <c r="D1253">
        <f>IF(Skills!C19=1,60+Inputs!$B$25+Inputs!$B$29,IF(Skills!C19=2,90+Inputs!$B$26+Inputs!$B$29,IF(Skills!C19=3,120+Inputs!$B$27+Inputs!$B$29,MAX(0,(Inputs!$B$3-100)*3)+Inputs!$B$28+Inputs!$B$29)))</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f>(1-Summary!$B$55)*T1253+Summary!$B$55*V1253</f>
        <v/>
      </c>
      <c r="P1253">
        <f>IF(B1279=0,0,O1253/B1279)</f>
        <v/>
      </c>
      <c r="Q1253">
        <f>IFERROR(1/IF(Inputs!$B$39="pvp",15,MAX(0.1,Skills!D19-IF(Skills!E19=TRUE,Inputs!$B$32,0))),0)</f>
        <v/>
      </c>
      <c r="R1253">
        <f>IF(AND(Inputs!$B$39&lt;&gt;"pvp",Inputs!$B$44&gt;0),IF(Inputs!$B$44&lt;=0,0,(INT(Inputs!$B$44/IF(Inputs!$B$39="pvp",15,MAX(0.1,Skills!D19-IF(Skills!E19=TRUE,Inputs!$B$32,0))))+1)),0)</f>
        <v/>
      </c>
      <c r="S1253">
        <f>IFERROR(O1253/N1253,0)</f>
        <v/>
      </c>
      <c r="T1253" t="n">
        <v>0</v>
      </c>
      <c r="V1253" t="n">
        <v>0</v>
      </c>
    </row>
    <row r="1254">
      <c r="A1254">
        <f>Skills!A20</f>
        <v/>
      </c>
      <c r="B1254">
        <f>Skills!B20</f>
        <v/>
      </c>
      <c r="C1254">
        <f>Inputs!$B$3&gt;=15</f>
        <v/>
      </c>
      <c r="D1254">
        <f>IF(Skills!C20=1,60+Inputs!$B$25+Inputs!$B$29,IF(Skills!C20=2,90+Inputs!$B$26+Inputs!$B$29,IF(Skills!C20=3,120+Inputs!$B$27+Inputs!$B$29,MAX(0,(Inputs!$B$3-100)*3)+Inputs!$B$28+Inputs!$B$29)))</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f>(1-Summary!$B$55)*T1254+Summary!$B$55*V1254</f>
        <v/>
      </c>
      <c r="P1254">
        <f>IF(B1279=0,0,O1254/B1279)</f>
        <v/>
      </c>
      <c r="Q1254">
        <f>IFERROR(1/IF(Inputs!$B$39="pvp",15,MAX(0.1,Skills!D20-IF(Skills!E20=TRUE,Inputs!$B$32,0))),0)</f>
        <v/>
      </c>
      <c r="R1254">
        <f>IF(AND(Inputs!$B$39&lt;&gt;"pvp",Inputs!$B$44&gt;0),IF(Inputs!$B$44&lt;=0,0,(INT(Inputs!$B$44/IF(Inputs!$B$39="pvp",15,MAX(0.1,Skills!D20-IF(Skills!E20=TRUE,Inputs!$B$32,0))))+1)),0)</f>
        <v/>
      </c>
      <c r="S1254">
        <f>IFERROR(O1254/N1254,0)</f>
        <v/>
      </c>
      <c r="T1254" t="n">
        <v>0</v>
      </c>
      <c r="V1254" t="n">
        <v>0</v>
      </c>
    </row>
    <row r="1255">
      <c r="A1255">
        <f>Skills!A21</f>
        <v/>
      </c>
      <c r="B1255">
        <f>Skills!B21</f>
        <v/>
      </c>
      <c r="C1255">
        <f>Inputs!$B$3&gt;=15</f>
        <v/>
      </c>
      <c r="D1255">
        <f>IF(Skills!C21=1,60+Inputs!$B$25+Inputs!$B$29,IF(Skills!C21=2,90+Inputs!$B$26+Inputs!$B$29,IF(Skills!C21=3,120+Inputs!$B$27+Inputs!$B$29,MAX(0,(Inputs!$B$3-100)*3)+Inputs!$B$28+Inputs!$B$29)))</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f>(1-Summary!$B$55)*T1255+Summary!$B$55*V1255</f>
        <v/>
      </c>
      <c r="P1255">
        <f>IF(B1279=0,0,O1255/B1279)</f>
        <v/>
      </c>
      <c r="Q1255">
        <f>IFERROR(1/IF(Inputs!$B$39="pvp",15,MAX(0.1,Skills!D21-IF(Skills!E21=TRUE,Inputs!$B$32,0))),0)</f>
        <v/>
      </c>
      <c r="R1255">
        <f>IF(AND(Inputs!$B$39&lt;&gt;"pvp",Inputs!$B$44&gt;0),IF(Inputs!$B$44&lt;=0,0,(INT(Inputs!$B$44/IF(Inputs!$B$39="pvp",15,MAX(0.1,Skills!D21-IF(Skills!E21=TRUE,Inputs!$B$32,0))))+1)),0)</f>
        <v/>
      </c>
      <c r="S1255">
        <f>IFERROR(O1255/N1255,0)</f>
        <v/>
      </c>
      <c r="T1255" t="n">
        <v>0</v>
      </c>
      <c r="V1255" t="n">
        <v>0</v>
      </c>
    </row>
    <row r="1256">
      <c r="A1256">
        <f>Skills!A22</f>
        <v/>
      </c>
      <c r="B1256">
        <f>Skills!B22</f>
        <v/>
      </c>
      <c r="C1256">
        <f>Inputs!$B$3&gt;=33</f>
        <v/>
      </c>
      <c r="D1256">
        <f>IF(Skills!C22=1,60+Inputs!$B$25+Inputs!$B$29,IF(Skills!C22=2,90+Inputs!$B$26+Inputs!$B$29,IF(Skills!C22=3,120+Inputs!$B$27+Inputs!$B$29,MAX(0,(Inputs!$B$3-100)*3)+Inputs!$B$28+Inputs!$B$29)))</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f>(1-Summary!$B$55)*T1256+Summary!$B$55*V1256</f>
        <v/>
      </c>
      <c r="P1256">
        <f>IF(B1279=0,0,O1256/B1279)</f>
        <v/>
      </c>
      <c r="Q1256" t="n">
        <v>0</v>
      </c>
      <c r="R1256" t="n">
        <v>0</v>
      </c>
      <c r="S1256">
        <f>IFERROR(O1256/N1256,0)</f>
        <v/>
      </c>
      <c r="T1256" t="n">
        <v>0</v>
      </c>
      <c r="V1256" t="n">
        <v>0</v>
      </c>
    </row>
    <row r="1257">
      <c r="A1257">
        <f>Skills!A23</f>
        <v/>
      </c>
      <c r="B1257">
        <f>Skills!B23</f>
        <v/>
      </c>
      <c r="C1257">
        <f>Inputs!$B$3&gt;=40</f>
        <v/>
      </c>
      <c r="D1257">
        <f>IF(Skills!C23=1,60+Inputs!$B$25+Inputs!$B$29,IF(Skills!C23=2,90+Inputs!$B$26+Inputs!$B$29,IF(Skills!C23=3,120+Inputs!$B$27+Inputs!$B$29,MAX(0,(Inputs!$B$3-100)*3)+Inputs!$B$28+Inputs!$B$29)))</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f>(1-Summary!$B$55)*T1257+Summary!$B$55*V1257</f>
        <v/>
      </c>
      <c r="P1257">
        <f>IF(B1279=0,0,O1257/B1279)</f>
        <v/>
      </c>
      <c r="Q1257" t="n">
        <v>0</v>
      </c>
      <c r="R1257" t="n">
        <v>0</v>
      </c>
      <c r="S1257">
        <f>IFERROR(O1257/N1257,0)</f>
        <v/>
      </c>
      <c r="T1257" t="n">
        <v>0</v>
      </c>
      <c r="V1257" t="n">
        <v>0</v>
      </c>
    </row>
    <row r="1258">
      <c r="A1258">
        <f>Skills!A24</f>
        <v/>
      </c>
      <c r="B1258">
        <f>Skills!B24</f>
        <v/>
      </c>
      <c r="C1258">
        <f>Inputs!$B$3&gt;=43</f>
        <v/>
      </c>
      <c r="D1258">
        <f>IF(Skills!C24=1,60+Inputs!$B$25+Inputs!$B$29,IF(Skills!C24=2,90+Inputs!$B$26+Inputs!$B$29,IF(Skills!C24=3,120+Inputs!$B$27+Inputs!$B$29,MAX(0,(Inputs!$B$3-100)*3)+Inputs!$B$28+Inputs!$B$29)))</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f>(1-Summary!$B$55)*T1258+Summary!$B$55*V1258</f>
        <v/>
      </c>
      <c r="P1258">
        <f>IF(B1279=0,0,O1258/B1279)</f>
        <v/>
      </c>
      <c r="Q1258" t="n">
        <v>0</v>
      </c>
      <c r="R1258" t="n">
        <v>0</v>
      </c>
      <c r="S1258">
        <f>IFERROR(O1258/N1258,0)</f>
        <v/>
      </c>
      <c r="T1258" t="n">
        <v>0</v>
      </c>
      <c r="V1258" t="n">
        <v>0</v>
      </c>
    </row>
    <row r="1259">
      <c r="A1259">
        <f>Skills!A25</f>
        <v/>
      </c>
      <c r="B1259">
        <f>Skills!B25</f>
        <v/>
      </c>
      <c r="C1259">
        <f>Inputs!$B$3&gt;=50</f>
        <v/>
      </c>
      <c r="D1259">
        <f>IF(Skills!C25=1,60+Inputs!$B$25+Inputs!$B$29,IF(Skills!C25=2,90+Inputs!$B$26+Inputs!$B$29,IF(Skills!C25=3,120+Inputs!$B$27+Inputs!$B$29,MAX(0,(Inputs!$B$3-100)*3)+Inputs!$B$28+Inputs!$B$29)))</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f>(1-Summary!$B$55)*T1259+Summary!$B$55*V1259</f>
        <v/>
      </c>
      <c r="P1259">
        <f>IF(B1279=0,0,O1259/B1279)</f>
        <v/>
      </c>
      <c r="Q1259" t="n">
        <v>0</v>
      </c>
      <c r="R1259" t="n">
        <v>0</v>
      </c>
      <c r="S1259">
        <f>IFERROR(O1259/N1259,0)</f>
        <v/>
      </c>
      <c r="T1259" t="n">
        <v>0</v>
      </c>
      <c r="V1259" t="n">
        <v>0</v>
      </c>
    </row>
    <row r="1260">
      <c r="A1260">
        <f>Skills!A26</f>
        <v/>
      </c>
      <c r="B1260">
        <f>Skills!B26</f>
        <v/>
      </c>
      <c r="C1260">
        <f>Inputs!$B$3&gt;=50</f>
        <v/>
      </c>
      <c r="D1260">
        <f>IF(Skills!C26=1,60+Inputs!$B$25+Inputs!$B$29,IF(Skills!C26=2,90+Inputs!$B$26+Inputs!$B$29,IF(Skills!C26=3,120+Inputs!$B$27+Inputs!$B$29,MAX(0,(Inputs!$B$3-100)*3)+Inputs!$B$28+Inputs!$B$29)))</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f>(1-Summary!$B$55)*T1260+Summary!$B$55*V1260</f>
        <v/>
      </c>
      <c r="P1260">
        <f>IF(B1279=0,0,O1260/B1279)</f>
        <v/>
      </c>
      <c r="Q1260" t="n">
        <v>0</v>
      </c>
      <c r="R1260" t="n">
        <v>0</v>
      </c>
      <c r="S1260">
        <f>IFERROR(O1260/N1260,0)</f>
        <v/>
      </c>
      <c r="T1260" t="n">
        <v>0</v>
      </c>
      <c r="V1260" t="n">
        <v>0</v>
      </c>
    </row>
    <row r="1261">
      <c r="A1261">
        <f>Skills!A27</f>
        <v/>
      </c>
      <c r="B1261">
        <f>Skills!B27</f>
        <v/>
      </c>
      <c r="C1261">
        <f>Inputs!$B$3&gt;=38</f>
        <v/>
      </c>
      <c r="D1261">
        <f>IF(Skills!C27=1,60+Inputs!$B$25+Inputs!$B$29,IF(Skills!C27=2,90+Inputs!$B$26+Inputs!$B$29,IF(Skills!C27=3,120+Inputs!$B$27+Inputs!$B$29,MAX(0,(Inputs!$B$3-100)*3)+Inputs!$B$28+Inputs!$B$29)))</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f>(1-Summary!$B$55)*T1261+Summary!$B$55*V1261</f>
        <v/>
      </c>
      <c r="P1261">
        <f>IF(B1279=0,0,O1261/B1279)</f>
        <v/>
      </c>
      <c r="Q1261" t="n">
        <v>0</v>
      </c>
      <c r="R1261" t="n">
        <v>0</v>
      </c>
      <c r="S1261">
        <f>IFERROR(O1261/N1261,0)</f>
        <v/>
      </c>
      <c r="T1261" t="n">
        <v>0</v>
      </c>
      <c r="V1261" t="n">
        <v>0</v>
      </c>
    </row>
    <row r="1262">
      <c r="A1262">
        <f>Skills!A28</f>
        <v/>
      </c>
      <c r="B1262">
        <f>Skills!B28</f>
        <v/>
      </c>
      <c r="C1262">
        <f>Inputs!$B$3&gt;=120</f>
        <v/>
      </c>
      <c r="D1262">
        <f>IF(Skills!C28=1,60+Inputs!$B$25+Inputs!$B$29,IF(Skills!C28=2,90+Inputs!$B$26+Inputs!$B$29,IF(Skills!C28=3,120+Inputs!$B$27+Inputs!$B$29,MAX(0,(Inputs!$B$3-100)*3)+Inputs!$B$28+Inputs!$B$29)))</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f>(1-Summary!$B$55)*T1262+Summary!$B$55*V1262</f>
        <v/>
      </c>
      <c r="P1262">
        <f>IF(B1279=0,0,O1262/B1279)</f>
        <v/>
      </c>
      <c r="Q1262" t="n">
        <v>0</v>
      </c>
      <c r="R1262" t="n">
        <v>0</v>
      </c>
      <c r="S1262">
        <f>IFERROR(O1262/N1262,0)</f>
        <v/>
      </c>
      <c r="T1262" t="n">
        <v>0</v>
      </c>
      <c r="V1262" t="n">
        <v>0</v>
      </c>
    </row>
    <row r="1263">
      <c r="A1263">
        <f>Skills!A29</f>
        <v/>
      </c>
      <c r="B1263">
        <f>Skills!B29</f>
        <v/>
      </c>
      <c r="C1263">
        <f>Inputs!$B$3&gt;=120</f>
        <v/>
      </c>
      <c r="D1263">
        <f>IF(Skills!C29=1,60+Inputs!$B$25+Inputs!$B$29,IF(Skills!C29=2,90+Inputs!$B$26+Inputs!$B$29,IF(Skills!C29=3,120+Inputs!$B$27+Inputs!$B$29,MAX(0,(Inputs!$B$3-100)*3)+Inputs!$B$28+Inputs!$B$29)))</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f>(1-Summary!$B$55)*T1263+Summary!$B$55*V1263</f>
        <v/>
      </c>
      <c r="P1263">
        <f>IF(B1279=0,0,O1263/B1279)</f>
        <v/>
      </c>
      <c r="Q1263" t="n">
        <v>0</v>
      </c>
      <c r="R1263" t="n">
        <v>0</v>
      </c>
      <c r="S1263">
        <f>IFERROR(O1263/N1263,0)</f>
        <v/>
      </c>
      <c r="T1263" t="n">
        <v>0</v>
      </c>
      <c r="V1263" t="n">
        <v>0</v>
      </c>
    </row>
    <row r="1264">
      <c r="A1264">
        <f>Skills!A30</f>
        <v/>
      </c>
      <c r="B1264">
        <f>Skills!B30</f>
        <v/>
      </c>
      <c r="C1264">
        <f>Inputs!$B$3&gt;=125</f>
        <v/>
      </c>
      <c r="D1264">
        <f>IF(Skills!C30=1,60+Inputs!$B$25+Inputs!$B$29,IF(Skills!C30=2,90+Inputs!$B$26+Inputs!$B$29,IF(Skills!C30=3,120+Inputs!$B$27+Inputs!$B$29,MAX(0,(Inputs!$B$3-100)*3)+Inputs!$B$28+Inputs!$B$29)))</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f>(1-Summary!$B$55)*T1264+Summary!$B$55*V1264</f>
        <v/>
      </c>
      <c r="P1264">
        <f>IF(B1279=0,0,O1264/B1279)</f>
        <v/>
      </c>
      <c r="Q1264" t="n">
        <v>0</v>
      </c>
      <c r="R1264" t="n">
        <v>0</v>
      </c>
      <c r="S1264">
        <f>IFERROR(O1264/N1264,0)</f>
        <v/>
      </c>
      <c r="T1264" t="n">
        <v>0</v>
      </c>
      <c r="V1264" t="n">
        <v>0</v>
      </c>
    </row>
    <row r="1266">
      <c r="A1266" t="inlineStr">
        <is>
          <t>Average Buff Multiplier</t>
        </is>
      </c>
      <c r="B1266">
        <f>(1+(((C1255=TRUE)*F1255*IF(AND(Inputs!$B$39&lt;&gt;"pvp",Inputs!$B$44&gt;0),(((R1255-1)*(Skills!Y21*(1+Inputs!$B$34/100))+MIN((Skills!Y21*(1+Inputs!$B$34/100)),MAX(0,Inputs!$B$44-((R1255-1)*Skills!D21))))/Inputs!$B$44),IF(Inputs!$B$39="pvp",MIN((Skills!Y21*(1+Inputs!$B$34/100)),15)/15,(Skills!Y21*(1+Inputs!$B$34/100))/Skills!D21)))+((C1257=TRUE)*(F1257-Calc!F23))+((C1251=TRUE)*(F1251-Calc!F17)))/100)*(1+((C1244=TRUE)*F1244*IF(AND(Inputs!$B$39&lt;&gt;"pvp",Inputs!$B$44&gt;0),(((R1244-1)*(Skills!Y10*(1+Inputs!$B$34/100))+MIN((Skills!Y10*(1+Inputs!$B$34/100)),MAX(0,Inputs!$B$44-((R1244-1)*Skills!D10))))/Inputs!$B$44),IF(Inputs!$B$39="pvp",MIN((Skills!Y10*(1+Inputs!$B$34/100)),15)/15,(Skills!Y10*(1+Inputs!$B$34/100))/Skills!D10)))/100)*(1+((C1249=TRUE)*F1249*IF(AND(Inputs!$B$39&lt;&gt;"pvp",Inputs!$B$44&gt;0),(((R1249-1)*(Skills!Y15*(1+Inputs!$B$34/100))+MIN((Skills!Y15*(1+Inputs!$B$34/100)),MAX(0,Inputs!$B$44-((R1249-1)*Skills!D15))))/Inputs!$B$44),IF(Inputs!$B$39="pvp",MIN((Skills!Y15*(1+Inputs!$B$34/100)),15)/15,(Skills!Y15*(1+Inputs!$B$34/100))/Skills!D15)))/100)</f>
        <v/>
      </c>
    </row>
    <row r="1267">
      <c r="A1267" t="inlineStr">
        <is>
          <t>Global Crit Rate Bonus %</t>
        </is>
      </c>
      <c r="B1267">
        <f>((C1254=TRUE)*F1254*IF(AND(Inputs!$B$39&lt;&gt;"pvp",Inputs!$B$44&gt;0),(((R1254-1)*(Skills!Y20*(1+Inputs!$B$34/100))+MIN((Skills!Y20*(1+Inputs!$B$34/100)),MAX(0,Inputs!$B$44-((R1254-1)*Skills!D20))))/Inputs!$B$44),IF(Inputs!$B$39="pvp",MIN((Skills!Y20*(1+Inputs!$B$34/100)),15)/15,(Skills!Y20*(1+Inputs!$B$34/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$39&lt;&gt;"pvp",Inputs!$B$44&gt;0),(((R1253-1)*(Skills!Y19*(1+Inputs!$B$34/100))+MIN((Skills!Y19*(1+Inputs!$B$34/100)),MAX(0,Inputs!$B$44-((R1253-1)*Skills!D19))))/Inputs!$B$44),IF(Inputs!$B$39="pvp",MIN((Skills!Y19*(1+Inputs!$B$34/100)),15)/15,(Skills!Y19*(1+Inputs!$B$34/100))/Skills!D19)))+((C1237=TRUE)*F1237*3)</f>
        <v/>
      </c>
    </row>
    <row r="1271">
      <c r="A1271" t="inlineStr">
        <is>
          <t>Actions Per Second</t>
        </is>
      </c>
      <c r="B1271">
        <f>1+MIN(150,150*(1-(1-(Inputs!$B$11+((C1256=TRUE)*(F1256-Calc!F22)))/150)*(1-B1270/150)))/100</f>
        <v/>
      </c>
    </row>
    <row r="1272">
      <c r="A1272" t="inlineStr">
        <is>
          <t>Skill + Buff Cast Rate</t>
        </is>
      </c>
      <c r="B1272">
        <f>IF(AND(Inputs!$B$39&lt;&gt;"pvp",Inputs!$B$44&gt;0),SUMPRODUCT((Skills!E2:E30=TRUE)*(C1236:C1264=TRUE)*R1236:R1264*Skills!F2:F30)/Inputs!$B$44,SUMPRODUCT((Skills!E2:E30=TRUE)*(C1236:C1264=TRUE)*Q1236:Q1264*Skills!F2:F30))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$39&lt;&gt;"pvp",Inputs!$B$44&gt;0),(((R1249-1)*(Skills!Y15*(1+Inputs!$B$34/100))+MIN((Skills!Y15*(1+Inputs!$B$34/100)),MAX(0,Inputs!$B$44-((R1249-1)*Skills!D15))))/Inputs!$B$44),IF(Inputs!$B$39="pvp",MIN((Skills!Y15*(1+Inputs!$B$34/100)),15)/15,(Skills!Y15*(1+Inputs!$B$34/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8">
      <c r="A1278" t="inlineStr">
        <is>
          <t>Buff-Casting Startup Delay (s, fixed-duration only)</t>
        </is>
      </c>
      <c r="B1278">
        <f>IF(AND(Inputs!$B$39&lt;&gt;"pvp",Inputs!$B$44&gt;0),SUMPRODUCT((Skills!Y2:Y30&gt;0)*(Skills!E2:E30=TRUE)*(C1236:C1264=TRUE))/B1271,0)</f>
        <v/>
      </c>
    </row>
    <row r="1279">
      <c r="A1279" s="5" t="inlineStr">
        <is>
          <t>TOTAL DPS</t>
        </is>
      </c>
      <c r="B1279" s="5">
        <f>SUM(O1236:O1264)</f>
        <v/>
      </c>
    </row>
    <row r="1280">
      <c r="A1280" t="inlineStr">
        <is>
          <t>Boss-Only Total DPS (this block's swept value)</t>
        </is>
      </c>
      <c r="B1280">
        <f>SUM(T1236:T1264)</f>
        <v/>
      </c>
    </row>
    <row r="1281">
      <c r="A1281" t="inlineStr">
        <is>
          <t>Normal-Only Total DPS (this block's swept value)</t>
        </is>
      </c>
      <c r="B1281">
        <f>SUM(V1236:V1264)</f>
        <v/>
      </c>
    </row>
    <row r="1284">
      <c r="A1284" s="5" t="inlineStr">
        <is>
          <t>Stat: Buff Duration Increase %</t>
        </is>
      </c>
    </row>
    <row r="1285">
      <c r="A1285" s="9" t="inlineStr">
        <is>
          <t>Key</t>
        </is>
      </c>
      <c r="B1285" s="9" t="inlineStr">
        <is>
          <t>Name</t>
        </is>
      </c>
      <c r="C1285" s="9" t="inlineStr">
        <is>
          <t>Unlocked</t>
        </is>
      </c>
      <c r="D1285" s="9" t="inlineStr">
        <is>
          <t>InputLevel</t>
        </is>
      </c>
      <c r="E1285" s="9" t="inlineStr">
        <is>
          <t>Factor</t>
        </is>
      </c>
      <c r="F1285" s="9" t="inlineStr">
        <is>
          <t>CoefficientPercent</t>
        </is>
      </c>
      <c r="G1285" s="9" t="inlineStr">
        <is>
          <t>EffectiveHits</t>
        </is>
      </c>
      <c r="H1285" s="9" t="inlineStr">
        <is>
          <t>ProcProbability</t>
        </is>
      </c>
      <c r="I1285" s="9" t="inlineStr">
        <is>
          <t>MapleHeroMultiplier</t>
        </is>
      </c>
      <c r="J1285" s="9" t="inlineStr">
        <is>
          <t>BaseDamage</t>
        </is>
      </c>
      <c r="K1285" s="9" t="inlineStr">
        <is>
          <t>BaseHitDamage</t>
        </is>
      </c>
      <c r="L1285" s="9" t="inlineStr">
        <is>
          <t>NonCritAvg</t>
        </is>
      </c>
      <c r="M1285" s="9" t="inlineStr">
        <is>
          <t>CritAvg</t>
        </is>
      </c>
      <c r="N1285" s="9" t="inlineStr">
        <is>
          <t>ExpectedDamage(perHit)</t>
        </is>
      </c>
      <c r="O1285" s="9" t="inlineStr">
        <is>
          <t>DPS</t>
        </is>
      </c>
      <c r="P1285" s="9" t="inlineStr">
        <is>
          <t>% of Total</t>
        </is>
      </c>
      <c r="Q1285" s="9" t="inlineStr">
        <is>
          <t>InvCooldown</t>
        </is>
      </c>
      <c r="R1285" s="9" t="inlineStr">
        <is>
          <t>CastsInFight</t>
        </is>
      </c>
      <c r="S1285" s="9" t="inlineStr">
        <is>
          <t>HitRate(perSec)</t>
        </is>
      </c>
      <c r="U1285" t="inlineStr">
        <is>
          <t>helpers</t>
        </is>
      </c>
    </row>
    <row r="1286">
      <c r="A1286">
        <f>Skills!A2</f>
        <v/>
      </c>
      <c r="B1286">
        <f>Skills!B2</f>
        <v/>
      </c>
      <c r="C1286">
        <f>Inputs!$B$3&gt;=100</f>
        <v/>
      </c>
      <c r="D1286" t="inlineStr"/>
      <c r="E1286" t="inlineStr"/>
      <c r="F1286">
        <f>U1288+Skills!O2</f>
        <v/>
      </c>
      <c r="G1286">
        <f>Skills!G2*IF(Skills!H2&gt;0,Skills!I2/Skills!H2,1)</f>
        <v/>
      </c>
      <c r="H1286">
        <f>1-(1-Skills!J2/100)^Skills!K2</f>
        <v/>
      </c>
      <c r="I1286" t="inlineStr">
        <is>
          <t>1</t>
        </is>
      </c>
      <c r="J1286">
        <f>((Inputs!$B$6*(1+Inputs!$B$7/100))+(((Inputs!$B$12*(1+Inputs!$B$13/100))-(Inputs!$B$12*(1+Inputs!$B$13/100)))+0.25*(Inputs!$B$14-Inputs!$B$14))*(1+Inputs!$B$7/100))*(F1286/100)</f>
        <v/>
      </c>
      <c r="K1286">
        <f>J1286*(1+((Inputs!$B$12*(1+Inputs!$B$13/100))*0.01+Inputs!$B$14*0.0025)/100)*(1+Inputs!$B$15/100)*(1+Inputs!$B$16/100)*(5000/(6000+Inputs!$B$43*(1-Inputs!$B$19/100)))*(1+(Inputs!$B$24+((C1314=TRUE)*(F1314-Calc!F30)))/100)*(1+(IF(Skills!A2="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1286)</f>
        <v/>
      </c>
      <c r="L1286">
        <f>K1286*(MIN(Inputs!$B$22+((C1308=TRUE)*(F1308-Calc!F24)),Inputs!$B$23+((C1313=TRUE)*(F1313-Calc!F29)))/100+(Inputs!$B$23+((C1313=TRUE)*(F1313-Calc!F29)))/100)/2</f>
        <v/>
      </c>
      <c r="M1286">
        <f>L1286*(1+(Inputs!$B$10+((C1310=TRUE)*(F1310-Calc!F26))+B1324)/100)</f>
        <v/>
      </c>
      <c r="N1286">
        <f>L1286*(1-MIN((Inputs!$B$9+((C1309=TRUE)*(F1309-Calc!F25))+B1317),100)/100)+M1286*(MIN((Inputs!$B$9+((C1309=TRUE)*(F1309-Calc!F25))+B1317),100)/100)</f>
        <v/>
      </c>
      <c r="O1286">
        <f>(1-Summary!$B$55)*T1286+Summary!$B$55*V1286</f>
        <v/>
      </c>
      <c r="P1286">
        <f>IF(B1329=0,0,O1286/B1329)</f>
        <v/>
      </c>
      <c r="Q1286" t="n">
        <v>0</v>
      </c>
      <c r="R1286" t="n">
        <v>0</v>
      </c>
      <c r="S1286">
        <f>IFERROR(O1286/N1286,0)</f>
        <v/>
      </c>
      <c r="T1286">
        <f>IF(C1286,(Skills!G2*N1286*B1323)*IF(Inputs!$B$39="pvp",1,1+(Inputs!$B$20+0+Skills!P2+B1318)/100),0)</f>
        <v/>
      </c>
      <c r="U1286">
        <f>MAX(0,(Inputs!$B$3-100)*3)+Inputs!$B$28+Inputs!$B$29</f>
        <v/>
      </c>
      <c r="V1286">
        <f>IF(C1286,(Skills!G2*N1286*B1323)*IF(Inputs!$B$39="pvp",1,(1+(Inputs!$B$21+Skills!Q2+B1318)/100)*(MIN((6+Inputs!$B$33),Inputs!$B$37))),0)</f>
        <v/>
      </c>
    </row>
    <row r="1287">
      <c r="A1287">
        <f>Skills!A3</f>
        <v/>
      </c>
      <c r="B1287">
        <f>Skills!B3</f>
        <v/>
      </c>
      <c r="C1287">
        <f>Inputs!$B$3&gt;=35</f>
        <v/>
      </c>
      <c r="D1287">
        <f>IF(Skills!C3=1,60+Inputs!$B$25+Inputs!$B$29,IF(Skills!C3=2,90+Inputs!$B$26+Inputs!$B$29,IF(Skills!C3=3,120+Inputs!$B$27+Inputs!$B$29,MAX(0,(Inputs!$B$3-100)*3)+Inputs!$B$28+Inputs!$B$29)))</f>
        <v/>
      </c>
      <c r="E1287">
        <f>INDEX(FactorTable!$B$2:$Y$301, MATCH(ROUND(MIN(300,MAX(1,D1287)),0), FactorTable!$A$2:$A$301,0), Skills!M3+1)</f>
        <v/>
      </c>
      <c r="F1287">
        <f>IF(Skills!N3=TRUE,(Skills!L3/10)*(E1287/1000),Skills!L3/10)+Skills!O3</f>
        <v/>
      </c>
      <c r="G1287">
        <f>Skills!G3*IF(Skills!H3&gt;0,Skills!I3/Skills!H3,1)</f>
        <v/>
      </c>
      <c r="H1287">
        <f>1-(1-Skills!J3/100)^Skills!K3</f>
        <v/>
      </c>
      <c r="I1287" t="inlineStr">
        <is>
          <t>1</t>
        </is>
      </c>
      <c r="J1287" t="inlineStr"/>
      <c r="K1287" t="inlineStr"/>
      <c r="L1287" t="inlineStr"/>
      <c r="M1287" t="inlineStr"/>
      <c r="N1287" t="inlineStr"/>
      <c r="O1287">
        <f>(1-Summary!$B$55)*T1287+Summary!$B$55*V1287</f>
        <v/>
      </c>
      <c r="P1287">
        <f>IF(B1329=0,0,O1287/B1329)</f>
        <v/>
      </c>
      <c r="Q1287" t="n">
        <v>0</v>
      </c>
      <c r="R1287" t="n">
        <v>0</v>
      </c>
      <c r="S1287">
        <f>IFERROR(O1287/N1287,0)</f>
        <v/>
      </c>
      <c r="T1287" t="n">
        <v>0</v>
      </c>
      <c r="U1287">
        <f>INDEX(FactorTable!$B$2:$Y$301, MATCH(ROUND(MIN(300,MAX(1,U1286)),0), FactorTable!$A$2:$A$301,0), 22)</f>
        <v/>
      </c>
      <c r="V1287" t="n">
        <v>0</v>
      </c>
    </row>
    <row r="1288">
      <c r="A1288">
        <f>Skills!A4</f>
        <v/>
      </c>
      <c r="B1288">
        <f>Skills!B4</f>
        <v/>
      </c>
      <c r="C1288">
        <f>Inputs!$B$3&gt;=66</f>
        <v/>
      </c>
      <c r="D1288">
        <f>IF(Skills!C4=1,60+Inputs!$B$25+Inputs!$B$29,IF(Skills!C4=2,90+Inputs!$B$26+Inputs!$B$29,IF(Skills!C4=3,120+Inputs!$B$27+Inputs!$B$29,MAX(0,(Inputs!$B$3-100)*3)+Inputs!$B$28+Inputs!$B$29)))</f>
        <v/>
      </c>
      <c r="E1288">
        <f>INDEX(FactorTable!$B$2:$Y$301, MATCH(ROUND(MIN(300,MAX(1,D1288)),0), FactorTable!$A$2:$A$301,0), Skills!M4+1)</f>
        <v/>
      </c>
      <c r="F1288">
        <f>IF(Skills!N4=TRUE,(Skills!L4/10)*(E1288/1000),Skills!L4/10)+Skills!O4</f>
        <v/>
      </c>
      <c r="G1288">
        <f>Skills!G4*IF(Skills!H4&gt;0,Skills!I4/Skills!H4,1)</f>
        <v/>
      </c>
      <c r="H1288">
        <f>1-(1-Skills!J4/100)^Skills!K4</f>
        <v/>
      </c>
      <c r="I1288" t="inlineStr">
        <is>
          <t>1</t>
        </is>
      </c>
      <c r="J1288">
        <f>((Inputs!$B$6*(1+Inputs!$B$7/100))+(((Inputs!$B$12*(1+Inputs!$B$13/100))-(Inputs!$B$12*(1+Inputs!$B$13/100)))+0.25*(Inputs!$B$14-Inputs!$B$14))*(1+Inputs!$B$7/100))*(F1288/100)</f>
        <v/>
      </c>
      <c r="K1288">
        <f>J1288*(1+((Inputs!$B$12*(1+Inputs!$B$13/100))*0.01+Inputs!$B$14*0.0025)/100)*(1+Inputs!$B$15/100)*(1+Inputs!$B$16/100)*(5000/(6000+Inputs!$B$43*(1-Inputs!$B$19/100)))*(1+(Inputs!$B$24+((C1314=TRUE)*(F1314-Calc!F30)))/100)*(1+(IF(Skills!A4="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1288)</f>
        <v/>
      </c>
      <c r="L1288">
        <f>K1288*(MIN(Inputs!$B$22+((C1308=TRUE)*(F1308-Calc!F24)),Inputs!$B$23+((C1313=TRUE)*(F1313-Calc!F29)))/100+(Inputs!$B$23+((C1313=TRUE)*(F1313-Calc!F29)))/100)/2</f>
        <v/>
      </c>
      <c r="M1288">
        <f>L1288*(1+(Inputs!$B$10+((C1310=TRUE)*(F1310-Calc!F26))+B1324)/100)</f>
        <v/>
      </c>
      <c r="N1288">
        <f>L1288*(1-MIN((Inputs!$B$9+((C1309=TRUE)*(F1309-Calc!F25))+B1317),100)/100)+M1288*(MIN((Inputs!$B$9+((C1309=TRUE)*(F1309-Calc!F25))+B1317),100)/100)</f>
        <v/>
      </c>
      <c r="O1288">
        <f>(1-Summary!$B$55)*T1288+Summary!$B$55*V1288</f>
        <v/>
      </c>
      <c r="P1288">
        <f>IF(B1329=0,0,O1288/B1329)</f>
        <v/>
      </c>
      <c r="Q1288">
        <f>IFERROR(1/IF(Inputs!$B$39="pvp",15,MAX(0.1,Skills!D4-IF(Skills!E4=TRUE,Inputs!$B$32,0))),0)</f>
        <v/>
      </c>
      <c r="R1288">
        <f>IF(AND(Inputs!$B$39&lt;&gt;"pvp",Inputs!$B$44&gt;0),IF(MAX(0,Inputs!$B$44-B1328)&lt;=0,0,(INT(MAX(0,Inputs!$B$44-B1328)/IF(Inputs!$B$39="pvp",15,MAX(0.1,Skills!D4-IF(Skills!E4=TRUE,Inputs!$B$32,0))))+1)),0)</f>
        <v/>
      </c>
      <c r="S1288">
        <f>IFERROR(O1288/N1288,0)</f>
        <v/>
      </c>
      <c r="T1288">
        <f>IF(C1288,(H1288*N1288*IF(AND(Inputs!$B$39&lt;&gt;"pvp",Inputs!$B$44&gt;0),((Skills!G4*((R1288-1)*IF(Skills!H4&gt;0,Skills!I4/Skills!H4,1)+IF(Skills!H4&gt;0,MIN(Skills!I4,MAX(0,MAX(0,Inputs!$B$44-B1328)-((R1288-1)*IF(Inputs!$B$39="pvp",15,MAX(0.1,Skills!D4-IF(Skills!E4=TRUE,Inputs!$B$32,0))))))/Skills!H4,1)))/Inputs!$B$44),G1288*Q1288))*IF(Inputs!$B$39="pvp",1,1+(Inputs!$B$20+0+Skills!P4+B1318)/100),0)</f>
        <v/>
      </c>
      <c r="U1288">
        <f>290*U1287/1000</f>
        <v/>
      </c>
      <c r="V1288">
        <f>IF(C1288,(H1288*N1288*IF(AND(Inputs!$B$39&lt;&gt;"pvp",Inputs!$B$44&gt;0),((Skills!G4*((R1288-1)*IF(Skills!H4&gt;0,Skills!I4/Skills!H4,1)+IF(Skills!H4&gt;0,MIN(Skills!I4,MAX(0,MAX(0,Inputs!$B$44-B1328)-((R1288-1)*IF(Inputs!$B$39="pvp",15,MAX(0.1,Skills!D4-IF(Skills!E4=TRUE,Inputs!$B$32,0))))))/Skills!H4,1)))/Inputs!$B$44),G1288*Q1288))*IF(Inputs!$B$39="pvp",1,(1+(Inputs!$B$21+Skills!Q4+B1318)/100)*(MIN(MIN(10,0.5*B1321*Skills!D4),Inputs!$B$37))),0)</f>
        <v/>
      </c>
    </row>
    <row r="1289">
      <c r="A1289">
        <f>Skills!A5</f>
        <v/>
      </c>
      <c r="B1289">
        <f>Skills!B5</f>
        <v/>
      </c>
      <c r="C1289">
        <f>Inputs!$B$3&gt;=63</f>
        <v/>
      </c>
      <c r="D1289">
        <f>IF(Skills!C5=1,60+Inputs!$B$25+Inputs!$B$29,IF(Skills!C5=2,90+Inputs!$B$26+Inputs!$B$29,IF(Skills!C5=3,120+Inputs!$B$27+Inputs!$B$29,MAX(0,(Inputs!$B$3-100)*3)+Inputs!$B$28+Inputs!$B$29)))</f>
        <v/>
      </c>
      <c r="E1289">
        <f>INDEX(FactorTable!$B$2:$Y$301, MATCH(ROUND(MIN(300,MAX(1,D1289)),0), FactorTable!$A$2:$A$301,0), Skills!M5+1)</f>
        <v/>
      </c>
      <c r="F1289">
        <f>IF(Skills!N5=TRUE,(Skills!L5/10)*(E1289/1000),Skills!L5/10)+Skills!O5</f>
        <v/>
      </c>
      <c r="G1289">
        <f>Skills!G5*IF(Skills!H5&gt;0,Skills!I5/Skills!H5,1)</f>
        <v/>
      </c>
      <c r="H1289">
        <f>1-(1-Skills!J5/100)^Skills!K5</f>
        <v/>
      </c>
      <c r="I1289" t="inlineStr">
        <is>
          <t>1</t>
        </is>
      </c>
      <c r="J1289">
        <f>((Inputs!$B$6*(1+Inputs!$B$7/100))+(((Inputs!$B$12*(1+Inputs!$B$13/100))-(Inputs!$B$12*(1+Inputs!$B$13/100)))+0.25*(Inputs!$B$14-Inputs!$B$14))*(1+Inputs!$B$7/100))*(F1289/100)</f>
        <v/>
      </c>
      <c r="K1289">
        <f>J1289*(1+((Inputs!$B$12*(1+Inputs!$B$13/100))*0.01+Inputs!$B$14*0.0025)/100)*(1+Inputs!$B$15/100)*(1+Inputs!$B$16/100)*(5000/(6000+Inputs!$B$43*(1-Inputs!$B$19/100)))*(1+(Inputs!$B$24+((C1314=TRUE)*(F1314-Calc!F30)))/100)*(1+2.6666666666666665*IF(C1302=TRUE,F1302,0)/100)*(1+(IF(Skills!A5="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1289)</f>
        <v/>
      </c>
      <c r="L1289">
        <f>K1289*(MIN(Inputs!$B$22+((C1308=TRUE)*(F1308-Calc!F24)),Inputs!$B$23+((C1313=TRUE)*(F1313-Calc!F29)))/100+(Inputs!$B$23+((C1313=TRUE)*(F1313-Calc!F29)))/100)/2</f>
        <v/>
      </c>
      <c r="M1289">
        <f>L1289*(1+(Inputs!$B$10+((C1310=TRUE)*(F1310-Calc!F26))+B1324)/100)</f>
        <v/>
      </c>
      <c r="N1289">
        <f>L1289*(1-MIN((Inputs!$B$9+((C1309=TRUE)*(F1309-Calc!F25))+B1317),100)/100)+M1289*(MIN((Inputs!$B$9+((C1309=TRUE)*(F1309-Calc!F25))+B1317),100)/100)</f>
        <v/>
      </c>
      <c r="O1289">
        <f>(1-Summary!$B$55)*T1289+Summary!$B$55*V1289</f>
        <v/>
      </c>
      <c r="P1289">
        <f>IF(B1329=0,0,O1289/B1329)</f>
        <v/>
      </c>
      <c r="Q1289">
        <f>IFERROR(1/IF(Inputs!$B$39="pvp",15,MAX(0.1,Skills!D5-IF(Skills!E5=TRUE,Inputs!$B$32,0))),0)</f>
        <v/>
      </c>
      <c r="R1289">
        <f>IF(AND(Inputs!$B$39&lt;&gt;"pvp",Inputs!$B$44&gt;0),IF(MAX(0,Inputs!$B$44-B1328)&lt;=0,0,(INT(MAX(0,Inputs!$B$44-B1328)/IF(Inputs!$B$39="pvp",15,MAX(0.1,Skills!D5-IF(Skills!E5=TRUE,Inputs!$B$32,0))))+1)),0)</f>
        <v/>
      </c>
      <c r="S1289">
        <f>IFERROR(O1289/N1289,0)</f>
        <v/>
      </c>
      <c r="T1289">
        <f>IF(C1289,(H1289*N1289*IF(AND(Inputs!$B$39&lt;&gt;"pvp",Inputs!$B$44&gt;0),((Skills!G5*((R1289-1)*IF(Skills!H5&gt;0,Skills!I5/Skills!H5,1)+IF(Skills!H5&gt;0,MIN(Skills!I5,MAX(0,MAX(0,Inputs!$B$44-B1328)-((R1289-1)*IF(Inputs!$B$39="pvp",15,MAX(0.1,Skills!D5-IF(Skills!E5=TRUE,Inputs!$B$32,0))))))/Skills!H5,1)))/Inputs!$B$44),G1289*Q1289))*IF(Inputs!$B$39="pvp",1,1+(Inputs!$B$20+0+Skills!P5+B1318)/100),0)</f>
        <v/>
      </c>
      <c r="V1289">
        <f>IF(C1289,(H1289*N1289*IF(AND(Inputs!$B$39&lt;&gt;"pvp",Inputs!$B$44&gt;0),((Skills!G5*((R1289-1)*IF(Skills!H5&gt;0,Skills!I5/Skills!H5,1)+IF(Skills!H5&gt;0,MIN(Skills!I5,MAX(0,MAX(0,Inputs!$B$44-B1328)-((R1289-1)*IF(Inputs!$B$39="pvp",15,MAX(0.1,Skills!D5-IF(Skills!E5=TRUE,Inputs!$B$32,0))))))/Skills!H5,1)))/Inputs!$B$44),G1289*Q1289))*IF(Inputs!$B$39="pvp",1,(1+(Inputs!$B$21+Skills!Q5+B1318)/100)*(MIN(Skills!W5,Inputs!$B$37))),0)</f>
        <v/>
      </c>
    </row>
    <row r="1290">
      <c r="A1290">
        <f>Skills!A6</f>
        <v/>
      </c>
      <c r="B1290">
        <f>Skills!B6</f>
        <v/>
      </c>
      <c r="C1290">
        <f>Inputs!$B$3&gt;=69</f>
        <v/>
      </c>
      <c r="D1290">
        <f>IF(Skills!C6=1,60+Inputs!$B$25+Inputs!$B$29,IF(Skills!C6=2,90+Inputs!$B$26+Inputs!$B$29,IF(Skills!C6=3,120+Inputs!$B$27+Inputs!$B$29,MAX(0,(Inputs!$B$3-100)*3)+Inputs!$B$28+Inputs!$B$29)))</f>
        <v/>
      </c>
      <c r="E1290">
        <f>INDEX(FactorTable!$B$2:$Y$301, MATCH(ROUND(MIN(300,MAX(1,D1290)),0), FactorTable!$A$2:$A$301,0), Skills!M6+1)</f>
        <v/>
      </c>
      <c r="F1290">
        <f>IF(Skills!N6=TRUE,(Skills!L6/10)*(E1290/1000),Skills!L6/10)+Skills!O6</f>
        <v/>
      </c>
      <c r="G1290">
        <f>Skills!G6*IF(Skills!H6&gt;0,Skills!I6/Skills!H6,1)</f>
        <v/>
      </c>
      <c r="H1290">
        <f>1-(1-Skills!J6/100)^Skills!K6</f>
        <v/>
      </c>
      <c r="I1290" t="inlineStr">
        <is>
          <t>1</t>
        </is>
      </c>
      <c r="J1290">
        <f>((Inputs!$B$6*(1+Inputs!$B$7/100))+(((Inputs!$B$12*(1+Inputs!$B$13/100))-(Inputs!$B$12*(1+Inputs!$B$13/100)))+0.25*(Inputs!$B$14-Inputs!$B$14))*(1+Inputs!$B$7/100))*(F1290/100)</f>
        <v/>
      </c>
      <c r="K1290">
        <f>J1290*(1+((Inputs!$B$12*(1+Inputs!$B$13/100))*0.01+Inputs!$B$14*0.0025)/100)*(1+Inputs!$B$15/100)*(1+Inputs!$B$16/100)*(5000/(6000+Inputs!$B$43*(1-Inputs!$B$19/100)))*(1+(Inputs!$B$24+((C1314=TRUE)*(F1314-Calc!F30)))/100)*(1+1.0*IF(C1302=TRUE,F1302,0)/100)*(1+(IF(Skills!A6="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1290)</f>
        <v/>
      </c>
      <c r="L1290">
        <f>K1290*(MIN(Inputs!$B$22+((C1308=TRUE)*(F1308-Calc!F24)),Inputs!$B$23+((C1313=TRUE)*(F1313-Calc!F29)))/100+(Inputs!$B$23+((C1313=TRUE)*(F1313-Calc!F29)))/100)/2</f>
        <v/>
      </c>
      <c r="M1290">
        <f>L1290*(1+(Inputs!$B$10+((C1310=TRUE)*(F1310-Calc!F26))+B1324)/100)</f>
        <v/>
      </c>
      <c r="N1290">
        <f>L1290*(1-MIN((Inputs!$B$9+((C1309=TRUE)*(F1309-Calc!F25))+B1317),100)/100)+M1290*(MIN((Inputs!$B$9+((C1309=TRUE)*(F1309-Calc!F25))+B1317),100)/100)</f>
        <v/>
      </c>
      <c r="O1290">
        <f>(1-Summary!$B$55)*T1290+Summary!$B$55*V1290</f>
        <v/>
      </c>
      <c r="P1290">
        <f>IF(B1329=0,0,O1290/B1329)</f>
        <v/>
      </c>
      <c r="Q1290">
        <f>IFERROR(1/IF(Inputs!$B$39="pvp",15,MAX(0.1,Skills!D6-IF(Skills!E6=TRUE,Inputs!$B$32,0))),0)</f>
        <v/>
      </c>
      <c r="R1290">
        <f>IF(AND(Inputs!$B$39&lt;&gt;"pvp",Inputs!$B$44&gt;0),IF(MAX(0,Inputs!$B$44-B1328)&lt;=0,0,(INT(MAX(0,Inputs!$B$44-B1328)/IF(Inputs!$B$39="pvp",15,MAX(0.1,Skills!D6-IF(Skills!E6=TRUE,Inputs!$B$32,0))))+1)),0)</f>
        <v/>
      </c>
      <c r="S1290">
        <f>IFERROR(O1290/N1290,0)</f>
        <v/>
      </c>
      <c r="T1290">
        <f>IF(C1290,(H1290*N1290*IF(AND(Inputs!$B$39&lt;&gt;"pvp",Inputs!$B$44&gt;0),((Skills!G6*((R1290-1)*IF(Skills!H6&gt;0,Skills!I6/Skills!H6,1)+IF(Skills!H6&gt;0,MIN(Skills!I6,MAX(0,MAX(0,Inputs!$B$44-B1328)-((R1290-1)*IF(Inputs!$B$39="pvp",15,MAX(0.1,Skills!D6-IF(Skills!E6=TRUE,Inputs!$B$32,0))))))/Skills!H6,1)))/Inputs!$B$44),G1290*Q1290))*IF(Inputs!$B$39="pvp",1,1+(Inputs!$B$20+0+Skills!P6+B1318)/100),0)</f>
        <v/>
      </c>
      <c r="V1290">
        <f>IF(C1290,(H1290*N1290*IF(AND(Inputs!$B$39&lt;&gt;"pvp",Inputs!$B$44&gt;0),((Skills!G6*((R1290-1)*IF(Skills!H6&gt;0,Skills!I6/Skills!H6,1)+IF(Skills!H6&gt;0,MIN(Skills!I6,MAX(0,MAX(0,Inputs!$B$44-B1328)-((R1290-1)*IF(Inputs!$B$39="pvp",15,MAX(0.1,Skills!D6-IF(Skills!E6=TRUE,Inputs!$B$32,0))))))/Skills!H6,1)))/Inputs!$B$44),G1290*Q1290))*IF(Inputs!$B$39="pvp",1,(1+(Inputs!$B$21+Skills!Q6+B1318)/100)*(MIN(Skills!W6,Inputs!$B$37))),0)</f>
        <v/>
      </c>
    </row>
    <row r="1291">
      <c r="A1291">
        <f>Skills!A7</f>
        <v/>
      </c>
      <c r="B1291">
        <f>Skills!B7</f>
        <v/>
      </c>
      <c r="C1291">
        <f>Inputs!$B$3&gt;=60</f>
        <v/>
      </c>
      <c r="D1291">
        <f>IF(Skills!C7=1,60+Inputs!$B$25+Inputs!$B$29,IF(Skills!C7=2,90+Inputs!$B$26+Inputs!$B$29,IF(Skills!C7=3,120+Inputs!$B$27+Inputs!$B$29,MAX(0,(Inputs!$B$3-100)*3)+Inputs!$B$28+Inputs!$B$29)))</f>
        <v/>
      </c>
      <c r="E1291">
        <f>INDEX(FactorTable!$B$2:$Y$301, MATCH(ROUND(MIN(300,MAX(1,D1291)),0), FactorTable!$A$2:$A$301,0), Skills!M7+1)</f>
        <v/>
      </c>
      <c r="F1291">
        <f>IF(Skills!N7=TRUE,(Skills!L7/10)*(E1291/1000),Skills!L7/10)+Skills!O7</f>
        <v/>
      </c>
      <c r="G1291">
        <f>Skills!G7*IF(Skills!H7&gt;0,Skills!I7/Skills!H7,1)</f>
        <v/>
      </c>
      <c r="H1291">
        <f>1-(1-Skills!J7/100)^Skills!K7</f>
        <v/>
      </c>
      <c r="I1291" t="inlineStr">
        <is>
          <t>1</t>
        </is>
      </c>
      <c r="J1291" t="inlineStr"/>
      <c r="K1291" t="inlineStr"/>
      <c r="L1291" t="inlineStr"/>
      <c r="M1291" t="inlineStr"/>
      <c r="N1291" t="inlineStr"/>
      <c r="O1291">
        <f>(1-Summary!$B$55)*T1291+Summary!$B$55*V1291</f>
        <v/>
      </c>
      <c r="P1291">
        <f>IF(B1329=0,0,O1291/B1329)</f>
        <v/>
      </c>
      <c r="Q1291" t="n">
        <v>0</v>
      </c>
      <c r="R1291" t="n">
        <v>0</v>
      </c>
      <c r="S1291">
        <f>IFERROR(O1291/N1291,0)</f>
        <v/>
      </c>
      <c r="T1291" t="n">
        <v>0</v>
      </c>
      <c r="V1291" t="n">
        <v>0</v>
      </c>
    </row>
    <row r="1292">
      <c r="A1292">
        <f>Skills!A8</f>
        <v/>
      </c>
      <c r="B1292">
        <f>Skills!B8</f>
        <v/>
      </c>
      <c r="C1292">
        <f>Inputs!$B$3&gt;=72</f>
        <v/>
      </c>
      <c r="D1292">
        <f>IF(Skills!C8=1,60+Inputs!$B$25+Inputs!$B$29,IF(Skills!C8=2,90+Inputs!$B$26+Inputs!$B$29,IF(Skills!C8=3,120+Inputs!$B$27+Inputs!$B$29,MAX(0,(Inputs!$B$3-100)*3)+Inputs!$B$28+Inputs!$B$29)))</f>
        <v/>
      </c>
      <c r="E1292">
        <f>INDEX(FactorTable!$B$2:$Y$301, MATCH(ROUND(MIN(300,MAX(1,D1292)),0), FactorTable!$A$2:$A$301,0), Skills!M8+1)</f>
        <v/>
      </c>
      <c r="F1292">
        <f>IF(Skills!N8=TRUE,(Skills!L8/10)*(E1292/1000),Skills!L8/10)+Skills!O8</f>
        <v/>
      </c>
      <c r="G1292">
        <f>Skills!G8*IF(Skills!H8&gt;0,Skills!I8/Skills!H8,1)</f>
        <v/>
      </c>
      <c r="H1292">
        <f>1-(1-Skills!J8/100)^Skills!K8</f>
        <v/>
      </c>
      <c r="I1292" t="inlineStr">
        <is>
          <t>1</t>
        </is>
      </c>
      <c r="J1292">
        <f>((Inputs!$B$6*(1+Inputs!$B$7/100))+(((Inputs!$B$12*(1+Inputs!$B$13/100))-(Inputs!$B$12*(1+Inputs!$B$13/100)))+0.25*(Inputs!$B$14-Inputs!$B$14))*(1+Inputs!$B$7/100))*(F1292/100)</f>
        <v/>
      </c>
      <c r="K1292">
        <f>J1292*(1+((Inputs!$B$12*(1+Inputs!$B$13/100))*0.01+Inputs!$B$14*0.0025)/100)*(1+Inputs!$B$15/100)*(1+Inputs!$B$16/100)*(5000/(6000+Inputs!$B$43*(1-Inputs!$B$19/100)))*(1+(Inputs!$B$24+((C1314=TRUE)*(F1314-Calc!F30)))/100)*(1+3.3333333333333335*IF(C1302=TRUE,F1302,0)/100)*(1+(IF(Skills!A8="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1292)</f>
        <v/>
      </c>
      <c r="L1292">
        <f>K1292*(MIN(Inputs!$B$22+((C1308=TRUE)*(F1308-Calc!F24)),Inputs!$B$23+((C1313=TRUE)*(F1313-Calc!F29)))/100+(Inputs!$B$23+((C1313=TRUE)*(F1313-Calc!F29)))/100)/2</f>
        <v/>
      </c>
      <c r="M1292">
        <f>L1292*(1+(Inputs!$B$10+((C1310=TRUE)*(F1310-Calc!F26))+B1324)/100)</f>
        <v/>
      </c>
      <c r="N1292">
        <f>L1292*(1-MIN((Inputs!$B$9+((C1309=TRUE)*(F1309-Calc!F25))+B1317),100)/100)+M1292*(MIN((Inputs!$B$9+((C1309=TRUE)*(F1309-Calc!F25))+B1317),100)/100)</f>
        <v/>
      </c>
      <c r="O1292">
        <f>(1-Summary!$B$55)*T1292+Summary!$B$55*V1292</f>
        <v/>
      </c>
      <c r="P1292">
        <f>IF(B1329=0,0,O1292/B1329)</f>
        <v/>
      </c>
      <c r="Q1292">
        <f>IFERROR(1/IF(Inputs!$B$39="pvp",15,MAX(0.1,Skills!D8-IF(Skills!E8=TRUE,Inputs!$B$32,0))),0)</f>
        <v/>
      </c>
      <c r="R1292">
        <f>IF(AND(Inputs!$B$39&lt;&gt;"pvp",Inputs!$B$44&gt;0),IF(MAX(0,Inputs!$B$44-B1328)&lt;=0,0,(INT(MAX(0,Inputs!$B$44-B1328)/IF(Inputs!$B$39="pvp",15,MAX(0.1,Skills!D8-IF(Skills!E8=TRUE,Inputs!$B$32,0))))+1)),0)</f>
        <v/>
      </c>
      <c r="S1292">
        <f>IFERROR(O1292/N1292,0)</f>
        <v/>
      </c>
      <c r="T1292">
        <f>IF(C1292,(H1292*N1292*IF(AND(Inputs!$B$39&lt;&gt;"pvp",Inputs!$B$44&gt;0),((Skills!G8*((R1292-1)*IF(Skills!H8&gt;0,Skills!I8/Skills!H8,1)+IF(Skills!H8&gt;0,MIN(Skills!I8,MAX(0,MAX(0,Inputs!$B$44-B1328)-((R1292-1)*IF(Inputs!$B$39="pvp",15,MAX(0.1,Skills!D8-IF(Skills!E8=TRUE,Inputs!$B$32,0))))))/Skills!H8,1)))/Inputs!$B$44),G1292*Q1292))*IF(Inputs!$B$39="pvp",1,1+(Inputs!$B$20+0+Skills!P8+B1318)/100),0)</f>
        <v/>
      </c>
      <c r="V1292">
        <f>IF(C1292,(H1292*N1292*IF(AND(Inputs!$B$39&lt;&gt;"pvp",Inputs!$B$44&gt;0),((Skills!G8*((R1292-1)*IF(Skills!H8&gt;0,Skills!I8/Skills!H8,1)+IF(Skills!H8&gt;0,MIN(Skills!I8,MAX(0,MAX(0,Inputs!$B$44-B1328)-((R1292-1)*IF(Inputs!$B$39="pvp",15,MAX(0.1,Skills!D8-IF(Skills!E8=TRUE,Inputs!$B$32,0))))))/Skills!H8,1)))/Inputs!$B$44),G1292*Q1292))*IF(Inputs!$B$39="pvp",1,(1+(Inputs!$B$21+Skills!Q8+B1318)/100)*(MIN(Skills!W8,Inputs!$B$37))),0)</f>
        <v/>
      </c>
    </row>
    <row r="1293">
      <c r="A1293">
        <f>Skills!A9</f>
        <v/>
      </c>
      <c r="B1293">
        <f>Skills!B9</f>
        <v/>
      </c>
      <c r="C1293">
        <f>Inputs!$B$3&gt;=117</f>
        <v/>
      </c>
      <c r="D1293">
        <f>IF(Skills!C9=1,60+Inputs!$B$25+Inputs!$B$29,IF(Skills!C9=2,90+Inputs!$B$26+Inputs!$B$29,IF(Skills!C9=3,120+Inputs!$B$27+Inputs!$B$29,MAX(0,(Inputs!$B$3-100)*3)+Inputs!$B$28+Inputs!$B$29)))</f>
        <v/>
      </c>
      <c r="E1293">
        <f>INDEX(FactorTable!$B$2:$Y$301, MATCH(ROUND(MIN(300,MAX(1,D1293)),0), FactorTable!$A$2:$A$301,0), Skills!M9+1)</f>
        <v/>
      </c>
      <c r="F1293">
        <f>IF(Skills!N9=TRUE,(Skills!L9/10)*(E1293/1000),Skills!L9/10)+Skills!O9</f>
        <v/>
      </c>
      <c r="G1293">
        <f>Skills!G9*IF(Skills!H9&gt;0,Skills!I9/Skills!H9,1)</f>
        <v/>
      </c>
      <c r="H1293">
        <f>1-(1-Skills!J9/100)^Skills!K9</f>
        <v/>
      </c>
      <c r="I1293" t="inlineStr">
        <is>
          <t>1</t>
        </is>
      </c>
      <c r="J1293">
        <f>((Inputs!$B$6*(1+Inputs!$B$7/100))+(((Inputs!$B$12*(1+Inputs!$B$13/100))-(Inputs!$B$12*(1+Inputs!$B$13/100)))+0.25*(Inputs!$B$14-Inputs!$B$14))*(1+Inputs!$B$7/100))*(F1293/100)</f>
        <v/>
      </c>
      <c r="K1293">
        <f>J1293*(1+((Inputs!$B$12*(1+Inputs!$B$13/100))*0.01+Inputs!$B$14*0.0025)/100)*(1+Inputs!$B$15/100)*(1+Inputs!$B$16/100)*(5000/(6000+Inputs!$B$43*(1-Inputs!$B$19/100)))*(1+(Inputs!$B$24+((C1314=TRUE)*(F1314-Calc!F30)))/100)*(1+(IF(Skills!A9="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1293)</f>
        <v/>
      </c>
      <c r="L1293">
        <f>K1293*(MIN(Inputs!$B$22+((C1308=TRUE)*(F1308-Calc!F24)),Inputs!$B$23+((C1313=TRUE)*(F1313-Calc!F29)))/100+(Inputs!$B$23+((C1313=TRUE)*(F1313-Calc!F29)))/100)/2</f>
        <v/>
      </c>
      <c r="M1293">
        <f>L1293*(1+(Inputs!$B$10+((C1310=TRUE)*(F1310-Calc!F26))+B1324)/100)</f>
        <v/>
      </c>
      <c r="N1293">
        <f>L1293*(1-MIN((Inputs!$B$9+((C1309=TRUE)*(F1309-Calc!F25))+B1317),100)/100)+M1293*(MIN((Inputs!$B$9+((C1309=TRUE)*(F1309-Calc!F25))+B1317),100)/100)</f>
        <v/>
      </c>
      <c r="O1293">
        <f>(1-Summary!$B$55)*T1293+Summary!$B$55*V1293</f>
        <v/>
      </c>
      <c r="P1293">
        <f>IF(B1329=0,0,O1293/B1329)</f>
        <v/>
      </c>
      <c r="Q1293" t="n">
        <v>0</v>
      </c>
      <c r="R1293" t="n">
        <v>0</v>
      </c>
      <c r="S1293" t="n">
        <v>0</v>
      </c>
      <c r="T1293">
        <f>IF(C1293,(0.2*SUMPRODUCT((Skills!Z2:Z30=TRUE)*(C1286:C1314=TRUE)*S1286:S1314)*N1293)*IF(Inputs!$B$39="pvp",1,1+(Inputs!$B$20+0+Skills!P9+B1318)/100),0)</f>
        <v/>
      </c>
      <c r="V1293">
        <f>IF(C1293,(0.2*SUMPRODUCT((Skills!Z2:Z30=TRUE)*(C1286:C1314=TRUE)*S1286:S1314)*N1293)*IF(Inputs!$B$39="pvp",1,(1+(Inputs!$B$21+Skills!Q9+B1318)/100)*(MIN(Skills!W9,Inputs!$B$37))),0)</f>
        <v/>
      </c>
    </row>
    <row r="1294">
      <c r="A1294">
        <f>Skills!A10</f>
        <v/>
      </c>
      <c r="B1294">
        <f>Skills!B10</f>
        <v/>
      </c>
      <c r="C1294">
        <f>Inputs!$B$3&gt;=74</f>
        <v/>
      </c>
      <c r="D1294">
        <f>IF(Skills!C10=1,60+Inputs!$B$25+Inputs!$B$29,IF(Skills!C10=2,90+Inputs!$B$26+Inputs!$B$29,IF(Skills!C10=3,120+Inputs!$B$27+Inputs!$B$29,MAX(0,(Inputs!$B$3-100)*3)+Inputs!$B$28+Inputs!$B$29)))</f>
        <v/>
      </c>
      <c r="E1294">
        <f>INDEX(FactorTable!$B$2:$Y$301, MATCH(ROUND(MIN(300,MAX(1,D1294)),0), FactorTable!$A$2:$A$301,0), Skills!M10+1)</f>
        <v/>
      </c>
      <c r="F1294">
        <f>IF(Skills!N10=TRUE,(Skills!L10/10)*(E1294/1000),Skills!L10/10)+Skills!O10</f>
        <v/>
      </c>
      <c r="G1294">
        <f>Skills!G10*IF(Skills!H10&gt;0,Skills!I10/Skills!H10,1)</f>
        <v/>
      </c>
      <c r="H1294">
        <f>1-(1-Skills!J10/100)^Skills!K10</f>
        <v/>
      </c>
      <c r="I1294" t="inlineStr">
        <is>
          <t>1</t>
        </is>
      </c>
      <c r="J1294" t="inlineStr"/>
      <c r="K1294" t="inlineStr"/>
      <c r="L1294" t="inlineStr"/>
      <c r="M1294" t="inlineStr"/>
      <c r="N1294" t="inlineStr"/>
      <c r="O1294">
        <f>(1-Summary!$B$55)*T1294+Summary!$B$55*V1294</f>
        <v/>
      </c>
      <c r="P1294">
        <f>IF(B1329=0,0,O1294/B1329)</f>
        <v/>
      </c>
      <c r="Q1294">
        <f>IFERROR(1/IF(Inputs!$B$39="pvp",15,MAX(0.1,Skills!D10-IF(Skills!E10=TRUE,Inputs!$B$32,0))),0)</f>
        <v/>
      </c>
      <c r="R1294">
        <f>IF(AND(Inputs!$B$39&lt;&gt;"pvp",Inputs!$B$44&gt;0),IF(Inputs!$B$44&lt;=0,0,(INT(Inputs!$B$44/IF(Inputs!$B$39="pvp",15,MAX(0.1,Skills!D10-IF(Skills!E10=TRUE,Inputs!$B$32,0))))+1)),0)</f>
        <v/>
      </c>
      <c r="S1294">
        <f>IFERROR(O1294/N1294,0)</f>
        <v/>
      </c>
      <c r="T1294" t="n">
        <v>0</v>
      </c>
      <c r="V1294" t="n">
        <v>0</v>
      </c>
    </row>
    <row r="1295">
      <c r="A1295">
        <f>Skills!A11</f>
        <v/>
      </c>
      <c r="B1295">
        <f>Skills!B11</f>
        <v/>
      </c>
      <c r="C1295">
        <f>Inputs!$B$3&gt;=103</f>
        <v/>
      </c>
      <c r="D1295">
        <f>IF(Skills!C11=1,60+Inputs!$B$25+Inputs!$B$29,IF(Skills!C11=2,90+Inputs!$B$26+Inputs!$B$29,IF(Skills!C11=3,120+Inputs!$B$27+Inputs!$B$29,MAX(0,(Inputs!$B$3-100)*3)+Inputs!$B$28+Inputs!$B$29)))</f>
        <v/>
      </c>
      <c r="E1295">
        <f>INDEX(FactorTable!$B$2:$Y$301, MATCH(ROUND(MIN(300,MAX(1,D1295)),0), FactorTable!$A$2:$A$301,0), Skills!M11+1)</f>
        <v/>
      </c>
      <c r="F1295">
        <f>(Skills!L11/10)*(E1295/1000)+IF(Inputs!$B$3&gt;=134,50,0)+0.5*(30000/10)*(INDEX(FactorTable!$B$2:$Y$301, MATCH(ROUND(MIN(300,MAX(1,D1295)),0), FactorTable!$A$2:$A$301,0), 13)/1000)*B1327</f>
        <v/>
      </c>
      <c r="G1295">
        <f>Skills!G11*IF(Skills!H11&gt;0,Skills!I11/Skills!H11,1)</f>
        <v/>
      </c>
      <c r="H1295">
        <f>1-(1-Skills!J11/100)^Skills!K11</f>
        <v/>
      </c>
      <c r="I1295" t="inlineStr">
        <is>
          <t>1</t>
        </is>
      </c>
      <c r="J1295">
        <f>((Inputs!$B$6*(1+Inputs!$B$7/100))+(((Inputs!$B$12*(1+Inputs!$B$13/100))-(Inputs!$B$12*(1+Inputs!$B$13/100)))+0.25*(Inputs!$B$14-Inputs!$B$14))*(1+Inputs!$B$7/100))*(F1295/100)</f>
        <v/>
      </c>
      <c r="K1295">
        <f>J1295*(1+((Inputs!$B$12*(1+Inputs!$B$13/100))*0.01+Inputs!$B$14*0.0025)/100)*(1+Inputs!$B$15/100)*(1+Inputs!$B$16/100)*(5000/(6000+Inputs!$B$43*(1-Inputs!$B$19/100)))*(1+(Inputs!$B$24+((C1314=TRUE)*(F1314-Calc!F30)))/100)*(1+(IF(Skills!A11="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1295)</f>
        <v/>
      </c>
      <c r="L1295">
        <f>K1295*(MIN(Inputs!$B$22+((C1308=TRUE)*(F1308-Calc!F24)),Inputs!$B$23+((C1313=TRUE)*(F1313-Calc!F29)))/100+(Inputs!$B$23+((C1313=TRUE)*(F1313-Calc!F29)))/100)/2</f>
        <v/>
      </c>
      <c r="M1295">
        <f>L1295*(1+(Inputs!$B$10+((C1310=TRUE)*(F1310-Calc!F26))+B1324)/100)</f>
        <v/>
      </c>
      <c r="N1295">
        <f>L1295*(1-MIN((Inputs!$B$9+((C1309=TRUE)*(F1309-Calc!F25))+B1317),100)/100)+M1295*(MIN((Inputs!$B$9+((C1309=TRUE)*(F1309-Calc!F25))+B1317),100)/100)</f>
        <v/>
      </c>
      <c r="O1295">
        <f>(1-Summary!$B$55)*T1295+Summary!$B$55*V1295</f>
        <v/>
      </c>
      <c r="P1295">
        <f>IF(B1329=0,0,O1295/B1329)</f>
        <v/>
      </c>
      <c r="Q1295">
        <f>IFERROR(1/IF(Inputs!$B$39="pvp",15,MAX(0.1,Skills!D11-IF(Skills!E11=TRUE,Inputs!$B$32,0))),0)</f>
        <v/>
      </c>
      <c r="R1295">
        <f>IF(AND(Inputs!$B$39&lt;&gt;"pvp",Inputs!$B$44&gt;0),IF(MAX(0,Inputs!$B$44-B1328)&lt;=0,0,(INT(MAX(0,Inputs!$B$44-B1328)/IF(Inputs!$B$39="pvp",15,MAX(0.1,Skills!D11-IF(Skills!E11=TRUE,Inputs!$B$32,0))))+1)),0)</f>
        <v/>
      </c>
      <c r="S1295">
        <f>IFERROR(O1295/N1295,0)</f>
        <v/>
      </c>
      <c r="T1295">
        <f>IF(C1295,(H1295*N1295*IF(AND(Inputs!$B$39&lt;&gt;"pvp",Inputs!$B$44&gt;0),((Skills!G11*((R1295-1)*IF(Skills!H11&gt;0,Skills!I11/Skills!H11,1)+IF(Skills!H11&gt;0,MIN(Skills!I11,MAX(0,MAX(0,Inputs!$B$44-B1328)-((R1295-1)*IF(Inputs!$B$39="pvp",15,MAX(0.1,Skills!D11-IF(Skills!E11=TRUE,Inputs!$B$32,0))))))/Skills!H11,1)))/Inputs!$B$44),G1295*Q1295))*IF(Inputs!$B$39="pvp",1,1+(Inputs!$B$20+0+Skills!P11+B1318)/100),0)</f>
        <v/>
      </c>
      <c r="V1295">
        <f>IF(C1295,(H1295*N1295*IF(AND(Inputs!$B$39&lt;&gt;"pvp",Inputs!$B$44&gt;0),((Skills!G11*((R1295-1)*IF(Skills!H11&gt;0,Skills!I11/Skills!H11,1)+IF(Skills!H11&gt;0,MIN(Skills!I11,MAX(0,MAX(0,Inputs!$B$44-B1328)-((R1295-1)*IF(Inputs!$B$39="pvp",15,MAX(0.1,Skills!D11-IF(Skills!E11=TRUE,Inputs!$B$32,0))))))/Skills!H11,1)))/Inputs!$B$44),G1295*Q1295))*IF(Inputs!$B$39="pvp",1,(1+(Inputs!$B$21+Skills!Q11+B1318)/100)*(MIN(Skills!W11,Inputs!$B$37))),0)</f>
        <v/>
      </c>
    </row>
    <row r="1296">
      <c r="A1296">
        <f>Skills!A12</f>
        <v/>
      </c>
      <c r="B1296">
        <f>Skills!B12</f>
        <v/>
      </c>
      <c r="C1296">
        <f>Inputs!$B$3&gt;=105</f>
        <v/>
      </c>
      <c r="D1296">
        <f>IF(Skills!C12=1,60+Inputs!$B$25+Inputs!$B$29,IF(Skills!C12=2,90+Inputs!$B$26+Inputs!$B$29,IF(Skills!C12=3,120+Inputs!$B$27+Inputs!$B$29,MAX(0,(Inputs!$B$3-100)*3)+Inputs!$B$28+Inputs!$B$29)))</f>
        <v/>
      </c>
      <c r="E1296">
        <f>INDEX(FactorTable!$B$2:$Y$301, MATCH(ROUND(MIN(300,MAX(1,D1296)),0), FactorTable!$A$2:$A$301,0), Skills!M12+1)</f>
        <v/>
      </c>
      <c r="F1296">
        <f>IF(Skills!N12=TRUE,(Skills!L12/10)*(E1296/1000),Skills!L12/10)+Skills!O12</f>
        <v/>
      </c>
      <c r="G1296">
        <f>Skills!G12*IF(Skills!H12&gt;0,Skills!I12/Skills!H12,1)</f>
        <v/>
      </c>
      <c r="H1296">
        <f>1-(1-Skills!J12/100)^Skills!K12</f>
        <v/>
      </c>
      <c r="I1296" t="inlineStr">
        <is>
          <t>1</t>
        </is>
      </c>
      <c r="J1296">
        <f>((Inputs!$B$6*(1+Inputs!$B$7/100))+(((Inputs!$B$12*(1+Inputs!$B$13/100))-(Inputs!$B$12*(1+Inputs!$B$13/100)))+0.25*(Inputs!$B$14-Inputs!$B$14))*(1+Inputs!$B$7/100))*(F1296/100)</f>
        <v/>
      </c>
      <c r="K1296">
        <f>J1296*(1+((Inputs!$B$12*(1+Inputs!$B$13/100))*0.01+Inputs!$B$14*0.0025)/100)*(1+Inputs!$B$15/100)*(1+Inputs!$B$16/100)*(5000/(6000+Inputs!$B$43*(1-Inputs!$B$19/100)))*(1+(Inputs!$B$24+((C1314=TRUE)*(F1314-Calc!F30)))/100)*(1+(IF(Skills!A12="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1296)</f>
        <v/>
      </c>
      <c r="L1296">
        <f>K1296*(MIN(Inputs!$B$22+((C1308=TRUE)*(F1308-Calc!F24)),Inputs!$B$23+((C1313=TRUE)*(F1313-Calc!F29)))/100+(Inputs!$B$23+((C1313=TRUE)*(F1313-Calc!F29)))/100)/2</f>
        <v/>
      </c>
      <c r="M1296">
        <f>L1296*(1+(Inputs!$B$10+((C1310=TRUE)*(F1310-Calc!F26))+B1324)/100)</f>
        <v/>
      </c>
      <c r="N1296">
        <f>L1296*(1-MIN((Inputs!$B$9+((C1309=TRUE)*(F1309-Calc!F25))+B1317),100)/100)+M1296*(MIN((Inputs!$B$9+((C1309=TRUE)*(F1309-Calc!F25))+B1317),100)/100)</f>
        <v/>
      </c>
      <c r="O1296">
        <f>(1-Summary!$B$55)*T1296+Summary!$B$55*V1296</f>
        <v/>
      </c>
      <c r="P1296">
        <f>IF(B1329=0,0,O1296/B1329)</f>
        <v/>
      </c>
      <c r="Q1296">
        <f>IFERROR(1/IF(Inputs!$B$39="pvp",15,MAX(0.1,Skills!D12-IF(Skills!E12=TRUE,Inputs!$B$32,0))),0)</f>
        <v/>
      </c>
      <c r="R1296">
        <f>IF(AND(Inputs!$B$39&lt;&gt;"pvp",Inputs!$B$44&gt;0),IF(MAX(0,Inputs!$B$44-B1328)&lt;=0,0,(INT(MAX(0,Inputs!$B$44-B1328)/IF(Inputs!$B$39="pvp",15,MAX(0.1,Skills!D12-IF(Skills!E12=TRUE,Inputs!$B$32,0))))+1)),0)</f>
        <v/>
      </c>
      <c r="S1296">
        <f>IFERROR(O1296/N1296,0)</f>
        <v/>
      </c>
      <c r="T1296">
        <f>IF(C1296,(H1296*N1296*IF(AND(Inputs!$B$39&lt;&gt;"pvp",Inputs!$B$44&gt;0),((Skills!G12*((R1296-1)*IF(Skills!H12&gt;0,Skills!I12/Skills!H12,1)+IF(Skills!H12&gt;0,MIN(Skills!I12,MAX(0,MAX(0,Inputs!$B$44-B1328)-((R1296-1)*IF(Inputs!$B$39="pvp",15,MAX(0.1,Skills!D12-IF(Skills!E12=TRUE,Inputs!$B$32,0))))))/Skills!H12,1)))/Inputs!$B$44),G1296*Q1296))*IF(Inputs!$B$39="pvp",1,1+(Inputs!$B$20+0+Skills!P12+B1318)/100),0)</f>
        <v/>
      </c>
      <c r="V1296">
        <f>IF(C1296,(H1296*N1296*IF(AND(Inputs!$B$39&lt;&gt;"pvp",Inputs!$B$44&gt;0),((Skills!G12*((R1296-1)*IF(Skills!H12&gt;0,Skills!I12/Skills!H12,1)+IF(Skills!H12&gt;0,MIN(Skills!I12,MAX(0,MAX(0,Inputs!$B$44-B1328)-((R1296-1)*IF(Inputs!$B$39="pvp",15,MAX(0.1,Skills!D12-IF(Skills!E12=TRUE,Inputs!$B$32,0))))))/Skills!H12,1)))/Inputs!$B$44),G1296*Q1296))*IF(Inputs!$B$39="pvp",1,(1+(Inputs!$B$21+Skills!Q12+B1318)/100)*(MIN(Skills!W12,Inputs!$B$37))),0)</f>
        <v/>
      </c>
    </row>
    <row r="1297">
      <c r="A1297">
        <f>Skills!A13</f>
        <v/>
      </c>
      <c r="B1297">
        <f>Skills!B13</f>
        <v/>
      </c>
      <c r="C1297">
        <f>Inputs!$B$3&gt;=105</f>
        <v/>
      </c>
      <c r="D1297">
        <f>IF(Skills!C13=1,60+Inputs!$B$25+Inputs!$B$29,IF(Skills!C13=2,90+Inputs!$B$26+Inputs!$B$29,IF(Skills!C13=3,120+Inputs!$B$27+Inputs!$B$29,MAX(0,(Inputs!$B$3-100)*3)+Inputs!$B$28+Inputs!$B$29)))</f>
        <v/>
      </c>
      <c r="E1297">
        <f>INDEX(FactorTable!$B$2:$Y$301, MATCH(ROUND(MIN(300,MAX(1,D1297)),0), FactorTable!$A$2:$A$301,0), Skills!M13+1)</f>
        <v/>
      </c>
      <c r="F1297">
        <f>IF(Skills!N13=TRUE,(Skills!L13/10)*(E1297/1000),Skills!L13/10)+Skills!O13</f>
        <v/>
      </c>
      <c r="G1297">
        <f>Skills!G13*IF(Skills!H13&gt;0,Skills!I13/Skills!H13,1)</f>
        <v/>
      </c>
      <c r="H1297">
        <f>1-(1-Skills!J13/100)^Skills!K13</f>
        <v/>
      </c>
      <c r="I1297" t="inlineStr">
        <is>
          <t>1</t>
        </is>
      </c>
      <c r="J1297">
        <f>((Inputs!$B$6*(1+Inputs!$B$7/100))+(((Inputs!$B$12*(1+Inputs!$B$13/100))-(Inputs!$B$12*(1+Inputs!$B$13/100)))+0.25*(Inputs!$B$14-Inputs!$B$14))*(1+Inputs!$B$7/100))*(F1297/100)</f>
        <v/>
      </c>
      <c r="K1297">
        <f>J1297*(1+((Inputs!$B$12*(1+Inputs!$B$13/100))*0.01+Inputs!$B$14*0.0025)/100)*(1+Inputs!$B$15/100)*(1+Inputs!$B$16/100)*(5000/(6000+Inputs!$B$43*(1-Inputs!$B$19/100)))*(1+(Inputs!$B$24+((C1314=TRUE)*(F1314-Calc!F30)))/100)*(1+(IF(Skills!A13="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1297)</f>
        <v/>
      </c>
      <c r="L1297">
        <f>K1297*(MIN(Inputs!$B$22+((C1308=TRUE)*(F1308-Calc!F24)),Inputs!$B$23+((C1313=TRUE)*(F1313-Calc!F29)))/100+(Inputs!$B$23+((C1313=TRUE)*(F1313-Calc!F29)))/100)/2</f>
        <v/>
      </c>
      <c r="M1297">
        <f>L1297*(1+(Inputs!$B$10+((C1310=TRUE)*(F1310-Calc!F26))+B1324)/100)</f>
        <v/>
      </c>
      <c r="N1297">
        <f>L1297*(1-MIN((Inputs!$B$9+((C1309=TRUE)*(F1309-Calc!F25))+B1317),100)/100)+M1297*(MIN((Inputs!$B$9+((C1309=TRUE)*(F1309-Calc!F25))+B1317),100)/100)</f>
        <v/>
      </c>
      <c r="O1297">
        <f>(1-Summary!$B$55)*T1297+Summary!$B$55*V1297</f>
        <v/>
      </c>
      <c r="P1297">
        <f>IF(B1329=0,0,O1297/B1329)</f>
        <v/>
      </c>
      <c r="Q1297">
        <f>IFERROR(1/IF(Inputs!$B$39="pvp",15,MAX(0.1,Skills!D13-IF(Skills!E13=TRUE,Inputs!$B$32,0))),0)</f>
        <v/>
      </c>
      <c r="R1297">
        <f>IF(AND(Inputs!$B$39&lt;&gt;"pvp",Inputs!$B$44&gt;0),IF(MAX(0,Inputs!$B$44-B1328)&lt;=0,0,(INT(MAX(0,Inputs!$B$44-B1328)/IF(Inputs!$B$39="pvp",15,MAX(0.1,Skills!D13-IF(Skills!E13=TRUE,Inputs!$B$32,0))))+1)),0)</f>
        <v/>
      </c>
      <c r="S1297">
        <f>IFERROR(O1297/N1297,0)</f>
        <v/>
      </c>
      <c r="T1297">
        <f>IF(C1297,(H1297*N1297*IF(AND(Inputs!$B$39&lt;&gt;"pvp",Inputs!$B$44&gt;0),((Skills!G13*((R1297-1)*IF(Skills!H13&gt;0,Skills!I13/Skills!H13,1)+IF(Skills!H13&gt;0,MIN(Skills!I13,MAX(0,MAX(0,Inputs!$B$44-B1328)-((R1297-1)*IF(Inputs!$B$39="pvp",15,MAX(0.1,Skills!D13-IF(Skills!E13=TRUE,Inputs!$B$32,0))))))/Skills!H13,1)))/Inputs!$B$44),G1297*Q1297))*IF(Inputs!$B$39="pvp",1,1+(Inputs!$B$20+0+Skills!P13+B1318)/100),0)</f>
        <v/>
      </c>
      <c r="V1297">
        <f>IF(C1297,(H1297*N1297*IF(AND(Inputs!$B$39&lt;&gt;"pvp",Inputs!$B$44&gt;0),((Skills!G13*((R1297-1)*IF(Skills!H13&gt;0,Skills!I13/Skills!H13,1)+IF(Skills!H13&gt;0,MIN(Skills!I13,MAX(0,MAX(0,Inputs!$B$44-B1328)-((R1297-1)*IF(Inputs!$B$39="pvp",15,MAX(0.1,Skills!D13-IF(Skills!E13=TRUE,Inputs!$B$32,0))))))/Skills!H13,1)))/Inputs!$B$44),G1297*Q1297))*IF(Inputs!$B$39="pvp",1,(1+(Inputs!$B$21+Skills!Q13+B1318)/100)*(MIN(Skills!W13,Inputs!$B$37))),0)</f>
        <v/>
      </c>
    </row>
    <row r="1298">
      <c r="A1298">
        <f>Skills!A14</f>
        <v/>
      </c>
      <c r="B1298">
        <f>Skills!B14</f>
        <v/>
      </c>
      <c r="C1298">
        <f>Inputs!$B$3&gt;=107</f>
        <v/>
      </c>
      <c r="D1298">
        <f>IF(Skills!C14=1,60+Inputs!$B$25+Inputs!$B$29,IF(Skills!C14=2,90+Inputs!$B$26+Inputs!$B$29,IF(Skills!C14=3,120+Inputs!$B$27+Inputs!$B$29,MAX(0,(Inputs!$B$3-100)*3)+Inputs!$B$28+Inputs!$B$29)))</f>
        <v/>
      </c>
      <c r="E1298">
        <f>INDEX(FactorTable!$B$2:$Y$301, MATCH(ROUND(MIN(300,MAX(1,D1298)),0), FactorTable!$A$2:$A$301,0), Skills!M14+1)</f>
        <v/>
      </c>
      <c r="F1298">
        <f>IF(Skills!N14=TRUE,(Skills!L14/10)*(E1298/1000),Skills!L14/10)+Skills!O14</f>
        <v/>
      </c>
      <c r="G1298">
        <f>Skills!G14*IF(Skills!H14&gt;0,Skills!I14/Skills!H14,1)</f>
        <v/>
      </c>
      <c r="H1298">
        <f>1-(1-Skills!J14/100)^Skills!K14</f>
        <v/>
      </c>
      <c r="I1298" t="inlineStr">
        <is>
          <t>1</t>
        </is>
      </c>
      <c r="J1298">
        <f>((Inputs!$B$6*(1+Inputs!$B$7/100))+(((Inputs!$B$12*(1+Inputs!$B$13/100))-(Inputs!$B$12*(1+Inputs!$B$13/100)))+0.25*(Inputs!$B$14-Inputs!$B$14))*(1+Inputs!$B$7/100))*(F1298/100)</f>
        <v/>
      </c>
      <c r="K1298">
        <f>J1298*(1+((Inputs!$B$12*(1+Inputs!$B$13/100))*0.01+Inputs!$B$14*0.0025)/100)*(1+Inputs!$B$15/100)*(1+Inputs!$B$16/100)*(5000/(6000+Inputs!$B$43*(1-Inputs!$B$19/100)))*(1+(Inputs!$B$24+((C1314=TRUE)*(F1314-Calc!F30)))/100)*(1+(IF(Skills!A14="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1298)</f>
        <v/>
      </c>
      <c r="L1298">
        <f>K1298*(MIN(Inputs!$B$22+((C1308=TRUE)*(F1308-Calc!F24)),Inputs!$B$23+((C1313=TRUE)*(F1313-Calc!F29)))/100+(Inputs!$B$23+((C1313=TRUE)*(F1313-Calc!F29)))/100)/2</f>
        <v/>
      </c>
      <c r="M1298">
        <f>L1298*(1+(Inputs!$B$10+((C1310=TRUE)*(F1310-Calc!F26))+B1324)/100)</f>
        <v/>
      </c>
      <c r="N1298">
        <f>L1298*(1-MIN((Inputs!$B$9+((C1309=TRUE)*(F1309-Calc!F25))+B1317),100)/100)+M1298*(MIN((Inputs!$B$9+((C1309=TRUE)*(F1309-Calc!F25))+B1317),100)/100)</f>
        <v/>
      </c>
      <c r="O1298">
        <f>(1-Summary!$B$55)*T1298+Summary!$B$55*V1298</f>
        <v/>
      </c>
      <c r="P1298">
        <f>IF(B1329=0,0,O1298/B1329)</f>
        <v/>
      </c>
      <c r="Q1298">
        <f>IFERROR(1/IF(Inputs!$B$39="pvp",15,MAX(0.1,Skills!D14-IF(Skills!E14=TRUE,Inputs!$B$32,0))),0)</f>
        <v/>
      </c>
      <c r="R1298">
        <f>IF(AND(Inputs!$B$39&lt;&gt;"pvp",Inputs!$B$44&gt;0),IF(MAX(0,Inputs!$B$44-B1328)&lt;=0,0,(INT(MAX(0,Inputs!$B$44-B1328)/IF(Inputs!$B$39="pvp",15,MAX(0.1,Skills!D14-IF(Skills!E14=TRUE,Inputs!$B$32,0))))+1)),0)</f>
        <v/>
      </c>
      <c r="S1298">
        <f>IFERROR(O1298/N1298,0)</f>
        <v/>
      </c>
      <c r="T1298">
        <f>IF(C1298,(H1298*N1298*IF(AND(Inputs!$B$39&lt;&gt;"pvp",Inputs!$B$44&gt;0),((Skills!G14*((R1298-1)*IF(Skills!H14&gt;0,Skills!I14/Skills!H14,1)+IF(Skills!H14&gt;0,MIN(Skills!I14,MAX(0,MAX(0,Inputs!$B$44-B1328)-((R1298-1)*IF(Inputs!$B$39="pvp",15,MAX(0.1,Skills!D14-IF(Skills!E14=TRUE,Inputs!$B$32,0))))))/Skills!H14,1)))/Inputs!$B$44),G1298*Q1298))*IF(Inputs!$B$39="pvp",1,1+(Inputs!$B$20+0+Skills!P14+B1318)/100),0)</f>
        <v/>
      </c>
      <c r="V1298">
        <f>IF(C1298,(H1298*N1298*IF(AND(Inputs!$B$39&lt;&gt;"pvp",Inputs!$B$44&gt;0),((Skills!G14*((R1298-1)*IF(Skills!H14&gt;0,Skills!I14/Skills!H14,1)+IF(Skills!H14&gt;0,MIN(Skills!I14,MAX(0,MAX(0,Inputs!$B$44-B1328)-((R1298-1)*IF(Inputs!$B$39="pvp",15,MAX(0.1,Skills!D14-IF(Skills!E14=TRUE,Inputs!$B$32,0))))))/Skills!H14,1)))/Inputs!$B$44),G1298*Q1298))*IF(Inputs!$B$39="pvp",1,(1+(Inputs!$B$21+Skills!Q14+B1318)/100)*(MIN(MIN(5,0.25*B1321*Skills!D4)*Skills!V14,Inputs!$B$37))),0)</f>
        <v/>
      </c>
    </row>
    <row r="1299">
      <c r="A1299">
        <f>Skills!A15</f>
        <v/>
      </c>
      <c r="B1299">
        <f>Skills!B15</f>
        <v/>
      </c>
      <c r="C1299">
        <f>Inputs!$B$3&gt;=110</f>
        <v/>
      </c>
      <c r="D1299">
        <f>IF(Skills!C15=1,60+Inputs!$B$25+Inputs!$B$29,IF(Skills!C15=2,90+Inputs!$B$26+Inputs!$B$29,IF(Skills!C15=3,120+Inputs!$B$27+Inputs!$B$29,MAX(0,(Inputs!$B$3-100)*3)+Inputs!$B$28+Inputs!$B$29)))</f>
        <v/>
      </c>
      <c r="E1299">
        <f>INDEX(FactorTable!$B$2:$Y$301, MATCH(ROUND(MIN(300,MAX(1,D1299)),0), FactorTable!$A$2:$A$301,0), Skills!M15+1)</f>
        <v/>
      </c>
      <c r="F1299">
        <f>IF(Skills!N15=TRUE,(Skills!L15/10)*(E1299/1000),Skills!L15/10)+Skills!O15</f>
        <v/>
      </c>
      <c r="G1299">
        <f>Skills!G15*IF(Skills!H15&gt;0,Skills!I15/Skills!H15,1)</f>
        <v/>
      </c>
      <c r="H1299">
        <f>1-(1-Skills!J15/100)^Skills!K15</f>
        <v/>
      </c>
      <c r="I1299" t="inlineStr">
        <is>
          <t>1</t>
        </is>
      </c>
      <c r="J1299" t="inlineStr"/>
      <c r="K1299" t="inlineStr"/>
      <c r="L1299" t="inlineStr"/>
      <c r="M1299" t="inlineStr"/>
      <c r="N1299" t="inlineStr"/>
      <c r="O1299">
        <f>(1-Summary!$B$55)*T1299+Summary!$B$55*V1299</f>
        <v/>
      </c>
      <c r="P1299">
        <f>IF(B1329=0,0,O1299/B1329)</f>
        <v/>
      </c>
      <c r="Q1299">
        <f>IFERROR(1/IF(Inputs!$B$39="pvp",15,MAX(0.1,Skills!D15-IF(Skills!E15=TRUE,Inputs!$B$32,0))),0)</f>
        <v/>
      </c>
      <c r="R1299">
        <f>IF(AND(Inputs!$B$39&lt;&gt;"pvp",Inputs!$B$44&gt;0),IF(Inputs!$B$44&lt;=0,0,(INT(Inputs!$B$44/IF(Inputs!$B$39="pvp",15,MAX(0.1,Skills!D15-IF(Skills!E15=TRUE,Inputs!$B$32,0))))+1)),0)</f>
        <v/>
      </c>
      <c r="S1299">
        <f>IFERROR(O1299/N1299,0)</f>
        <v/>
      </c>
      <c r="T1299" t="n">
        <v>0</v>
      </c>
      <c r="V1299" t="n">
        <v>0</v>
      </c>
    </row>
    <row r="1300">
      <c r="A1300">
        <f>Skills!A16</f>
        <v/>
      </c>
      <c r="B1300">
        <f>Skills!B16</f>
        <v/>
      </c>
      <c r="C1300">
        <f>Inputs!$B$3&gt;=115</f>
        <v/>
      </c>
      <c r="D1300">
        <f>IF(Skills!C16=1,60+Inputs!$B$25+Inputs!$B$29,IF(Skills!C16=2,90+Inputs!$B$26+Inputs!$B$29,IF(Skills!C16=3,120+Inputs!$B$27+Inputs!$B$29,MAX(0,(Inputs!$B$3-100)*3)+Inputs!$B$28+Inputs!$B$29)))</f>
        <v/>
      </c>
      <c r="E1300">
        <f>INDEX(FactorTable!$B$2:$Y$301, MATCH(ROUND(MIN(300,MAX(1,D1300)),0), FactorTable!$A$2:$A$301,0), Skills!M16+1)</f>
        <v/>
      </c>
      <c r="F1300">
        <f>IF(Skills!N16=TRUE,(Skills!L16/10)*(E1300/1000),Skills!L16/10)+Skills!O16</f>
        <v/>
      </c>
      <c r="G1300">
        <f>Skills!G16*IF(Skills!H16&gt;0,Skills!I16/Skills!H16,1)</f>
        <v/>
      </c>
      <c r="H1300">
        <f>1-(1-Skills!J16/100)^Skills!K16</f>
        <v/>
      </c>
      <c r="I1300" t="inlineStr">
        <is>
          <t>1</t>
        </is>
      </c>
      <c r="J1300">
        <f>((Inputs!$B$6*(1+Inputs!$B$7/100))+(((Inputs!$B$12*(1+Inputs!$B$13/100))-(Inputs!$B$12*(1+Inputs!$B$13/100)))+0.25*(Inputs!$B$14-Inputs!$B$14))*(1+Inputs!$B$7/100))*(F1300/100)</f>
        <v/>
      </c>
      <c r="K1300">
        <f>J1300*(1+((Inputs!$B$12*(1+Inputs!$B$13/100))*0.01+Inputs!$B$14*0.0025)/100)*(1+Inputs!$B$15/100)*(1+Inputs!$B$16/100)*(5000/(6000+Inputs!$B$43*(1-Inputs!$B$19/100)))*(1+(Inputs!$B$24+((C1314=TRUE)*(F1314-Calc!F30)))/100)*(1+(IF(Skills!A16="CRUEL_STAB",Inputs!$B$17+((C1311=TRUE)*(F1311-Calc!F27)),Inputs!$B$18+((C1312=TRUE)*(F1312-Calc!F28))))/100)*(((1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B1319*I1300)</f>
        <v/>
      </c>
      <c r="L1300">
        <f>K1300*(MIN(Inputs!$B$22+((C1308=TRUE)*(F1308-Calc!F24)),Inputs!$B$23+((C1313=TRUE)*(F1313-Calc!F29)))/100+(Inputs!$B$23+((C1313=TRUE)*(F1313-Calc!F29)))/100)/2</f>
        <v/>
      </c>
      <c r="M1300">
        <f>L1300*(1+(Inputs!$B$10+((C1310=TRUE)*(F1310-Calc!F26))+B1324)/100)</f>
        <v/>
      </c>
      <c r="N1300">
        <f>L1300*(1-MIN((Inputs!$B$9+((C1309=TRUE)*(F1309-Calc!F25))+B1317),100)/100)+M1300*(MIN((Inputs!$B$9+((C1309=TRUE)*(F1309-Calc!F25))+B1317),100)/100)</f>
        <v/>
      </c>
      <c r="O1300">
        <f>(1-Summary!$B$55)*T1300+Summary!$B$55*V1300</f>
        <v/>
      </c>
      <c r="P1300">
        <f>IF(B1329=0,0,O1300/B1329)</f>
        <v/>
      </c>
      <c r="Q1300" t="n">
        <v>0</v>
      </c>
      <c r="R1300" t="n">
        <v>0</v>
      </c>
      <c r="S1300">
        <f>IFERROR(O1300/N1300,0)</f>
        <v/>
      </c>
      <c r="T1300">
        <f>IF(C1300,(Inputs!$B$38*0.2*N1300)*IF(Inputs!$B$39="pvp",1,1+(Inputs!$B$20+0+Skills!P16+B1318)/100),0)</f>
        <v/>
      </c>
      <c r="V1300">
        <f>IF(C1300,(Inputs!$B$38*0.2*N1300)*IF(Inputs!$B$39="pvp",1,(1+(Inputs!$B$21+Skills!Q16+B1318)/100)*(MIN(Skills!W16,Inputs!$B$37))),0)</f>
        <v/>
      </c>
    </row>
    <row r="1301">
      <c r="A1301">
        <f>Skills!A17</f>
        <v/>
      </c>
      <c r="B1301">
        <f>Skills!B17</f>
        <v/>
      </c>
      <c r="C1301">
        <f>Inputs!$B$3&gt;=115</f>
        <v/>
      </c>
      <c r="D1301">
        <f>IF(Skills!C17=1,60+Inputs!$B$25+Inputs!$B$29,IF(Skills!C17=2,90+Inputs!$B$26+Inputs!$B$29,IF(Skills!C17=3,120+Inputs!$B$27+Inputs!$B$29,MAX(0,(Inputs!$B$3-100)*3)+Inputs!$B$28+Inputs!$B$29)))</f>
        <v/>
      </c>
      <c r="E1301">
        <f>INDEX(FactorTable!$B$2:$Y$301, MATCH(ROUND(MIN(300,MAX(1,D1301)),0), FactorTable!$A$2:$A$301,0), Skills!M17+1)</f>
        <v/>
      </c>
      <c r="F1301">
        <f>IF(Skills!N17=TRUE,(Skills!L17/10)*(E1301/1000),Skills!L17/10)+Skills!O17</f>
        <v/>
      </c>
      <c r="G1301">
        <f>Skills!G17*IF(Skills!H17&gt;0,Skills!I17/Skills!H17,1)</f>
        <v/>
      </c>
      <c r="H1301">
        <f>1-(1-Skills!J17/100)^Skills!K17</f>
        <v/>
      </c>
      <c r="I1301" t="inlineStr">
        <is>
          <t>1</t>
        </is>
      </c>
      <c r="J1301" t="inlineStr"/>
      <c r="K1301" t="inlineStr"/>
      <c r="L1301" t="inlineStr"/>
      <c r="M1301" t="inlineStr"/>
      <c r="N1301" t="inlineStr"/>
      <c r="O1301">
        <f>(1-Summary!$B$55)*T1301+Summary!$B$55*V1301</f>
        <v/>
      </c>
      <c r="P1301">
        <f>IF(B1329=0,0,O1301/B1329)</f>
        <v/>
      </c>
      <c r="Q1301" t="n">
        <v>0</v>
      </c>
      <c r="R1301" t="n">
        <v>0</v>
      </c>
      <c r="S1301">
        <f>IFERROR(O1301/N1301,0)</f>
        <v/>
      </c>
      <c r="T1301" t="n">
        <v>0</v>
      </c>
      <c r="V1301" t="n">
        <v>0</v>
      </c>
    </row>
    <row r="1302">
      <c r="A1302">
        <f>Skills!A18</f>
        <v/>
      </c>
      <c r="B1302">
        <f>Skills!B18</f>
        <v/>
      </c>
      <c r="C1302">
        <f>Inputs!$B$3&gt;=100</f>
        <v/>
      </c>
      <c r="D1302">
        <f>IF(Skills!C18=1,60+Inputs!$B$25+Inputs!$B$29,IF(Skills!C18=2,90+Inputs!$B$26+Inputs!$B$29,IF(Skills!C18=3,120+Inputs!$B$27+Inputs!$B$29,MAX(0,(Inputs!$B$3-100)*3)+Inputs!$B$28+Inputs!$B$29)))</f>
        <v/>
      </c>
      <c r="E1302">
        <f>INDEX(FactorTable!$B$2:$Y$301, MATCH(ROUND(MIN(300,MAX(1,D1302)),0), FactorTable!$A$2:$A$301,0), Skills!M18+1)</f>
        <v/>
      </c>
      <c r="F1302">
        <f>IF(Skills!N18=TRUE,(Skills!L18/10)*(E1302/1000),Skills!L18/10)+Skills!O18</f>
        <v/>
      </c>
      <c r="G1302">
        <f>Skills!G18*IF(Skills!H18&gt;0,Skills!I18/Skills!H18,1)</f>
        <v/>
      </c>
      <c r="H1302">
        <f>1-(1-Skills!J18/100)^Skills!K18</f>
        <v/>
      </c>
      <c r="I1302" t="inlineStr">
        <is>
          <t>1</t>
        </is>
      </c>
      <c r="J1302" t="inlineStr"/>
      <c r="K1302" t="inlineStr"/>
      <c r="L1302" t="inlineStr"/>
      <c r="M1302" t="inlineStr"/>
      <c r="N1302" t="inlineStr"/>
      <c r="O1302">
        <f>(1-Summary!$B$55)*T1302+Summary!$B$55*V1302</f>
        <v/>
      </c>
      <c r="P1302">
        <f>IF(B1329=0,0,O1302/B1329)</f>
        <v/>
      </c>
      <c r="Q1302" t="n">
        <v>0</v>
      </c>
      <c r="R1302" t="n">
        <v>0</v>
      </c>
      <c r="S1302">
        <f>IFERROR(O1302/N1302,0)</f>
        <v/>
      </c>
      <c r="T1302" t="n">
        <v>0</v>
      </c>
      <c r="V1302" t="n">
        <v>0</v>
      </c>
    </row>
    <row r="1303">
      <c r="A1303">
        <f>Skills!A19</f>
        <v/>
      </c>
      <c r="B1303">
        <f>Skills!B19</f>
        <v/>
      </c>
      <c r="C1303">
        <f>TRUE</f>
        <v/>
      </c>
      <c r="D1303">
        <f>IF(Skills!C19=1,60+Inputs!$B$25+Inputs!$B$29,IF(Skills!C19=2,90+Inputs!$B$26+Inputs!$B$29,IF(Skills!C19=3,120+Inputs!$B$27+Inputs!$B$29,MAX(0,(Inputs!$B$3-100)*3)+Inputs!$B$28+Inputs!$B$29)))</f>
        <v/>
      </c>
      <c r="E1303">
        <f>INDEX(FactorTable!$B$2:$Y$301, MATCH(ROUND(MIN(300,MAX(1,D1303)),0), FactorTable!$A$2:$A$301,0), Skills!M19+1)</f>
        <v/>
      </c>
      <c r="F1303">
        <f>IF(Skills!N19=TRUE,(Skills!L19/10)*(E1303/1000),Skills!L19/10)+Skills!O19</f>
        <v/>
      </c>
      <c r="G1303">
        <f>Skills!G19*IF(Skills!H19&gt;0,Skills!I19/Skills!H19,1)</f>
        <v/>
      </c>
      <c r="H1303">
        <f>1-(1-Skills!J19/100)^Skills!K19</f>
        <v/>
      </c>
      <c r="I1303" t="inlineStr">
        <is>
          <t>1</t>
        </is>
      </c>
      <c r="J1303" t="inlineStr"/>
      <c r="K1303" t="inlineStr"/>
      <c r="L1303" t="inlineStr"/>
      <c r="M1303" t="inlineStr"/>
      <c r="N1303" t="inlineStr"/>
      <c r="O1303">
        <f>(1-Summary!$B$55)*T1303+Summary!$B$55*V1303</f>
        <v/>
      </c>
      <c r="P1303">
        <f>IF(B1329=0,0,O1303/B1329)</f>
        <v/>
      </c>
      <c r="Q1303">
        <f>IFERROR(1/IF(Inputs!$B$39="pvp",15,MAX(0.1,Skills!D19-IF(Skills!E19=TRUE,Inputs!$B$32,0))),0)</f>
        <v/>
      </c>
      <c r="R1303">
        <f>IF(AND(Inputs!$B$39&lt;&gt;"pvp",Inputs!$B$44&gt;0),IF(Inputs!$B$44&lt;=0,0,(INT(Inputs!$B$44/IF(Inputs!$B$39="pvp",15,MAX(0.1,Skills!D19-IF(Skills!E19=TRUE,Inputs!$B$32,0))))+1)),0)</f>
        <v/>
      </c>
      <c r="S1303">
        <f>IFERROR(O1303/N1303,0)</f>
        <v/>
      </c>
      <c r="T1303" t="n">
        <v>0</v>
      </c>
      <c r="V1303" t="n">
        <v>0</v>
      </c>
    </row>
    <row r="1304">
      <c r="A1304">
        <f>Skills!A20</f>
        <v/>
      </c>
      <c r="B1304">
        <f>Skills!B20</f>
        <v/>
      </c>
      <c r="C1304">
        <f>Inputs!$B$3&gt;=15</f>
        <v/>
      </c>
      <c r="D1304">
        <f>IF(Skills!C20=1,60+Inputs!$B$25+Inputs!$B$29,IF(Skills!C20=2,90+Inputs!$B$26+Inputs!$B$29,IF(Skills!C20=3,120+Inputs!$B$27+Inputs!$B$29,MAX(0,(Inputs!$B$3-100)*3)+Inputs!$B$28+Inputs!$B$29)))</f>
        <v/>
      </c>
      <c r="E1304">
        <f>INDEX(FactorTable!$B$2:$Y$301, MATCH(ROUND(MIN(300,MAX(1,D1304)),0), FactorTable!$A$2:$A$301,0), Skills!M20+1)</f>
        <v/>
      </c>
      <c r="F1304">
        <f>IF(Skills!N20=TRUE,(Skills!L20/10)*(E1304/1000),Skills!L20/10)+Skills!O20</f>
        <v/>
      </c>
      <c r="G1304">
        <f>Skills!G20*IF(Skills!H20&gt;0,Skills!I20/Skills!H20,1)</f>
        <v/>
      </c>
      <c r="H1304">
        <f>1-(1-Skills!J20/100)^Skills!K20</f>
        <v/>
      </c>
      <c r="I1304" t="inlineStr">
        <is>
          <t>1</t>
        </is>
      </c>
      <c r="J1304" t="inlineStr"/>
      <c r="K1304" t="inlineStr"/>
      <c r="L1304" t="inlineStr"/>
      <c r="M1304" t="inlineStr"/>
      <c r="N1304" t="inlineStr"/>
      <c r="O1304">
        <f>(1-Summary!$B$55)*T1304+Summary!$B$55*V1304</f>
        <v/>
      </c>
      <c r="P1304">
        <f>IF(B1329=0,0,O1304/B1329)</f>
        <v/>
      </c>
      <c r="Q1304">
        <f>IFERROR(1/IF(Inputs!$B$39="pvp",15,MAX(0.1,Skills!D20-IF(Skills!E20=TRUE,Inputs!$B$32,0))),0)</f>
        <v/>
      </c>
      <c r="R1304">
        <f>IF(AND(Inputs!$B$39&lt;&gt;"pvp",Inputs!$B$44&gt;0),IF(Inputs!$B$44&lt;=0,0,(INT(Inputs!$B$44/IF(Inputs!$B$39="pvp",15,MAX(0.1,Skills!D20-IF(Skills!E20=TRUE,Inputs!$B$32,0))))+1)),0)</f>
        <v/>
      </c>
      <c r="S1304">
        <f>IFERROR(O1304/N1304,0)</f>
        <v/>
      </c>
      <c r="T1304" t="n">
        <v>0</v>
      </c>
      <c r="V1304" t="n">
        <v>0</v>
      </c>
    </row>
    <row r="1305">
      <c r="A1305">
        <f>Skills!A21</f>
        <v/>
      </c>
      <c r="B1305">
        <f>Skills!B21</f>
        <v/>
      </c>
      <c r="C1305">
        <f>Inputs!$B$3&gt;=15</f>
        <v/>
      </c>
      <c r="D1305">
        <f>IF(Skills!C21=1,60+Inputs!$B$25+Inputs!$B$29,IF(Skills!C21=2,90+Inputs!$B$26+Inputs!$B$29,IF(Skills!C21=3,120+Inputs!$B$27+Inputs!$B$29,MAX(0,(Inputs!$B$3-100)*3)+Inputs!$B$28+Inputs!$B$29)))</f>
        <v/>
      </c>
      <c r="E1305">
        <f>INDEX(FactorTable!$B$2:$Y$301, MATCH(ROUND(MIN(300,MAX(1,D1305)),0), FactorTable!$A$2:$A$301,0), Skills!M21+1)</f>
        <v/>
      </c>
      <c r="F1305">
        <f>IF(Skills!N21=TRUE,(Skills!L21/10)*(E1305/1000),Skills!L21/10)+Skills!O21</f>
        <v/>
      </c>
      <c r="G1305">
        <f>Skills!G21*IF(Skills!H21&gt;0,Skills!I21/Skills!H21,1)</f>
        <v/>
      </c>
      <c r="H1305">
        <f>1-(1-Skills!J21/100)^Skills!K21</f>
        <v/>
      </c>
      <c r="I1305" t="inlineStr">
        <is>
          <t>1</t>
        </is>
      </c>
      <c r="J1305" t="inlineStr"/>
      <c r="K1305" t="inlineStr"/>
      <c r="L1305" t="inlineStr"/>
      <c r="M1305" t="inlineStr"/>
      <c r="N1305" t="inlineStr"/>
      <c r="O1305">
        <f>(1-Summary!$B$55)*T1305+Summary!$B$55*V1305</f>
        <v/>
      </c>
      <c r="P1305">
        <f>IF(B1329=0,0,O1305/B1329)</f>
        <v/>
      </c>
      <c r="Q1305">
        <f>IFERROR(1/IF(Inputs!$B$39="pvp",15,MAX(0.1,Skills!D21-IF(Skills!E21=TRUE,Inputs!$B$32,0))),0)</f>
        <v/>
      </c>
      <c r="R1305">
        <f>IF(AND(Inputs!$B$39&lt;&gt;"pvp",Inputs!$B$44&gt;0),IF(Inputs!$B$44&lt;=0,0,(INT(Inputs!$B$44/IF(Inputs!$B$39="pvp",15,MAX(0.1,Skills!D21-IF(Skills!E21=TRUE,Inputs!$B$32,0))))+1)),0)</f>
        <v/>
      </c>
      <c r="S1305">
        <f>IFERROR(O1305/N1305,0)</f>
        <v/>
      </c>
      <c r="T1305" t="n">
        <v>0</v>
      </c>
      <c r="V1305" t="n">
        <v>0</v>
      </c>
    </row>
    <row r="1306">
      <c r="A1306">
        <f>Skills!A22</f>
        <v/>
      </c>
      <c r="B1306">
        <f>Skills!B22</f>
        <v/>
      </c>
      <c r="C1306">
        <f>Inputs!$B$3&gt;=33</f>
        <v/>
      </c>
      <c r="D1306">
        <f>IF(Skills!C22=1,60+Inputs!$B$25+Inputs!$B$29,IF(Skills!C22=2,90+Inputs!$B$26+Inputs!$B$29,IF(Skills!C22=3,120+Inputs!$B$27+Inputs!$B$29,MAX(0,(Inputs!$B$3-100)*3)+Inputs!$B$28+Inputs!$B$29)))</f>
        <v/>
      </c>
      <c r="E1306">
        <f>INDEX(FactorTable!$B$2:$Y$301, MATCH(ROUND(MIN(300,MAX(1,D1306)),0), FactorTable!$A$2:$A$301,0), Skills!M22+1)</f>
        <v/>
      </c>
      <c r="F1306">
        <f>IF(Skills!N22=TRUE,(Skills!L22/10)*(E1306/1000),Skills!L22/10)+Skills!O22</f>
        <v/>
      </c>
      <c r="G1306">
        <f>Skills!G22*IF(Skills!H22&gt;0,Skills!I22/Skills!H22,1)</f>
        <v/>
      </c>
      <c r="H1306">
        <f>1-(1-Skills!J22/100)^Skills!K22</f>
        <v/>
      </c>
      <c r="I1306" t="inlineStr">
        <is>
          <t>1</t>
        </is>
      </c>
      <c r="J1306" t="inlineStr"/>
      <c r="K1306" t="inlineStr"/>
      <c r="L1306" t="inlineStr"/>
      <c r="M1306" t="inlineStr"/>
      <c r="N1306" t="inlineStr"/>
      <c r="O1306">
        <f>(1-Summary!$B$55)*T1306+Summary!$B$55*V1306</f>
        <v/>
      </c>
      <c r="P1306">
        <f>IF(B1329=0,0,O1306/B1329)</f>
        <v/>
      </c>
      <c r="Q1306" t="n">
        <v>0</v>
      </c>
      <c r="R1306" t="n">
        <v>0</v>
      </c>
      <c r="S1306">
        <f>IFERROR(O1306/N1306,0)</f>
        <v/>
      </c>
      <c r="T1306" t="n">
        <v>0</v>
      </c>
      <c r="V1306" t="n">
        <v>0</v>
      </c>
    </row>
    <row r="1307">
      <c r="A1307">
        <f>Skills!A23</f>
        <v/>
      </c>
      <c r="B1307">
        <f>Skills!B23</f>
        <v/>
      </c>
      <c r="C1307">
        <f>Inputs!$B$3&gt;=40</f>
        <v/>
      </c>
      <c r="D1307">
        <f>IF(Skills!C23=1,60+Inputs!$B$25+Inputs!$B$29,IF(Skills!C23=2,90+Inputs!$B$26+Inputs!$B$29,IF(Skills!C23=3,120+Inputs!$B$27+Inputs!$B$29,MAX(0,(Inputs!$B$3-100)*3)+Inputs!$B$28+Inputs!$B$29)))</f>
        <v/>
      </c>
      <c r="E1307">
        <f>INDEX(FactorTable!$B$2:$Y$301, MATCH(ROUND(MIN(300,MAX(1,D1307)),0), FactorTable!$A$2:$A$301,0), Skills!M23+1)</f>
        <v/>
      </c>
      <c r="F1307">
        <f>IF(Skills!N23=TRUE,(Skills!L23/10)*(E1307/1000),Skills!L23/10)+Skills!O23</f>
        <v/>
      </c>
      <c r="G1307">
        <f>Skills!G23*IF(Skills!H23&gt;0,Skills!I23/Skills!H23,1)</f>
        <v/>
      </c>
      <c r="H1307">
        <f>1-(1-Skills!J23/100)^Skills!K23</f>
        <v/>
      </c>
      <c r="I1307" t="inlineStr">
        <is>
          <t>1</t>
        </is>
      </c>
      <c r="J1307" t="inlineStr"/>
      <c r="K1307" t="inlineStr"/>
      <c r="L1307" t="inlineStr"/>
      <c r="M1307" t="inlineStr"/>
      <c r="N1307" t="inlineStr"/>
      <c r="O1307">
        <f>(1-Summary!$B$55)*T1307+Summary!$B$55*V1307</f>
        <v/>
      </c>
      <c r="P1307">
        <f>IF(B1329=0,0,O1307/B1329)</f>
        <v/>
      </c>
      <c r="Q1307" t="n">
        <v>0</v>
      </c>
      <c r="R1307" t="n">
        <v>0</v>
      </c>
      <c r="S1307">
        <f>IFERROR(O1307/N1307,0)</f>
        <v/>
      </c>
      <c r="T1307" t="n">
        <v>0</v>
      </c>
      <c r="V1307" t="n">
        <v>0</v>
      </c>
    </row>
    <row r="1308">
      <c r="A1308">
        <f>Skills!A24</f>
        <v/>
      </c>
      <c r="B1308">
        <f>Skills!B24</f>
        <v/>
      </c>
      <c r="C1308">
        <f>Inputs!$B$3&gt;=43</f>
        <v/>
      </c>
      <c r="D1308">
        <f>IF(Skills!C24=1,60+Inputs!$B$25+Inputs!$B$29,IF(Skills!C24=2,90+Inputs!$B$26+Inputs!$B$29,IF(Skills!C24=3,120+Inputs!$B$27+Inputs!$B$29,MAX(0,(Inputs!$B$3-100)*3)+Inputs!$B$28+Inputs!$B$29)))</f>
        <v/>
      </c>
      <c r="E1308">
        <f>INDEX(FactorTable!$B$2:$Y$301, MATCH(ROUND(MIN(300,MAX(1,D1308)),0), FactorTable!$A$2:$A$301,0), Skills!M24+1)</f>
        <v/>
      </c>
      <c r="F1308">
        <f>IF(Skills!N24=TRUE,(Skills!L24/10)*(E1308/1000),Skills!L24/10)+Skills!O24</f>
        <v/>
      </c>
      <c r="G1308">
        <f>Skills!G24*IF(Skills!H24&gt;0,Skills!I24/Skills!H24,1)</f>
        <v/>
      </c>
      <c r="H1308">
        <f>1-(1-Skills!J24/100)^Skills!K24</f>
        <v/>
      </c>
      <c r="I1308" t="inlineStr">
        <is>
          <t>1</t>
        </is>
      </c>
      <c r="J1308" t="inlineStr"/>
      <c r="K1308" t="inlineStr"/>
      <c r="L1308" t="inlineStr"/>
      <c r="M1308" t="inlineStr"/>
      <c r="N1308" t="inlineStr"/>
      <c r="O1308">
        <f>(1-Summary!$B$55)*T1308+Summary!$B$55*V1308</f>
        <v/>
      </c>
      <c r="P1308">
        <f>IF(B1329=0,0,O1308/B1329)</f>
        <v/>
      </c>
      <c r="Q1308" t="n">
        <v>0</v>
      </c>
      <c r="R1308" t="n">
        <v>0</v>
      </c>
      <c r="S1308">
        <f>IFERROR(O1308/N1308,0)</f>
        <v/>
      </c>
      <c r="T1308" t="n">
        <v>0</v>
      </c>
      <c r="V1308" t="n">
        <v>0</v>
      </c>
    </row>
    <row r="1309">
      <c r="A1309">
        <f>Skills!A25</f>
        <v/>
      </c>
      <c r="B1309">
        <f>Skills!B25</f>
        <v/>
      </c>
      <c r="C1309">
        <f>Inputs!$B$3&gt;=50</f>
        <v/>
      </c>
      <c r="D1309">
        <f>IF(Skills!C25=1,60+Inputs!$B$25+Inputs!$B$29,IF(Skills!C25=2,90+Inputs!$B$26+Inputs!$B$29,IF(Skills!C25=3,120+Inputs!$B$27+Inputs!$B$29,MAX(0,(Inputs!$B$3-100)*3)+Inputs!$B$28+Inputs!$B$29)))</f>
        <v/>
      </c>
      <c r="E1309">
        <f>INDEX(FactorTable!$B$2:$Y$301, MATCH(ROUND(MIN(300,MAX(1,D1309)),0), FactorTable!$A$2:$A$301,0), Skills!M25+1)</f>
        <v/>
      </c>
      <c r="F1309">
        <f>IF(Skills!N25=TRUE,(Skills!L25/10)*(E1309/1000),Skills!L25/10)+Skills!O25</f>
        <v/>
      </c>
      <c r="G1309">
        <f>Skills!G25*IF(Skills!H25&gt;0,Skills!I25/Skills!H25,1)</f>
        <v/>
      </c>
      <c r="H1309">
        <f>1-(1-Skills!J25/100)^Skills!K25</f>
        <v/>
      </c>
      <c r="I1309" t="inlineStr">
        <is>
          <t>1</t>
        </is>
      </c>
      <c r="J1309" t="inlineStr"/>
      <c r="K1309" t="inlineStr"/>
      <c r="L1309" t="inlineStr"/>
      <c r="M1309" t="inlineStr"/>
      <c r="N1309" t="inlineStr"/>
      <c r="O1309">
        <f>(1-Summary!$B$55)*T1309+Summary!$B$55*V1309</f>
        <v/>
      </c>
      <c r="P1309">
        <f>IF(B1329=0,0,O1309/B1329)</f>
        <v/>
      </c>
      <c r="Q1309" t="n">
        <v>0</v>
      </c>
      <c r="R1309" t="n">
        <v>0</v>
      </c>
      <c r="S1309">
        <f>IFERROR(O1309/N1309,0)</f>
        <v/>
      </c>
      <c r="T1309" t="n">
        <v>0</v>
      </c>
      <c r="V1309" t="n">
        <v>0</v>
      </c>
    </row>
    <row r="1310">
      <c r="A1310">
        <f>Skills!A26</f>
        <v/>
      </c>
      <c r="B1310">
        <f>Skills!B26</f>
        <v/>
      </c>
      <c r="C1310">
        <f>Inputs!$B$3&gt;=50</f>
        <v/>
      </c>
      <c r="D1310">
        <f>IF(Skills!C26=1,60+Inputs!$B$25+Inputs!$B$29,IF(Skills!C26=2,90+Inputs!$B$26+Inputs!$B$29,IF(Skills!C26=3,120+Inputs!$B$27+Inputs!$B$29,MAX(0,(Inputs!$B$3-100)*3)+Inputs!$B$28+Inputs!$B$29)))</f>
        <v/>
      </c>
      <c r="E1310">
        <f>INDEX(FactorTable!$B$2:$Y$301, MATCH(ROUND(MIN(300,MAX(1,D1310)),0), FactorTable!$A$2:$A$301,0), Skills!M26+1)</f>
        <v/>
      </c>
      <c r="F1310">
        <f>IF(Skills!N26=TRUE,(Skills!L26/10)*(E1310/1000),Skills!L26/10)+Skills!O26</f>
        <v/>
      </c>
      <c r="G1310">
        <f>Skills!G26*IF(Skills!H26&gt;0,Skills!I26/Skills!H26,1)</f>
        <v/>
      </c>
      <c r="H1310">
        <f>1-(1-Skills!J26/100)^Skills!K26</f>
        <v/>
      </c>
      <c r="I1310" t="inlineStr">
        <is>
          <t>1</t>
        </is>
      </c>
      <c r="J1310" t="inlineStr"/>
      <c r="K1310" t="inlineStr"/>
      <c r="L1310" t="inlineStr"/>
      <c r="M1310" t="inlineStr"/>
      <c r="N1310" t="inlineStr"/>
      <c r="O1310">
        <f>(1-Summary!$B$55)*T1310+Summary!$B$55*V1310</f>
        <v/>
      </c>
      <c r="P1310">
        <f>IF(B1329=0,0,O1310/B1329)</f>
        <v/>
      </c>
      <c r="Q1310" t="n">
        <v>0</v>
      </c>
      <c r="R1310" t="n">
        <v>0</v>
      </c>
      <c r="S1310">
        <f>IFERROR(O1310/N1310,0)</f>
        <v/>
      </c>
      <c r="T1310" t="n">
        <v>0</v>
      </c>
      <c r="V1310" t="n">
        <v>0</v>
      </c>
    </row>
    <row r="1311">
      <c r="A1311">
        <f>Skills!A27</f>
        <v/>
      </c>
      <c r="B1311">
        <f>Skills!B27</f>
        <v/>
      </c>
      <c r="C1311">
        <f>Inputs!$B$3&gt;=38</f>
        <v/>
      </c>
      <c r="D1311">
        <f>IF(Skills!C27=1,60+Inputs!$B$25+Inputs!$B$29,IF(Skills!C27=2,90+Inputs!$B$26+Inputs!$B$29,IF(Skills!C27=3,120+Inputs!$B$27+Inputs!$B$29,MAX(0,(Inputs!$B$3-100)*3)+Inputs!$B$28+Inputs!$B$29)))</f>
        <v/>
      </c>
      <c r="E1311">
        <f>INDEX(FactorTable!$B$2:$Y$301, MATCH(ROUND(MIN(300,MAX(1,D1311)),0), FactorTable!$A$2:$A$301,0), Skills!M27+1)</f>
        <v/>
      </c>
      <c r="F1311">
        <f>IF(Skills!N27=TRUE,(Skills!L27/10)*(E1311/1000),Skills!L27/10)+Skills!O27</f>
        <v/>
      </c>
      <c r="G1311">
        <f>Skills!G27*IF(Skills!H27&gt;0,Skills!I27/Skills!H27,1)</f>
        <v/>
      </c>
      <c r="H1311">
        <f>1-(1-Skills!J27/100)^Skills!K27</f>
        <v/>
      </c>
      <c r="I1311" t="inlineStr">
        <is>
          <t>1</t>
        </is>
      </c>
      <c r="J1311" t="inlineStr"/>
      <c r="K1311" t="inlineStr"/>
      <c r="L1311" t="inlineStr"/>
      <c r="M1311" t="inlineStr"/>
      <c r="N1311" t="inlineStr"/>
      <c r="O1311">
        <f>(1-Summary!$B$55)*T1311+Summary!$B$55*V1311</f>
        <v/>
      </c>
      <c r="P1311">
        <f>IF(B1329=0,0,O1311/B1329)</f>
        <v/>
      </c>
      <c r="Q1311" t="n">
        <v>0</v>
      </c>
      <c r="R1311" t="n">
        <v>0</v>
      </c>
      <c r="S1311">
        <f>IFERROR(O1311/N1311,0)</f>
        <v/>
      </c>
      <c r="T1311" t="n">
        <v>0</v>
      </c>
      <c r="V1311" t="n">
        <v>0</v>
      </c>
    </row>
    <row r="1312">
      <c r="A1312">
        <f>Skills!A28</f>
        <v/>
      </c>
      <c r="B1312">
        <f>Skills!B28</f>
        <v/>
      </c>
      <c r="C1312">
        <f>Inputs!$B$3&gt;=120</f>
        <v/>
      </c>
      <c r="D1312">
        <f>IF(Skills!C28=1,60+Inputs!$B$25+Inputs!$B$29,IF(Skills!C28=2,90+Inputs!$B$26+Inputs!$B$29,IF(Skills!C28=3,120+Inputs!$B$27+Inputs!$B$29,MAX(0,(Inputs!$B$3-100)*3)+Inputs!$B$28+Inputs!$B$29)))</f>
        <v/>
      </c>
      <c r="E1312">
        <f>INDEX(FactorTable!$B$2:$Y$301, MATCH(ROUND(MIN(300,MAX(1,D1312)),0), FactorTable!$A$2:$A$301,0), Skills!M28+1)</f>
        <v/>
      </c>
      <c r="F1312">
        <f>IF(Skills!N28=TRUE,(Skills!L28/10)*(E1312/1000),Skills!L28/10)+Skills!O28</f>
        <v/>
      </c>
      <c r="G1312">
        <f>Skills!G28*IF(Skills!H28&gt;0,Skills!I28/Skills!H28,1)</f>
        <v/>
      </c>
      <c r="H1312">
        <f>1-(1-Skills!J28/100)^Skills!K28</f>
        <v/>
      </c>
      <c r="I1312" t="inlineStr">
        <is>
          <t>1</t>
        </is>
      </c>
      <c r="J1312" t="inlineStr"/>
      <c r="K1312" t="inlineStr"/>
      <c r="L1312" t="inlineStr"/>
      <c r="M1312" t="inlineStr"/>
      <c r="N1312" t="inlineStr"/>
      <c r="O1312">
        <f>(1-Summary!$B$55)*T1312+Summary!$B$55*V1312</f>
        <v/>
      </c>
      <c r="P1312">
        <f>IF(B1329=0,0,O1312/B1329)</f>
        <v/>
      </c>
      <c r="Q1312" t="n">
        <v>0</v>
      </c>
      <c r="R1312" t="n">
        <v>0</v>
      </c>
      <c r="S1312">
        <f>IFERROR(O1312/N1312,0)</f>
        <v/>
      </c>
      <c r="T1312" t="n">
        <v>0</v>
      </c>
      <c r="V1312" t="n">
        <v>0</v>
      </c>
    </row>
    <row r="1313">
      <c r="A1313">
        <f>Skills!A29</f>
        <v/>
      </c>
      <c r="B1313">
        <f>Skills!B29</f>
        <v/>
      </c>
      <c r="C1313">
        <f>Inputs!$B$3&gt;=120</f>
        <v/>
      </c>
      <c r="D1313">
        <f>IF(Skills!C29=1,60+Inputs!$B$25+Inputs!$B$29,IF(Skills!C29=2,90+Inputs!$B$26+Inputs!$B$29,IF(Skills!C29=3,120+Inputs!$B$27+Inputs!$B$29,MAX(0,(Inputs!$B$3-100)*3)+Inputs!$B$28+Inputs!$B$29)))</f>
        <v/>
      </c>
      <c r="E1313">
        <f>INDEX(FactorTable!$B$2:$Y$301, MATCH(ROUND(MIN(300,MAX(1,D1313)),0), FactorTable!$A$2:$A$301,0), Skills!M29+1)</f>
        <v/>
      </c>
      <c r="F1313">
        <f>IF(Skills!N29=TRUE,(Skills!L29/10)*(E1313/1000),Skills!L29/10)+Skills!O29</f>
        <v/>
      </c>
      <c r="G1313">
        <f>Skills!G29*IF(Skills!H29&gt;0,Skills!I29/Skills!H29,1)</f>
        <v/>
      </c>
      <c r="H1313">
        <f>1-(1-Skills!J29/100)^Skills!K29</f>
        <v/>
      </c>
      <c r="I1313" t="inlineStr">
        <is>
          <t>1</t>
        </is>
      </c>
      <c r="J1313" t="inlineStr"/>
      <c r="K1313" t="inlineStr"/>
      <c r="L1313" t="inlineStr"/>
      <c r="M1313" t="inlineStr"/>
      <c r="N1313" t="inlineStr"/>
      <c r="O1313">
        <f>(1-Summary!$B$55)*T1313+Summary!$B$55*V1313</f>
        <v/>
      </c>
      <c r="P1313">
        <f>IF(B1329=0,0,O1313/B1329)</f>
        <v/>
      </c>
      <c r="Q1313" t="n">
        <v>0</v>
      </c>
      <c r="R1313" t="n">
        <v>0</v>
      </c>
      <c r="S1313">
        <f>IFERROR(O1313/N1313,0)</f>
        <v/>
      </c>
      <c r="T1313" t="n">
        <v>0</v>
      </c>
      <c r="V1313" t="n">
        <v>0</v>
      </c>
    </row>
    <row r="1314">
      <c r="A1314">
        <f>Skills!A30</f>
        <v/>
      </c>
      <c r="B1314">
        <f>Skills!B30</f>
        <v/>
      </c>
      <c r="C1314">
        <f>Inputs!$B$3&gt;=125</f>
        <v/>
      </c>
      <c r="D1314">
        <f>IF(Skills!C30=1,60+Inputs!$B$25+Inputs!$B$29,IF(Skills!C30=2,90+Inputs!$B$26+Inputs!$B$29,IF(Skills!C30=3,120+Inputs!$B$27+Inputs!$B$29,MAX(0,(Inputs!$B$3-100)*3)+Inputs!$B$28+Inputs!$B$29)))</f>
        <v/>
      </c>
      <c r="E1314">
        <f>INDEX(FactorTable!$B$2:$Y$301, MATCH(ROUND(MIN(300,MAX(1,D1314)),0), FactorTable!$A$2:$A$301,0), Skills!M30+1)</f>
        <v/>
      </c>
      <c r="F1314">
        <f>IF(Skills!N30=TRUE,(Skills!L30/10)*(E1314/1000),Skills!L30/10)+Skills!O30</f>
        <v/>
      </c>
      <c r="G1314">
        <f>Skills!G30*IF(Skills!H30&gt;0,Skills!I30/Skills!H30,1)</f>
        <v/>
      </c>
      <c r="H1314">
        <f>1-(1-Skills!J30/100)^Skills!K30</f>
        <v/>
      </c>
      <c r="I1314" t="inlineStr">
        <is>
          <t>1</t>
        </is>
      </c>
      <c r="J1314" t="inlineStr"/>
      <c r="K1314" t="inlineStr"/>
      <c r="L1314" t="inlineStr"/>
      <c r="M1314" t="inlineStr"/>
      <c r="N1314" t="inlineStr"/>
      <c r="O1314">
        <f>(1-Summary!$B$55)*T1314+Summary!$B$55*V1314</f>
        <v/>
      </c>
      <c r="P1314">
        <f>IF(B1329=0,0,O1314/B1329)</f>
        <v/>
      </c>
      <c r="Q1314" t="n">
        <v>0</v>
      </c>
      <c r="R1314" t="n">
        <v>0</v>
      </c>
      <c r="S1314">
        <f>IFERROR(O1314/N1314,0)</f>
        <v/>
      </c>
      <c r="T1314" t="n">
        <v>0</v>
      </c>
      <c r="V1314" t="n">
        <v>0</v>
      </c>
    </row>
    <row r="1316">
      <c r="A1316" t="inlineStr">
        <is>
          <t>Average Buff Multiplier</t>
        </is>
      </c>
      <c r="B1316">
        <f>(1+(((C1305=TRUE)*F1305*IF(AND(Inputs!$B$39&lt;&gt;"pvp",Inputs!$B$44&gt;0),(((R1305-1)*(Skills!Y21*(1+(Inputs!$B$34+1)/100))+MIN((Skills!Y21*(1+(Inputs!$B$34+1)/100)),MAX(0,Inputs!$B$44-((R1305-1)*Skills!D21))))/Inputs!$B$44),IF(Inputs!$B$39="pvp",MIN((Skills!Y21*(1+(Inputs!$B$34+1)/100)),15)/15,(Skills!Y21*(1+(Inputs!$B$34+1)/100))/Skills!D21)))+((C1307=TRUE)*(F1307-Calc!F23))+((C1301=TRUE)*(F1301-Calc!F17)))/100)*(1+((C1294=TRUE)*F1294*IF(AND(Inputs!$B$39&lt;&gt;"pvp",Inputs!$B$44&gt;0),(((R1294-1)*(Skills!Y10*(1+(Inputs!$B$34+1)/100))+MIN((Skills!Y10*(1+(Inputs!$B$34+1)/100)),MAX(0,Inputs!$B$44-((R1294-1)*Skills!D10))))/Inputs!$B$44),IF(Inputs!$B$39="pvp",MIN((Skills!Y10*(1+(Inputs!$B$34+1)/100)),15)/15,(Skills!Y10*(1+(Inputs!$B$34+1)/100))/Skills!D10)))/100)*(1+((C1299=TRUE)*F1299*IF(AND(Inputs!$B$39&lt;&gt;"pvp",Inputs!$B$44&gt;0),(((R1299-1)*(Skills!Y15*(1+(Inputs!$B$34+1)/100))+MIN((Skills!Y15*(1+(Inputs!$B$34+1)/100)),MAX(0,Inputs!$B$44-((R1299-1)*Skills!D15))))/Inputs!$B$44),IF(Inputs!$B$39="pvp",MIN((Skills!Y15*(1+(Inputs!$B$34+1)/100)),15)/15,(Skills!Y15*(1+(Inputs!$B$34+1)/100))/Skills!D15)))/100)</f>
        <v/>
      </c>
    </row>
    <row r="1317">
      <c r="A1317" t="inlineStr">
        <is>
          <t>Global Crit Rate Bonus %</t>
        </is>
      </c>
      <c r="B1317">
        <f>((C1304=TRUE)*F1304*IF(AND(Inputs!$B$39&lt;&gt;"pvp",Inputs!$B$44&gt;0),(((R1304-1)*(Skills!Y20*(1+(Inputs!$B$34+1)/100))+MIN((Skills!Y20*(1+(Inputs!$B$34+1)/100)),MAX(0,Inputs!$B$44-((R1304-1)*Skills!D20))))/Inputs!$B$44),IF(Inputs!$B$39="pvp",MIN((Skills!Y20*(1+(Inputs!$B$34+1)/100)),15)/15,(Skills!Y20*(1+(Inputs!$B$34+1)/100))/Skills!D20)))</f>
        <v/>
      </c>
    </row>
    <row r="1318">
      <c r="A1318" t="inlineStr">
        <is>
          <t>Global Monster Damage-Taken Bonus %</t>
        </is>
      </c>
      <c r="B1318">
        <f>IF(Inputs!$B$3&gt;=82,15,0)</f>
        <v/>
      </c>
    </row>
    <row r="1319">
      <c r="A1319" t="inlineStr">
        <is>
          <t>Shadow Partner Average Multiplier</t>
        </is>
      </c>
      <c r="B1319">
        <f>1+((C1291=TRUE)*F1291*(1+3.3333333333333335*IF(C1302=TRUE,F1302,0)/100)*I1291*Skills!J7/100)/100</f>
        <v/>
      </c>
    </row>
    <row r="1320">
      <c r="A1320" t="inlineStr">
        <is>
          <t>Attack Speed Buff Bonus %</t>
        </is>
      </c>
      <c r="B1320">
        <f>((C1303=TRUE)*F1303*IF(AND(Inputs!$B$39&lt;&gt;"pvp",Inputs!$B$44&gt;0),(((R1303-1)*(Skills!Y19*(1+(Inputs!$B$34+1)/100))+MIN((Skills!Y19*(1+(Inputs!$B$34+1)/100)),MAX(0,Inputs!$B$44-((R1303-1)*Skills!D19))))/Inputs!$B$44),IF(Inputs!$B$39="pvp",MIN((Skills!Y19*(1+(Inputs!$B$34+1)/100)),15)/15,(Skills!Y19*(1+(Inputs!$B$34+1)/100))/Skills!D19)))+((C1287=TRUE)*F1287*3)</f>
        <v/>
      </c>
    </row>
    <row r="1321">
      <c r="A1321" t="inlineStr">
        <is>
          <t>Actions Per Second</t>
        </is>
      </c>
      <c r="B1321">
        <f>1+MIN(150,150*(1-(1-(Inputs!$B$11+((C1306=TRUE)*(F1306-Calc!F22)))/150)*(1-B1320/150)))/100</f>
        <v/>
      </c>
    </row>
    <row r="1322">
      <c r="A1322" t="inlineStr">
        <is>
          <t>Skill + Buff Cast Rate</t>
        </is>
      </c>
      <c r="B1322">
        <f>IF(AND(Inputs!$B$39&lt;&gt;"pvp",Inputs!$B$44&gt;0),SUMPRODUCT((Skills!E2:E30=TRUE)*(C1286:C1314=TRUE)*R1286:R1314*Skills!F2:F30)/Inputs!$B$44,SUMPRODUCT((Skills!E2:E30=TRUE)*(C1286:C1314=TRUE)*Q1286:Q1314*Skills!F2:F30))</f>
        <v/>
      </c>
    </row>
    <row r="1323">
      <c r="A1323" t="inlineStr">
        <is>
          <t>Cruel Stab Casts Per Second</t>
        </is>
      </c>
      <c r="B1323">
        <f>MAX(0,B1321-B1322)</f>
        <v/>
      </c>
    </row>
    <row r="1324">
      <c r="A1324" t="inlineStr">
        <is>
          <t>Global Critical Damage Bonus % (Smokescreen Mastery Lv.113)</t>
        </is>
      </c>
      <c r="B1324">
        <f>IF(Inputs!$B$3&gt;=113,30,0)*IF(AND(Inputs!$B$39&lt;&gt;"pvp",Inputs!$B$44&gt;0),(((R1299-1)*(Skills!Y15*(1+(Inputs!$B$34+1)/100))+MIN((Skills!Y15*(1+(Inputs!$B$34+1)/100)),MAX(0,Inputs!$B$44-((R1299-1)*Skills!D15))))/Inputs!$B$44),IF(Inputs!$B$39="pvp",MIN((Skills!Y15*(1+(Inputs!$B$34+1)/100)),15)/15,(Skills!Y15*(1+(Inputs!$B$34+1)/100))/Skills!D15))</f>
        <v/>
      </c>
    </row>
    <row r="1325">
      <c r="A1325" t="inlineStr">
        <is>
          <t>Meso Explosion average stack count</t>
        </is>
      </c>
      <c r="B1325">
        <f>MIN(10,0.5*B1321*Skills!D4)</f>
        <v/>
      </c>
    </row>
    <row r="1326">
      <c r="A1326" t="inlineStr">
        <is>
          <t>Blood Money average stack count</t>
        </is>
      </c>
      <c r="B1326">
        <f>MIN(5,0.25*B1321*Skills!D4)</f>
        <v/>
      </c>
    </row>
    <row r="1327">
      <c r="A1327" t="inlineStr">
        <is>
          <t>Assassinate Murderous Intent Multiplier</t>
        </is>
      </c>
      <c r="B1327">
        <f>1+IFERROR(MIN(1,Q1298*2/Q1295),0)</f>
        <v/>
      </c>
    </row>
    <row r="1328">
      <c r="A1328" t="inlineStr">
        <is>
          <t>Buff-Casting Startup Delay (s, fixed-duration only)</t>
        </is>
      </c>
      <c r="B1328">
        <f>IF(AND(Inputs!$B$39&lt;&gt;"pvp",Inputs!$B$44&gt;0),SUMPRODUCT((Skills!Y2:Y30&gt;0)*(Skills!E2:E30=TRUE)*(C1286:C1314=TRUE))/B1321,0)</f>
        <v/>
      </c>
    </row>
    <row r="1329">
      <c r="A1329" s="5" t="inlineStr">
        <is>
          <t>TOTAL DPS</t>
        </is>
      </c>
      <c r="B1329" s="5">
        <f>SUM(O1286:O1314)</f>
        <v/>
      </c>
    </row>
    <row r="1330">
      <c r="A1330" t="inlineStr">
        <is>
          <t>Boss-Only Total DPS (this block's swept value)</t>
        </is>
      </c>
      <c r="B1330">
        <f>SUM(T1286:T1314)</f>
        <v/>
      </c>
    </row>
    <row r="1331">
      <c r="A1331" t="inlineStr">
        <is>
          <t>Normal-Only Total DPS (this block's swept value)</t>
        </is>
      </c>
      <c r="B1331">
        <f>SUM(V1286:V1314)</f>
        <v/>
      </c>
    </row>
    <row r="1334">
      <c r="A1334" s="5" t="inlineStr">
        <is>
          <t>Stat: Incoming Hit Rate (hits/sec, Shadow Shifter only)</t>
        </is>
      </c>
    </row>
    <row r="1335">
      <c r="A1335" s="9" t="inlineStr">
        <is>
          <t>Key</t>
        </is>
      </c>
      <c r="B1335" s="9" t="inlineStr">
        <is>
          <t>Name</t>
        </is>
      </c>
      <c r="C1335" s="9" t="inlineStr">
        <is>
          <t>Unlocked</t>
        </is>
      </c>
      <c r="D1335" s="9" t="inlineStr">
        <is>
          <t>InputLevel</t>
        </is>
      </c>
      <c r="E1335" s="9" t="inlineStr">
        <is>
          <t>Factor</t>
        </is>
      </c>
      <c r="F1335" s="9" t="inlineStr">
        <is>
          <t>CoefficientPercent</t>
        </is>
      </c>
      <c r="G1335" s="9" t="inlineStr">
        <is>
          <t>EffectiveHits</t>
        </is>
      </c>
      <c r="H1335" s="9" t="inlineStr">
        <is>
          <t>ProcProbability</t>
        </is>
      </c>
      <c r="I1335" s="9" t="inlineStr">
        <is>
          <t>MapleHeroMultiplier</t>
        </is>
      </c>
      <c r="J1335" s="9" t="inlineStr">
        <is>
          <t>BaseDamage</t>
        </is>
      </c>
      <c r="K1335" s="9" t="inlineStr">
        <is>
          <t>BaseHitDamage</t>
        </is>
      </c>
      <c r="L1335" s="9" t="inlineStr">
        <is>
          <t>NonCritAvg</t>
        </is>
      </c>
      <c r="M1335" s="9" t="inlineStr">
        <is>
          <t>CritAvg</t>
        </is>
      </c>
      <c r="N1335" s="9" t="inlineStr">
        <is>
          <t>ExpectedDamage(perHit)</t>
        </is>
      </c>
      <c r="O1335" s="9" t="inlineStr">
        <is>
          <t>DPS</t>
        </is>
      </c>
      <c r="P1335" s="9" t="inlineStr">
        <is>
          <t>% of Total</t>
        </is>
      </c>
      <c r="Q1335" s="9" t="inlineStr">
        <is>
          <t>InvCooldown</t>
        </is>
      </c>
      <c r="R1335" s="9" t="inlineStr">
        <is>
          <t>CastsInFight</t>
        </is>
      </c>
      <c r="S1335" s="9" t="inlineStr">
        <is>
          <t>HitRate(perSec)</t>
        </is>
      </c>
      <c r="U1335" t="inlineStr">
        <is>
          <t>helpers</t>
        </is>
      </c>
    </row>
    <row r="1336">
      <c r="A1336">
        <f>Skills!A2</f>
        <v/>
      </c>
      <c r="B1336">
        <f>Skills!B2</f>
        <v/>
      </c>
      <c r="C1336">
        <f>Inputs!$B$3&gt;=100</f>
        <v/>
      </c>
      <c r="D1336" t="inlineStr"/>
      <c r="E1336" t="inlineStr"/>
      <c r="F1336">
        <f>U1338+Skills!O2</f>
        <v/>
      </c>
      <c r="G1336">
        <f>Skills!G2*IF(Skills!H2&gt;0,Skills!I2/Skills!H2,1)</f>
        <v/>
      </c>
      <c r="H1336">
        <f>1-(1-Skills!J2/100)^Skills!K2</f>
        <v/>
      </c>
      <c r="I1336" t="inlineStr">
        <is>
          <t>1</t>
        </is>
      </c>
      <c r="J1336">
        <f>((Inputs!$B$6*(1+Inputs!$B$7/100))+(((Inputs!$B$12*(1+Inputs!$B$13/100))-(Inputs!$B$12*(1+Inputs!$B$13/100)))+0.25*(Inputs!$B$14-Inputs!$B$14))*(1+Inputs!$B$7/100))*(F1336/100)</f>
        <v/>
      </c>
      <c r="K1336">
        <f>J1336*(1+((Inputs!$B$12*(1+Inputs!$B$13/100))*0.01+Inputs!$B$14*0.0025)/100)*(1+Inputs!$B$15/100)*(1+Inputs!$B$16/100)*(5000/(6000+Inputs!$B$43*(1-Inputs!$B$19/100)))*(1+(Inputs!$B$24+((C1364=TRUE)*(F1364-Calc!F30)))/100)*(1+(IF(Skills!A2="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1336)</f>
        <v/>
      </c>
      <c r="L1336">
        <f>K1336*(MIN(Inputs!$B$22+((C1358=TRUE)*(F1358-Calc!F24)),Inputs!$B$23+((C1363=TRUE)*(F1363-Calc!F29)))/100+(Inputs!$B$23+((C1363=TRUE)*(F1363-Calc!F29)))/100)/2</f>
        <v/>
      </c>
      <c r="M1336">
        <f>L1336*(1+(Inputs!$B$10+((C1360=TRUE)*(F1360-Calc!F26))+B1374)/100)</f>
        <v/>
      </c>
      <c r="N1336">
        <f>L1336*(1-MIN((Inputs!$B$9+((C1359=TRUE)*(F1359-Calc!F25))+B1367),100)/100)+M1336*(MIN((Inputs!$B$9+((C1359=TRUE)*(F1359-Calc!F25))+B1367),100)/100)</f>
        <v/>
      </c>
      <c r="O1336">
        <f>(1-Summary!$B$55)*T1336+Summary!$B$55*V1336</f>
        <v/>
      </c>
      <c r="P1336">
        <f>IF(B1379=0,0,O1336/B1379)</f>
        <v/>
      </c>
      <c r="Q1336" t="n">
        <v>0</v>
      </c>
      <c r="R1336" t="n">
        <v>0</v>
      </c>
      <c r="S1336">
        <f>IFERROR(O1336/N1336,0)</f>
        <v/>
      </c>
      <c r="T1336">
        <f>IF(C1336,(Skills!G2*N1336*B1373)*IF(Inputs!$B$39="pvp",1,1+(Inputs!$B$20+0+Skills!P2+B1368)/100),0)</f>
        <v/>
      </c>
      <c r="U1336">
        <f>MAX(0,(Inputs!$B$3-100)*3)+Inputs!$B$28+Inputs!$B$29</f>
        <v/>
      </c>
      <c r="V1336">
        <f>IF(C1336,(Skills!G2*N1336*B1373)*IF(Inputs!$B$39="pvp",1,(1+(Inputs!$B$21+Skills!Q2+B1368)/100)*(MIN((6+Inputs!$B$33),Inputs!$B$37))),0)</f>
        <v/>
      </c>
    </row>
    <row r="1337">
      <c r="A1337">
        <f>Skills!A3</f>
        <v/>
      </c>
      <c r="B1337">
        <f>Skills!B3</f>
        <v/>
      </c>
      <c r="C1337">
        <f>Inputs!$B$3&gt;=35</f>
        <v/>
      </c>
      <c r="D1337">
        <f>IF(Skills!C3=1,60+Inputs!$B$25+Inputs!$B$29,IF(Skills!C3=2,90+Inputs!$B$26+Inputs!$B$29,IF(Skills!C3=3,120+Inputs!$B$27+Inputs!$B$29,MAX(0,(Inputs!$B$3-100)*3)+Inputs!$B$28+Inputs!$B$29)))</f>
        <v/>
      </c>
      <c r="E1337">
        <f>INDEX(FactorTable!$B$2:$Y$301, MATCH(ROUND(MIN(300,MAX(1,D1337)),0), FactorTable!$A$2:$A$301,0), Skills!M3+1)</f>
        <v/>
      </c>
      <c r="F1337">
        <f>IF(Skills!N3=TRUE,(Skills!L3/10)*(E1337/1000),Skills!L3/10)+Skills!O3</f>
        <v/>
      </c>
      <c r="G1337">
        <f>Skills!G3*IF(Skills!H3&gt;0,Skills!I3/Skills!H3,1)</f>
        <v/>
      </c>
      <c r="H1337">
        <f>1-(1-Skills!J3/100)^Skills!K3</f>
        <v/>
      </c>
      <c r="I1337" t="inlineStr">
        <is>
          <t>1</t>
        </is>
      </c>
      <c r="J1337" t="inlineStr"/>
      <c r="K1337" t="inlineStr"/>
      <c r="L1337" t="inlineStr"/>
      <c r="M1337" t="inlineStr"/>
      <c r="N1337" t="inlineStr"/>
      <c r="O1337">
        <f>(1-Summary!$B$55)*T1337+Summary!$B$55*V1337</f>
        <v/>
      </c>
      <c r="P1337">
        <f>IF(B1379=0,0,O1337/B1379)</f>
        <v/>
      </c>
      <c r="Q1337" t="n">
        <v>0</v>
      </c>
      <c r="R1337" t="n">
        <v>0</v>
      </c>
      <c r="S1337">
        <f>IFERROR(O1337/N1337,0)</f>
        <v/>
      </c>
      <c r="T1337" t="n">
        <v>0</v>
      </c>
      <c r="U1337">
        <f>INDEX(FactorTable!$B$2:$Y$301, MATCH(ROUND(MIN(300,MAX(1,U1336)),0), FactorTable!$A$2:$A$301,0), 22)</f>
        <v/>
      </c>
      <c r="V1337" t="n">
        <v>0</v>
      </c>
    </row>
    <row r="1338">
      <c r="A1338">
        <f>Skills!A4</f>
        <v/>
      </c>
      <c r="B1338">
        <f>Skills!B4</f>
        <v/>
      </c>
      <c r="C1338">
        <f>Inputs!$B$3&gt;=66</f>
        <v/>
      </c>
      <c r="D1338">
        <f>IF(Skills!C4=1,60+Inputs!$B$25+Inputs!$B$29,IF(Skills!C4=2,90+Inputs!$B$26+Inputs!$B$29,IF(Skills!C4=3,120+Inputs!$B$27+Inputs!$B$29,MAX(0,(Inputs!$B$3-100)*3)+Inputs!$B$28+Inputs!$B$29)))</f>
        <v/>
      </c>
      <c r="E1338">
        <f>INDEX(FactorTable!$B$2:$Y$301, MATCH(ROUND(MIN(300,MAX(1,D1338)),0), FactorTable!$A$2:$A$301,0), Skills!M4+1)</f>
        <v/>
      </c>
      <c r="F1338">
        <f>IF(Skills!N4=TRUE,(Skills!L4/10)*(E1338/1000),Skills!L4/10)+Skills!O4</f>
        <v/>
      </c>
      <c r="G1338">
        <f>Skills!G4*IF(Skills!H4&gt;0,Skills!I4/Skills!H4,1)</f>
        <v/>
      </c>
      <c r="H1338">
        <f>1-(1-Skills!J4/100)^Skills!K4</f>
        <v/>
      </c>
      <c r="I1338" t="inlineStr">
        <is>
          <t>1</t>
        </is>
      </c>
      <c r="J1338">
        <f>((Inputs!$B$6*(1+Inputs!$B$7/100))+(((Inputs!$B$12*(1+Inputs!$B$13/100))-(Inputs!$B$12*(1+Inputs!$B$13/100)))+0.25*(Inputs!$B$14-Inputs!$B$14))*(1+Inputs!$B$7/100))*(F1338/100)</f>
        <v/>
      </c>
      <c r="K1338">
        <f>J1338*(1+((Inputs!$B$12*(1+Inputs!$B$13/100))*0.01+Inputs!$B$14*0.0025)/100)*(1+Inputs!$B$15/100)*(1+Inputs!$B$16/100)*(5000/(6000+Inputs!$B$43*(1-Inputs!$B$19/100)))*(1+(Inputs!$B$24+((C1364=TRUE)*(F1364-Calc!F30)))/100)*(1+(IF(Skills!A4="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1338)</f>
        <v/>
      </c>
      <c r="L1338">
        <f>K1338*(MIN(Inputs!$B$22+((C1358=TRUE)*(F1358-Calc!F24)),Inputs!$B$23+((C1363=TRUE)*(F1363-Calc!F29)))/100+(Inputs!$B$23+((C1363=TRUE)*(F1363-Calc!F29)))/100)/2</f>
        <v/>
      </c>
      <c r="M1338">
        <f>L1338*(1+(Inputs!$B$10+((C1360=TRUE)*(F1360-Calc!F26))+B1374)/100)</f>
        <v/>
      </c>
      <c r="N1338">
        <f>L1338*(1-MIN((Inputs!$B$9+((C1359=TRUE)*(F1359-Calc!F25))+B1367),100)/100)+M1338*(MIN((Inputs!$B$9+((C1359=TRUE)*(F1359-Calc!F25))+B1367),100)/100)</f>
        <v/>
      </c>
      <c r="O1338">
        <f>(1-Summary!$B$55)*T1338+Summary!$B$55*V1338</f>
        <v/>
      </c>
      <c r="P1338">
        <f>IF(B1379=0,0,O1338/B1379)</f>
        <v/>
      </c>
      <c r="Q1338">
        <f>IFERROR(1/IF(Inputs!$B$39="pvp",15,MAX(0.1,Skills!D4-IF(Skills!E4=TRUE,Inputs!$B$32,0))),0)</f>
        <v/>
      </c>
      <c r="R1338">
        <f>IF(AND(Inputs!$B$39&lt;&gt;"pvp",Inputs!$B$44&gt;0),IF(MAX(0,Inputs!$B$44-B1378)&lt;=0,0,(INT(MAX(0,Inputs!$B$44-B1378)/IF(Inputs!$B$39="pvp",15,MAX(0.1,Skills!D4-IF(Skills!E4=TRUE,Inputs!$B$32,0))))+1)),0)</f>
        <v/>
      </c>
      <c r="S1338">
        <f>IFERROR(O1338/N1338,0)</f>
        <v/>
      </c>
      <c r="T1338">
        <f>IF(C1338,(H1338*N1338*IF(AND(Inputs!$B$39&lt;&gt;"pvp",Inputs!$B$44&gt;0),((Skills!G4*((R1338-1)*IF(Skills!H4&gt;0,Skills!I4/Skills!H4,1)+IF(Skills!H4&gt;0,MIN(Skills!I4,MAX(0,MAX(0,Inputs!$B$44-B1378)-((R1338-1)*IF(Inputs!$B$39="pvp",15,MAX(0.1,Skills!D4-IF(Skills!E4=TRUE,Inputs!$B$32,0))))))/Skills!H4,1)))/Inputs!$B$44),G1338*Q1338))*IF(Inputs!$B$39="pvp",1,1+(Inputs!$B$20+0+Skills!P4+B1368)/100),0)</f>
        <v/>
      </c>
      <c r="U1338">
        <f>290*U1337/1000</f>
        <v/>
      </c>
      <c r="V1338">
        <f>IF(C1338,(H1338*N1338*IF(AND(Inputs!$B$39&lt;&gt;"pvp",Inputs!$B$44&gt;0),((Skills!G4*((R1338-1)*IF(Skills!H4&gt;0,Skills!I4/Skills!H4,1)+IF(Skills!H4&gt;0,MIN(Skills!I4,MAX(0,MAX(0,Inputs!$B$44-B1378)-((R1338-1)*IF(Inputs!$B$39="pvp",15,MAX(0.1,Skills!D4-IF(Skills!E4=TRUE,Inputs!$B$32,0))))))/Skills!H4,1)))/Inputs!$B$44),G1338*Q1338))*IF(Inputs!$B$39="pvp",1,(1+(Inputs!$B$21+Skills!Q4+B1368)/100)*(MIN(MIN(10,0.5*B1371*Skills!D4),Inputs!$B$37))),0)</f>
        <v/>
      </c>
    </row>
    <row r="1339">
      <c r="A1339">
        <f>Skills!A5</f>
        <v/>
      </c>
      <c r="B1339">
        <f>Skills!B5</f>
        <v/>
      </c>
      <c r="C1339">
        <f>Inputs!$B$3&gt;=63</f>
        <v/>
      </c>
      <c r="D1339">
        <f>IF(Skills!C5=1,60+Inputs!$B$25+Inputs!$B$29,IF(Skills!C5=2,90+Inputs!$B$26+Inputs!$B$29,IF(Skills!C5=3,120+Inputs!$B$27+Inputs!$B$29,MAX(0,(Inputs!$B$3-100)*3)+Inputs!$B$28+Inputs!$B$29)))</f>
        <v/>
      </c>
      <c r="E1339">
        <f>INDEX(FactorTable!$B$2:$Y$301, MATCH(ROUND(MIN(300,MAX(1,D1339)),0), FactorTable!$A$2:$A$301,0), Skills!M5+1)</f>
        <v/>
      </c>
      <c r="F1339">
        <f>IF(Skills!N5=TRUE,(Skills!L5/10)*(E1339/1000),Skills!L5/10)+Skills!O5</f>
        <v/>
      </c>
      <c r="G1339">
        <f>Skills!G5*IF(Skills!H5&gt;0,Skills!I5/Skills!H5,1)</f>
        <v/>
      </c>
      <c r="H1339">
        <f>1-(1-Skills!J5/100)^Skills!K5</f>
        <v/>
      </c>
      <c r="I1339" t="inlineStr">
        <is>
          <t>1</t>
        </is>
      </c>
      <c r="J1339">
        <f>((Inputs!$B$6*(1+Inputs!$B$7/100))+(((Inputs!$B$12*(1+Inputs!$B$13/100))-(Inputs!$B$12*(1+Inputs!$B$13/100)))+0.25*(Inputs!$B$14-Inputs!$B$14))*(1+Inputs!$B$7/100))*(F1339/100)</f>
        <v/>
      </c>
      <c r="K1339">
        <f>J1339*(1+((Inputs!$B$12*(1+Inputs!$B$13/100))*0.01+Inputs!$B$14*0.0025)/100)*(1+Inputs!$B$15/100)*(1+Inputs!$B$16/100)*(5000/(6000+Inputs!$B$43*(1-Inputs!$B$19/100)))*(1+(Inputs!$B$24+((C1364=TRUE)*(F1364-Calc!F30)))/100)*(1+2.6666666666666665*IF(C1352=TRUE,F1352,0)/100)*(1+(IF(Skills!A5="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1339)</f>
        <v/>
      </c>
      <c r="L1339">
        <f>K1339*(MIN(Inputs!$B$22+((C1358=TRUE)*(F1358-Calc!F24)),Inputs!$B$23+((C1363=TRUE)*(F1363-Calc!F29)))/100+(Inputs!$B$23+((C1363=TRUE)*(F1363-Calc!F29)))/100)/2</f>
        <v/>
      </c>
      <c r="M1339">
        <f>L1339*(1+(Inputs!$B$10+((C1360=TRUE)*(F1360-Calc!F26))+B1374)/100)</f>
        <v/>
      </c>
      <c r="N1339">
        <f>L1339*(1-MIN((Inputs!$B$9+((C1359=TRUE)*(F1359-Calc!F25))+B1367),100)/100)+M1339*(MIN((Inputs!$B$9+((C1359=TRUE)*(F1359-Calc!F25))+B1367),100)/100)</f>
        <v/>
      </c>
      <c r="O1339">
        <f>(1-Summary!$B$55)*T1339+Summary!$B$55*V1339</f>
        <v/>
      </c>
      <c r="P1339">
        <f>IF(B1379=0,0,O1339/B1379)</f>
        <v/>
      </c>
      <c r="Q1339">
        <f>IFERROR(1/IF(Inputs!$B$39="pvp",15,MAX(0.1,Skills!D5-IF(Skills!E5=TRUE,Inputs!$B$32,0))),0)</f>
        <v/>
      </c>
      <c r="R1339">
        <f>IF(AND(Inputs!$B$39&lt;&gt;"pvp",Inputs!$B$44&gt;0),IF(MAX(0,Inputs!$B$44-B1378)&lt;=0,0,(INT(MAX(0,Inputs!$B$44-B1378)/IF(Inputs!$B$39="pvp",15,MAX(0.1,Skills!D5-IF(Skills!E5=TRUE,Inputs!$B$32,0))))+1)),0)</f>
        <v/>
      </c>
      <c r="S1339">
        <f>IFERROR(O1339/N1339,0)</f>
        <v/>
      </c>
      <c r="T1339">
        <f>IF(C1339,(H1339*N1339*IF(AND(Inputs!$B$39&lt;&gt;"pvp",Inputs!$B$44&gt;0),((Skills!G5*((R1339-1)*IF(Skills!H5&gt;0,Skills!I5/Skills!H5,1)+IF(Skills!H5&gt;0,MIN(Skills!I5,MAX(0,MAX(0,Inputs!$B$44-B1378)-((R1339-1)*IF(Inputs!$B$39="pvp",15,MAX(0.1,Skills!D5-IF(Skills!E5=TRUE,Inputs!$B$32,0))))))/Skills!H5,1)))/Inputs!$B$44),G1339*Q1339))*IF(Inputs!$B$39="pvp",1,1+(Inputs!$B$20+0+Skills!P5+B1368)/100),0)</f>
        <v/>
      </c>
      <c r="V1339">
        <f>IF(C1339,(H1339*N1339*IF(AND(Inputs!$B$39&lt;&gt;"pvp",Inputs!$B$44&gt;0),((Skills!G5*((R1339-1)*IF(Skills!H5&gt;0,Skills!I5/Skills!H5,1)+IF(Skills!H5&gt;0,MIN(Skills!I5,MAX(0,MAX(0,Inputs!$B$44-B1378)-((R1339-1)*IF(Inputs!$B$39="pvp",15,MAX(0.1,Skills!D5-IF(Skills!E5=TRUE,Inputs!$B$32,0))))))/Skills!H5,1)))/Inputs!$B$44),G1339*Q1339))*IF(Inputs!$B$39="pvp",1,(1+(Inputs!$B$21+Skills!Q5+B1368)/100)*(MIN(Skills!W5,Inputs!$B$37))),0)</f>
        <v/>
      </c>
    </row>
    <row r="1340">
      <c r="A1340">
        <f>Skills!A6</f>
        <v/>
      </c>
      <c r="B1340">
        <f>Skills!B6</f>
        <v/>
      </c>
      <c r="C1340">
        <f>Inputs!$B$3&gt;=69</f>
        <v/>
      </c>
      <c r="D1340">
        <f>IF(Skills!C6=1,60+Inputs!$B$25+Inputs!$B$29,IF(Skills!C6=2,90+Inputs!$B$26+Inputs!$B$29,IF(Skills!C6=3,120+Inputs!$B$27+Inputs!$B$29,MAX(0,(Inputs!$B$3-100)*3)+Inputs!$B$28+Inputs!$B$29)))</f>
        <v/>
      </c>
      <c r="E1340">
        <f>INDEX(FactorTable!$B$2:$Y$301, MATCH(ROUND(MIN(300,MAX(1,D1340)),0), FactorTable!$A$2:$A$301,0), Skills!M6+1)</f>
        <v/>
      </c>
      <c r="F1340">
        <f>IF(Skills!N6=TRUE,(Skills!L6/10)*(E1340/1000),Skills!L6/10)+Skills!O6</f>
        <v/>
      </c>
      <c r="G1340">
        <f>Skills!G6*IF(Skills!H6&gt;0,Skills!I6/Skills!H6,1)</f>
        <v/>
      </c>
      <c r="H1340">
        <f>1-(1-Skills!J6/100)^Skills!K6</f>
        <v/>
      </c>
      <c r="I1340" t="inlineStr">
        <is>
          <t>1</t>
        </is>
      </c>
      <c r="J1340">
        <f>((Inputs!$B$6*(1+Inputs!$B$7/100))+(((Inputs!$B$12*(1+Inputs!$B$13/100))-(Inputs!$B$12*(1+Inputs!$B$13/100)))+0.25*(Inputs!$B$14-Inputs!$B$14))*(1+Inputs!$B$7/100))*(F1340/100)</f>
        <v/>
      </c>
      <c r="K1340">
        <f>J1340*(1+((Inputs!$B$12*(1+Inputs!$B$13/100))*0.01+Inputs!$B$14*0.0025)/100)*(1+Inputs!$B$15/100)*(1+Inputs!$B$16/100)*(5000/(6000+Inputs!$B$43*(1-Inputs!$B$19/100)))*(1+(Inputs!$B$24+((C1364=TRUE)*(F1364-Calc!F30)))/100)*(1+1.0*IF(C1352=TRUE,F1352,0)/100)*(1+(IF(Skills!A6="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1340)</f>
        <v/>
      </c>
      <c r="L1340">
        <f>K1340*(MIN(Inputs!$B$22+((C1358=TRUE)*(F1358-Calc!F24)),Inputs!$B$23+((C1363=TRUE)*(F1363-Calc!F29)))/100+(Inputs!$B$23+((C1363=TRUE)*(F1363-Calc!F29)))/100)/2</f>
        <v/>
      </c>
      <c r="M1340">
        <f>L1340*(1+(Inputs!$B$10+((C1360=TRUE)*(F1360-Calc!F26))+B1374)/100)</f>
        <v/>
      </c>
      <c r="N1340">
        <f>L1340*(1-MIN((Inputs!$B$9+((C1359=TRUE)*(F1359-Calc!F25))+B1367),100)/100)+M1340*(MIN((Inputs!$B$9+((C1359=TRUE)*(F1359-Calc!F25))+B1367),100)/100)</f>
        <v/>
      </c>
      <c r="O1340">
        <f>(1-Summary!$B$55)*T1340+Summary!$B$55*V1340</f>
        <v/>
      </c>
      <c r="P1340">
        <f>IF(B1379=0,0,O1340/B1379)</f>
        <v/>
      </c>
      <c r="Q1340">
        <f>IFERROR(1/IF(Inputs!$B$39="pvp",15,MAX(0.1,Skills!D6-IF(Skills!E6=TRUE,Inputs!$B$32,0))),0)</f>
        <v/>
      </c>
      <c r="R1340">
        <f>IF(AND(Inputs!$B$39&lt;&gt;"pvp",Inputs!$B$44&gt;0),IF(MAX(0,Inputs!$B$44-B1378)&lt;=0,0,(INT(MAX(0,Inputs!$B$44-B1378)/IF(Inputs!$B$39="pvp",15,MAX(0.1,Skills!D6-IF(Skills!E6=TRUE,Inputs!$B$32,0))))+1)),0)</f>
        <v/>
      </c>
      <c r="S1340">
        <f>IFERROR(O1340/N1340,0)</f>
        <v/>
      </c>
      <c r="T1340">
        <f>IF(C1340,(H1340*N1340*IF(AND(Inputs!$B$39&lt;&gt;"pvp",Inputs!$B$44&gt;0),((Skills!G6*((R1340-1)*IF(Skills!H6&gt;0,Skills!I6/Skills!H6,1)+IF(Skills!H6&gt;0,MIN(Skills!I6,MAX(0,MAX(0,Inputs!$B$44-B1378)-((R1340-1)*IF(Inputs!$B$39="pvp",15,MAX(0.1,Skills!D6-IF(Skills!E6=TRUE,Inputs!$B$32,0))))))/Skills!H6,1)))/Inputs!$B$44),G1340*Q1340))*IF(Inputs!$B$39="pvp",1,1+(Inputs!$B$20+0+Skills!P6+B1368)/100),0)</f>
        <v/>
      </c>
      <c r="V1340">
        <f>IF(C1340,(H1340*N1340*IF(AND(Inputs!$B$39&lt;&gt;"pvp",Inputs!$B$44&gt;0),((Skills!G6*((R1340-1)*IF(Skills!H6&gt;0,Skills!I6/Skills!H6,1)+IF(Skills!H6&gt;0,MIN(Skills!I6,MAX(0,MAX(0,Inputs!$B$44-B1378)-((R1340-1)*IF(Inputs!$B$39="pvp",15,MAX(0.1,Skills!D6-IF(Skills!E6=TRUE,Inputs!$B$32,0))))))/Skills!H6,1)))/Inputs!$B$44),G1340*Q1340))*IF(Inputs!$B$39="pvp",1,(1+(Inputs!$B$21+Skills!Q6+B1368)/100)*(MIN(Skills!W6,Inputs!$B$37))),0)</f>
        <v/>
      </c>
    </row>
    <row r="1341">
      <c r="A1341">
        <f>Skills!A7</f>
        <v/>
      </c>
      <c r="B1341">
        <f>Skills!B7</f>
        <v/>
      </c>
      <c r="C1341">
        <f>Inputs!$B$3&gt;=60</f>
        <v/>
      </c>
      <c r="D1341">
        <f>IF(Skills!C7=1,60+Inputs!$B$25+Inputs!$B$29,IF(Skills!C7=2,90+Inputs!$B$26+Inputs!$B$29,IF(Skills!C7=3,120+Inputs!$B$27+Inputs!$B$29,MAX(0,(Inputs!$B$3-100)*3)+Inputs!$B$28+Inputs!$B$29)))</f>
        <v/>
      </c>
      <c r="E1341">
        <f>INDEX(FactorTable!$B$2:$Y$301, MATCH(ROUND(MIN(300,MAX(1,D1341)),0), FactorTable!$A$2:$A$301,0), Skills!M7+1)</f>
        <v/>
      </c>
      <c r="F1341">
        <f>IF(Skills!N7=TRUE,(Skills!L7/10)*(E1341/1000),Skills!L7/10)+Skills!O7</f>
        <v/>
      </c>
      <c r="G1341">
        <f>Skills!G7*IF(Skills!H7&gt;0,Skills!I7/Skills!H7,1)</f>
        <v/>
      </c>
      <c r="H1341">
        <f>1-(1-Skills!J7/100)^Skills!K7</f>
        <v/>
      </c>
      <c r="I1341" t="inlineStr">
        <is>
          <t>1</t>
        </is>
      </c>
      <c r="J1341" t="inlineStr"/>
      <c r="K1341" t="inlineStr"/>
      <c r="L1341" t="inlineStr"/>
      <c r="M1341" t="inlineStr"/>
      <c r="N1341" t="inlineStr"/>
      <c r="O1341">
        <f>(1-Summary!$B$55)*T1341+Summary!$B$55*V1341</f>
        <v/>
      </c>
      <c r="P1341">
        <f>IF(B1379=0,0,O1341/B1379)</f>
        <v/>
      </c>
      <c r="Q1341" t="n">
        <v>0</v>
      </c>
      <c r="R1341" t="n">
        <v>0</v>
      </c>
      <c r="S1341">
        <f>IFERROR(O1341/N1341,0)</f>
        <v/>
      </c>
      <c r="T1341" t="n">
        <v>0</v>
      </c>
      <c r="V1341" t="n">
        <v>0</v>
      </c>
    </row>
    <row r="1342">
      <c r="A1342">
        <f>Skills!A8</f>
        <v/>
      </c>
      <c r="B1342">
        <f>Skills!B8</f>
        <v/>
      </c>
      <c r="C1342">
        <f>Inputs!$B$3&gt;=72</f>
        <v/>
      </c>
      <c r="D1342">
        <f>IF(Skills!C8=1,60+Inputs!$B$25+Inputs!$B$29,IF(Skills!C8=2,90+Inputs!$B$26+Inputs!$B$29,IF(Skills!C8=3,120+Inputs!$B$27+Inputs!$B$29,MAX(0,(Inputs!$B$3-100)*3)+Inputs!$B$28+Inputs!$B$29)))</f>
        <v/>
      </c>
      <c r="E1342">
        <f>INDEX(FactorTable!$B$2:$Y$301, MATCH(ROUND(MIN(300,MAX(1,D1342)),0), FactorTable!$A$2:$A$301,0), Skills!M8+1)</f>
        <v/>
      </c>
      <c r="F1342">
        <f>IF(Skills!N8=TRUE,(Skills!L8/10)*(E1342/1000),Skills!L8/10)+Skills!O8</f>
        <v/>
      </c>
      <c r="G1342">
        <f>Skills!G8*IF(Skills!H8&gt;0,Skills!I8/Skills!H8,1)</f>
        <v/>
      </c>
      <c r="H1342">
        <f>1-(1-Skills!J8/100)^Skills!K8</f>
        <v/>
      </c>
      <c r="I1342" t="inlineStr">
        <is>
          <t>1</t>
        </is>
      </c>
      <c r="J1342">
        <f>((Inputs!$B$6*(1+Inputs!$B$7/100))+(((Inputs!$B$12*(1+Inputs!$B$13/100))-(Inputs!$B$12*(1+Inputs!$B$13/100)))+0.25*(Inputs!$B$14-Inputs!$B$14))*(1+Inputs!$B$7/100))*(F1342/100)</f>
        <v/>
      </c>
      <c r="K1342">
        <f>J1342*(1+((Inputs!$B$12*(1+Inputs!$B$13/100))*0.01+Inputs!$B$14*0.0025)/100)*(1+Inputs!$B$15/100)*(1+Inputs!$B$16/100)*(5000/(6000+Inputs!$B$43*(1-Inputs!$B$19/100)))*(1+(Inputs!$B$24+((C1364=TRUE)*(F1364-Calc!F30)))/100)*(1+3.3333333333333335*IF(C1352=TRUE,F1352,0)/100)*(1+(IF(Skills!A8="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1342)</f>
        <v/>
      </c>
      <c r="L1342">
        <f>K1342*(MIN(Inputs!$B$22+((C1358=TRUE)*(F1358-Calc!F24)),Inputs!$B$23+((C1363=TRUE)*(F1363-Calc!F29)))/100+(Inputs!$B$23+((C1363=TRUE)*(F1363-Calc!F29)))/100)/2</f>
        <v/>
      </c>
      <c r="M1342">
        <f>L1342*(1+(Inputs!$B$10+((C1360=TRUE)*(F1360-Calc!F26))+B1374)/100)</f>
        <v/>
      </c>
      <c r="N1342">
        <f>L1342*(1-MIN((Inputs!$B$9+((C1359=TRUE)*(F1359-Calc!F25))+B1367),100)/100)+M1342*(MIN((Inputs!$B$9+((C1359=TRUE)*(F1359-Calc!F25))+B1367),100)/100)</f>
        <v/>
      </c>
      <c r="O1342">
        <f>(1-Summary!$B$55)*T1342+Summary!$B$55*V1342</f>
        <v/>
      </c>
      <c r="P1342">
        <f>IF(B1379=0,0,O1342/B1379)</f>
        <v/>
      </c>
      <c r="Q1342">
        <f>IFERROR(1/IF(Inputs!$B$39="pvp",15,MAX(0.1,Skills!D8-IF(Skills!E8=TRUE,Inputs!$B$32,0))),0)</f>
        <v/>
      </c>
      <c r="R1342">
        <f>IF(AND(Inputs!$B$39&lt;&gt;"pvp",Inputs!$B$44&gt;0),IF(MAX(0,Inputs!$B$44-B1378)&lt;=0,0,(INT(MAX(0,Inputs!$B$44-B1378)/IF(Inputs!$B$39="pvp",15,MAX(0.1,Skills!D8-IF(Skills!E8=TRUE,Inputs!$B$32,0))))+1)),0)</f>
        <v/>
      </c>
      <c r="S1342">
        <f>IFERROR(O1342/N1342,0)</f>
        <v/>
      </c>
      <c r="T1342">
        <f>IF(C1342,(H1342*N1342*IF(AND(Inputs!$B$39&lt;&gt;"pvp",Inputs!$B$44&gt;0),((Skills!G8*((R1342-1)*IF(Skills!H8&gt;0,Skills!I8/Skills!H8,1)+IF(Skills!H8&gt;0,MIN(Skills!I8,MAX(0,MAX(0,Inputs!$B$44-B1378)-((R1342-1)*IF(Inputs!$B$39="pvp",15,MAX(0.1,Skills!D8-IF(Skills!E8=TRUE,Inputs!$B$32,0))))))/Skills!H8,1)))/Inputs!$B$44),G1342*Q1342))*IF(Inputs!$B$39="pvp",1,1+(Inputs!$B$20+0+Skills!P8+B1368)/100),0)</f>
        <v/>
      </c>
      <c r="V1342">
        <f>IF(C1342,(H1342*N1342*IF(AND(Inputs!$B$39&lt;&gt;"pvp",Inputs!$B$44&gt;0),((Skills!G8*((R1342-1)*IF(Skills!H8&gt;0,Skills!I8/Skills!H8,1)+IF(Skills!H8&gt;0,MIN(Skills!I8,MAX(0,MAX(0,Inputs!$B$44-B1378)-((R1342-1)*IF(Inputs!$B$39="pvp",15,MAX(0.1,Skills!D8-IF(Skills!E8=TRUE,Inputs!$B$32,0))))))/Skills!H8,1)))/Inputs!$B$44),G1342*Q1342))*IF(Inputs!$B$39="pvp",1,(1+(Inputs!$B$21+Skills!Q8+B1368)/100)*(MIN(Skills!W8,Inputs!$B$37))),0)</f>
        <v/>
      </c>
    </row>
    <row r="1343">
      <c r="A1343">
        <f>Skills!A9</f>
        <v/>
      </c>
      <c r="B1343">
        <f>Skills!B9</f>
        <v/>
      </c>
      <c r="C1343">
        <f>Inputs!$B$3&gt;=117</f>
        <v/>
      </c>
      <c r="D1343">
        <f>IF(Skills!C9=1,60+Inputs!$B$25+Inputs!$B$29,IF(Skills!C9=2,90+Inputs!$B$26+Inputs!$B$29,IF(Skills!C9=3,120+Inputs!$B$27+Inputs!$B$29,MAX(0,(Inputs!$B$3-100)*3)+Inputs!$B$28+Inputs!$B$29)))</f>
        <v/>
      </c>
      <c r="E1343">
        <f>INDEX(FactorTable!$B$2:$Y$301, MATCH(ROUND(MIN(300,MAX(1,D1343)),0), FactorTable!$A$2:$A$301,0), Skills!M9+1)</f>
        <v/>
      </c>
      <c r="F1343">
        <f>IF(Skills!N9=TRUE,(Skills!L9/10)*(E1343/1000),Skills!L9/10)+Skills!O9</f>
        <v/>
      </c>
      <c r="G1343">
        <f>Skills!G9*IF(Skills!H9&gt;0,Skills!I9/Skills!H9,1)</f>
        <v/>
      </c>
      <c r="H1343">
        <f>1-(1-Skills!J9/100)^Skills!K9</f>
        <v/>
      </c>
      <c r="I1343" t="inlineStr">
        <is>
          <t>1</t>
        </is>
      </c>
      <c r="J1343">
        <f>((Inputs!$B$6*(1+Inputs!$B$7/100))+(((Inputs!$B$12*(1+Inputs!$B$13/100))-(Inputs!$B$12*(1+Inputs!$B$13/100)))+0.25*(Inputs!$B$14-Inputs!$B$14))*(1+Inputs!$B$7/100))*(F1343/100)</f>
        <v/>
      </c>
      <c r="K1343">
        <f>J1343*(1+((Inputs!$B$12*(1+Inputs!$B$13/100))*0.01+Inputs!$B$14*0.0025)/100)*(1+Inputs!$B$15/100)*(1+Inputs!$B$16/100)*(5000/(6000+Inputs!$B$43*(1-Inputs!$B$19/100)))*(1+(Inputs!$B$24+((C1364=TRUE)*(F1364-Calc!F30)))/100)*(1+(IF(Skills!A9="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1343)</f>
        <v/>
      </c>
      <c r="L1343">
        <f>K1343*(MIN(Inputs!$B$22+((C1358=TRUE)*(F1358-Calc!F24)),Inputs!$B$23+((C1363=TRUE)*(F1363-Calc!F29)))/100+(Inputs!$B$23+((C1363=TRUE)*(F1363-Calc!F29)))/100)/2</f>
        <v/>
      </c>
      <c r="M1343">
        <f>L1343*(1+(Inputs!$B$10+((C1360=TRUE)*(F1360-Calc!F26))+B1374)/100)</f>
        <v/>
      </c>
      <c r="N1343">
        <f>L1343*(1-MIN((Inputs!$B$9+((C1359=TRUE)*(F1359-Calc!F25))+B1367),100)/100)+M1343*(MIN((Inputs!$B$9+((C1359=TRUE)*(F1359-Calc!F25))+B1367),100)/100)</f>
        <v/>
      </c>
      <c r="O1343">
        <f>(1-Summary!$B$55)*T1343+Summary!$B$55*V1343</f>
        <v/>
      </c>
      <c r="P1343">
        <f>IF(B1379=0,0,O1343/B1379)</f>
        <v/>
      </c>
      <c r="Q1343" t="n">
        <v>0</v>
      </c>
      <c r="R1343" t="n">
        <v>0</v>
      </c>
      <c r="S1343" t="n">
        <v>0</v>
      </c>
      <c r="T1343">
        <f>IF(C1343,(0.2*SUMPRODUCT((Skills!Z2:Z30=TRUE)*(C1336:C1364=TRUE)*S1336:S1364)*N1343)*IF(Inputs!$B$39="pvp",1,1+(Inputs!$B$20+0+Skills!P9+B1368)/100),0)</f>
        <v/>
      </c>
      <c r="V1343">
        <f>IF(C1343,(0.2*SUMPRODUCT((Skills!Z2:Z30=TRUE)*(C1336:C1364=TRUE)*S1336:S1364)*N1343)*IF(Inputs!$B$39="pvp",1,(1+(Inputs!$B$21+Skills!Q9+B1368)/100)*(MIN(Skills!W9,Inputs!$B$37))),0)</f>
        <v/>
      </c>
    </row>
    <row r="1344">
      <c r="A1344">
        <f>Skills!A10</f>
        <v/>
      </c>
      <c r="B1344">
        <f>Skills!B10</f>
        <v/>
      </c>
      <c r="C1344">
        <f>Inputs!$B$3&gt;=74</f>
        <v/>
      </c>
      <c r="D1344">
        <f>IF(Skills!C10=1,60+Inputs!$B$25+Inputs!$B$29,IF(Skills!C10=2,90+Inputs!$B$26+Inputs!$B$29,IF(Skills!C10=3,120+Inputs!$B$27+Inputs!$B$29,MAX(0,(Inputs!$B$3-100)*3)+Inputs!$B$28+Inputs!$B$29)))</f>
        <v/>
      </c>
      <c r="E1344">
        <f>INDEX(FactorTable!$B$2:$Y$301, MATCH(ROUND(MIN(300,MAX(1,D1344)),0), FactorTable!$A$2:$A$301,0), Skills!M10+1)</f>
        <v/>
      </c>
      <c r="F1344">
        <f>IF(Skills!N10=TRUE,(Skills!L10/10)*(E1344/1000),Skills!L10/10)+Skills!O10</f>
        <v/>
      </c>
      <c r="G1344">
        <f>Skills!G10*IF(Skills!H10&gt;0,Skills!I10/Skills!H10,1)</f>
        <v/>
      </c>
      <c r="H1344">
        <f>1-(1-Skills!J10/100)^Skills!K10</f>
        <v/>
      </c>
      <c r="I1344" t="inlineStr">
        <is>
          <t>1</t>
        </is>
      </c>
      <c r="J1344" t="inlineStr"/>
      <c r="K1344" t="inlineStr"/>
      <c r="L1344" t="inlineStr"/>
      <c r="M1344" t="inlineStr"/>
      <c r="N1344" t="inlineStr"/>
      <c r="O1344">
        <f>(1-Summary!$B$55)*T1344+Summary!$B$55*V1344</f>
        <v/>
      </c>
      <c r="P1344">
        <f>IF(B1379=0,0,O1344/B1379)</f>
        <v/>
      </c>
      <c r="Q1344">
        <f>IFERROR(1/IF(Inputs!$B$39="pvp",15,MAX(0.1,Skills!D10-IF(Skills!E10=TRUE,Inputs!$B$32,0))),0)</f>
        <v/>
      </c>
      <c r="R1344">
        <f>IF(AND(Inputs!$B$39&lt;&gt;"pvp",Inputs!$B$44&gt;0),IF(Inputs!$B$44&lt;=0,0,(INT(Inputs!$B$44/IF(Inputs!$B$39="pvp",15,MAX(0.1,Skills!D10-IF(Skills!E10=TRUE,Inputs!$B$32,0))))+1)),0)</f>
        <v/>
      </c>
      <c r="S1344">
        <f>IFERROR(O1344/N1344,0)</f>
        <v/>
      </c>
      <c r="T1344" t="n">
        <v>0</v>
      </c>
      <c r="V1344" t="n">
        <v>0</v>
      </c>
    </row>
    <row r="1345">
      <c r="A1345">
        <f>Skills!A11</f>
        <v/>
      </c>
      <c r="B1345">
        <f>Skills!B11</f>
        <v/>
      </c>
      <c r="C1345">
        <f>Inputs!$B$3&gt;=103</f>
        <v/>
      </c>
      <c r="D1345">
        <f>IF(Skills!C11=1,60+Inputs!$B$25+Inputs!$B$29,IF(Skills!C11=2,90+Inputs!$B$26+Inputs!$B$29,IF(Skills!C11=3,120+Inputs!$B$27+Inputs!$B$29,MAX(0,(Inputs!$B$3-100)*3)+Inputs!$B$28+Inputs!$B$29)))</f>
        <v/>
      </c>
      <c r="E1345">
        <f>INDEX(FactorTable!$B$2:$Y$301, MATCH(ROUND(MIN(300,MAX(1,D1345)),0), FactorTable!$A$2:$A$301,0), Skills!M11+1)</f>
        <v/>
      </c>
      <c r="F1345">
        <f>(Skills!L11/10)*(E1345/1000)+IF(Inputs!$B$3&gt;=134,50,0)+0.5*(30000/10)*(INDEX(FactorTable!$B$2:$Y$301, MATCH(ROUND(MIN(300,MAX(1,D1345)),0), FactorTable!$A$2:$A$301,0), 13)/1000)*B1377</f>
        <v/>
      </c>
      <c r="G1345">
        <f>Skills!G11*IF(Skills!H11&gt;0,Skills!I11/Skills!H11,1)</f>
        <v/>
      </c>
      <c r="H1345">
        <f>1-(1-Skills!J11/100)^Skills!K11</f>
        <v/>
      </c>
      <c r="I1345" t="inlineStr">
        <is>
          <t>1</t>
        </is>
      </c>
      <c r="J1345">
        <f>((Inputs!$B$6*(1+Inputs!$B$7/100))+(((Inputs!$B$12*(1+Inputs!$B$13/100))-(Inputs!$B$12*(1+Inputs!$B$13/100)))+0.25*(Inputs!$B$14-Inputs!$B$14))*(1+Inputs!$B$7/100))*(F1345/100)</f>
        <v/>
      </c>
      <c r="K1345">
        <f>J1345*(1+((Inputs!$B$12*(1+Inputs!$B$13/100))*0.01+Inputs!$B$14*0.0025)/100)*(1+Inputs!$B$15/100)*(1+Inputs!$B$16/100)*(5000/(6000+Inputs!$B$43*(1-Inputs!$B$19/100)))*(1+(Inputs!$B$24+((C1364=TRUE)*(F1364-Calc!F30)))/100)*(1+(IF(Skills!A11="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1345)</f>
        <v/>
      </c>
      <c r="L1345">
        <f>K1345*(MIN(Inputs!$B$22+((C1358=TRUE)*(F1358-Calc!F24)),Inputs!$B$23+((C1363=TRUE)*(F1363-Calc!F29)))/100+(Inputs!$B$23+((C1363=TRUE)*(F1363-Calc!F29)))/100)/2</f>
        <v/>
      </c>
      <c r="M1345">
        <f>L1345*(1+(Inputs!$B$10+((C1360=TRUE)*(F1360-Calc!F26))+B1374)/100)</f>
        <v/>
      </c>
      <c r="N1345">
        <f>L1345*(1-MIN((Inputs!$B$9+((C1359=TRUE)*(F1359-Calc!F25))+B1367),100)/100)+M1345*(MIN((Inputs!$B$9+((C1359=TRUE)*(F1359-Calc!F25))+B1367),100)/100)</f>
        <v/>
      </c>
      <c r="O1345">
        <f>(1-Summary!$B$55)*T1345+Summary!$B$55*V1345</f>
        <v/>
      </c>
      <c r="P1345">
        <f>IF(B1379=0,0,O1345/B1379)</f>
        <v/>
      </c>
      <c r="Q1345">
        <f>IFERROR(1/IF(Inputs!$B$39="pvp",15,MAX(0.1,Skills!D11-IF(Skills!E11=TRUE,Inputs!$B$32,0))),0)</f>
        <v/>
      </c>
      <c r="R1345">
        <f>IF(AND(Inputs!$B$39&lt;&gt;"pvp",Inputs!$B$44&gt;0),IF(MAX(0,Inputs!$B$44-B1378)&lt;=0,0,(INT(MAX(0,Inputs!$B$44-B1378)/IF(Inputs!$B$39="pvp",15,MAX(0.1,Skills!D11-IF(Skills!E11=TRUE,Inputs!$B$32,0))))+1)),0)</f>
        <v/>
      </c>
      <c r="S1345">
        <f>IFERROR(O1345/N1345,0)</f>
        <v/>
      </c>
      <c r="T1345">
        <f>IF(C1345,(H1345*N1345*IF(AND(Inputs!$B$39&lt;&gt;"pvp",Inputs!$B$44&gt;0),((Skills!G11*((R1345-1)*IF(Skills!H11&gt;0,Skills!I11/Skills!H11,1)+IF(Skills!H11&gt;0,MIN(Skills!I11,MAX(0,MAX(0,Inputs!$B$44-B1378)-((R1345-1)*IF(Inputs!$B$39="pvp",15,MAX(0.1,Skills!D11-IF(Skills!E11=TRUE,Inputs!$B$32,0))))))/Skills!H11,1)))/Inputs!$B$44),G1345*Q1345))*IF(Inputs!$B$39="pvp",1,1+(Inputs!$B$20+0+Skills!P11+B1368)/100),0)</f>
        <v/>
      </c>
      <c r="V1345">
        <f>IF(C1345,(H1345*N1345*IF(AND(Inputs!$B$39&lt;&gt;"pvp",Inputs!$B$44&gt;0),((Skills!G11*((R1345-1)*IF(Skills!H11&gt;0,Skills!I11/Skills!H11,1)+IF(Skills!H11&gt;0,MIN(Skills!I11,MAX(0,MAX(0,Inputs!$B$44-B1378)-((R1345-1)*IF(Inputs!$B$39="pvp",15,MAX(0.1,Skills!D11-IF(Skills!E11=TRUE,Inputs!$B$32,0))))))/Skills!H11,1)))/Inputs!$B$44),G1345*Q1345))*IF(Inputs!$B$39="pvp",1,(1+(Inputs!$B$21+Skills!Q11+B1368)/100)*(MIN(Skills!W11,Inputs!$B$37))),0)</f>
        <v/>
      </c>
    </row>
    <row r="1346">
      <c r="A1346">
        <f>Skills!A12</f>
        <v/>
      </c>
      <c r="B1346">
        <f>Skills!B12</f>
        <v/>
      </c>
      <c r="C1346">
        <f>Inputs!$B$3&gt;=105</f>
        <v/>
      </c>
      <c r="D1346">
        <f>IF(Skills!C12=1,60+Inputs!$B$25+Inputs!$B$29,IF(Skills!C12=2,90+Inputs!$B$26+Inputs!$B$29,IF(Skills!C12=3,120+Inputs!$B$27+Inputs!$B$29,MAX(0,(Inputs!$B$3-100)*3)+Inputs!$B$28+Inputs!$B$29)))</f>
        <v/>
      </c>
      <c r="E1346">
        <f>INDEX(FactorTable!$B$2:$Y$301, MATCH(ROUND(MIN(300,MAX(1,D1346)),0), FactorTable!$A$2:$A$301,0), Skills!M12+1)</f>
        <v/>
      </c>
      <c r="F1346">
        <f>IF(Skills!N12=TRUE,(Skills!L12/10)*(E1346/1000),Skills!L12/10)+Skills!O12</f>
        <v/>
      </c>
      <c r="G1346">
        <f>Skills!G12*IF(Skills!H12&gt;0,Skills!I12/Skills!H12,1)</f>
        <v/>
      </c>
      <c r="H1346">
        <f>1-(1-Skills!J12/100)^Skills!K12</f>
        <v/>
      </c>
      <c r="I1346" t="inlineStr">
        <is>
          <t>1</t>
        </is>
      </c>
      <c r="J1346">
        <f>((Inputs!$B$6*(1+Inputs!$B$7/100))+(((Inputs!$B$12*(1+Inputs!$B$13/100))-(Inputs!$B$12*(1+Inputs!$B$13/100)))+0.25*(Inputs!$B$14-Inputs!$B$14))*(1+Inputs!$B$7/100))*(F1346/100)</f>
        <v/>
      </c>
      <c r="K1346">
        <f>J1346*(1+((Inputs!$B$12*(1+Inputs!$B$13/100))*0.01+Inputs!$B$14*0.0025)/100)*(1+Inputs!$B$15/100)*(1+Inputs!$B$16/100)*(5000/(6000+Inputs!$B$43*(1-Inputs!$B$19/100)))*(1+(Inputs!$B$24+((C1364=TRUE)*(F1364-Calc!F30)))/100)*(1+(IF(Skills!A12="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1346)</f>
        <v/>
      </c>
      <c r="L1346">
        <f>K1346*(MIN(Inputs!$B$22+((C1358=TRUE)*(F1358-Calc!F24)),Inputs!$B$23+((C1363=TRUE)*(F1363-Calc!F29)))/100+(Inputs!$B$23+((C1363=TRUE)*(F1363-Calc!F29)))/100)/2</f>
        <v/>
      </c>
      <c r="M1346">
        <f>L1346*(1+(Inputs!$B$10+((C1360=TRUE)*(F1360-Calc!F26))+B1374)/100)</f>
        <v/>
      </c>
      <c r="N1346">
        <f>L1346*(1-MIN((Inputs!$B$9+((C1359=TRUE)*(F1359-Calc!F25))+B1367),100)/100)+M1346*(MIN((Inputs!$B$9+((C1359=TRUE)*(F1359-Calc!F25))+B1367),100)/100)</f>
        <v/>
      </c>
      <c r="O1346">
        <f>(1-Summary!$B$55)*T1346+Summary!$B$55*V1346</f>
        <v/>
      </c>
      <c r="P1346">
        <f>IF(B1379=0,0,O1346/B1379)</f>
        <v/>
      </c>
      <c r="Q1346">
        <f>IFERROR(1/IF(Inputs!$B$39="pvp",15,MAX(0.1,Skills!D12-IF(Skills!E12=TRUE,Inputs!$B$32,0))),0)</f>
        <v/>
      </c>
      <c r="R1346">
        <f>IF(AND(Inputs!$B$39&lt;&gt;"pvp",Inputs!$B$44&gt;0),IF(MAX(0,Inputs!$B$44-B1378)&lt;=0,0,(INT(MAX(0,Inputs!$B$44-B1378)/IF(Inputs!$B$39="pvp",15,MAX(0.1,Skills!D12-IF(Skills!E12=TRUE,Inputs!$B$32,0))))+1)),0)</f>
        <v/>
      </c>
      <c r="S1346">
        <f>IFERROR(O1346/N1346,0)</f>
        <v/>
      </c>
      <c r="T1346">
        <f>IF(C1346,(H1346*N1346*IF(AND(Inputs!$B$39&lt;&gt;"pvp",Inputs!$B$44&gt;0),((Skills!G12*((R1346-1)*IF(Skills!H12&gt;0,Skills!I12/Skills!H12,1)+IF(Skills!H12&gt;0,MIN(Skills!I12,MAX(0,MAX(0,Inputs!$B$44-B1378)-((R1346-1)*IF(Inputs!$B$39="pvp",15,MAX(0.1,Skills!D12-IF(Skills!E12=TRUE,Inputs!$B$32,0))))))/Skills!H12,1)))/Inputs!$B$44),G1346*Q1346))*IF(Inputs!$B$39="pvp",1,1+(Inputs!$B$20+0+Skills!P12+B1368)/100),0)</f>
        <v/>
      </c>
      <c r="V1346">
        <f>IF(C1346,(H1346*N1346*IF(AND(Inputs!$B$39&lt;&gt;"pvp",Inputs!$B$44&gt;0),((Skills!G12*((R1346-1)*IF(Skills!H12&gt;0,Skills!I12/Skills!H12,1)+IF(Skills!H12&gt;0,MIN(Skills!I12,MAX(0,MAX(0,Inputs!$B$44-B1378)-((R1346-1)*IF(Inputs!$B$39="pvp",15,MAX(0.1,Skills!D12-IF(Skills!E12=TRUE,Inputs!$B$32,0))))))/Skills!H12,1)))/Inputs!$B$44),G1346*Q1346))*IF(Inputs!$B$39="pvp",1,(1+(Inputs!$B$21+Skills!Q12+B1368)/100)*(MIN(Skills!W12,Inputs!$B$37))),0)</f>
        <v/>
      </c>
    </row>
    <row r="1347">
      <c r="A1347">
        <f>Skills!A13</f>
        <v/>
      </c>
      <c r="B1347">
        <f>Skills!B13</f>
        <v/>
      </c>
      <c r="C1347">
        <f>Inputs!$B$3&gt;=105</f>
        <v/>
      </c>
      <c r="D1347">
        <f>IF(Skills!C13=1,60+Inputs!$B$25+Inputs!$B$29,IF(Skills!C13=2,90+Inputs!$B$26+Inputs!$B$29,IF(Skills!C13=3,120+Inputs!$B$27+Inputs!$B$29,MAX(0,(Inputs!$B$3-100)*3)+Inputs!$B$28+Inputs!$B$29)))</f>
        <v/>
      </c>
      <c r="E1347">
        <f>INDEX(FactorTable!$B$2:$Y$301, MATCH(ROUND(MIN(300,MAX(1,D1347)),0), FactorTable!$A$2:$A$301,0), Skills!M13+1)</f>
        <v/>
      </c>
      <c r="F1347">
        <f>IF(Skills!N13=TRUE,(Skills!L13/10)*(E1347/1000),Skills!L13/10)+Skills!O13</f>
        <v/>
      </c>
      <c r="G1347">
        <f>Skills!G13*IF(Skills!H13&gt;0,Skills!I13/Skills!H13,1)</f>
        <v/>
      </c>
      <c r="H1347">
        <f>1-(1-Skills!J13/100)^Skills!K13</f>
        <v/>
      </c>
      <c r="I1347" t="inlineStr">
        <is>
          <t>1</t>
        </is>
      </c>
      <c r="J1347">
        <f>((Inputs!$B$6*(1+Inputs!$B$7/100))+(((Inputs!$B$12*(1+Inputs!$B$13/100))-(Inputs!$B$12*(1+Inputs!$B$13/100)))+0.25*(Inputs!$B$14-Inputs!$B$14))*(1+Inputs!$B$7/100))*(F1347/100)</f>
        <v/>
      </c>
      <c r="K1347">
        <f>J1347*(1+((Inputs!$B$12*(1+Inputs!$B$13/100))*0.01+Inputs!$B$14*0.0025)/100)*(1+Inputs!$B$15/100)*(1+Inputs!$B$16/100)*(5000/(6000+Inputs!$B$43*(1-Inputs!$B$19/100)))*(1+(Inputs!$B$24+((C1364=TRUE)*(F1364-Calc!F30)))/100)*(1+(IF(Skills!A13="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1347)</f>
        <v/>
      </c>
      <c r="L1347">
        <f>K1347*(MIN(Inputs!$B$22+((C1358=TRUE)*(F1358-Calc!F24)),Inputs!$B$23+((C1363=TRUE)*(F1363-Calc!F29)))/100+(Inputs!$B$23+((C1363=TRUE)*(F1363-Calc!F29)))/100)/2</f>
        <v/>
      </c>
      <c r="M1347">
        <f>L1347*(1+(Inputs!$B$10+((C1360=TRUE)*(F1360-Calc!F26))+B1374)/100)</f>
        <v/>
      </c>
      <c r="N1347">
        <f>L1347*(1-MIN((Inputs!$B$9+((C1359=TRUE)*(F1359-Calc!F25))+B1367),100)/100)+M1347*(MIN((Inputs!$B$9+((C1359=TRUE)*(F1359-Calc!F25))+B1367),100)/100)</f>
        <v/>
      </c>
      <c r="O1347">
        <f>(1-Summary!$B$55)*T1347+Summary!$B$55*V1347</f>
        <v/>
      </c>
      <c r="P1347">
        <f>IF(B1379=0,0,O1347/B1379)</f>
        <v/>
      </c>
      <c r="Q1347">
        <f>IFERROR(1/IF(Inputs!$B$39="pvp",15,MAX(0.1,Skills!D13-IF(Skills!E13=TRUE,Inputs!$B$32,0))),0)</f>
        <v/>
      </c>
      <c r="R1347">
        <f>IF(AND(Inputs!$B$39&lt;&gt;"pvp",Inputs!$B$44&gt;0),IF(MAX(0,Inputs!$B$44-B1378)&lt;=0,0,(INT(MAX(0,Inputs!$B$44-B1378)/IF(Inputs!$B$39="pvp",15,MAX(0.1,Skills!D13-IF(Skills!E13=TRUE,Inputs!$B$32,0))))+1)),0)</f>
        <v/>
      </c>
      <c r="S1347">
        <f>IFERROR(O1347/N1347,0)</f>
        <v/>
      </c>
      <c r="T1347">
        <f>IF(C1347,(H1347*N1347*IF(AND(Inputs!$B$39&lt;&gt;"pvp",Inputs!$B$44&gt;0),((Skills!G13*((R1347-1)*IF(Skills!H13&gt;0,Skills!I13/Skills!H13,1)+IF(Skills!H13&gt;0,MIN(Skills!I13,MAX(0,MAX(0,Inputs!$B$44-B1378)-((R1347-1)*IF(Inputs!$B$39="pvp",15,MAX(0.1,Skills!D13-IF(Skills!E13=TRUE,Inputs!$B$32,0))))))/Skills!H13,1)))/Inputs!$B$44),G1347*Q1347))*IF(Inputs!$B$39="pvp",1,1+(Inputs!$B$20+0+Skills!P13+B1368)/100),0)</f>
        <v/>
      </c>
      <c r="V1347">
        <f>IF(C1347,(H1347*N1347*IF(AND(Inputs!$B$39&lt;&gt;"pvp",Inputs!$B$44&gt;0),((Skills!G13*((R1347-1)*IF(Skills!H13&gt;0,Skills!I13/Skills!H13,1)+IF(Skills!H13&gt;0,MIN(Skills!I13,MAX(0,MAX(0,Inputs!$B$44-B1378)-((R1347-1)*IF(Inputs!$B$39="pvp",15,MAX(0.1,Skills!D13-IF(Skills!E13=TRUE,Inputs!$B$32,0))))))/Skills!H13,1)))/Inputs!$B$44),G1347*Q1347))*IF(Inputs!$B$39="pvp",1,(1+(Inputs!$B$21+Skills!Q13+B1368)/100)*(MIN(Skills!W13,Inputs!$B$37))),0)</f>
        <v/>
      </c>
    </row>
    <row r="1348">
      <c r="A1348">
        <f>Skills!A14</f>
        <v/>
      </c>
      <c r="B1348">
        <f>Skills!B14</f>
        <v/>
      </c>
      <c r="C1348">
        <f>Inputs!$B$3&gt;=107</f>
        <v/>
      </c>
      <c r="D1348">
        <f>IF(Skills!C14=1,60+Inputs!$B$25+Inputs!$B$29,IF(Skills!C14=2,90+Inputs!$B$26+Inputs!$B$29,IF(Skills!C14=3,120+Inputs!$B$27+Inputs!$B$29,MAX(0,(Inputs!$B$3-100)*3)+Inputs!$B$28+Inputs!$B$29)))</f>
        <v/>
      </c>
      <c r="E1348">
        <f>INDEX(FactorTable!$B$2:$Y$301, MATCH(ROUND(MIN(300,MAX(1,D1348)),0), FactorTable!$A$2:$A$301,0), Skills!M14+1)</f>
        <v/>
      </c>
      <c r="F1348">
        <f>IF(Skills!N14=TRUE,(Skills!L14/10)*(E1348/1000),Skills!L14/10)+Skills!O14</f>
        <v/>
      </c>
      <c r="G1348">
        <f>Skills!G14*IF(Skills!H14&gt;0,Skills!I14/Skills!H14,1)</f>
        <v/>
      </c>
      <c r="H1348">
        <f>1-(1-Skills!J14/100)^Skills!K14</f>
        <v/>
      </c>
      <c r="I1348" t="inlineStr">
        <is>
          <t>1</t>
        </is>
      </c>
      <c r="J1348">
        <f>((Inputs!$B$6*(1+Inputs!$B$7/100))+(((Inputs!$B$12*(1+Inputs!$B$13/100))-(Inputs!$B$12*(1+Inputs!$B$13/100)))+0.25*(Inputs!$B$14-Inputs!$B$14))*(1+Inputs!$B$7/100))*(F1348/100)</f>
        <v/>
      </c>
      <c r="K1348">
        <f>J1348*(1+((Inputs!$B$12*(1+Inputs!$B$13/100))*0.01+Inputs!$B$14*0.0025)/100)*(1+Inputs!$B$15/100)*(1+Inputs!$B$16/100)*(5000/(6000+Inputs!$B$43*(1-Inputs!$B$19/100)))*(1+(Inputs!$B$24+((C1364=TRUE)*(F1364-Calc!F30)))/100)*(1+(IF(Skills!A14="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1348)</f>
        <v/>
      </c>
      <c r="L1348">
        <f>K1348*(MIN(Inputs!$B$22+((C1358=TRUE)*(F1358-Calc!F24)),Inputs!$B$23+((C1363=TRUE)*(F1363-Calc!F29)))/100+(Inputs!$B$23+((C1363=TRUE)*(F1363-Calc!F29)))/100)/2</f>
        <v/>
      </c>
      <c r="M1348">
        <f>L1348*(1+(Inputs!$B$10+((C1360=TRUE)*(F1360-Calc!F26))+B1374)/100)</f>
        <v/>
      </c>
      <c r="N1348">
        <f>L1348*(1-MIN((Inputs!$B$9+((C1359=TRUE)*(F1359-Calc!F25))+B1367),100)/100)+M1348*(MIN((Inputs!$B$9+((C1359=TRUE)*(F1359-Calc!F25))+B1367),100)/100)</f>
        <v/>
      </c>
      <c r="O1348">
        <f>(1-Summary!$B$55)*T1348+Summary!$B$55*V1348</f>
        <v/>
      </c>
      <c r="P1348">
        <f>IF(B1379=0,0,O1348/B1379)</f>
        <v/>
      </c>
      <c r="Q1348">
        <f>IFERROR(1/IF(Inputs!$B$39="pvp",15,MAX(0.1,Skills!D14-IF(Skills!E14=TRUE,Inputs!$B$32,0))),0)</f>
        <v/>
      </c>
      <c r="R1348">
        <f>IF(AND(Inputs!$B$39&lt;&gt;"pvp",Inputs!$B$44&gt;0),IF(MAX(0,Inputs!$B$44-B1378)&lt;=0,0,(INT(MAX(0,Inputs!$B$44-B1378)/IF(Inputs!$B$39="pvp",15,MAX(0.1,Skills!D14-IF(Skills!E14=TRUE,Inputs!$B$32,0))))+1)),0)</f>
        <v/>
      </c>
      <c r="S1348">
        <f>IFERROR(O1348/N1348,0)</f>
        <v/>
      </c>
      <c r="T1348">
        <f>IF(C1348,(H1348*N1348*IF(AND(Inputs!$B$39&lt;&gt;"pvp",Inputs!$B$44&gt;0),((Skills!G14*((R1348-1)*IF(Skills!H14&gt;0,Skills!I14/Skills!H14,1)+IF(Skills!H14&gt;0,MIN(Skills!I14,MAX(0,MAX(0,Inputs!$B$44-B1378)-((R1348-1)*IF(Inputs!$B$39="pvp",15,MAX(0.1,Skills!D14-IF(Skills!E14=TRUE,Inputs!$B$32,0))))))/Skills!H14,1)))/Inputs!$B$44),G1348*Q1348))*IF(Inputs!$B$39="pvp",1,1+(Inputs!$B$20+0+Skills!P14+B1368)/100),0)</f>
        <v/>
      </c>
      <c r="V1348">
        <f>IF(C1348,(H1348*N1348*IF(AND(Inputs!$B$39&lt;&gt;"pvp",Inputs!$B$44&gt;0),((Skills!G14*((R1348-1)*IF(Skills!H14&gt;0,Skills!I14/Skills!H14,1)+IF(Skills!H14&gt;0,MIN(Skills!I14,MAX(0,MAX(0,Inputs!$B$44-B1378)-((R1348-1)*IF(Inputs!$B$39="pvp",15,MAX(0.1,Skills!D14-IF(Skills!E14=TRUE,Inputs!$B$32,0))))))/Skills!H14,1)))/Inputs!$B$44),G1348*Q1348))*IF(Inputs!$B$39="pvp",1,(1+(Inputs!$B$21+Skills!Q14+B1368)/100)*(MIN(MIN(5,0.25*B1371*Skills!D4)*Skills!V14,Inputs!$B$37))),0)</f>
        <v/>
      </c>
    </row>
    <row r="1349">
      <c r="A1349">
        <f>Skills!A15</f>
        <v/>
      </c>
      <c r="B1349">
        <f>Skills!B15</f>
        <v/>
      </c>
      <c r="C1349">
        <f>Inputs!$B$3&gt;=110</f>
        <v/>
      </c>
      <c r="D1349">
        <f>IF(Skills!C15=1,60+Inputs!$B$25+Inputs!$B$29,IF(Skills!C15=2,90+Inputs!$B$26+Inputs!$B$29,IF(Skills!C15=3,120+Inputs!$B$27+Inputs!$B$29,MAX(0,(Inputs!$B$3-100)*3)+Inputs!$B$28+Inputs!$B$29)))</f>
        <v/>
      </c>
      <c r="E1349">
        <f>INDEX(FactorTable!$B$2:$Y$301, MATCH(ROUND(MIN(300,MAX(1,D1349)),0), FactorTable!$A$2:$A$301,0), Skills!M15+1)</f>
        <v/>
      </c>
      <c r="F1349">
        <f>IF(Skills!N15=TRUE,(Skills!L15/10)*(E1349/1000),Skills!L15/10)+Skills!O15</f>
        <v/>
      </c>
      <c r="G1349">
        <f>Skills!G15*IF(Skills!H15&gt;0,Skills!I15/Skills!H15,1)</f>
        <v/>
      </c>
      <c r="H1349">
        <f>1-(1-Skills!J15/100)^Skills!K15</f>
        <v/>
      </c>
      <c r="I1349" t="inlineStr">
        <is>
          <t>1</t>
        </is>
      </c>
      <c r="J1349" t="inlineStr"/>
      <c r="K1349" t="inlineStr"/>
      <c r="L1349" t="inlineStr"/>
      <c r="M1349" t="inlineStr"/>
      <c r="N1349" t="inlineStr"/>
      <c r="O1349">
        <f>(1-Summary!$B$55)*T1349+Summary!$B$55*V1349</f>
        <v/>
      </c>
      <c r="P1349">
        <f>IF(B1379=0,0,O1349/B1379)</f>
        <v/>
      </c>
      <c r="Q1349">
        <f>IFERROR(1/IF(Inputs!$B$39="pvp",15,MAX(0.1,Skills!D15-IF(Skills!E15=TRUE,Inputs!$B$32,0))),0)</f>
        <v/>
      </c>
      <c r="R1349">
        <f>IF(AND(Inputs!$B$39&lt;&gt;"pvp",Inputs!$B$44&gt;0),IF(Inputs!$B$44&lt;=0,0,(INT(Inputs!$B$44/IF(Inputs!$B$39="pvp",15,MAX(0.1,Skills!D15-IF(Skills!E15=TRUE,Inputs!$B$32,0))))+1)),0)</f>
        <v/>
      </c>
      <c r="S1349">
        <f>IFERROR(O1349/N1349,0)</f>
        <v/>
      </c>
      <c r="T1349" t="n">
        <v>0</v>
      </c>
      <c r="V1349" t="n">
        <v>0</v>
      </c>
    </row>
    <row r="1350">
      <c r="A1350">
        <f>Skills!A16</f>
        <v/>
      </c>
      <c r="B1350">
        <f>Skills!B16</f>
        <v/>
      </c>
      <c r="C1350">
        <f>Inputs!$B$3&gt;=115</f>
        <v/>
      </c>
      <c r="D1350">
        <f>IF(Skills!C16=1,60+Inputs!$B$25+Inputs!$B$29,IF(Skills!C16=2,90+Inputs!$B$26+Inputs!$B$29,IF(Skills!C16=3,120+Inputs!$B$27+Inputs!$B$29,MAX(0,(Inputs!$B$3-100)*3)+Inputs!$B$28+Inputs!$B$29)))</f>
        <v/>
      </c>
      <c r="E1350">
        <f>INDEX(FactorTable!$B$2:$Y$301, MATCH(ROUND(MIN(300,MAX(1,D1350)),0), FactorTable!$A$2:$A$301,0), Skills!M16+1)</f>
        <v/>
      </c>
      <c r="F1350">
        <f>IF(Skills!N16=TRUE,(Skills!L16/10)*(E1350/1000),Skills!L16/10)+Skills!O16</f>
        <v/>
      </c>
      <c r="G1350">
        <f>Skills!G16*IF(Skills!H16&gt;0,Skills!I16/Skills!H16,1)</f>
        <v/>
      </c>
      <c r="H1350">
        <f>1-(1-Skills!J16/100)^Skills!K16</f>
        <v/>
      </c>
      <c r="I1350" t="inlineStr">
        <is>
          <t>1</t>
        </is>
      </c>
      <c r="J1350">
        <f>((Inputs!$B$6*(1+Inputs!$B$7/100))+(((Inputs!$B$12*(1+Inputs!$B$13/100))-(Inputs!$B$12*(1+Inputs!$B$13/100)))+0.25*(Inputs!$B$14-Inputs!$B$14))*(1+Inputs!$B$7/100))*(F1350/100)</f>
        <v/>
      </c>
      <c r="K1350">
        <f>J1350*(1+((Inputs!$B$12*(1+Inputs!$B$13/100))*0.01+Inputs!$B$14*0.0025)/100)*(1+Inputs!$B$15/100)*(1+Inputs!$B$16/100)*(5000/(6000+Inputs!$B$43*(1-Inputs!$B$19/100)))*(1+(Inputs!$B$24+((C1364=TRUE)*(F1364-Calc!F30)))/100)*(1+(IF(Skills!A16="CRUEL_STAB",Inputs!$B$17+((C1361=TRUE)*(F1361-Calc!F27)),Inputs!$B$18+((C1362=TRUE)*(F1362-Calc!F28))))/100)*(((1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B1369*I1350)</f>
        <v/>
      </c>
      <c r="L1350">
        <f>K1350*(MIN(Inputs!$B$22+((C1358=TRUE)*(F1358-Calc!F24)),Inputs!$B$23+((C1363=TRUE)*(F1363-Calc!F29)))/100+(Inputs!$B$23+((C1363=TRUE)*(F1363-Calc!F29)))/100)/2</f>
        <v/>
      </c>
      <c r="M1350">
        <f>L1350*(1+(Inputs!$B$10+((C1360=TRUE)*(F1360-Calc!F26))+B1374)/100)</f>
        <v/>
      </c>
      <c r="N1350">
        <f>L1350*(1-MIN((Inputs!$B$9+((C1359=TRUE)*(F1359-Calc!F25))+B1367),100)/100)+M1350*(MIN((Inputs!$B$9+((C1359=TRUE)*(F1359-Calc!F25))+B1367),100)/100)</f>
        <v/>
      </c>
      <c r="O1350">
        <f>(1-Summary!$B$55)*T1350+Summary!$B$55*V1350</f>
        <v/>
      </c>
      <c r="P1350">
        <f>IF(B1379=0,0,O1350/B1379)</f>
        <v/>
      </c>
      <c r="Q1350" t="n">
        <v>0</v>
      </c>
      <c r="R1350" t="n">
        <v>0</v>
      </c>
      <c r="S1350">
        <f>IFERROR(O1350/N1350,0)</f>
        <v/>
      </c>
      <c r="T1350">
        <f>IF(C1350,((Inputs!$B$38+1)*0.2*N1350)*IF(Inputs!$B$39="pvp",1,1+(Inputs!$B$20+0+Skills!P16+B1368)/100),0)</f>
        <v/>
      </c>
      <c r="V1350">
        <f>IF(C1350,((Inputs!$B$38+1)*0.2*N1350)*IF(Inputs!$B$39="pvp",1,(1+(Inputs!$B$21+Skills!Q16+B1368)/100)*(MIN(Skills!W16,Inputs!$B$37))),0)</f>
        <v/>
      </c>
    </row>
    <row r="1351">
      <c r="A1351">
        <f>Skills!A17</f>
        <v/>
      </c>
      <c r="B1351">
        <f>Skills!B17</f>
        <v/>
      </c>
      <c r="C1351">
        <f>Inputs!$B$3&gt;=115</f>
        <v/>
      </c>
      <c r="D1351">
        <f>IF(Skills!C17=1,60+Inputs!$B$25+Inputs!$B$29,IF(Skills!C17=2,90+Inputs!$B$26+Inputs!$B$29,IF(Skills!C17=3,120+Inputs!$B$27+Inputs!$B$29,MAX(0,(Inputs!$B$3-100)*3)+Inputs!$B$28+Inputs!$B$29)))</f>
        <v/>
      </c>
      <c r="E1351">
        <f>INDEX(FactorTable!$B$2:$Y$301, MATCH(ROUND(MIN(300,MAX(1,D1351)),0), FactorTable!$A$2:$A$301,0), Skills!M17+1)</f>
        <v/>
      </c>
      <c r="F1351">
        <f>IF(Skills!N17=TRUE,(Skills!L17/10)*(E1351/1000),Skills!L17/10)+Skills!O17</f>
        <v/>
      </c>
      <c r="G1351">
        <f>Skills!G17*IF(Skills!H17&gt;0,Skills!I17/Skills!H17,1)</f>
        <v/>
      </c>
      <c r="H1351">
        <f>1-(1-Skills!J17/100)^Skills!K17</f>
        <v/>
      </c>
      <c r="I1351" t="inlineStr">
        <is>
          <t>1</t>
        </is>
      </c>
      <c r="J1351" t="inlineStr"/>
      <c r="K1351" t="inlineStr"/>
      <c r="L1351" t="inlineStr"/>
      <c r="M1351" t="inlineStr"/>
      <c r="N1351" t="inlineStr"/>
      <c r="O1351">
        <f>(1-Summary!$B$55)*T1351+Summary!$B$55*V1351</f>
        <v/>
      </c>
      <c r="P1351">
        <f>IF(B1379=0,0,O1351/B1379)</f>
        <v/>
      </c>
      <c r="Q1351" t="n">
        <v>0</v>
      </c>
      <c r="R1351" t="n">
        <v>0</v>
      </c>
      <c r="S1351">
        <f>IFERROR(O1351/N1351,0)</f>
        <v/>
      </c>
      <c r="T1351" t="n">
        <v>0</v>
      </c>
      <c r="V1351" t="n">
        <v>0</v>
      </c>
    </row>
    <row r="1352">
      <c r="A1352">
        <f>Skills!A18</f>
        <v/>
      </c>
      <c r="B1352">
        <f>Skills!B18</f>
        <v/>
      </c>
      <c r="C1352">
        <f>Inputs!$B$3&gt;=100</f>
        <v/>
      </c>
      <c r="D1352">
        <f>IF(Skills!C18=1,60+Inputs!$B$25+Inputs!$B$29,IF(Skills!C18=2,90+Inputs!$B$26+Inputs!$B$29,IF(Skills!C18=3,120+Inputs!$B$27+Inputs!$B$29,MAX(0,(Inputs!$B$3-100)*3)+Inputs!$B$28+Inputs!$B$29)))</f>
        <v/>
      </c>
      <c r="E1352">
        <f>INDEX(FactorTable!$B$2:$Y$301, MATCH(ROUND(MIN(300,MAX(1,D1352)),0), FactorTable!$A$2:$A$301,0), Skills!M18+1)</f>
        <v/>
      </c>
      <c r="F1352">
        <f>IF(Skills!N18=TRUE,(Skills!L18/10)*(E1352/1000),Skills!L18/10)+Skills!O18</f>
        <v/>
      </c>
      <c r="G1352">
        <f>Skills!G18*IF(Skills!H18&gt;0,Skills!I18/Skills!H18,1)</f>
        <v/>
      </c>
      <c r="H1352">
        <f>1-(1-Skills!J18/100)^Skills!K18</f>
        <v/>
      </c>
      <c r="I1352" t="inlineStr">
        <is>
          <t>1</t>
        </is>
      </c>
      <c r="J1352" t="inlineStr"/>
      <c r="K1352" t="inlineStr"/>
      <c r="L1352" t="inlineStr"/>
      <c r="M1352" t="inlineStr"/>
      <c r="N1352" t="inlineStr"/>
      <c r="O1352">
        <f>(1-Summary!$B$55)*T1352+Summary!$B$55*V1352</f>
        <v/>
      </c>
      <c r="P1352">
        <f>IF(B1379=0,0,O1352/B1379)</f>
        <v/>
      </c>
      <c r="Q1352" t="n">
        <v>0</v>
      </c>
      <c r="R1352" t="n">
        <v>0</v>
      </c>
      <c r="S1352">
        <f>IFERROR(O1352/N1352,0)</f>
        <v/>
      </c>
      <c r="T1352" t="n">
        <v>0</v>
      </c>
      <c r="V1352" t="n">
        <v>0</v>
      </c>
    </row>
    <row r="1353">
      <c r="A1353">
        <f>Skills!A19</f>
        <v/>
      </c>
      <c r="B1353">
        <f>Skills!B19</f>
        <v/>
      </c>
      <c r="C1353">
        <f>TRUE</f>
        <v/>
      </c>
      <c r="D1353">
        <f>IF(Skills!C19=1,60+Inputs!$B$25+Inputs!$B$29,IF(Skills!C19=2,90+Inputs!$B$26+Inputs!$B$29,IF(Skills!C19=3,120+Inputs!$B$27+Inputs!$B$29,MAX(0,(Inputs!$B$3-100)*3)+Inputs!$B$28+Inputs!$B$29)))</f>
        <v/>
      </c>
      <c r="E1353">
        <f>INDEX(FactorTable!$B$2:$Y$301, MATCH(ROUND(MIN(300,MAX(1,D1353)),0), FactorTable!$A$2:$A$301,0), Skills!M19+1)</f>
        <v/>
      </c>
      <c r="F1353">
        <f>IF(Skills!N19=TRUE,(Skills!L19/10)*(E1353/1000),Skills!L19/10)+Skills!O19</f>
        <v/>
      </c>
      <c r="G1353">
        <f>Skills!G19*IF(Skills!H19&gt;0,Skills!I19/Skills!H19,1)</f>
        <v/>
      </c>
      <c r="H1353">
        <f>1-(1-Skills!J19/100)^Skills!K19</f>
        <v/>
      </c>
      <c r="I1353" t="inlineStr">
        <is>
          <t>1</t>
        </is>
      </c>
      <c r="J1353" t="inlineStr"/>
      <c r="K1353" t="inlineStr"/>
      <c r="L1353" t="inlineStr"/>
      <c r="M1353" t="inlineStr"/>
      <c r="N1353" t="inlineStr"/>
      <c r="O1353">
        <f>(1-Summary!$B$55)*T1353+Summary!$B$55*V1353</f>
        <v/>
      </c>
      <c r="P1353">
        <f>IF(B1379=0,0,O1353/B1379)</f>
        <v/>
      </c>
      <c r="Q1353">
        <f>IFERROR(1/IF(Inputs!$B$39="pvp",15,MAX(0.1,Skills!D19-IF(Skills!E19=TRUE,Inputs!$B$32,0))),0)</f>
        <v/>
      </c>
      <c r="R1353">
        <f>IF(AND(Inputs!$B$39&lt;&gt;"pvp",Inputs!$B$44&gt;0),IF(Inputs!$B$44&lt;=0,0,(INT(Inputs!$B$44/IF(Inputs!$B$39="pvp",15,MAX(0.1,Skills!D19-IF(Skills!E19=TRUE,Inputs!$B$32,0))))+1)),0)</f>
        <v/>
      </c>
      <c r="S1353">
        <f>IFERROR(O1353/N1353,0)</f>
        <v/>
      </c>
      <c r="T1353" t="n">
        <v>0</v>
      </c>
      <c r="V1353" t="n">
        <v>0</v>
      </c>
    </row>
    <row r="1354">
      <c r="A1354">
        <f>Skills!A20</f>
        <v/>
      </c>
      <c r="B1354">
        <f>Skills!B20</f>
        <v/>
      </c>
      <c r="C1354">
        <f>Inputs!$B$3&gt;=15</f>
        <v/>
      </c>
      <c r="D1354">
        <f>IF(Skills!C20=1,60+Inputs!$B$25+Inputs!$B$29,IF(Skills!C20=2,90+Inputs!$B$26+Inputs!$B$29,IF(Skills!C20=3,120+Inputs!$B$27+Inputs!$B$29,MAX(0,(Inputs!$B$3-100)*3)+Inputs!$B$28+Inputs!$B$29)))</f>
        <v/>
      </c>
      <c r="E1354">
        <f>INDEX(FactorTable!$B$2:$Y$301, MATCH(ROUND(MIN(300,MAX(1,D1354)),0), FactorTable!$A$2:$A$301,0), Skills!M20+1)</f>
        <v/>
      </c>
      <c r="F1354">
        <f>IF(Skills!N20=TRUE,(Skills!L20/10)*(E1354/1000),Skills!L20/10)+Skills!O20</f>
        <v/>
      </c>
      <c r="G1354">
        <f>Skills!G20*IF(Skills!H20&gt;0,Skills!I20/Skills!H20,1)</f>
        <v/>
      </c>
      <c r="H1354">
        <f>1-(1-Skills!J20/100)^Skills!K20</f>
        <v/>
      </c>
      <c r="I1354" t="inlineStr">
        <is>
          <t>1</t>
        </is>
      </c>
      <c r="J1354" t="inlineStr"/>
      <c r="K1354" t="inlineStr"/>
      <c r="L1354" t="inlineStr"/>
      <c r="M1354" t="inlineStr"/>
      <c r="N1354" t="inlineStr"/>
      <c r="O1354">
        <f>(1-Summary!$B$55)*T1354+Summary!$B$55*V1354</f>
        <v/>
      </c>
      <c r="P1354">
        <f>IF(B1379=0,0,O1354/B1379)</f>
        <v/>
      </c>
      <c r="Q1354">
        <f>IFERROR(1/IF(Inputs!$B$39="pvp",15,MAX(0.1,Skills!D20-IF(Skills!E20=TRUE,Inputs!$B$32,0))),0)</f>
        <v/>
      </c>
      <c r="R1354">
        <f>IF(AND(Inputs!$B$39&lt;&gt;"pvp",Inputs!$B$44&gt;0),IF(Inputs!$B$44&lt;=0,0,(INT(Inputs!$B$44/IF(Inputs!$B$39="pvp",15,MAX(0.1,Skills!D20-IF(Skills!E20=TRUE,Inputs!$B$32,0))))+1)),0)</f>
        <v/>
      </c>
      <c r="S1354">
        <f>IFERROR(O1354/N1354,0)</f>
        <v/>
      </c>
      <c r="T1354" t="n">
        <v>0</v>
      </c>
      <c r="V1354" t="n">
        <v>0</v>
      </c>
    </row>
    <row r="1355">
      <c r="A1355">
        <f>Skills!A21</f>
        <v/>
      </c>
      <c r="B1355">
        <f>Skills!B21</f>
        <v/>
      </c>
      <c r="C1355">
        <f>Inputs!$B$3&gt;=15</f>
        <v/>
      </c>
      <c r="D1355">
        <f>IF(Skills!C21=1,60+Inputs!$B$25+Inputs!$B$29,IF(Skills!C21=2,90+Inputs!$B$26+Inputs!$B$29,IF(Skills!C21=3,120+Inputs!$B$27+Inputs!$B$29,MAX(0,(Inputs!$B$3-100)*3)+Inputs!$B$28+Inputs!$B$29)))</f>
        <v/>
      </c>
      <c r="E1355">
        <f>INDEX(FactorTable!$B$2:$Y$301, MATCH(ROUND(MIN(300,MAX(1,D1355)),0), FactorTable!$A$2:$A$301,0), Skills!M21+1)</f>
        <v/>
      </c>
      <c r="F1355">
        <f>IF(Skills!N21=TRUE,(Skills!L21/10)*(E1355/1000),Skills!L21/10)+Skills!O21</f>
        <v/>
      </c>
      <c r="G1355">
        <f>Skills!G21*IF(Skills!H21&gt;0,Skills!I21/Skills!H21,1)</f>
        <v/>
      </c>
      <c r="H1355">
        <f>1-(1-Skills!J21/100)^Skills!K21</f>
        <v/>
      </c>
      <c r="I1355" t="inlineStr">
        <is>
          <t>1</t>
        </is>
      </c>
      <c r="J1355" t="inlineStr"/>
      <c r="K1355" t="inlineStr"/>
      <c r="L1355" t="inlineStr"/>
      <c r="M1355" t="inlineStr"/>
      <c r="N1355" t="inlineStr"/>
      <c r="O1355">
        <f>(1-Summary!$B$55)*T1355+Summary!$B$55*V1355</f>
        <v/>
      </c>
      <c r="P1355">
        <f>IF(B1379=0,0,O1355/B1379)</f>
        <v/>
      </c>
      <c r="Q1355">
        <f>IFERROR(1/IF(Inputs!$B$39="pvp",15,MAX(0.1,Skills!D21-IF(Skills!E21=TRUE,Inputs!$B$32,0))),0)</f>
        <v/>
      </c>
      <c r="R1355">
        <f>IF(AND(Inputs!$B$39&lt;&gt;"pvp",Inputs!$B$44&gt;0),IF(Inputs!$B$44&lt;=0,0,(INT(Inputs!$B$44/IF(Inputs!$B$39="pvp",15,MAX(0.1,Skills!D21-IF(Skills!E21=TRUE,Inputs!$B$32,0))))+1)),0)</f>
        <v/>
      </c>
      <c r="S1355">
        <f>IFERROR(O1355/N1355,0)</f>
        <v/>
      </c>
      <c r="T1355" t="n">
        <v>0</v>
      </c>
      <c r="V1355" t="n">
        <v>0</v>
      </c>
    </row>
    <row r="1356">
      <c r="A1356">
        <f>Skills!A22</f>
        <v/>
      </c>
      <c r="B1356">
        <f>Skills!B22</f>
        <v/>
      </c>
      <c r="C1356">
        <f>Inputs!$B$3&gt;=33</f>
        <v/>
      </c>
      <c r="D1356">
        <f>IF(Skills!C22=1,60+Inputs!$B$25+Inputs!$B$29,IF(Skills!C22=2,90+Inputs!$B$26+Inputs!$B$29,IF(Skills!C22=3,120+Inputs!$B$27+Inputs!$B$29,MAX(0,(Inputs!$B$3-100)*3)+Inputs!$B$28+Inputs!$B$29)))</f>
        <v/>
      </c>
      <c r="E1356">
        <f>INDEX(FactorTable!$B$2:$Y$301, MATCH(ROUND(MIN(300,MAX(1,D1356)),0), FactorTable!$A$2:$A$301,0), Skills!M22+1)</f>
        <v/>
      </c>
      <c r="F1356">
        <f>IF(Skills!N22=TRUE,(Skills!L22/10)*(E1356/1000),Skills!L22/10)+Skills!O22</f>
        <v/>
      </c>
      <c r="G1356">
        <f>Skills!G22*IF(Skills!H22&gt;0,Skills!I22/Skills!H22,1)</f>
        <v/>
      </c>
      <c r="H1356">
        <f>1-(1-Skills!J22/100)^Skills!K22</f>
        <v/>
      </c>
      <c r="I1356" t="inlineStr">
        <is>
          <t>1</t>
        </is>
      </c>
      <c r="J1356" t="inlineStr"/>
      <c r="K1356" t="inlineStr"/>
      <c r="L1356" t="inlineStr"/>
      <c r="M1356" t="inlineStr"/>
      <c r="N1356" t="inlineStr"/>
      <c r="O1356">
        <f>(1-Summary!$B$55)*T1356+Summary!$B$55*V1356</f>
        <v/>
      </c>
      <c r="P1356">
        <f>IF(B1379=0,0,O1356/B1379)</f>
        <v/>
      </c>
      <c r="Q1356" t="n">
        <v>0</v>
      </c>
      <c r="R1356" t="n">
        <v>0</v>
      </c>
      <c r="S1356">
        <f>IFERROR(O1356/N1356,0)</f>
        <v/>
      </c>
      <c r="T1356" t="n">
        <v>0</v>
      </c>
      <c r="V1356" t="n">
        <v>0</v>
      </c>
    </row>
    <row r="1357">
      <c r="A1357">
        <f>Skills!A23</f>
        <v/>
      </c>
      <c r="B1357">
        <f>Skills!B23</f>
        <v/>
      </c>
      <c r="C1357">
        <f>Inputs!$B$3&gt;=40</f>
        <v/>
      </c>
      <c r="D1357">
        <f>IF(Skills!C23=1,60+Inputs!$B$25+Inputs!$B$29,IF(Skills!C23=2,90+Inputs!$B$26+Inputs!$B$29,IF(Skills!C23=3,120+Inputs!$B$27+Inputs!$B$29,MAX(0,(Inputs!$B$3-100)*3)+Inputs!$B$28+Inputs!$B$29)))</f>
        <v/>
      </c>
      <c r="E1357">
        <f>INDEX(FactorTable!$B$2:$Y$301, MATCH(ROUND(MIN(300,MAX(1,D1357)),0), FactorTable!$A$2:$A$301,0), Skills!M23+1)</f>
        <v/>
      </c>
      <c r="F1357">
        <f>IF(Skills!N23=TRUE,(Skills!L23/10)*(E1357/1000),Skills!L23/10)+Skills!O23</f>
        <v/>
      </c>
      <c r="G1357">
        <f>Skills!G23*IF(Skills!H23&gt;0,Skills!I23/Skills!H23,1)</f>
        <v/>
      </c>
      <c r="H1357">
        <f>1-(1-Skills!J23/100)^Skills!K23</f>
        <v/>
      </c>
      <c r="I1357" t="inlineStr">
        <is>
          <t>1</t>
        </is>
      </c>
      <c r="J1357" t="inlineStr"/>
      <c r="K1357" t="inlineStr"/>
      <c r="L1357" t="inlineStr"/>
      <c r="M1357" t="inlineStr"/>
      <c r="N1357" t="inlineStr"/>
      <c r="O1357">
        <f>(1-Summary!$B$55)*T1357+Summary!$B$55*V1357</f>
        <v/>
      </c>
      <c r="P1357">
        <f>IF(B1379=0,0,O1357/B1379)</f>
        <v/>
      </c>
      <c r="Q1357" t="n">
        <v>0</v>
      </c>
      <c r="R1357" t="n">
        <v>0</v>
      </c>
      <c r="S1357">
        <f>IFERROR(O1357/N1357,0)</f>
        <v/>
      </c>
      <c r="T1357" t="n">
        <v>0</v>
      </c>
      <c r="V1357" t="n">
        <v>0</v>
      </c>
    </row>
    <row r="1358">
      <c r="A1358">
        <f>Skills!A24</f>
        <v/>
      </c>
      <c r="B1358">
        <f>Skills!B24</f>
        <v/>
      </c>
      <c r="C1358">
        <f>Inputs!$B$3&gt;=43</f>
        <v/>
      </c>
      <c r="D1358">
        <f>IF(Skills!C24=1,60+Inputs!$B$25+Inputs!$B$29,IF(Skills!C24=2,90+Inputs!$B$26+Inputs!$B$29,IF(Skills!C24=3,120+Inputs!$B$27+Inputs!$B$29,MAX(0,(Inputs!$B$3-100)*3)+Inputs!$B$28+Inputs!$B$29)))</f>
        <v/>
      </c>
      <c r="E1358">
        <f>INDEX(FactorTable!$B$2:$Y$301, MATCH(ROUND(MIN(300,MAX(1,D1358)),0), FactorTable!$A$2:$A$301,0), Skills!M24+1)</f>
        <v/>
      </c>
      <c r="F1358">
        <f>IF(Skills!N24=TRUE,(Skills!L24/10)*(E1358/1000),Skills!L24/10)+Skills!O24</f>
        <v/>
      </c>
      <c r="G1358">
        <f>Skills!G24*IF(Skills!H24&gt;0,Skills!I24/Skills!H24,1)</f>
        <v/>
      </c>
      <c r="H1358">
        <f>1-(1-Skills!J24/100)^Skills!K24</f>
        <v/>
      </c>
      <c r="I1358" t="inlineStr">
        <is>
          <t>1</t>
        </is>
      </c>
      <c r="J1358" t="inlineStr"/>
      <c r="K1358" t="inlineStr"/>
      <c r="L1358" t="inlineStr"/>
      <c r="M1358" t="inlineStr"/>
      <c r="N1358" t="inlineStr"/>
      <c r="O1358">
        <f>(1-Summary!$B$55)*T1358+Summary!$B$55*V1358</f>
        <v/>
      </c>
      <c r="P1358">
        <f>IF(B1379=0,0,O1358/B1379)</f>
        <v/>
      </c>
      <c r="Q1358" t="n">
        <v>0</v>
      </c>
      <c r="R1358" t="n">
        <v>0</v>
      </c>
      <c r="S1358">
        <f>IFERROR(O1358/N1358,0)</f>
        <v/>
      </c>
      <c r="T1358" t="n">
        <v>0</v>
      </c>
      <c r="V1358" t="n">
        <v>0</v>
      </c>
    </row>
    <row r="1359">
      <c r="A1359">
        <f>Skills!A25</f>
        <v/>
      </c>
      <c r="B1359">
        <f>Skills!B25</f>
        <v/>
      </c>
      <c r="C1359">
        <f>Inputs!$B$3&gt;=50</f>
        <v/>
      </c>
      <c r="D1359">
        <f>IF(Skills!C25=1,60+Inputs!$B$25+Inputs!$B$29,IF(Skills!C25=2,90+Inputs!$B$26+Inputs!$B$29,IF(Skills!C25=3,120+Inputs!$B$27+Inputs!$B$29,MAX(0,(Inputs!$B$3-100)*3)+Inputs!$B$28+Inputs!$B$29)))</f>
        <v/>
      </c>
      <c r="E1359">
        <f>INDEX(FactorTable!$B$2:$Y$301, MATCH(ROUND(MIN(300,MAX(1,D1359)),0), FactorTable!$A$2:$A$301,0), Skills!M25+1)</f>
        <v/>
      </c>
      <c r="F1359">
        <f>IF(Skills!N25=TRUE,(Skills!L25/10)*(E1359/1000),Skills!L25/10)+Skills!O25</f>
        <v/>
      </c>
      <c r="G1359">
        <f>Skills!G25*IF(Skills!H25&gt;0,Skills!I25/Skills!H25,1)</f>
        <v/>
      </c>
      <c r="H1359">
        <f>1-(1-Skills!J25/100)^Skills!K25</f>
        <v/>
      </c>
      <c r="I1359" t="inlineStr">
        <is>
          <t>1</t>
        </is>
      </c>
      <c r="J1359" t="inlineStr"/>
      <c r="K1359" t="inlineStr"/>
      <c r="L1359" t="inlineStr"/>
      <c r="M1359" t="inlineStr"/>
      <c r="N1359" t="inlineStr"/>
      <c r="O1359">
        <f>(1-Summary!$B$55)*T1359+Summary!$B$55*V1359</f>
        <v/>
      </c>
      <c r="P1359">
        <f>IF(B1379=0,0,O1359/B1379)</f>
        <v/>
      </c>
      <c r="Q1359" t="n">
        <v>0</v>
      </c>
      <c r="R1359" t="n">
        <v>0</v>
      </c>
      <c r="S1359">
        <f>IFERROR(O1359/N1359,0)</f>
        <v/>
      </c>
      <c r="T1359" t="n">
        <v>0</v>
      </c>
      <c r="V1359" t="n">
        <v>0</v>
      </c>
    </row>
    <row r="1360">
      <c r="A1360">
        <f>Skills!A26</f>
        <v/>
      </c>
      <c r="B1360">
        <f>Skills!B26</f>
        <v/>
      </c>
      <c r="C1360">
        <f>Inputs!$B$3&gt;=50</f>
        <v/>
      </c>
      <c r="D1360">
        <f>IF(Skills!C26=1,60+Inputs!$B$25+Inputs!$B$29,IF(Skills!C26=2,90+Inputs!$B$26+Inputs!$B$29,IF(Skills!C26=3,120+Inputs!$B$27+Inputs!$B$29,MAX(0,(Inputs!$B$3-100)*3)+Inputs!$B$28+Inputs!$B$29)))</f>
        <v/>
      </c>
      <c r="E1360">
        <f>INDEX(FactorTable!$B$2:$Y$301, MATCH(ROUND(MIN(300,MAX(1,D1360)),0), FactorTable!$A$2:$A$301,0), Skills!M26+1)</f>
        <v/>
      </c>
      <c r="F1360">
        <f>IF(Skills!N26=TRUE,(Skills!L26/10)*(E1360/1000),Skills!L26/10)+Skills!O26</f>
        <v/>
      </c>
      <c r="G1360">
        <f>Skills!G26*IF(Skills!H26&gt;0,Skills!I26/Skills!H26,1)</f>
        <v/>
      </c>
      <c r="H1360">
        <f>1-(1-Skills!J26/100)^Skills!K26</f>
        <v/>
      </c>
      <c r="I1360" t="inlineStr">
        <is>
          <t>1</t>
        </is>
      </c>
      <c r="J1360" t="inlineStr"/>
      <c r="K1360" t="inlineStr"/>
      <c r="L1360" t="inlineStr"/>
      <c r="M1360" t="inlineStr"/>
      <c r="N1360" t="inlineStr"/>
      <c r="O1360">
        <f>(1-Summary!$B$55)*T1360+Summary!$B$55*V1360</f>
        <v/>
      </c>
      <c r="P1360">
        <f>IF(B1379=0,0,O1360/B1379)</f>
        <v/>
      </c>
      <c r="Q1360" t="n">
        <v>0</v>
      </c>
      <c r="R1360" t="n">
        <v>0</v>
      </c>
      <c r="S1360">
        <f>IFERROR(O1360/N1360,0)</f>
        <v/>
      </c>
      <c r="T1360" t="n">
        <v>0</v>
      </c>
      <c r="V1360" t="n">
        <v>0</v>
      </c>
    </row>
    <row r="1361">
      <c r="A1361">
        <f>Skills!A27</f>
        <v/>
      </c>
      <c r="B1361">
        <f>Skills!B27</f>
        <v/>
      </c>
      <c r="C1361">
        <f>Inputs!$B$3&gt;=38</f>
        <v/>
      </c>
      <c r="D1361">
        <f>IF(Skills!C27=1,60+Inputs!$B$25+Inputs!$B$29,IF(Skills!C27=2,90+Inputs!$B$26+Inputs!$B$29,IF(Skills!C27=3,120+Inputs!$B$27+Inputs!$B$29,MAX(0,(Inputs!$B$3-100)*3)+Inputs!$B$28+Inputs!$B$29)))</f>
        <v/>
      </c>
      <c r="E1361">
        <f>INDEX(FactorTable!$B$2:$Y$301, MATCH(ROUND(MIN(300,MAX(1,D1361)),0), FactorTable!$A$2:$A$301,0), Skills!M27+1)</f>
        <v/>
      </c>
      <c r="F1361">
        <f>IF(Skills!N27=TRUE,(Skills!L27/10)*(E1361/1000),Skills!L27/10)+Skills!O27</f>
        <v/>
      </c>
      <c r="G1361">
        <f>Skills!G27*IF(Skills!H27&gt;0,Skills!I27/Skills!H27,1)</f>
        <v/>
      </c>
      <c r="H1361">
        <f>1-(1-Skills!J27/100)^Skills!K27</f>
        <v/>
      </c>
      <c r="I1361" t="inlineStr">
        <is>
          <t>1</t>
        </is>
      </c>
      <c r="J1361" t="inlineStr"/>
      <c r="K1361" t="inlineStr"/>
      <c r="L1361" t="inlineStr"/>
      <c r="M1361" t="inlineStr"/>
      <c r="N1361" t="inlineStr"/>
      <c r="O1361">
        <f>(1-Summary!$B$55)*T1361+Summary!$B$55*V1361</f>
        <v/>
      </c>
      <c r="P1361">
        <f>IF(B1379=0,0,O1361/B1379)</f>
        <v/>
      </c>
      <c r="Q1361" t="n">
        <v>0</v>
      </c>
      <c r="R1361" t="n">
        <v>0</v>
      </c>
      <c r="S1361">
        <f>IFERROR(O1361/N1361,0)</f>
        <v/>
      </c>
      <c r="T1361" t="n">
        <v>0</v>
      </c>
      <c r="V1361" t="n">
        <v>0</v>
      </c>
    </row>
    <row r="1362">
      <c r="A1362">
        <f>Skills!A28</f>
        <v/>
      </c>
      <c r="B1362">
        <f>Skills!B28</f>
        <v/>
      </c>
      <c r="C1362">
        <f>Inputs!$B$3&gt;=120</f>
        <v/>
      </c>
      <c r="D1362">
        <f>IF(Skills!C28=1,60+Inputs!$B$25+Inputs!$B$29,IF(Skills!C28=2,90+Inputs!$B$26+Inputs!$B$29,IF(Skills!C28=3,120+Inputs!$B$27+Inputs!$B$29,MAX(0,(Inputs!$B$3-100)*3)+Inputs!$B$28+Inputs!$B$29)))</f>
        <v/>
      </c>
      <c r="E1362">
        <f>INDEX(FactorTable!$B$2:$Y$301, MATCH(ROUND(MIN(300,MAX(1,D1362)),0), FactorTable!$A$2:$A$301,0), Skills!M28+1)</f>
        <v/>
      </c>
      <c r="F1362">
        <f>IF(Skills!N28=TRUE,(Skills!L28/10)*(E1362/1000),Skills!L28/10)+Skills!O28</f>
        <v/>
      </c>
      <c r="G1362">
        <f>Skills!G28*IF(Skills!H28&gt;0,Skills!I28/Skills!H28,1)</f>
        <v/>
      </c>
      <c r="H1362">
        <f>1-(1-Skills!J28/100)^Skills!K28</f>
        <v/>
      </c>
      <c r="I1362" t="inlineStr">
        <is>
          <t>1</t>
        </is>
      </c>
      <c r="J1362" t="inlineStr"/>
      <c r="K1362" t="inlineStr"/>
      <c r="L1362" t="inlineStr"/>
      <c r="M1362" t="inlineStr"/>
      <c r="N1362" t="inlineStr"/>
      <c r="O1362">
        <f>(1-Summary!$B$55)*T1362+Summary!$B$55*V1362</f>
        <v/>
      </c>
      <c r="P1362">
        <f>IF(B1379=0,0,O1362/B1379)</f>
        <v/>
      </c>
      <c r="Q1362" t="n">
        <v>0</v>
      </c>
      <c r="R1362" t="n">
        <v>0</v>
      </c>
      <c r="S1362">
        <f>IFERROR(O1362/N1362,0)</f>
        <v/>
      </c>
      <c r="T1362" t="n">
        <v>0</v>
      </c>
      <c r="V1362" t="n">
        <v>0</v>
      </c>
    </row>
    <row r="1363">
      <c r="A1363">
        <f>Skills!A29</f>
        <v/>
      </c>
      <c r="B1363">
        <f>Skills!B29</f>
        <v/>
      </c>
      <c r="C1363">
        <f>Inputs!$B$3&gt;=120</f>
        <v/>
      </c>
      <c r="D1363">
        <f>IF(Skills!C29=1,60+Inputs!$B$25+Inputs!$B$29,IF(Skills!C29=2,90+Inputs!$B$26+Inputs!$B$29,IF(Skills!C29=3,120+Inputs!$B$27+Inputs!$B$29,MAX(0,(Inputs!$B$3-100)*3)+Inputs!$B$28+Inputs!$B$29)))</f>
        <v/>
      </c>
      <c r="E1363">
        <f>INDEX(FactorTable!$B$2:$Y$301, MATCH(ROUND(MIN(300,MAX(1,D1363)),0), FactorTable!$A$2:$A$301,0), Skills!M29+1)</f>
        <v/>
      </c>
      <c r="F1363">
        <f>IF(Skills!N29=TRUE,(Skills!L29/10)*(E1363/1000),Skills!L29/10)+Skills!O29</f>
        <v/>
      </c>
      <c r="G1363">
        <f>Skills!G29*IF(Skills!H29&gt;0,Skills!I29/Skills!H29,1)</f>
        <v/>
      </c>
      <c r="H1363">
        <f>1-(1-Skills!J29/100)^Skills!K29</f>
        <v/>
      </c>
      <c r="I1363" t="inlineStr">
        <is>
          <t>1</t>
        </is>
      </c>
      <c r="J1363" t="inlineStr"/>
      <c r="K1363" t="inlineStr"/>
      <c r="L1363" t="inlineStr"/>
      <c r="M1363" t="inlineStr"/>
      <c r="N1363" t="inlineStr"/>
      <c r="O1363">
        <f>(1-Summary!$B$55)*T1363+Summary!$B$55*V1363</f>
        <v/>
      </c>
      <c r="P1363">
        <f>IF(B1379=0,0,O1363/B1379)</f>
        <v/>
      </c>
      <c r="Q1363" t="n">
        <v>0</v>
      </c>
      <c r="R1363" t="n">
        <v>0</v>
      </c>
      <c r="S1363">
        <f>IFERROR(O1363/N1363,0)</f>
        <v/>
      </c>
      <c r="T1363" t="n">
        <v>0</v>
      </c>
      <c r="V1363" t="n">
        <v>0</v>
      </c>
    </row>
    <row r="1364">
      <c r="A1364">
        <f>Skills!A30</f>
        <v/>
      </c>
      <c r="B1364">
        <f>Skills!B30</f>
        <v/>
      </c>
      <c r="C1364">
        <f>Inputs!$B$3&gt;=125</f>
        <v/>
      </c>
      <c r="D1364">
        <f>IF(Skills!C30=1,60+Inputs!$B$25+Inputs!$B$29,IF(Skills!C30=2,90+Inputs!$B$26+Inputs!$B$29,IF(Skills!C30=3,120+Inputs!$B$27+Inputs!$B$29,MAX(0,(Inputs!$B$3-100)*3)+Inputs!$B$28+Inputs!$B$29)))</f>
        <v/>
      </c>
      <c r="E1364">
        <f>INDEX(FactorTable!$B$2:$Y$301, MATCH(ROUND(MIN(300,MAX(1,D1364)),0), FactorTable!$A$2:$A$301,0), Skills!M30+1)</f>
        <v/>
      </c>
      <c r="F1364">
        <f>IF(Skills!N30=TRUE,(Skills!L30/10)*(E1364/1000),Skills!L30/10)+Skills!O30</f>
        <v/>
      </c>
      <c r="G1364">
        <f>Skills!G30*IF(Skills!H30&gt;0,Skills!I30/Skills!H30,1)</f>
        <v/>
      </c>
      <c r="H1364">
        <f>1-(1-Skills!J30/100)^Skills!K30</f>
        <v/>
      </c>
      <c r="I1364" t="inlineStr">
        <is>
          <t>1</t>
        </is>
      </c>
      <c r="J1364" t="inlineStr"/>
      <c r="K1364" t="inlineStr"/>
      <c r="L1364" t="inlineStr"/>
      <c r="M1364" t="inlineStr"/>
      <c r="N1364" t="inlineStr"/>
      <c r="O1364">
        <f>(1-Summary!$B$55)*T1364+Summary!$B$55*V1364</f>
        <v/>
      </c>
      <c r="P1364">
        <f>IF(B1379=0,0,O1364/B1379)</f>
        <v/>
      </c>
      <c r="Q1364" t="n">
        <v>0</v>
      </c>
      <c r="R1364" t="n">
        <v>0</v>
      </c>
      <c r="S1364">
        <f>IFERROR(O1364/N1364,0)</f>
        <v/>
      </c>
      <c r="T1364" t="n">
        <v>0</v>
      </c>
      <c r="V1364" t="n">
        <v>0</v>
      </c>
    </row>
    <row r="1366">
      <c r="A1366" t="inlineStr">
        <is>
          <t>Average Buff Multiplier</t>
        </is>
      </c>
      <c r="B1366">
        <f>(1+(((C1355=TRUE)*F1355*IF(AND(Inputs!$B$39&lt;&gt;"pvp",Inputs!$B$44&gt;0),(((R1355-1)*(Skills!Y21*(1+Inputs!$B$34/100))+MIN((Skills!Y21*(1+Inputs!$B$34/100)),MAX(0,Inputs!$B$44-((R1355-1)*Skills!D21))))/Inputs!$B$44),IF(Inputs!$B$39="pvp",MIN((Skills!Y21*(1+Inputs!$B$34/100)),15)/15,(Skills!Y21*(1+Inputs!$B$34/100))/Skills!D21)))+((C1357=TRUE)*(F1357-Calc!F23))+((C1351=TRUE)*(F1351-Calc!F17)))/100)*(1+((C1344=TRUE)*F1344*IF(AND(Inputs!$B$39&lt;&gt;"pvp",Inputs!$B$44&gt;0),(((R1344-1)*(Skills!Y10*(1+Inputs!$B$34/100))+MIN((Skills!Y10*(1+Inputs!$B$34/100)),MAX(0,Inputs!$B$44-((R1344-1)*Skills!D10))))/Inputs!$B$44),IF(Inputs!$B$39="pvp",MIN((Skills!Y10*(1+Inputs!$B$34/100)),15)/15,(Skills!Y10*(1+Inputs!$B$34/100))/Skills!D10)))/100)*(1+((C1349=TRUE)*F1349*IF(AND(Inputs!$B$39&lt;&gt;"pvp",Inputs!$B$44&gt;0),(((R1349-1)*(Skills!Y15*(1+Inputs!$B$34/100))+MIN((Skills!Y15*(1+Inputs!$B$34/100)),MAX(0,Inputs!$B$44-((R1349-1)*Skills!D15))))/Inputs!$B$44),IF(Inputs!$B$39="pvp",MIN((Skills!Y15*(1+Inputs!$B$34/100)),15)/15,(Skills!Y15*(1+Inputs!$B$34/100))/Skills!D15)))/100)</f>
        <v/>
      </c>
    </row>
    <row r="1367">
      <c r="A1367" t="inlineStr">
        <is>
          <t>Global Crit Rate Bonus %</t>
        </is>
      </c>
      <c r="B1367">
        <f>((C1354=TRUE)*F1354*IF(AND(Inputs!$B$39&lt;&gt;"pvp",Inputs!$B$44&gt;0),(((R1354-1)*(Skills!Y20*(1+Inputs!$B$34/100))+MIN((Skills!Y20*(1+Inputs!$B$34/100)),MAX(0,Inputs!$B$44-((R1354-1)*Skills!D20))))/Inputs!$B$44),IF(Inputs!$B$39="pvp",MIN((Skills!Y20*(1+Inputs!$B$34/100)),15)/15,(Skills!Y20*(1+Inputs!$B$34/100))/Skills!D20)))</f>
        <v/>
      </c>
    </row>
    <row r="1368">
      <c r="A1368" t="inlineStr">
        <is>
          <t>Global Monster Damage-Taken Bonus %</t>
        </is>
      </c>
      <c r="B1368">
        <f>IF(Inputs!$B$3&gt;=82,15,0)</f>
        <v/>
      </c>
    </row>
    <row r="1369">
      <c r="A1369" t="inlineStr">
        <is>
          <t>Shadow Partner Average Multiplier</t>
        </is>
      </c>
      <c r="B1369">
        <f>1+((C1341=TRUE)*F1341*(1+3.3333333333333335*IF(C1352=TRUE,F1352,0)/100)*I1341*Skills!J7/100)/100</f>
        <v/>
      </c>
    </row>
    <row r="1370">
      <c r="A1370" t="inlineStr">
        <is>
          <t>Attack Speed Buff Bonus %</t>
        </is>
      </c>
      <c r="B1370">
        <f>((C1353=TRUE)*F1353*IF(AND(Inputs!$B$39&lt;&gt;"pvp",Inputs!$B$44&gt;0),(((R1353-1)*(Skills!Y19*(1+Inputs!$B$34/100))+MIN((Skills!Y19*(1+Inputs!$B$34/100)),MAX(0,Inputs!$B$44-((R1353-1)*Skills!D19))))/Inputs!$B$44),IF(Inputs!$B$39="pvp",MIN((Skills!Y19*(1+Inputs!$B$34/100)),15)/15,(Skills!Y19*(1+Inputs!$B$34/100))/Skills!D19)))+((C1337=TRUE)*F1337*3)</f>
        <v/>
      </c>
    </row>
    <row r="1371">
      <c r="A1371" t="inlineStr">
        <is>
          <t>Actions Per Second</t>
        </is>
      </c>
      <c r="B1371">
        <f>1+MIN(150,150*(1-(1-(Inputs!$B$11+((C1356=TRUE)*(F1356-Calc!F22)))/150)*(1-B1370/150)))/100</f>
        <v/>
      </c>
    </row>
    <row r="1372">
      <c r="A1372" t="inlineStr">
        <is>
          <t>Skill + Buff Cast Rate</t>
        </is>
      </c>
      <c r="B1372">
        <f>IF(AND(Inputs!$B$39&lt;&gt;"pvp",Inputs!$B$44&gt;0),SUMPRODUCT((Skills!E2:E30=TRUE)*(C1336:C1364=TRUE)*R1336:R1364*Skills!F2:F30)/Inputs!$B$44,SUMPRODUCT((Skills!E2:E30=TRUE)*(C1336:C1364=TRUE)*Q1336:Q1364*Skills!F2:F30))</f>
        <v/>
      </c>
    </row>
    <row r="1373">
      <c r="A1373" t="inlineStr">
        <is>
          <t>Cruel Stab Casts Per Second</t>
        </is>
      </c>
      <c r="B1373">
        <f>MAX(0,B1371-B1372)</f>
        <v/>
      </c>
    </row>
    <row r="1374">
      <c r="A1374" t="inlineStr">
        <is>
          <t>Global Critical Damage Bonus % (Smokescreen Mastery Lv.113)</t>
        </is>
      </c>
      <c r="B1374">
        <f>IF(Inputs!$B$3&gt;=113,30,0)*IF(AND(Inputs!$B$39&lt;&gt;"pvp",Inputs!$B$44&gt;0),(((R1349-1)*(Skills!Y15*(1+Inputs!$B$34/100))+MIN((Skills!Y15*(1+Inputs!$B$34/100)),MAX(0,Inputs!$B$44-((R1349-1)*Skills!D15))))/Inputs!$B$44),IF(Inputs!$B$39="pvp",MIN((Skills!Y15*(1+Inputs!$B$34/100)),15)/15,(Skills!Y15*(1+Inputs!$B$34/100))/Skills!D15))</f>
        <v/>
      </c>
    </row>
    <row r="1375">
      <c r="A1375" t="inlineStr">
        <is>
          <t>Meso Explosion average stack count</t>
        </is>
      </c>
      <c r="B1375">
        <f>MIN(10,0.5*B1371*Skills!D4)</f>
        <v/>
      </c>
    </row>
    <row r="1376">
      <c r="A1376" t="inlineStr">
        <is>
          <t>Blood Money average stack count</t>
        </is>
      </c>
      <c r="B1376">
        <f>MIN(5,0.25*B1371*Skills!D4)</f>
        <v/>
      </c>
    </row>
    <row r="1377">
      <c r="A1377" t="inlineStr">
        <is>
          <t>Assassinate Murderous Intent Multiplier</t>
        </is>
      </c>
      <c r="B1377">
        <f>1+IFERROR(MIN(1,Q1348*2/Q1345),0)</f>
        <v/>
      </c>
    </row>
    <row r="1378">
      <c r="A1378" t="inlineStr">
        <is>
          <t>Buff-Casting Startup Delay (s, fixed-duration only)</t>
        </is>
      </c>
      <c r="B1378">
        <f>IF(AND(Inputs!$B$39&lt;&gt;"pvp",Inputs!$B$44&gt;0),SUMPRODUCT((Skills!Y2:Y30&gt;0)*(Skills!E2:E30=TRUE)*(C1336:C1364=TRUE))/B1371,0)</f>
        <v/>
      </c>
    </row>
    <row r="1379">
      <c r="A1379" s="5" t="inlineStr">
        <is>
          <t>TOTAL DPS</t>
        </is>
      </c>
      <c r="B1379" s="5">
        <f>SUM(O1336:O1364)</f>
        <v/>
      </c>
    </row>
    <row r="1380">
      <c r="A1380" t="inlineStr">
        <is>
          <t>Boss-Only Total DPS (this block's swept value)</t>
        </is>
      </c>
      <c r="B1380">
        <f>SUM(T1336:T1364)</f>
        <v/>
      </c>
    </row>
    <row r="1381">
      <c r="A1381" t="inlineStr">
        <is>
          <t>Normal-Only Total DPS (this block's swept value)</t>
        </is>
      </c>
      <c r="B1381">
        <f>SUM(V1336:V1364)</f>
        <v/>
      </c>
    </row>
    <row r="1384">
      <c r="A1384" s="7" t="inlineStr">
        <is>
          <t>Cooldown Reduction Milestone Sweep (absolute CDR seconds, fixed-duration content only)</t>
        </is>
      </c>
    </row>
    <row r="1385">
      <c r="A1385" s="9" t="inlineStr">
        <is>
          <t>CDR (s)</t>
        </is>
      </c>
      <c r="B1385" s="9" t="inlineStr">
        <is>
          <t>Total DPS</t>
        </is>
      </c>
      <c r="C1385" s="9" t="inlineStr">
        <is>
          <t>DPS Gain (vs prior step)</t>
        </is>
      </c>
      <c r="D1385" s="9" t="inlineStr">
        <is>
          <t>% Gain (vs current CDR)</t>
        </is>
      </c>
    </row>
    <row r="1386">
      <c r="A1386" t="n">
        <v>0.5</v>
      </c>
      <c r="B1386">
        <f>B1443</f>
        <v/>
      </c>
      <c r="C1386" t="n">
        <v>0</v>
      </c>
      <c r="D1386">
        <f>IF(Summary!$B$3=0,0,(B1386-Summary!$B$3)/Summary!$B$3*100)</f>
        <v/>
      </c>
    </row>
    <row r="1387">
      <c r="A1387" t="n">
        <v>1</v>
      </c>
      <c r="B1387">
        <f>B1493</f>
        <v/>
      </c>
      <c r="C1387">
        <f>B1387-B1386</f>
        <v/>
      </c>
      <c r="D1387">
        <f>IF(Summary!$B$3=0,0,(B1387-Summary!$B$3)/Summary!$B$3*100)</f>
        <v/>
      </c>
    </row>
    <row r="1388">
      <c r="A1388" t="n">
        <v>1.5</v>
      </c>
      <c r="B1388">
        <f>B1543</f>
        <v/>
      </c>
      <c r="C1388">
        <f>B1388-B1387</f>
        <v/>
      </c>
      <c r="D1388">
        <f>IF(Summary!$B$3=0,0,(B1388-Summary!$B$3)/Summary!$B$3*100)</f>
        <v/>
      </c>
    </row>
    <row r="1389">
      <c r="A1389" t="n">
        <v>2</v>
      </c>
      <c r="B1389">
        <f>B1593</f>
        <v/>
      </c>
      <c r="C1389">
        <f>B1389-B1388</f>
        <v/>
      </c>
      <c r="D1389">
        <f>IF(Summary!$B$3=0,0,(B1389-Summary!$B$3)/Summary!$B$3*100)</f>
        <v/>
      </c>
    </row>
    <row r="1390">
      <c r="A1390" t="n">
        <v>2.5</v>
      </c>
      <c r="B1390">
        <f>B1643</f>
        <v/>
      </c>
      <c r="C1390">
        <f>B1390-B1389</f>
        <v/>
      </c>
      <c r="D1390">
        <f>IF(Summary!$B$3=0,0,(B1390-Summary!$B$3)/Summary!$B$3*100)</f>
        <v/>
      </c>
    </row>
    <row r="1391">
      <c r="A1391" t="n">
        <v>3</v>
      </c>
      <c r="B1391">
        <f>B1693</f>
        <v/>
      </c>
      <c r="C1391">
        <f>B1391-B1390</f>
        <v/>
      </c>
      <c r="D1391">
        <f>IF(Summary!$B$3=0,0,(B1391-Summary!$B$3)/Summary!$B$3*100)</f>
        <v/>
      </c>
    </row>
    <row r="1392">
      <c r="A1392" t="n">
        <v>3.5</v>
      </c>
      <c r="B1392">
        <f>B1743</f>
        <v/>
      </c>
      <c r="C1392">
        <f>B1392-B1391</f>
        <v/>
      </c>
      <c r="D1392">
        <f>IF(Summary!$B$3=0,0,(B1392-Summary!$B$3)/Summary!$B$3*100)</f>
        <v/>
      </c>
    </row>
    <row r="1393">
      <c r="A1393" t="n">
        <v>4</v>
      </c>
      <c r="B1393">
        <f>B1793</f>
        <v/>
      </c>
      <c r="C1393">
        <f>B1393-B1392</f>
        <v/>
      </c>
      <c r="D1393">
        <f>IF(Summary!$B$3=0,0,(B1393-Summary!$B$3)/Summary!$B$3*100)</f>
        <v/>
      </c>
    </row>
    <row r="1394">
      <c r="A1394" t="n">
        <v>4.5</v>
      </c>
      <c r="B1394">
        <f>B1843</f>
        <v/>
      </c>
      <c r="C1394">
        <f>B1394-B1393</f>
        <v/>
      </c>
      <c r="D1394">
        <f>IF(Summary!$B$3=0,0,(B1394-Summary!$B$3)/Summary!$B$3*100)</f>
        <v/>
      </c>
    </row>
    <row r="1395">
      <c r="A1395" t="n">
        <v>5</v>
      </c>
      <c r="B1395">
        <f>B1893</f>
        <v/>
      </c>
      <c r="C1395">
        <f>B1395-B1394</f>
        <v/>
      </c>
      <c r="D1395">
        <f>IF(Summary!$B$3=0,0,(B1395-Summary!$B$3)/Summary!$B$3*100)</f>
        <v/>
      </c>
    </row>
    <row r="1398">
      <c r="A1398" s="5" t="inlineStr">
        <is>
          <t>Stat: CDR = 0.5s</t>
        </is>
      </c>
    </row>
    <row r="1399">
      <c r="A1399" s="9" t="inlineStr">
        <is>
          <t>Key</t>
        </is>
      </c>
      <c r="B1399" s="9" t="inlineStr">
        <is>
          <t>Name</t>
        </is>
      </c>
      <c r="C1399" s="9" t="inlineStr">
        <is>
          <t>Unlocked</t>
        </is>
      </c>
      <c r="D1399" s="9" t="inlineStr">
        <is>
          <t>InputLevel</t>
        </is>
      </c>
      <c r="E1399" s="9" t="inlineStr">
        <is>
          <t>Factor</t>
        </is>
      </c>
      <c r="F1399" s="9" t="inlineStr">
        <is>
          <t>CoefficientPercent</t>
        </is>
      </c>
      <c r="G1399" s="9" t="inlineStr">
        <is>
          <t>EffectiveHits</t>
        </is>
      </c>
      <c r="H1399" s="9" t="inlineStr">
        <is>
          <t>ProcProbability</t>
        </is>
      </c>
      <c r="I1399" s="9" t="inlineStr">
        <is>
          <t>MapleHeroMultiplier</t>
        </is>
      </c>
      <c r="J1399" s="9" t="inlineStr">
        <is>
          <t>BaseDamage</t>
        </is>
      </c>
      <c r="K1399" s="9" t="inlineStr">
        <is>
          <t>BaseHitDamage</t>
        </is>
      </c>
      <c r="L1399" s="9" t="inlineStr">
        <is>
          <t>NonCritAvg</t>
        </is>
      </c>
      <c r="M1399" s="9" t="inlineStr">
        <is>
          <t>CritAvg</t>
        </is>
      </c>
      <c r="N1399" s="9" t="inlineStr">
        <is>
          <t>ExpectedDamage(perHit)</t>
        </is>
      </c>
      <c r="O1399" s="9" t="inlineStr">
        <is>
          <t>DPS</t>
        </is>
      </c>
      <c r="P1399" s="9" t="inlineStr">
        <is>
          <t>% of Total</t>
        </is>
      </c>
      <c r="Q1399" s="9" t="inlineStr">
        <is>
          <t>InvCooldown</t>
        </is>
      </c>
      <c r="R1399" s="9" t="inlineStr">
        <is>
          <t>CastsInFight</t>
        </is>
      </c>
      <c r="S1399" s="9" t="inlineStr">
        <is>
          <t>HitRate(perSec)</t>
        </is>
      </c>
      <c r="U1399" t="inlineStr">
        <is>
          <t>helpers</t>
        </is>
      </c>
    </row>
    <row r="1400">
      <c r="A1400">
        <f>Skills!A2</f>
        <v/>
      </c>
      <c r="B1400">
        <f>Skills!B2</f>
        <v/>
      </c>
      <c r="C1400">
        <f>Inputs!$B$3&gt;=100</f>
        <v/>
      </c>
      <c r="D1400" t="inlineStr"/>
      <c r="E1400" t="inlineStr"/>
      <c r="F1400">
        <f>U1402+Skills!O2</f>
        <v/>
      </c>
      <c r="G1400">
        <f>Skills!G2*IF(Skills!H2&gt;0,Skills!I2/Skills!H2,1)</f>
        <v/>
      </c>
      <c r="H1400">
        <f>1-(1-Skills!J2/100)^Skills!K2</f>
        <v/>
      </c>
      <c r="I1400" t="inlineStr">
        <is>
          <t>1</t>
        </is>
      </c>
      <c r="J1400">
        <f>((Inputs!$B$6*(1+Inputs!$B$7/100))+(((Inputs!$B$12*(1+Inputs!$B$13/100))-(Inputs!$B$12*(1+Inputs!$B$13/100)))+0.25*(Inputs!$B$14-Inputs!$B$14))*(1+Inputs!$B$7/100))*(F1400/100)</f>
        <v/>
      </c>
      <c r="K1400">
        <f>J1400*(1+((Inputs!$B$12*(1+Inputs!$B$13/100))*0.01+Inputs!$B$14*0.0025)/100)*(1+Inputs!$B$15/100)*(1+Inputs!$B$16/100)*(5000/(6000+Inputs!$B$43*(1-Inputs!$B$19/100)))*(1+(Inputs!$B$24+((C1428=TRUE)*(F1428-Calc!F30)))/100)*(1+(IF(Skills!A2="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1400)</f>
        <v/>
      </c>
      <c r="L1400">
        <f>K1400*(MIN(Inputs!$B$22+((C1422=TRUE)*(F1422-Calc!F24)),Inputs!$B$23+((C1427=TRUE)*(F1427-Calc!F29)))/100+(Inputs!$B$23+((C1427=TRUE)*(F1427-Calc!F29)))/100)/2</f>
        <v/>
      </c>
      <c r="M1400">
        <f>L1400*(1+(Inputs!$B$10+((C1424=TRUE)*(F1424-Calc!F26))+B1438)/100)</f>
        <v/>
      </c>
      <c r="N1400">
        <f>L1400*(1-MIN((Inputs!$B$9+((C1423=TRUE)*(F1423-Calc!F25))+B1431),100)/100)+M1400*(MIN((Inputs!$B$9+((C1423=TRUE)*(F1423-Calc!F25))+B1431),100)/100)</f>
        <v/>
      </c>
      <c r="O1400">
        <f>(1-Summary!$B$55)*T1400+Summary!$B$55*V1400</f>
        <v/>
      </c>
      <c r="P1400">
        <f>IF(B1443=0,0,O1400/B1443)</f>
        <v/>
      </c>
      <c r="Q1400" t="n">
        <v>0</v>
      </c>
      <c r="R1400" t="n">
        <v>0</v>
      </c>
      <c r="S1400">
        <f>IFERROR(O1400/N1400,0)</f>
        <v/>
      </c>
      <c r="T1400">
        <f>IF(C1400,(Skills!G2*N1400*B1437)*IF(Inputs!$B$39="pvp",1,1+(Inputs!$B$20+0+Skills!P2+B1432)/100),0)</f>
        <v/>
      </c>
      <c r="U1400">
        <f>MAX(0,(Inputs!$B$3-100)*3)+Inputs!$B$28+Inputs!$B$29</f>
        <v/>
      </c>
      <c r="V1400">
        <f>IF(C1400,(Skills!G2*N1400*B1437)*IF(Inputs!$B$39="pvp",1,(1+(Inputs!$B$21+Skills!Q2+B1432)/100)*(MIN((6+Inputs!$B$33),Inputs!$B$37))),0)</f>
        <v/>
      </c>
    </row>
    <row r="1401">
      <c r="A1401">
        <f>Skills!A3</f>
        <v/>
      </c>
      <c r="B1401">
        <f>Skills!B3</f>
        <v/>
      </c>
      <c r="C1401">
        <f>Inputs!$B$3&gt;=35</f>
        <v/>
      </c>
      <c r="D1401">
        <f>IF(Skills!C3=1,60+Inputs!$B$25+Inputs!$B$29,IF(Skills!C3=2,90+Inputs!$B$26+Inputs!$B$29,IF(Skills!C3=3,120+Inputs!$B$27+Inputs!$B$29,MAX(0,(Inputs!$B$3-100)*3)+Inputs!$B$28+Inputs!$B$29)))</f>
        <v/>
      </c>
      <c r="E1401">
        <f>INDEX(FactorTable!$B$2:$Y$301, MATCH(ROUND(MIN(300,MAX(1,D1401)),0), FactorTable!$A$2:$A$301,0), Skills!M3+1)</f>
        <v/>
      </c>
      <c r="F1401">
        <f>IF(Skills!N3=TRUE,(Skills!L3/10)*(E1401/1000),Skills!L3/10)+Skills!O3</f>
        <v/>
      </c>
      <c r="G1401">
        <f>Skills!G3*IF(Skills!H3&gt;0,Skills!I3/Skills!H3,1)</f>
        <v/>
      </c>
      <c r="H1401">
        <f>1-(1-Skills!J3/100)^Skills!K3</f>
        <v/>
      </c>
      <c r="I1401" t="inlineStr">
        <is>
          <t>1</t>
        </is>
      </c>
      <c r="J1401" t="inlineStr"/>
      <c r="K1401" t="inlineStr"/>
      <c r="L1401" t="inlineStr"/>
      <c r="M1401" t="inlineStr"/>
      <c r="N1401" t="inlineStr"/>
      <c r="O1401">
        <f>(1-Summary!$B$55)*T1401+Summary!$B$55*V1401</f>
        <v/>
      </c>
      <c r="P1401">
        <f>IF(B1443=0,0,O1401/B1443)</f>
        <v/>
      </c>
      <c r="Q1401" t="n">
        <v>0</v>
      </c>
      <c r="R1401" t="n">
        <v>0</v>
      </c>
      <c r="S1401">
        <f>IFERROR(O1401/N1401,0)</f>
        <v/>
      </c>
      <c r="T1401" t="n">
        <v>0</v>
      </c>
      <c r="U1401">
        <f>INDEX(FactorTable!$B$2:$Y$301, MATCH(ROUND(MIN(300,MAX(1,U1400)),0), FactorTable!$A$2:$A$301,0), 22)</f>
        <v/>
      </c>
      <c r="V1401" t="n">
        <v>0</v>
      </c>
    </row>
    <row r="1402">
      <c r="A1402">
        <f>Skills!A4</f>
        <v/>
      </c>
      <c r="B1402">
        <f>Skills!B4</f>
        <v/>
      </c>
      <c r="C1402">
        <f>Inputs!$B$3&gt;=66</f>
        <v/>
      </c>
      <c r="D1402">
        <f>IF(Skills!C4=1,60+Inputs!$B$25+Inputs!$B$29,IF(Skills!C4=2,90+Inputs!$B$26+Inputs!$B$29,IF(Skills!C4=3,120+Inputs!$B$27+Inputs!$B$29,MAX(0,(Inputs!$B$3-100)*3)+Inputs!$B$28+Inputs!$B$29)))</f>
        <v/>
      </c>
      <c r="E1402">
        <f>INDEX(FactorTable!$B$2:$Y$301, MATCH(ROUND(MIN(300,MAX(1,D1402)),0), FactorTable!$A$2:$A$301,0), Skills!M4+1)</f>
        <v/>
      </c>
      <c r="F1402">
        <f>IF(Skills!N4=TRUE,(Skills!L4/10)*(E1402/1000),Skills!L4/10)+Skills!O4</f>
        <v/>
      </c>
      <c r="G1402">
        <f>Skills!G4*IF(Skills!H4&gt;0,Skills!I4/Skills!H4,1)</f>
        <v/>
      </c>
      <c r="H1402">
        <f>1-(1-Skills!J4/100)^Skills!K4</f>
        <v/>
      </c>
      <c r="I1402" t="inlineStr">
        <is>
          <t>1</t>
        </is>
      </c>
      <c r="J1402">
        <f>((Inputs!$B$6*(1+Inputs!$B$7/100))+(((Inputs!$B$12*(1+Inputs!$B$13/100))-(Inputs!$B$12*(1+Inputs!$B$13/100)))+0.25*(Inputs!$B$14-Inputs!$B$14))*(1+Inputs!$B$7/100))*(F1402/100)</f>
        <v/>
      </c>
      <c r="K1402">
        <f>J1402*(1+((Inputs!$B$12*(1+Inputs!$B$13/100))*0.01+Inputs!$B$14*0.0025)/100)*(1+Inputs!$B$15/100)*(1+Inputs!$B$16/100)*(5000/(6000+Inputs!$B$43*(1-Inputs!$B$19/100)))*(1+(Inputs!$B$24+((C1428=TRUE)*(F1428-Calc!F30)))/100)*(1+(IF(Skills!A4="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1402)</f>
        <v/>
      </c>
      <c r="L1402">
        <f>K1402*(MIN(Inputs!$B$22+((C1422=TRUE)*(F1422-Calc!F24)),Inputs!$B$23+((C1427=TRUE)*(F1427-Calc!F29)))/100+(Inputs!$B$23+((C1427=TRUE)*(F1427-Calc!F29)))/100)/2</f>
        <v/>
      </c>
      <c r="M1402">
        <f>L1402*(1+(Inputs!$B$10+((C1424=TRUE)*(F1424-Calc!F26))+B1438)/100)</f>
        <v/>
      </c>
      <c r="N1402">
        <f>L1402*(1-MIN((Inputs!$B$9+((C1423=TRUE)*(F1423-Calc!F25))+B1431),100)/100)+M1402*(MIN((Inputs!$B$9+((C1423=TRUE)*(F1423-Calc!F25))+B1431),100)/100)</f>
        <v/>
      </c>
      <c r="O1402">
        <f>(1-Summary!$B$55)*T1402+Summary!$B$55*V1402</f>
        <v/>
      </c>
      <c r="P1402">
        <f>IF(B1443=0,0,O1402/B1443)</f>
        <v/>
      </c>
      <c r="Q1402">
        <f>IFERROR(1/IF(Inputs!$B$39="pvp",15,MAX(0.1,Skills!D4-IF(Skills!E4=TRUE,0.5,0))),0)</f>
        <v/>
      </c>
      <c r="R1402">
        <f>IF(AND(Inputs!$B$39&lt;&gt;"pvp",Inputs!$B$44&gt;0),IF(MAX(0,Inputs!$B$44-B1442)&lt;=0,0,(INT(MAX(0,Inputs!$B$44-B1442)/IF(Inputs!$B$39="pvp",15,MAX(0.1,Skills!D4-IF(Skills!E4=TRUE,0.5,0))))+1)),0)</f>
        <v/>
      </c>
      <c r="S1402">
        <f>IFERROR(O1402/N1402,0)</f>
        <v/>
      </c>
      <c r="T1402">
        <f>IF(C1402,(H1402*N1402*IF(AND(Inputs!$B$39&lt;&gt;"pvp",Inputs!$B$44&gt;0),((Skills!G4*((R1402-1)*IF(Skills!H4&gt;0,Skills!I4/Skills!H4,1)+IF(Skills!H4&gt;0,MIN(Skills!I4,MAX(0,MAX(0,Inputs!$B$44-B1442)-((R1402-1)*IF(Inputs!$B$39="pvp",15,MAX(0.1,Skills!D4-IF(Skills!E4=TRUE,0.5,0))))))/Skills!H4,1)))/Inputs!$B$44),G1402*Q1402))*IF(Inputs!$B$39="pvp",1,1+(Inputs!$B$20+0+Skills!P4+B1432)/100),0)</f>
        <v/>
      </c>
      <c r="U1402">
        <f>290*U1401/1000</f>
        <v/>
      </c>
      <c r="V1402">
        <f>IF(C1402,(H1402*N1402*IF(AND(Inputs!$B$39&lt;&gt;"pvp",Inputs!$B$44&gt;0),((Skills!G4*((R1402-1)*IF(Skills!H4&gt;0,Skills!I4/Skills!H4,1)+IF(Skills!H4&gt;0,MIN(Skills!I4,MAX(0,MAX(0,Inputs!$B$44-B1442)-((R1402-1)*IF(Inputs!$B$39="pvp",15,MAX(0.1,Skills!D4-IF(Skills!E4=TRUE,0.5,0))))))/Skills!H4,1)))/Inputs!$B$44),G1402*Q1402))*IF(Inputs!$B$39="pvp",1,(1+(Inputs!$B$21+Skills!Q4+B1432)/100)*(MIN(MIN(10,0.5*B1435*Skills!D4),Inputs!$B$37))),0)</f>
        <v/>
      </c>
    </row>
    <row r="1403">
      <c r="A1403">
        <f>Skills!A5</f>
        <v/>
      </c>
      <c r="B1403">
        <f>Skills!B5</f>
        <v/>
      </c>
      <c r="C1403">
        <f>Inputs!$B$3&gt;=63</f>
        <v/>
      </c>
      <c r="D1403">
        <f>IF(Skills!C5=1,60+Inputs!$B$25+Inputs!$B$29,IF(Skills!C5=2,90+Inputs!$B$26+Inputs!$B$29,IF(Skills!C5=3,120+Inputs!$B$27+Inputs!$B$29,MAX(0,(Inputs!$B$3-100)*3)+Inputs!$B$28+Inputs!$B$29)))</f>
        <v/>
      </c>
      <c r="E1403">
        <f>INDEX(FactorTable!$B$2:$Y$301, MATCH(ROUND(MIN(300,MAX(1,D1403)),0), FactorTable!$A$2:$A$301,0), Skills!M5+1)</f>
        <v/>
      </c>
      <c r="F1403">
        <f>IF(Skills!N5=TRUE,(Skills!L5/10)*(E1403/1000),Skills!L5/10)+Skills!O5</f>
        <v/>
      </c>
      <c r="G1403">
        <f>Skills!G5*IF(Skills!H5&gt;0,Skills!I5/Skills!H5,1)</f>
        <v/>
      </c>
      <c r="H1403">
        <f>1-(1-Skills!J5/100)^Skills!K5</f>
        <v/>
      </c>
      <c r="I1403" t="inlineStr">
        <is>
          <t>1</t>
        </is>
      </c>
      <c r="J1403">
        <f>((Inputs!$B$6*(1+Inputs!$B$7/100))+(((Inputs!$B$12*(1+Inputs!$B$13/100))-(Inputs!$B$12*(1+Inputs!$B$13/100)))+0.25*(Inputs!$B$14-Inputs!$B$14))*(1+Inputs!$B$7/100))*(F1403/100)</f>
        <v/>
      </c>
      <c r="K1403">
        <f>J1403*(1+((Inputs!$B$12*(1+Inputs!$B$13/100))*0.01+Inputs!$B$14*0.0025)/100)*(1+Inputs!$B$15/100)*(1+Inputs!$B$16/100)*(5000/(6000+Inputs!$B$43*(1-Inputs!$B$19/100)))*(1+(Inputs!$B$24+((C1428=TRUE)*(F1428-Calc!F30)))/100)*(1+2.6666666666666665*IF(C1416=TRUE,F1416,0)/100)*(1+(IF(Skills!A5="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1403)</f>
        <v/>
      </c>
      <c r="L1403">
        <f>K1403*(MIN(Inputs!$B$22+((C1422=TRUE)*(F1422-Calc!F24)),Inputs!$B$23+((C1427=TRUE)*(F1427-Calc!F29)))/100+(Inputs!$B$23+((C1427=TRUE)*(F1427-Calc!F29)))/100)/2</f>
        <v/>
      </c>
      <c r="M1403">
        <f>L1403*(1+(Inputs!$B$10+((C1424=TRUE)*(F1424-Calc!F26))+B1438)/100)</f>
        <v/>
      </c>
      <c r="N1403">
        <f>L1403*(1-MIN((Inputs!$B$9+((C1423=TRUE)*(F1423-Calc!F25))+B1431),100)/100)+M1403*(MIN((Inputs!$B$9+((C1423=TRUE)*(F1423-Calc!F25))+B1431),100)/100)</f>
        <v/>
      </c>
      <c r="O1403">
        <f>(1-Summary!$B$55)*T1403+Summary!$B$55*V1403</f>
        <v/>
      </c>
      <c r="P1403">
        <f>IF(B1443=0,0,O1403/B1443)</f>
        <v/>
      </c>
      <c r="Q1403">
        <f>IFERROR(1/IF(Inputs!$B$39="pvp",15,MAX(0.1,Skills!D5-IF(Skills!E5=TRUE,0.5,0))),0)</f>
        <v/>
      </c>
      <c r="R1403">
        <f>IF(AND(Inputs!$B$39&lt;&gt;"pvp",Inputs!$B$44&gt;0),IF(MAX(0,Inputs!$B$44-B1442)&lt;=0,0,(INT(MAX(0,Inputs!$B$44-B1442)/IF(Inputs!$B$39="pvp",15,MAX(0.1,Skills!D5-IF(Skills!E5=TRUE,0.5,0))))+1)),0)</f>
        <v/>
      </c>
      <c r="S1403">
        <f>IFERROR(O1403/N1403,0)</f>
        <v/>
      </c>
      <c r="T1403">
        <f>IF(C1403,(H1403*N1403*IF(AND(Inputs!$B$39&lt;&gt;"pvp",Inputs!$B$44&gt;0),((Skills!G5*((R1403-1)*IF(Skills!H5&gt;0,Skills!I5/Skills!H5,1)+IF(Skills!H5&gt;0,MIN(Skills!I5,MAX(0,MAX(0,Inputs!$B$44-B1442)-((R1403-1)*IF(Inputs!$B$39="pvp",15,MAX(0.1,Skills!D5-IF(Skills!E5=TRUE,0.5,0))))))/Skills!H5,1)))/Inputs!$B$44),G1403*Q1403))*IF(Inputs!$B$39="pvp",1,1+(Inputs!$B$20+0+Skills!P5+B1432)/100),0)</f>
        <v/>
      </c>
      <c r="V1403">
        <f>IF(C1403,(H1403*N1403*IF(AND(Inputs!$B$39&lt;&gt;"pvp",Inputs!$B$44&gt;0),((Skills!G5*((R1403-1)*IF(Skills!H5&gt;0,Skills!I5/Skills!H5,1)+IF(Skills!H5&gt;0,MIN(Skills!I5,MAX(0,MAX(0,Inputs!$B$44-B1442)-((R1403-1)*IF(Inputs!$B$39="pvp",15,MAX(0.1,Skills!D5-IF(Skills!E5=TRUE,0.5,0))))))/Skills!H5,1)))/Inputs!$B$44),G1403*Q1403))*IF(Inputs!$B$39="pvp",1,(1+(Inputs!$B$21+Skills!Q5+B1432)/100)*(MIN(Skills!W5,Inputs!$B$37))),0)</f>
        <v/>
      </c>
    </row>
    <row r="1404">
      <c r="A1404">
        <f>Skills!A6</f>
        <v/>
      </c>
      <c r="B1404">
        <f>Skills!B6</f>
        <v/>
      </c>
      <c r="C1404">
        <f>Inputs!$B$3&gt;=69</f>
        <v/>
      </c>
      <c r="D1404">
        <f>IF(Skills!C6=1,60+Inputs!$B$25+Inputs!$B$29,IF(Skills!C6=2,90+Inputs!$B$26+Inputs!$B$29,IF(Skills!C6=3,120+Inputs!$B$27+Inputs!$B$29,MAX(0,(Inputs!$B$3-100)*3)+Inputs!$B$28+Inputs!$B$29)))</f>
        <v/>
      </c>
      <c r="E1404">
        <f>INDEX(FactorTable!$B$2:$Y$301, MATCH(ROUND(MIN(300,MAX(1,D1404)),0), FactorTable!$A$2:$A$301,0), Skills!M6+1)</f>
        <v/>
      </c>
      <c r="F1404">
        <f>IF(Skills!N6=TRUE,(Skills!L6/10)*(E1404/1000),Skills!L6/10)+Skills!O6</f>
        <v/>
      </c>
      <c r="G1404">
        <f>Skills!G6*IF(Skills!H6&gt;0,Skills!I6/Skills!H6,1)</f>
        <v/>
      </c>
      <c r="H1404">
        <f>1-(1-Skills!J6/100)^Skills!K6</f>
        <v/>
      </c>
      <c r="I1404" t="inlineStr">
        <is>
          <t>1</t>
        </is>
      </c>
      <c r="J1404">
        <f>((Inputs!$B$6*(1+Inputs!$B$7/100))+(((Inputs!$B$12*(1+Inputs!$B$13/100))-(Inputs!$B$12*(1+Inputs!$B$13/100)))+0.25*(Inputs!$B$14-Inputs!$B$14))*(1+Inputs!$B$7/100))*(F1404/100)</f>
        <v/>
      </c>
      <c r="K1404">
        <f>J1404*(1+((Inputs!$B$12*(1+Inputs!$B$13/100))*0.01+Inputs!$B$14*0.0025)/100)*(1+Inputs!$B$15/100)*(1+Inputs!$B$16/100)*(5000/(6000+Inputs!$B$43*(1-Inputs!$B$19/100)))*(1+(Inputs!$B$24+((C1428=TRUE)*(F1428-Calc!F30)))/100)*(1+1.0*IF(C1416=TRUE,F1416,0)/100)*(1+(IF(Skills!A6="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1404)</f>
        <v/>
      </c>
      <c r="L1404">
        <f>K1404*(MIN(Inputs!$B$22+((C1422=TRUE)*(F1422-Calc!F24)),Inputs!$B$23+((C1427=TRUE)*(F1427-Calc!F29)))/100+(Inputs!$B$23+((C1427=TRUE)*(F1427-Calc!F29)))/100)/2</f>
        <v/>
      </c>
      <c r="M1404">
        <f>L1404*(1+(Inputs!$B$10+((C1424=TRUE)*(F1424-Calc!F26))+B1438)/100)</f>
        <v/>
      </c>
      <c r="N1404">
        <f>L1404*(1-MIN((Inputs!$B$9+((C1423=TRUE)*(F1423-Calc!F25))+B1431),100)/100)+M1404*(MIN((Inputs!$B$9+((C1423=TRUE)*(F1423-Calc!F25))+B1431),100)/100)</f>
        <v/>
      </c>
      <c r="O1404">
        <f>(1-Summary!$B$55)*T1404+Summary!$B$55*V1404</f>
        <v/>
      </c>
      <c r="P1404">
        <f>IF(B1443=0,0,O1404/B1443)</f>
        <v/>
      </c>
      <c r="Q1404">
        <f>IFERROR(1/IF(Inputs!$B$39="pvp",15,MAX(0.1,Skills!D6-IF(Skills!E6=TRUE,0.5,0))),0)</f>
        <v/>
      </c>
      <c r="R1404">
        <f>IF(AND(Inputs!$B$39&lt;&gt;"pvp",Inputs!$B$44&gt;0),IF(MAX(0,Inputs!$B$44-B1442)&lt;=0,0,(INT(MAX(0,Inputs!$B$44-B1442)/IF(Inputs!$B$39="pvp",15,MAX(0.1,Skills!D6-IF(Skills!E6=TRUE,0.5,0))))+1)),0)</f>
        <v/>
      </c>
      <c r="S1404">
        <f>IFERROR(O1404/N1404,0)</f>
        <v/>
      </c>
      <c r="T1404">
        <f>IF(C1404,(H1404*N1404*IF(AND(Inputs!$B$39&lt;&gt;"pvp",Inputs!$B$44&gt;0),((Skills!G6*((R1404-1)*IF(Skills!H6&gt;0,Skills!I6/Skills!H6,1)+IF(Skills!H6&gt;0,MIN(Skills!I6,MAX(0,MAX(0,Inputs!$B$44-B1442)-((R1404-1)*IF(Inputs!$B$39="pvp",15,MAX(0.1,Skills!D6-IF(Skills!E6=TRUE,0.5,0))))))/Skills!H6,1)))/Inputs!$B$44),G1404*Q1404))*IF(Inputs!$B$39="pvp",1,1+(Inputs!$B$20+0+Skills!P6+B1432)/100),0)</f>
        <v/>
      </c>
      <c r="V1404">
        <f>IF(C1404,(H1404*N1404*IF(AND(Inputs!$B$39&lt;&gt;"pvp",Inputs!$B$44&gt;0),((Skills!G6*((R1404-1)*IF(Skills!H6&gt;0,Skills!I6/Skills!H6,1)+IF(Skills!H6&gt;0,MIN(Skills!I6,MAX(0,MAX(0,Inputs!$B$44-B1442)-((R1404-1)*IF(Inputs!$B$39="pvp",15,MAX(0.1,Skills!D6-IF(Skills!E6=TRUE,0.5,0))))))/Skills!H6,1)))/Inputs!$B$44),G1404*Q1404))*IF(Inputs!$B$39="pvp",1,(1+(Inputs!$B$21+Skills!Q6+B1432)/100)*(MIN(Skills!W6,Inputs!$B$37))),0)</f>
        <v/>
      </c>
    </row>
    <row r="1405">
      <c r="A1405">
        <f>Skills!A7</f>
        <v/>
      </c>
      <c r="B1405">
        <f>Skills!B7</f>
        <v/>
      </c>
      <c r="C1405">
        <f>Inputs!$B$3&gt;=60</f>
        <v/>
      </c>
      <c r="D1405">
        <f>IF(Skills!C7=1,60+Inputs!$B$25+Inputs!$B$29,IF(Skills!C7=2,90+Inputs!$B$26+Inputs!$B$29,IF(Skills!C7=3,120+Inputs!$B$27+Inputs!$B$29,MAX(0,(Inputs!$B$3-100)*3)+Inputs!$B$28+Inputs!$B$29)))</f>
        <v/>
      </c>
      <c r="E1405">
        <f>INDEX(FactorTable!$B$2:$Y$301, MATCH(ROUND(MIN(300,MAX(1,D1405)),0), FactorTable!$A$2:$A$301,0), Skills!M7+1)</f>
        <v/>
      </c>
      <c r="F1405">
        <f>IF(Skills!N7=TRUE,(Skills!L7/10)*(E1405/1000),Skills!L7/10)+Skills!O7</f>
        <v/>
      </c>
      <c r="G1405">
        <f>Skills!G7*IF(Skills!H7&gt;0,Skills!I7/Skills!H7,1)</f>
        <v/>
      </c>
      <c r="H1405">
        <f>1-(1-Skills!J7/100)^Skills!K7</f>
        <v/>
      </c>
      <c r="I1405" t="inlineStr">
        <is>
          <t>1</t>
        </is>
      </c>
      <c r="J1405" t="inlineStr"/>
      <c r="K1405" t="inlineStr"/>
      <c r="L1405" t="inlineStr"/>
      <c r="M1405" t="inlineStr"/>
      <c r="N1405" t="inlineStr"/>
      <c r="O1405">
        <f>(1-Summary!$B$55)*T1405+Summary!$B$55*V1405</f>
        <v/>
      </c>
      <c r="P1405">
        <f>IF(B1443=0,0,O1405/B1443)</f>
        <v/>
      </c>
      <c r="Q1405" t="n">
        <v>0</v>
      </c>
      <c r="R1405" t="n">
        <v>0</v>
      </c>
      <c r="S1405">
        <f>IFERROR(O1405/N1405,0)</f>
        <v/>
      </c>
      <c r="T1405" t="n">
        <v>0</v>
      </c>
      <c r="V1405" t="n">
        <v>0</v>
      </c>
    </row>
    <row r="1406">
      <c r="A1406">
        <f>Skills!A8</f>
        <v/>
      </c>
      <c r="B1406">
        <f>Skills!B8</f>
        <v/>
      </c>
      <c r="C1406">
        <f>Inputs!$B$3&gt;=72</f>
        <v/>
      </c>
      <c r="D1406">
        <f>IF(Skills!C8=1,60+Inputs!$B$25+Inputs!$B$29,IF(Skills!C8=2,90+Inputs!$B$26+Inputs!$B$29,IF(Skills!C8=3,120+Inputs!$B$27+Inputs!$B$29,MAX(0,(Inputs!$B$3-100)*3)+Inputs!$B$28+Inputs!$B$29)))</f>
        <v/>
      </c>
      <c r="E1406">
        <f>INDEX(FactorTable!$B$2:$Y$301, MATCH(ROUND(MIN(300,MAX(1,D1406)),0), FactorTable!$A$2:$A$301,0), Skills!M8+1)</f>
        <v/>
      </c>
      <c r="F1406">
        <f>IF(Skills!N8=TRUE,(Skills!L8/10)*(E1406/1000),Skills!L8/10)+Skills!O8</f>
        <v/>
      </c>
      <c r="G1406">
        <f>Skills!G8*IF(Skills!H8&gt;0,Skills!I8/Skills!H8,1)</f>
        <v/>
      </c>
      <c r="H1406">
        <f>1-(1-Skills!J8/100)^Skills!K8</f>
        <v/>
      </c>
      <c r="I1406" t="inlineStr">
        <is>
          <t>1</t>
        </is>
      </c>
      <c r="J1406">
        <f>((Inputs!$B$6*(1+Inputs!$B$7/100))+(((Inputs!$B$12*(1+Inputs!$B$13/100))-(Inputs!$B$12*(1+Inputs!$B$13/100)))+0.25*(Inputs!$B$14-Inputs!$B$14))*(1+Inputs!$B$7/100))*(F1406/100)</f>
        <v/>
      </c>
      <c r="K1406">
        <f>J1406*(1+((Inputs!$B$12*(1+Inputs!$B$13/100))*0.01+Inputs!$B$14*0.0025)/100)*(1+Inputs!$B$15/100)*(1+Inputs!$B$16/100)*(5000/(6000+Inputs!$B$43*(1-Inputs!$B$19/100)))*(1+(Inputs!$B$24+((C1428=TRUE)*(F1428-Calc!F30)))/100)*(1+3.3333333333333335*IF(C1416=TRUE,F1416,0)/100)*(1+(IF(Skills!A8="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1406)</f>
        <v/>
      </c>
      <c r="L1406">
        <f>K1406*(MIN(Inputs!$B$22+((C1422=TRUE)*(F1422-Calc!F24)),Inputs!$B$23+((C1427=TRUE)*(F1427-Calc!F29)))/100+(Inputs!$B$23+((C1427=TRUE)*(F1427-Calc!F29)))/100)/2</f>
        <v/>
      </c>
      <c r="M1406">
        <f>L1406*(1+(Inputs!$B$10+((C1424=TRUE)*(F1424-Calc!F26))+B1438)/100)</f>
        <v/>
      </c>
      <c r="N1406">
        <f>L1406*(1-MIN((Inputs!$B$9+((C1423=TRUE)*(F1423-Calc!F25))+B1431),100)/100)+M1406*(MIN((Inputs!$B$9+((C1423=TRUE)*(F1423-Calc!F25))+B1431),100)/100)</f>
        <v/>
      </c>
      <c r="O1406">
        <f>(1-Summary!$B$55)*T1406+Summary!$B$55*V1406</f>
        <v/>
      </c>
      <c r="P1406">
        <f>IF(B1443=0,0,O1406/B1443)</f>
        <v/>
      </c>
      <c r="Q1406">
        <f>IFERROR(1/IF(Inputs!$B$39="pvp",15,MAX(0.1,Skills!D8-IF(Skills!E8=TRUE,0.5,0))),0)</f>
        <v/>
      </c>
      <c r="R1406">
        <f>IF(AND(Inputs!$B$39&lt;&gt;"pvp",Inputs!$B$44&gt;0),IF(MAX(0,Inputs!$B$44-B1442)&lt;=0,0,(INT(MAX(0,Inputs!$B$44-B1442)/IF(Inputs!$B$39="pvp",15,MAX(0.1,Skills!D8-IF(Skills!E8=TRUE,0.5,0))))+1)),0)</f>
        <v/>
      </c>
      <c r="S1406">
        <f>IFERROR(O1406/N1406,0)</f>
        <v/>
      </c>
      <c r="T1406">
        <f>IF(C1406,(H1406*N1406*IF(AND(Inputs!$B$39&lt;&gt;"pvp",Inputs!$B$44&gt;0),((Skills!G8*((R1406-1)*IF(Skills!H8&gt;0,Skills!I8/Skills!H8,1)+IF(Skills!H8&gt;0,MIN(Skills!I8,MAX(0,MAX(0,Inputs!$B$44-B1442)-((R1406-1)*IF(Inputs!$B$39="pvp",15,MAX(0.1,Skills!D8-IF(Skills!E8=TRUE,0.5,0))))))/Skills!H8,1)))/Inputs!$B$44),G1406*Q1406))*IF(Inputs!$B$39="pvp",1,1+(Inputs!$B$20+0+Skills!P8+B1432)/100),0)</f>
        <v/>
      </c>
      <c r="V1406">
        <f>IF(C1406,(H1406*N1406*IF(AND(Inputs!$B$39&lt;&gt;"pvp",Inputs!$B$44&gt;0),((Skills!G8*((R1406-1)*IF(Skills!H8&gt;0,Skills!I8/Skills!H8,1)+IF(Skills!H8&gt;0,MIN(Skills!I8,MAX(0,MAX(0,Inputs!$B$44-B1442)-((R1406-1)*IF(Inputs!$B$39="pvp",15,MAX(0.1,Skills!D8-IF(Skills!E8=TRUE,0.5,0))))))/Skills!H8,1)))/Inputs!$B$44),G1406*Q1406))*IF(Inputs!$B$39="pvp",1,(1+(Inputs!$B$21+Skills!Q8+B1432)/100)*(MIN(Skills!W8,Inputs!$B$37))),0)</f>
        <v/>
      </c>
    </row>
    <row r="1407">
      <c r="A1407">
        <f>Skills!A9</f>
        <v/>
      </c>
      <c r="B1407">
        <f>Skills!B9</f>
        <v/>
      </c>
      <c r="C1407">
        <f>Inputs!$B$3&gt;=117</f>
        <v/>
      </c>
      <c r="D1407">
        <f>IF(Skills!C9=1,60+Inputs!$B$25+Inputs!$B$29,IF(Skills!C9=2,90+Inputs!$B$26+Inputs!$B$29,IF(Skills!C9=3,120+Inputs!$B$27+Inputs!$B$29,MAX(0,(Inputs!$B$3-100)*3)+Inputs!$B$28+Inputs!$B$29)))</f>
        <v/>
      </c>
      <c r="E1407">
        <f>INDEX(FactorTable!$B$2:$Y$301, MATCH(ROUND(MIN(300,MAX(1,D1407)),0), FactorTable!$A$2:$A$301,0), Skills!M9+1)</f>
        <v/>
      </c>
      <c r="F1407">
        <f>IF(Skills!N9=TRUE,(Skills!L9/10)*(E1407/1000),Skills!L9/10)+Skills!O9</f>
        <v/>
      </c>
      <c r="G1407">
        <f>Skills!G9*IF(Skills!H9&gt;0,Skills!I9/Skills!H9,1)</f>
        <v/>
      </c>
      <c r="H1407">
        <f>1-(1-Skills!J9/100)^Skills!K9</f>
        <v/>
      </c>
      <c r="I1407" t="inlineStr">
        <is>
          <t>1</t>
        </is>
      </c>
      <c r="J1407">
        <f>((Inputs!$B$6*(1+Inputs!$B$7/100))+(((Inputs!$B$12*(1+Inputs!$B$13/100))-(Inputs!$B$12*(1+Inputs!$B$13/100)))+0.25*(Inputs!$B$14-Inputs!$B$14))*(1+Inputs!$B$7/100))*(F1407/100)</f>
        <v/>
      </c>
      <c r="K1407">
        <f>J1407*(1+((Inputs!$B$12*(1+Inputs!$B$13/100))*0.01+Inputs!$B$14*0.0025)/100)*(1+Inputs!$B$15/100)*(1+Inputs!$B$16/100)*(5000/(6000+Inputs!$B$43*(1-Inputs!$B$19/100)))*(1+(Inputs!$B$24+((C1428=TRUE)*(F1428-Calc!F30)))/100)*(1+(IF(Skills!A9="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1407)</f>
        <v/>
      </c>
      <c r="L1407">
        <f>K1407*(MIN(Inputs!$B$22+((C1422=TRUE)*(F1422-Calc!F24)),Inputs!$B$23+((C1427=TRUE)*(F1427-Calc!F29)))/100+(Inputs!$B$23+((C1427=TRUE)*(F1427-Calc!F29)))/100)/2</f>
        <v/>
      </c>
      <c r="M1407">
        <f>L1407*(1+(Inputs!$B$10+((C1424=TRUE)*(F1424-Calc!F26))+B1438)/100)</f>
        <v/>
      </c>
      <c r="N1407">
        <f>L1407*(1-MIN((Inputs!$B$9+((C1423=TRUE)*(F1423-Calc!F25))+B1431),100)/100)+M1407*(MIN((Inputs!$B$9+((C1423=TRUE)*(F1423-Calc!F25))+B1431),100)/100)</f>
        <v/>
      </c>
      <c r="O1407">
        <f>(1-Summary!$B$55)*T1407+Summary!$B$55*V1407</f>
        <v/>
      </c>
      <c r="P1407">
        <f>IF(B1443=0,0,O1407/B1443)</f>
        <v/>
      </c>
      <c r="Q1407" t="n">
        <v>0</v>
      </c>
      <c r="R1407" t="n">
        <v>0</v>
      </c>
      <c r="S1407" t="n">
        <v>0</v>
      </c>
      <c r="T1407">
        <f>IF(C1407,(0.2*SUMPRODUCT((Skills!Z2:Z30=TRUE)*(C1400:C1428=TRUE)*S1400:S1428)*N1407)*IF(Inputs!$B$39="pvp",1,1+(Inputs!$B$20+0+Skills!P9+B1432)/100),0)</f>
        <v/>
      </c>
      <c r="V1407">
        <f>IF(C1407,(0.2*SUMPRODUCT((Skills!Z2:Z30=TRUE)*(C1400:C1428=TRUE)*S1400:S1428)*N1407)*IF(Inputs!$B$39="pvp",1,(1+(Inputs!$B$21+Skills!Q9+B1432)/100)*(MIN(Skills!W9,Inputs!$B$37))),0)</f>
        <v/>
      </c>
    </row>
    <row r="1408">
      <c r="A1408">
        <f>Skills!A10</f>
        <v/>
      </c>
      <c r="B1408">
        <f>Skills!B10</f>
        <v/>
      </c>
      <c r="C1408">
        <f>Inputs!$B$3&gt;=74</f>
        <v/>
      </c>
      <c r="D1408">
        <f>IF(Skills!C10=1,60+Inputs!$B$25+Inputs!$B$29,IF(Skills!C10=2,90+Inputs!$B$26+Inputs!$B$29,IF(Skills!C10=3,120+Inputs!$B$27+Inputs!$B$29,MAX(0,(Inputs!$B$3-100)*3)+Inputs!$B$28+Inputs!$B$29)))</f>
        <v/>
      </c>
      <c r="E1408">
        <f>INDEX(FactorTable!$B$2:$Y$301, MATCH(ROUND(MIN(300,MAX(1,D1408)),0), FactorTable!$A$2:$A$301,0), Skills!M10+1)</f>
        <v/>
      </c>
      <c r="F1408">
        <f>IF(Skills!N10=TRUE,(Skills!L10/10)*(E1408/1000),Skills!L10/10)+Skills!O10</f>
        <v/>
      </c>
      <c r="G1408">
        <f>Skills!G10*IF(Skills!H10&gt;0,Skills!I10/Skills!H10,1)</f>
        <v/>
      </c>
      <c r="H1408">
        <f>1-(1-Skills!J10/100)^Skills!K10</f>
        <v/>
      </c>
      <c r="I1408" t="inlineStr">
        <is>
          <t>1</t>
        </is>
      </c>
      <c r="J1408" t="inlineStr"/>
      <c r="K1408" t="inlineStr"/>
      <c r="L1408" t="inlineStr"/>
      <c r="M1408" t="inlineStr"/>
      <c r="N1408" t="inlineStr"/>
      <c r="O1408">
        <f>(1-Summary!$B$55)*T1408+Summary!$B$55*V1408</f>
        <v/>
      </c>
      <c r="P1408">
        <f>IF(B1443=0,0,O1408/B1443)</f>
        <v/>
      </c>
      <c r="Q1408">
        <f>IFERROR(1/IF(Inputs!$B$39="pvp",15,MAX(0.1,Skills!D10-IF(Skills!E10=TRUE,0.5,0))),0)</f>
        <v/>
      </c>
      <c r="R1408">
        <f>IF(AND(Inputs!$B$39&lt;&gt;"pvp",Inputs!$B$44&gt;0),IF(Inputs!$B$44&lt;=0,0,(INT(Inputs!$B$44/IF(Inputs!$B$39="pvp",15,MAX(0.1,Skills!D10-IF(Skills!E10=TRUE,0.5,0))))+1)),0)</f>
        <v/>
      </c>
      <c r="S1408">
        <f>IFERROR(O1408/N1408,0)</f>
        <v/>
      </c>
      <c r="T1408" t="n">
        <v>0</v>
      </c>
      <c r="V1408" t="n">
        <v>0</v>
      </c>
    </row>
    <row r="1409">
      <c r="A1409">
        <f>Skills!A11</f>
        <v/>
      </c>
      <c r="B1409">
        <f>Skills!B11</f>
        <v/>
      </c>
      <c r="C1409">
        <f>Inputs!$B$3&gt;=103</f>
        <v/>
      </c>
      <c r="D1409">
        <f>IF(Skills!C11=1,60+Inputs!$B$25+Inputs!$B$29,IF(Skills!C11=2,90+Inputs!$B$26+Inputs!$B$29,IF(Skills!C11=3,120+Inputs!$B$27+Inputs!$B$29,MAX(0,(Inputs!$B$3-100)*3)+Inputs!$B$28+Inputs!$B$29)))</f>
        <v/>
      </c>
      <c r="E1409">
        <f>INDEX(FactorTable!$B$2:$Y$301, MATCH(ROUND(MIN(300,MAX(1,D1409)),0), FactorTable!$A$2:$A$301,0), Skills!M11+1)</f>
        <v/>
      </c>
      <c r="F1409">
        <f>(Skills!L11/10)*(E1409/1000)+IF(Inputs!$B$3&gt;=134,50,0)+0.5*(30000/10)*(INDEX(FactorTable!$B$2:$Y$301, MATCH(ROUND(MIN(300,MAX(1,D1409)),0), FactorTable!$A$2:$A$301,0), 13)/1000)*B1441</f>
        <v/>
      </c>
      <c r="G1409">
        <f>Skills!G11*IF(Skills!H11&gt;0,Skills!I11/Skills!H11,1)</f>
        <v/>
      </c>
      <c r="H1409">
        <f>1-(1-Skills!J11/100)^Skills!K11</f>
        <v/>
      </c>
      <c r="I1409" t="inlineStr">
        <is>
          <t>1</t>
        </is>
      </c>
      <c r="J1409">
        <f>((Inputs!$B$6*(1+Inputs!$B$7/100))+(((Inputs!$B$12*(1+Inputs!$B$13/100))-(Inputs!$B$12*(1+Inputs!$B$13/100)))+0.25*(Inputs!$B$14-Inputs!$B$14))*(1+Inputs!$B$7/100))*(F1409/100)</f>
        <v/>
      </c>
      <c r="K1409">
        <f>J1409*(1+((Inputs!$B$12*(1+Inputs!$B$13/100))*0.01+Inputs!$B$14*0.0025)/100)*(1+Inputs!$B$15/100)*(1+Inputs!$B$16/100)*(5000/(6000+Inputs!$B$43*(1-Inputs!$B$19/100)))*(1+(Inputs!$B$24+((C1428=TRUE)*(F1428-Calc!F30)))/100)*(1+(IF(Skills!A11="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1409)</f>
        <v/>
      </c>
      <c r="L1409">
        <f>K1409*(MIN(Inputs!$B$22+((C1422=TRUE)*(F1422-Calc!F24)),Inputs!$B$23+((C1427=TRUE)*(F1427-Calc!F29)))/100+(Inputs!$B$23+((C1427=TRUE)*(F1427-Calc!F29)))/100)/2</f>
        <v/>
      </c>
      <c r="M1409">
        <f>L1409*(1+(Inputs!$B$10+((C1424=TRUE)*(F1424-Calc!F26))+B1438)/100)</f>
        <v/>
      </c>
      <c r="N1409">
        <f>L1409*(1-MIN((Inputs!$B$9+((C1423=TRUE)*(F1423-Calc!F25))+B1431),100)/100)+M1409*(MIN((Inputs!$B$9+((C1423=TRUE)*(F1423-Calc!F25))+B1431),100)/100)</f>
        <v/>
      </c>
      <c r="O1409">
        <f>(1-Summary!$B$55)*T1409+Summary!$B$55*V1409</f>
        <v/>
      </c>
      <c r="P1409">
        <f>IF(B1443=0,0,O1409/B1443)</f>
        <v/>
      </c>
      <c r="Q1409">
        <f>IFERROR(1/IF(Inputs!$B$39="pvp",15,MAX(0.1,Skills!D11-IF(Skills!E11=TRUE,0.5,0))),0)</f>
        <v/>
      </c>
      <c r="R1409">
        <f>IF(AND(Inputs!$B$39&lt;&gt;"pvp",Inputs!$B$44&gt;0),IF(MAX(0,Inputs!$B$44-B1442)&lt;=0,0,(INT(MAX(0,Inputs!$B$44-B1442)/IF(Inputs!$B$39="pvp",15,MAX(0.1,Skills!D11-IF(Skills!E11=TRUE,0.5,0))))+1)),0)</f>
        <v/>
      </c>
      <c r="S1409">
        <f>IFERROR(O1409/N1409,0)</f>
        <v/>
      </c>
      <c r="T1409">
        <f>IF(C1409,(H1409*N1409*IF(AND(Inputs!$B$39&lt;&gt;"pvp",Inputs!$B$44&gt;0),((Skills!G11*((R1409-1)*IF(Skills!H11&gt;0,Skills!I11/Skills!H11,1)+IF(Skills!H11&gt;0,MIN(Skills!I11,MAX(0,MAX(0,Inputs!$B$44-B1442)-((R1409-1)*IF(Inputs!$B$39="pvp",15,MAX(0.1,Skills!D11-IF(Skills!E11=TRUE,0.5,0))))))/Skills!H11,1)))/Inputs!$B$44),G1409*Q1409))*IF(Inputs!$B$39="pvp",1,1+(Inputs!$B$20+0+Skills!P11+B1432)/100),0)</f>
        <v/>
      </c>
      <c r="V1409">
        <f>IF(C1409,(H1409*N1409*IF(AND(Inputs!$B$39&lt;&gt;"pvp",Inputs!$B$44&gt;0),((Skills!G11*((R1409-1)*IF(Skills!H11&gt;0,Skills!I11/Skills!H11,1)+IF(Skills!H11&gt;0,MIN(Skills!I11,MAX(0,MAX(0,Inputs!$B$44-B1442)-((R1409-1)*IF(Inputs!$B$39="pvp",15,MAX(0.1,Skills!D11-IF(Skills!E11=TRUE,0.5,0))))))/Skills!H11,1)))/Inputs!$B$44),G1409*Q1409))*IF(Inputs!$B$39="pvp",1,(1+(Inputs!$B$21+Skills!Q11+B1432)/100)*(MIN(Skills!W11,Inputs!$B$37))),0)</f>
        <v/>
      </c>
    </row>
    <row r="1410">
      <c r="A1410">
        <f>Skills!A12</f>
        <v/>
      </c>
      <c r="B1410">
        <f>Skills!B12</f>
        <v/>
      </c>
      <c r="C1410">
        <f>Inputs!$B$3&gt;=105</f>
        <v/>
      </c>
      <c r="D1410">
        <f>IF(Skills!C12=1,60+Inputs!$B$25+Inputs!$B$29,IF(Skills!C12=2,90+Inputs!$B$26+Inputs!$B$29,IF(Skills!C12=3,120+Inputs!$B$27+Inputs!$B$29,MAX(0,(Inputs!$B$3-100)*3)+Inputs!$B$28+Inputs!$B$29)))</f>
        <v/>
      </c>
      <c r="E1410">
        <f>INDEX(FactorTable!$B$2:$Y$301, MATCH(ROUND(MIN(300,MAX(1,D1410)),0), FactorTable!$A$2:$A$301,0), Skills!M12+1)</f>
        <v/>
      </c>
      <c r="F1410">
        <f>IF(Skills!N12=TRUE,(Skills!L12/10)*(E1410/1000),Skills!L12/10)+Skills!O12</f>
        <v/>
      </c>
      <c r="G1410">
        <f>Skills!G12*IF(Skills!H12&gt;0,Skills!I12/Skills!H12,1)</f>
        <v/>
      </c>
      <c r="H1410">
        <f>1-(1-Skills!J12/100)^Skills!K12</f>
        <v/>
      </c>
      <c r="I1410" t="inlineStr">
        <is>
          <t>1</t>
        </is>
      </c>
      <c r="J1410">
        <f>((Inputs!$B$6*(1+Inputs!$B$7/100))+(((Inputs!$B$12*(1+Inputs!$B$13/100))-(Inputs!$B$12*(1+Inputs!$B$13/100)))+0.25*(Inputs!$B$14-Inputs!$B$14))*(1+Inputs!$B$7/100))*(F1410/100)</f>
        <v/>
      </c>
      <c r="K1410">
        <f>J1410*(1+((Inputs!$B$12*(1+Inputs!$B$13/100))*0.01+Inputs!$B$14*0.0025)/100)*(1+Inputs!$B$15/100)*(1+Inputs!$B$16/100)*(5000/(6000+Inputs!$B$43*(1-Inputs!$B$19/100)))*(1+(Inputs!$B$24+((C1428=TRUE)*(F1428-Calc!F30)))/100)*(1+(IF(Skills!A12="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1410)</f>
        <v/>
      </c>
      <c r="L1410">
        <f>K1410*(MIN(Inputs!$B$22+((C1422=TRUE)*(F1422-Calc!F24)),Inputs!$B$23+((C1427=TRUE)*(F1427-Calc!F29)))/100+(Inputs!$B$23+((C1427=TRUE)*(F1427-Calc!F29)))/100)/2</f>
        <v/>
      </c>
      <c r="M1410">
        <f>L1410*(1+(Inputs!$B$10+((C1424=TRUE)*(F1424-Calc!F26))+B1438)/100)</f>
        <v/>
      </c>
      <c r="N1410">
        <f>L1410*(1-MIN((Inputs!$B$9+((C1423=TRUE)*(F1423-Calc!F25))+B1431),100)/100)+M1410*(MIN((Inputs!$B$9+((C1423=TRUE)*(F1423-Calc!F25))+B1431),100)/100)</f>
        <v/>
      </c>
      <c r="O1410">
        <f>(1-Summary!$B$55)*T1410+Summary!$B$55*V1410</f>
        <v/>
      </c>
      <c r="P1410">
        <f>IF(B1443=0,0,O1410/B1443)</f>
        <v/>
      </c>
      <c r="Q1410">
        <f>IFERROR(1/IF(Inputs!$B$39="pvp",15,MAX(0.1,Skills!D12-IF(Skills!E12=TRUE,0.5,0))),0)</f>
        <v/>
      </c>
      <c r="R1410">
        <f>IF(AND(Inputs!$B$39&lt;&gt;"pvp",Inputs!$B$44&gt;0),IF(MAX(0,Inputs!$B$44-B1442)&lt;=0,0,(INT(MAX(0,Inputs!$B$44-B1442)/IF(Inputs!$B$39="pvp",15,MAX(0.1,Skills!D12-IF(Skills!E12=TRUE,0.5,0))))+1)),0)</f>
        <v/>
      </c>
      <c r="S1410">
        <f>IFERROR(O1410/N1410,0)</f>
        <v/>
      </c>
      <c r="T1410">
        <f>IF(C1410,(H1410*N1410*IF(AND(Inputs!$B$39&lt;&gt;"pvp",Inputs!$B$44&gt;0),((Skills!G12*((R1410-1)*IF(Skills!H12&gt;0,Skills!I12/Skills!H12,1)+IF(Skills!H12&gt;0,MIN(Skills!I12,MAX(0,MAX(0,Inputs!$B$44-B1442)-((R1410-1)*IF(Inputs!$B$39="pvp",15,MAX(0.1,Skills!D12-IF(Skills!E12=TRUE,0.5,0))))))/Skills!H12,1)))/Inputs!$B$44),G1410*Q1410))*IF(Inputs!$B$39="pvp",1,1+(Inputs!$B$20+0+Skills!P12+B1432)/100),0)</f>
        <v/>
      </c>
      <c r="V1410">
        <f>IF(C1410,(H1410*N1410*IF(AND(Inputs!$B$39&lt;&gt;"pvp",Inputs!$B$44&gt;0),((Skills!G12*((R1410-1)*IF(Skills!H12&gt;0,Skills!I12/Skills!H12,1)+IF(Skills!H12&gt;0,MIN(Skills!I12,MAX(0,MAX(0,Inputs!$B$44-B1442)-((R1410-1)*IF(Inputs!$B$39="pvp",15,MAX(0.1,Skills!D12-IF(Skills!E12=TRUE,0.5,0))))))/Skills!H12,1)))/Inputs!$B$44),G1410*Q1410))*IF(Inputs!$B$39="pvp",1,(1+(Inputs!$B$21+Skills!Q12+B1432)/100)*(MIN(Skills!W12,Inputs!$B$37))),0)</f>
        <v/>
      </c>
    </row>
    <row r="1411">
      <c r="A1411">
        <f>Skills!A13</f>
        <v/>
      </c>
      <c r="B1411">
        <f>Skills!B13</f>
        <v/>
      </c>
      <c r="C1411">
        <f>Inputs!$B$3&gt;=105</f>
        <v/>
      </c>
      <c r="D1411">
        <f>IF(Skills!C13=1,60+Inputs!$B$25+Inputs!$B$29,IF(Skills!C13=2,90+Inputs!$B$26+Inputs!$B$29,IF(Skills!C13=3,120+Inputs!$B$27+Inputs!$B$29,MAX(0,(Inputs!$B$3-100)*3)+Inputs!$B$28+Inputs!$B$29)))</f>
        <v/>
      </c>
      <c r="E1411">
        <f>INDEX(FactorTable!$B$2:$Y$301, MATCH(ROUND(MIN(300,MAX(1,D1411)),0), FactorTable!$A$2:$A$301,0), Skills!M13+1)</f>
        <v/>
      </c>
      <c r="F1411">
        <f>IF(Skills!N13=TRUE,(Skills!L13/10)*(E1411/1000),Skills!L13/10)+Skills!O13</f>
        <v/>
      </c>
      <c r="G1411">
        <f>Skills!G13*IF(Skills!H13&gt;0,Skills!I13/Skills!H13,1)</f>
        <v/>
      </c>
      <c r="H1411">
        <f>1-(1-Skills!J13/100)^Skills!K13</f>
        <v/>
      </c>
      <c r="I1411" t="inlineStr">
        <is>
          <t>1</t>
        </is>
      </c>
      <c r="J1411">
        <f>((Inputs!$B$6*(1+Inputs!$B$7/100))+(((Inputs!$B$12*(1+Inputs!$B$13/100))-(Inputs!$B$12*(1+Inputs!$B$13/100)))+0.25*(Inputs!$B$14-Inputs!$B$14))*(1+Inputs!$B$7/100))*(F1411/100)</f>
        <v/>
      </c>
      <c r="K1411">
        <f>J1411*(1+((Inputs!$B$12*(1+Inputs!$B$13/100))*0.01+Inputs!$B$14*0.0025)/100)*(1+Inputs!$B$15/100)*(1+Inputs!$B$16/100)*(5000/(6000+Inputs!$B$43*(1-Inputs!$B$19/100)))*(1+(Inputs!$B$24+((C1428=TRUE)*(F1428-Calc!F30)))/100)*(1+(IF(Skills!A13="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1411)</f>
        <v/>
      </c>
      <c r="L1411">
        <f>K1411*(MIN(Inputs!$B$22+((C1422=TRUE)*(F1422-Calc!F24)),Inputs!$B$23+((C1427=TRUE)*(F1427-Calc!F29)))/100+(Inputs!$B$23+((C1427=TRUE)*(F1427-Calc!F29)))/100)/2</f>
        <v/>
      </c>
      <c r="M1411">
        <f>L1411*(1+(Inputs!$B$10+((C1424=TRUE)*(F1424-Calc!F26))+B1438)/100)</f>
        <v/>
      </c>
      <c r="N1411">
        <f>L1411*(1-MIN((Inputs!$B$9+((C1423=TRUE)*(F1423-Calc!F25))+B1431),100)/100)+M1411*(MIN((Inputs!$B$9+((C1423=TRUE)*(F1423-Calc!F25))+B1431),100)/100)</f>
        <v/>
      </c>
      <c r="O1411">
        <f>(1-Summary!$B$55)*T1411+Summary!$B$55*V1411</f>
        <v/>
      </c>
      <c r="P1411">
        <f>IF(B1443=0,0,O1411/B1443)</f>
        <v/>
      </c>
      <c r="Q1411">
        <f>IFERROR(1/IF(Inputs!$B$39="pvp",15,MAX(0.1,Skills!D13-IF(Skills!E13=TRUE,0.5,0))),0)</f>
        <v/>
      </c>
      <c r="R1411">
        <f>IF(AND(Inputs!$B$39&lt;&gt;"pvp",Inputs!$B$44&gt;0),IF(MAX(0,Inputs!$B$44-B1442)&lt;=0,0,(INT(MAX(0,Inputs!$B$44-B1442)/IF(Inputs!$B$39="pvp",15,MAX(0.1,Skills!D13-IF(Skills!E13=TRUE,0.5,0))))+1)),0)</f>
        <v/>
      </c>
      <c r="S1411">
        <f>IFERROR(O1411/N1411,0)</f>
        <v/>
      </c>
      <c r="T1411">
        <f>IF(C1411,(H1411*N1411*IF(AND(Inputs!$B$39&lt;&gt;"pvp",Inputs!$B$44&gt;0),((Skills!G13*((R1411-1)*IF(Skills!H13&gt;0,Skills!I13/Skills!H13,1)+IF(Skills!H13&gt;0,MIN(Skills!I13,MAX(0,MAX(0,Inputs!$B$44-B1442)-((R1411-1)*IF(Inputs!$B$39="pvp",15,MAX(0.1,Skills!D13-IF(Skills!E13=TRUE,0.5,0))))))/Skills!H13,1)))/Inputs!$B$44),G1411*Q1411))*IF(Inputs!$B$39="pvp",1,1+(Inputs!$B$20+0+Skills!P13+B1432)/100),0)</f>
        <v/>
      </c>
      <c r="V1411">
        <f>IF(C1411,(H1411*N1411*IF(AND(Inputs!$B$39&lt;&gt;"pvp",Inputs!$B$44&gt;0),((Skills!G13*((R1411-1)*IF(Skills!H13&gt;0,Skills!I13/Skills!H13,1)+IF(Skills!H13&gt;0,MIN(Skills!I13,MAX(0,MAX(0,Inputs!$B$44-B1442)-((R1411-1)*IF(Inputs!$B$39="pvp",15,MAX(0.1,Skills!D13-IF(Skills!E13=TRUE,0.5,0))))))/Skills!H13,1)))/Inputs!$B$44),G1411*Q1411))*IF(Inputs!$B$39="pvp",1,(1+(Inputs!$B$21+Skills!Q13+B1432)/100)*(MIN(Skills!W13,Inputs!$B$37))),0)</f>
        <v/>
      </c>
    </row>
    <row r="1412">
      <c r="A1412">
        <f>Skills!A14</f>
        <v/>
      </c>
      <c r="B1412">
        <f>Skills!B14</f>
        <v/>
      </c>
      <c r="C1412">
        <f>Inputs!$B$3&gt;=107</f>
        <v/>
      </c>
      <c r="D1412">
        <f>IF(Skills!C14=1,60+Inputs!$B$25+Inputs!$B$29,IF(Skills!C14=2,90+Inputs!$B$26+Inputs!$B$29,IF(Skills!C14=3,120+Inputs!$B$27+Inputs!$B$29,MAX(0,(Inputs!$B$3-100)*3)+Inputs!$B$28+Inputs!$B$29)))</f>
        <v/>
      </c>
      <c r="E1412">
        <f>INDEX(FactorTable!$B$2:$Y$301, MATCH(ROUND(MIN(300,MAX(1,D1412)),0), FactorTable!$A$2:$A$301,0), Skills!M14+1)</f>
        <v/>
      </c>
      <c r="F1412">
        <f>IF(Skills!N14=TRUE,(Skills!L14/10)*(E1412/1000),Skills!L14/10)+Skills!O14</f>
        <v/>
      </c>
      <c r="G1412">
        <f>Skills!G14*IF(Skills!H14&gt;0,Skills!I14/Skills!H14,1)</f>
        <v/>
      </c>
      <c r="H1412">
        <f>1-(1-Skills!J14/100)^Skills!K14</f>
        <v/>
      </c>
      <c r="I1412" t="inlineStr">
        <is>
          <t>1</t>
        </is>
      </c>
      <c r="J1412">
        <f>((Inputs!$B$6*(1+Inputs!$B$7/100))+(((Inputs!$B$12*(1+Inputs!$B$13/100))-(Inputs!$B$12*(1+Inputs!$B$13/100)))+0.25*(Inputs!$B$14-Inputs!$B$14))*(1+Inputs!$B$7/100))*(F1412/100)</f>
        <v/>
      </c>
      <c r="K1412">
        <f>J1412*(1+((Inputs!$B$12*(1+Inputs!$B$13/100))*0.01+Inputs!$B$14*0.0025)/100)*(1+Inputs!$B$15/100)*(1+Inputs!$B$16/100)*(5000/(6000+Inputs!$B$43*(1-Inputs!$B$19/100)))*(1+(Inputs!$B$24+((C1428=TRUE)*(F1428-Calc!F30)))/100)*(1+(IF(Skills!A14="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1412)</f>
        <v/>
      </c>
      <c r="L1412">
        <f>K1412*(MIN(Inputs!$B$22+((C1422=TRUE)*(F1422-Calc!F24)),Inputs!$B$23+((C1427=TRUE)*(F1427-Calc!F29)))/100+(Inputs!$B$23+((C1427=TRUE)*(F1427-Calc!F29)))/100)/2</f>
        <v/>
      </c>
      <c r="M1412">
        <f>L1412*(1+(Inputs!$B$10+((C1424=TRUE)*(F1424-Calc!F26))+B1438)/100)</f>
        <v/>
      </c>
      <c r="N1412">
        <f>L1412*(1-MIN((Inputs!$B$9+((C1423=TRUE)*(F1423-Calc!F25))+B1431),100)/100)+M1412*(MIN((Inputs!$B$9+((C1423=TRUE)*(F1423-Calc!F25))+B1431),100)/100)</f>
        <v/>
      </c>
      <c r="O1412">
        <f>(1-Summary!$B$55)*T1412+Summary!$B$55*V1412</f>
        <v/>
      </c>
      <c r="P1412">
        <f>IF(B1443=0,0,O1412/B1443)</f>
        <v/>
      </c>
      <c r="Q1412">
        <f>IFERROR(1/IF(Inputs!$B$39="pvp",15,MAX(0.1,Skills!D14-IF(Skills!E14=TRUE,0.5,0))),0)</f>
        <v/>
      </c>
      <c r="R1412">
        <f>IF(AND(Inputs!$B$39&lt;&gt;"pvp",Inputs!$B$44&gt;0),IF(MAX(0,Inputs!$B$44-B1442)&lt;=0,0,(INT(MAX(0,Inputs!$B$44-B1442)/IF(Inputs!$B$39="pvp",15,MAX(0.1,Skills!D14-IF(Skills!E14=TRUE,0.5,0))))+1)),0)</f>
        <v/>
      </c>
      <c r="S1412">
        <f>IFERROR(O1412/N1412,0)</f>
        <v/>
      </c>
      <c r="T1412">
        <f>IF(C1412,(H1412*N1412*IF(AND(Inputs!$B$39&lt;&gt;"pvp",Inputs!$B$44&gt;0),((Skills!G14*((R1412-1)*IF(Skills!H14&gt;0,Skills!I14/Skills!H14,1)+IF(Skills!H14&gt;0,MIN(Skills!I14,MAX(0,MAX(0,Inputs!$B$44-B1442)-((R1412-1)*IF(Inputs!$B$39="pvp",15,MAX(0.1,Skills!D14-IF(Skills!E14=TRUE,0.5,0))))))/Skills!H14,1)))/Inputs!$B$44),G1412*Q1412))*IF(Inputs!$B$39="pvp",1,1+(Inputs!$B$20+0+Skills!P14+B1432)/100),0)</f>
        <v/>
      </c>
      <c r="V1412">
        <f>IF(C1412,(H1412*N1412*IF(AND(Inputs!$B$39&lt;&gt;"pvp",Inputs!$B$44&gt;0),((Skills!G14*((R1412-1)*IF(Skills!H14&gt;0,Skills!I14/Skills!H14,1)+IF(Skills!H14&gt;0,MIN(Skills!I14,MAX(0,MAX(0,Inputs!$B$44-B1442)-((R1412-1)*IF(Inputs!$B$39="pvp",15,MAX(0.1,Skills!D14-IF(Skills!E14=TRUE,0.5,0))))))/Skills!H14,1)))/Inputs!$B$44),G1412*Q1412))*IF(Inputs!$B$39="pvp",1,(1+(Inputs!$B$21+Skills!Q14+B1432)/100)*(MIN(MIN(5,0.25*B1435*Skills!D4)*Skills!V14,Inputs!$B$37))),0)</f>
        <v/>
      </c>
    </row>
    <row r="1413">
      <c r="A1413">
        <f>Skills!A15</f>
        <v/>
      </c>
      <c r="B1413">
        <f>Skills!B15</f>
        <v/>
      </c>
      <c r="C1413">
        <f>Inputs!$B$3&gt;=110</f>
        <v/>
      </c>
      <c r="D1413">
        <f>IF(Skills!C15=1,60+Inputs!$B$25+Inputs!$B$29,IF(Skills!C15=2,90+Inputs!$B$26+Inputs!$B$29,IF(Skills!C15=3,120+Inputs!$B$27+Inputs!$B$29,MAX(0,(Inputs!$B$3-100)*3)+Inputs!$B$28+Inputs!$B$29)))</f>
        <v/>
      </c>
      <c r="E1413">
        <f>INDEX(FactorTable!$B$2:$Y$301, MATCH(ROUND(MIN(300,MAX(1,D1413)),0), FactorTable!$A$2:$A$301,0), Skills!M15+1)</f>
        <v/>
      </c>
      <c r="F1413">
        <f>IF(Skills!N15=TRUE,(Skills!L15/10)*(E1413/1000),Skills!L15/10)+Skills!O15</f>
        <v/>
      </c>
      <c r="G1413">
        <f>Skills!G15*IF(Skills!H15&gt;0,Skills!I15/Skills!H15,1)</f>
        <v/>
      </c>
      <c r="H1413">
        <f>1-(1-Skills!J15/100)^Skills!K15</f>
        <v/>
      </c>
      <c r="I1413" t="inlineStr">
        <is>
          <t>1</t>
        </is>
      </c>
      <c r="J1413" t="inlineStr"/>
      <c r="K1413" t="inlineStr"/>
      <c r="L1413" t="inlineStr"/>
      <c r="M1413" t="inlineStr"/>
      <c r="N1413" t="inlineStr"/>
      <c r="O1413">
        <f>(1-Summary!$B$55)*T1413+Summary!$B$55*V1413</f>
        <v/>
      </c>
      <c r="P1413">
        <f>IF(B1443=0,0,O1413/B1443)</f>
        <v/>
      </c>
      <c r="Q1413">
        <f>IFERROR(1/IF(Inputs!$B$39="pvp",15,MAX(0.1,Skills!D15-IF(Skills!E15=TRUE,0.5,0))),0)</f>
        <v/>
      </c>
      <c r="R1413">
        <f>IF(AND(Inputs!$B$39&lt;&gt;"pvp",Inputs!$B$44&gt;0),IF(Inputs!$B$44&lt;=0,0,(INT(Inputs!$B$44/IF(Inputs!$B$39="pvp",15,MAX(0.1,Skills!D15-IF(Skills!E15=TRUE,0.5,0))))+1)),0)</f>
        <v/>
      </c>
      <c r="S1413">
        <f>IFERROR(O1413/N1413,0)</f>
        <v/>
      </c>
      <c r="T1413" t="n">
        <v>0</v>
      </c>
      <c r="V1413" t="n">
        <v>0</v>
      </c>
    </row>
    <row r="1414">
      <c r="A1414">
        <f>Skills!A16</f>
        <v/>
      </c>
      <c r="B1414">
        <f>Skills!B16</f>
        <v/>
      </c>
      <c r="C1414">
        <f>Inputs!$B$3&gt;=115</f>
        <v/>
      </c>
      <c r="D1414">
        <f>IF(Skills!C16=1,60+Inputs!$B$25+Inputs!$B$29,IF(Skills!C16=2,90+Inputs!$B$26+Inputs!$B$29,IF(Skills!C16=3,120+Inputs!$B$27+Inputs!$B$29,MAX(0,(Inputs!$B$3-100)*3)+Inputs!$B$28+Inputs!$B$29)))</f>
        <v/>
      </c>
      <c r="E1414">
        <f>INDEX(FactorTable!$B$2:$Y$301, MATCH(ROUND(MIN(300,MAX(1,D1414)),0), FactorTable!$A$2:$A$301,0), Skills!M16+1)</f>
        <v/>
      </c>
      <c r="F1414">
        <f>IF(Skills!N16=TRUE,(Skills!L16/10)*(E1414/1000),Skills!L16/10)+Skills!O16</f>
        <v/>
      </c>
      <c r="G1414">
        <f>Skills!G16*IF(Skills!H16&gt;0,Skills!I16/Skills!H16,1)</f>
        <v/>
      </c>
      <c r="H1414">
        <f>1-(1-Skills!J16/100)^Skills!K16</f>
        <v/>
      </c>
      <c r="I1414" t="inlineStr">
        <is>
          <t>1</t>
        </is>
      </c>
      <c r="J1414">
        <f>((Inputs!$B$6*(1+Inputs!$B$7/100))+(((Inputs!$B$12*(1+Inputs!$B$13/100))-(Inputs!$B$12*(1+Inputs!$B$13/100)))+0.25*(Inputs!$B$14-Inputs!$B$14))*(1+Inputs!$B$7/100))*(F1414/100)</f>
        <v/>
      </c>
      <c r="K1414">
        <f>J1414*(1+((Inputs!$B$12*(1+Inputs!$B$13/100))*0.01+Inputs!$B$14*0.0025)/100)*(1+Inputs!$B$15/100)*(1+Inputs!$B$16/100)*(5000/(6000+Inputs!$B$43*(1-Inputs!$B$19/100)))*(1+(Inputs!$B$24+((C1428=TRUE)*(F1428-Calc!F30)))/100)*(1+(IF(Skills!A16="CRUEL_STAB",Inputs!$B$17+((C1425=TRUE)*(F1425-Calc!F27)),Inputs!$B$18+((C1426=TRUE)*(F1426-Calc!F28))))/100)*(((1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B1433*I1414)</f>
        <v/>
      </c>
      <c r="L1414">
        <f>K1414*(MIN(Inputs!$B$22+((C1422=TRUE)*(F1422-Calc!F24)),Inputs!$B$23+((C1427=TRUE)*(F1427-Calc!F29)))/100+(Inputs!$B$23+((C1427=TRUE)*(F1427-Calc!F29)))/100)/2</f>
        <v/>
      </c>
      <c r="M1414">
        <f>L1414*(1+(Inputs!$B$10+((C1424=TRUE)*(F1424-Calc!F26))+B1438)/100)</f>
        <v/>
      </c>
      <c r="N1414">
        <f>L1414*(1-MIN((Inputs!$B$9+((C1423=TRUE)*(F1423-Calc!F25))+B1431),100)/100)+M1414*(MIN((Inputs!$B$9+((C1423=TRUE)*(F1423-Calc!F25))+B1431),100)/100)</f>
        <v/>
      </c>
      <c r="O1414">
        <f>(1-Summary!$B$55)*T1414+Summary!$B$55*V1414</f>
        <v/>
      </c>
      <c r="P1414">
        <f>IF(B1443=0,0,O1414/B1443)</f>
        <v/>
      </c>
      <c r="Q1414" t="n">
        <v>0</v>
      </c>
      <c r="R1414" t="n">
        <v>0</v>
      </c>
      <c r="S1414">
        <f>IFERROR(O1414/N1414,0)</f>
        <v/>
      </c>
      <c r="T1414">
        <f>IF(C1414,(Inputs!$B$38*0.2*N1414)*IF(Inputs!$B$39="pvp",1,1+(Inputs!$B$20+0+Skills!P16+B1432)/100),0)</f>
        <v/>
      </c>
      <c r="V1414">
        <f>IF(C1414,(Inputs!$B$38*0.2*N1414)*IF(Inputs!$B$39="pvp",1,(1+(Inputs!$B$21+Skills!Q16+B1432)/100)*(MIN(Skills!W16,Inputs!$B$37))),0)</f>
        <v/>
      </c>
    </row>
    <row r="1415">
      <c r="A1415">
        <f>Skills!A17</f>
        <v/>
      </c>
      <c r="B1415">
        <f>Skills!B17</f>
        <v/>
      </c>
      <c r="C1415">
        <f>Inputs!$B$3&gt;=115</f>
        <v/>
      </c>
      <c r="D1415">
        <f>IF(Skills!C17=1,60+Inputs!$B$25+Inputs!$B$29,IF(Skills!C17=2,90+Inputs!$B$26+Inputs!$B$29,IF(Skills!C17=3,120+Inputs!$B$27+Inputs!$B$29,MAX(0,(Inputs!$B$3-100)*3)+Inputs!$B$28+Inputs!$B$29)))</f>
        <v/>
      </c>
      <c r="E1415">
        <f>INDEX(FactorTable!$B$2:$Y$301, MATCH(ROUND(MIN(300,MAX(1,D1415)),0), FactorTable!$A$2:$A$301,0), Skills!M17+1)</f>
        <v/>
      </c>
      <c r="F1415">
        <f>IF(Skills!N17=TRUE,(Skills!L17/10)*(E1415/1000),Skills!L17/10)+Skills!O17</f>
        <v/>
      </c>
      <c r="G1415">
        <f>Skills!G17*IF(Skills!H17&gt;0,Skills!I17/Skills!H17,1)</f>
        <v/>
      </c>
      <c r="H1415">
        <f>1-(1-Skills!J17/100)^Skills!K17</f>
        <v/>
      </c>
      <c r="I1415" t="inlineStr">
        <is>
          <t>1</t>
        </is>
      </c>
      <c r="J1415" t="inlineStr"/>
      <c r="K1415" t="inlineStr"/>
      <c r="L1415" t="inlineStr"/>
      <c r="M1415" t="inlineStr"/>
      <c r="N1415" t="inlineStr"/>
      <c r="O1415">
        <f>(1-Summary!$B$55)*T1415+Summary!$B$55*V1415</f>
        <v/>
      </c>
      <c r="P1415">
        <f>IF(B1443=0,0,O1415/B1443)</f>
        <v/>
      </c>
      <c r="Q1415" t="n">
        <v>0</v>
      </c>
      <c r="R1415" t="n">
        <v>0</v>
      </c>
      <c r="S1415">
        <f>IFERROR(O1415/N1415,0)</f>
        <v/>
      </c>
      <c r="T1415" t="n">
        <v>0</v>
      </c>
      <c r="V1415" t="n">
        <v>0</v>
      </c>
    </row>
    <row r="1416">
      <c r="A1416">
        <f>Skills!A18</f>
        <v/>
      </c>
      <c r="B1416">
        <f>Skills!B18</f>
        <v/>
      </c>
      <c r="C1416">
        <f>Inputs!$B$3&gt;=100</f>
        <v/>
      </c>
      <c r="D1416">
        <f>IF(Skills!C18=1,60+Inputs!$B$25+Inputs!$B$29,IF(Skills!C18=2,90+Inputs!$B$26+Inputs!$B$29,IF(Skills!C18=3,120+Inputs!$B$27+Inputs!$B$29,MAX(0,(Inputs!$B$3-100)*3)+Inputs!$B$28+Inputs!$B$29)))</f>
        <v/>
      </c>
      <c r="E1416">
        <f>INDEX(FactorTable!$B$2:$Y$301, MATCH(ROUND(MIN(300,MAX(1,D1416)),0), FactorTable!$A$2:$A$301,0), Skills!M18+1)</f>
        <v/>
      </c>
      <c r="F1416">
        <f>IF(Skills!N18=TRUE,(Skills!L18/10)*(E1416/1000),Skills!L18/10)+Skills!O18</f>
        <v/>
      </c>
      <c r="G1416">
        <f>Skills!G18*IF(Skills!H18&gt;0,Skills!I18/Skills!H18,1)</f>
        <v/>
      </c>
      <c r="H1416">
        <f>1-(1-Skills!J18/100)^Skills!K18</f>
        <v/>
      </c>
      <c r="I1416" t="inlineStr">
        <is>
          <t>1</t>
        </is>
      </c>
      <c r="J1416" t="inlineStr"/>
      <c r="K1416" t="inlineStr"/>
      <c r="L1416" t="inlineStr"/>
      <c r="M1416" t="inlineStr"/>
      <c r="N1416" t="inlineStr"/>
      <c r="O1416">
        <f>(1-Summary!$B$55)*T1416+Summary!$B$55*V1416</f>
        <v/>
      </c>
      <c r="P1416">
        <f>IF(B1443=0,0,O1416/B1443)</f>
        <v/>
      </c>
      <c r="Q1416" t="n">
        <v>0</v>
      </c>
      <c r="R1416" t="n">
        <v>0</v>
      </c>
      <c r="S1416">
        <f>IFERROR(O1416/N1416,0)</f>
        <v/>
      </c>
      <c r="T1416" t="n">
        <v>0</v>
      </c>
      <c r="V1416" t="n">
        <v>0</v>
      </c>
    </row>
    <row r="1417">
      <c r="A1417">
        <f>Skills!A19</f>
        <v/>
      </c>
      <c r="B1417">
        <f>Skills!B19</f>
        <v/>
      </c>
      <c r="C1417">
        <f>TRUE</f>
        <v/>
      </c>
      <c r="D1417">
        <f>IF(Skills!C19=1,60+Inputs!$B$25+Inputs!$B$29,IF(Skills!C19=2,90+Inputs!$B$26+Inputs!$B$29,IF(Skills!C19=3,120+Inputs!$B$27+Inputs!$B$29,MAX(0,(Inputs!$B$3-100)*3)+Inputs!$B$28+Inputs!$B$29)))</f>
        <v/>
      </c>
      <c r="E1417">
        <f>INDEX(FactorTable!$B$2:$Y$301, MATCH(ROUND(MIN(300,MAX(1,D1417)),0), FactorTable!$A$2:$A$301,0), Skills!M19+1)</f>
        <v/>
      </c>
      <c r="F1417">
        <f>IF(Skills!N19=TRUE,(Skills!L19/10)*(E1417/1000),Skills!L19/10)+Skills!O19</f>
        <v/>
      </c>
      <c r="G1417">
        <f>Skills!G19*IF(Skills!H19&gt;0,Skills!I19/Skills!H19,1)</f>
        <v/>
      </c>
      <c r="H1417">
        <f>1-(1-Skills!J19/100)^Skills!K19</f>
        <v/>
      </c>
      <c r="I1417" t="inlineStr">
        <is>
          <t>1</t>
        </is>
      </c>
      <c r="J1417" t="inlineStr"/>
      <c r="K1417" t="inlineStr"/>
      <c r="L1417" t="inlineStr"/>
      <c r="M1417" t="inlineStr"/>
      <c r="N1417" t="inlineStr"/>
      <c r="O1417">
        <f>(1-Summary!$B$55)*T1417+Summary!$B$55*V1417</f>
        <v/>
      </c>
      <c r="P1417">
        <f>IF(B1443=0,0,O1417/B1443)</f>
        <v/>
      </c>
      <c r="Q1417">
        <f>IFERROR(1/IF(Inputs!$B$39="pvp",15,MAX(0.1,Skills!D19-IF(Skills!E19=TRUE,0.5,0))),0)</f>
        <v/>
      </c>
      <c r="R1417">
        <f>IF(AND(Inputs!$B$39&lt;&gt;"pvp",Inputs!$B$44&gt;0),IF(Inputs!$B$44&lt;=0,0,(INT(Inputs!$B$44/IF(Inputs!$B$39="pvp",15,MAX(0.1,Skills!D19-IF(Skills!E19=TRUE,0.5,0))))+1)),0)</f>
        <v/>
      </c>
      <c r="S1417">
        <f>IFERROR(O1417/N1417,0)</f>
        <v/>
      </c>
      <c r="T1417" t="n">
        <v>0</v>
      </c>
      <c r="V1417" t="n">
        <v>0</v>
      </c>
    </row>
    <row r="1418">
      <c r="A1418">
        <f>Skills!A20</f>
        <v/>
      </c>
      <c r="B1418">
        <f>Skills!B20</f>
        <v/>
      </c>
      <c r="C1418">
        <f>Inputs!$B$3&gt;=15</f>
        <v/>
      </c>
      <c r="D1418">
        <f>IF(Skills!C20=1,60+Inputs!$B$25+Inputs!$B$29,IF(Skills!C20=2,90+Inputs!$B$26+Inputs!$B$29,IF(Skills!C20=3,120+Inputs!$B$27+Inputs!$B$29,MAX(0,(Inputs!$B$3-100)*3)+Inputs!$B$28+Inputs!$B$29)))</f>
        <v/>
      </c>
      <c r="E1418">
        <f>INDEX(FactorTable!$B$2:$Y$301, MATCH(ROUND(MIN(300,MAX(1,D1418)),0), FactorTable!$A$2:$A$301,0), Skills!M20+1)</f>
        <v/>
      </c>
      <c r="F1418">
        <f>IF(Skills!N20=TRUE,(Skills!L20/10)*(E1418/1000),Skills!L20/10)+Skills!O20</f>
        <v/>
      </c>
      <c r="G1418">
        <f>Skills!G20*IF(Skills!H20&gt;0,Skills!I20/Skills!H20,1)</f>
        <v/>
      </c>
      <c r="H1418">
        <f>1-(1-Skills!J20/100)^Skills!K20</f>
        <v/>
      </c>
      <c r="I1418" t="inlineStr">
        <is>
          <t>1</t>
        </is>
      </c>
      <c r="J1418" t="inlineStr"/>
      <c r="K1418" t="inlineStr"/>
      <c r="L1418" t="inlineStr"/>
      <c r="M1418" t="inlineStr"/>
      <c r="N1418" t="inlineStr"/>
      <c r="O1418">
        <f>(1-Summary!$B$55)*T1418+Summary!$B$55*V1418</f>
        <v/>
      </c>
      <c r="P1418">
        <f>IF(B1443=0,0,O1418/B1443)</f>
        <v/>
      </c>
      <c r="Q1418">
        <f>IFERROR(1/IF(Inputs!$B$39="pvp",15,MAX(0.1,Skills!D20-IF(Skills!E20=TRUE,0.5,0))),0)</f>
        <v/>
      </c>
      <c r="R1418">
        <f>IF(AND(Inputs!$B$39&lt;&gt;"pvp",Inputs!$B$44&gt;0),IF(Inputs!$B$44&lt;=0,0,(INT(Inputs!$B$44/IF(Inputs!$B$39="pvp",15,MAX(0.1,Skills!D20-IF(Skills!E20=TRUE,0.5,0))))+1)),0)</f>
        <v/>
      </c>
      <c r="S1418">
        <f>IFERROR(O1418/N1418,0)</f>
        <v/>
      </c>
      <c r="T1418" t="n">
        <v>0</v>
      </c>
      <c r="V1418" t="n">
        <v>0</v>
      </c>
    </row>
    <row r="1419">
      <c r="A1419">
        <f>Skills!A21</f>
        <v/>
      </c>
      <c r="B1419">
        <f>Skills!B21</f>
        <v/>
      </c>
      <c r="C1419">
        <f>Inputs!$B$3&gt;=15</f>
        <v/>
      </c>
      <c r="D1419">
        <f>IF(Skills!C21=1,60+Inputs!$B$25+Inputs!$B$29,IF(Skills!C21=2,90+Inputs!$B$26+Inputs!$B$29,IF(Skills!C21=3,120+Inputs!$B$27+Inputs!$B$29,MAX(0,(Inputs!$B$3-100)*3)+Inputs!$B$28+Inputs!$B$29)))</f>
        <v/>
      </c>
      <c r="E1419">
        <f>INDEX(FactorTable!$B$2:$Y$301, MATCH(ROUND(MIN(300,MAX(1,D1419)),0), FactorTable!$A$2:$A$301,0), Skills!M21+1)</f>
        <v/>
      </c>
      <c r="F1419">
        <f>IF(Skills!N21=TRUE,(Skills!L21/10)*(E1419/1000),Skills!L21/10)+Skills!O21</f>
        <v/>
      </c>
      <c r="G1419">
        <f>Skills!G21*IF(Skills!H21&gt;0,Skills!I21/Skills!H21,1)</f>
        <v/>
      </c>
      <c r="H1419">
        <f>1-(1-Skills!J21/100)^Skills!K21</f>
        <v/>
      </c>
      <c r="I1419" t="inlineStr">
        <is>
          <t>1</t>
        </is>
      </c>
      <c r="J1419" t="inlineStr"/>
      <c r="K1419" t="inlineStr"/>
      <c r="L1419" t="inlineStr"/>
      <c r="M1419" t="inlineStr"/>
      <c r="N1419" t="inlineStr"/>
      <c r="O1419">
        <f>(1-Summary!$B$55)*T1419+Summary!$B$55*V1419</f>
        <v/>
      </c>
      <c r="P1419">
        <f>IF(B1443=0,0,O1419/B1443)</f>
        <v/>
      </c>
      <c r="Q1419">
        <f>IFERROR(1/IF(Inputs!$B$39="pvp",15,MAX(0.1,Skills!D21-IF(Skills!E21=TRUE,0.5,0))),0)</f>
        <v/>
      </c>
      <c r="R1419">
        <f>IF(AND(Inputs!$B$39&lt;&gt;"pvp",Inputs!$B$44&gt;0),IF(Inputs!$B$44&lt;=0,0,(INT(Inputs!$B$44/IF(Inputs!$B$39="pvp",15,MAX(0.1,Skills!D21-IF(Skills!E21=TRUE,0.5,0))))+1)),0)</f>
        <v/>
      </c>
      <c r="S1419">
        <f>IFERROR(O1419/N1419,0)</f>
        <v/>
      </c>
      <c r="T1419" t="n">
        <v>0</v>
      </c>
      <c r="V1419" t="n">
        <v>0</v>
      </c>
    </row>
    <row r="1420">
      <c r="A1420">
        <f>Skills!A22</f>
        <v/>
      </c>
      <c r="B1420">
        <f>Skills!B22</f>
        <v/>
      </c>
      <c r="C1420">
        <f>Inputs!$B$3&gt;=33</f>
        <v/>
      </c>
      <c r="D1420">
        <f>IF(Skills!C22=1,60+Inputs!$B$25+Inputs!$B$29,IF(Skills!C22=2,90+Inputs!$B$26+Inputs!$B$29,IF(Skills!C22=3,120+Inputs!$B$27+Inputs!$B$29,MAX(0,(Inputs!$B$3-100)*3)+Inputs!$B$28+Inputs!$B$29)))</f>
        <v/>
      </c>
      <c r="E1420">
        <f>INDEX(FactorTable!$B$2:$Y$301, MATCH(ROUND(MIN(300,MAX(1,D1420)),0), FactorTable!$A$2:$A$301,0), Skills!M22+1)</f>
        <v/>
      </c>
      <c r="F1420">
        <f>IF(Skills!N22=TRUE,(Skills!L22/10)*(E1420/1000),Skills!L22/10)+Skills!O22</f>
        <v/>
      </c>
      <c r="G1420">
        <f>Skills!G22*IF(Skills!H22&gt;0,Skills!I22/Skills!H22,1)</f>
        <v/>
      </c>
      <c r="H1420">
        <f>1-(1-Skills!J22/100)^Skills!K22</f>
        <v/>
      </c>
      <c r="I1420" t="inlineStr">
        <is>
          <t>1</t>
        </is>
      </c>
      <c r="J1420" t="inlineStr"/>
      <c r="K1420" t="inlineStr"/>
      <c r="L1420" t="inlineStr"/>
      <c r="M1420" t="inlineStr"/>
      <c r="N1420" t="inlineStr"/>
      <c r="O1420">
        <f>(1-Summary!$B$55)*T1420+Summary!$B$55*V1420</f>
        <v/>
      </c>
      <c r="P1420">
        <f>IF(B1443=0,0,O1420/B1443)</f>
        <v/>
      </c>
      <c r="Q1420" t="n">
        <v>0</v>
      </c>
      <c r="R1420" t="n">
        <v>0</v>
      </c>
      <c r="S1420">
        <f>IFERROR(O1420/N1420,0)</f>
        <v/>
      </c>
      <c r="T1420" t="n">
        <v>0</v>
      </c>
      <c r="V1420" t="n">
        <v>0</v>
      </c>
    </row>
    <row r="1421">
      <c r="A1421">
        <f>Skills!A23</f>
        <v/>
      </c>
      <c r="B1421">
        <f>Skills!B23</f>
        <v/>
      </c>
      <c r="C1421">
        <f>Inputs!$B$3&gt;=40</f>
        <v/>
      </c>
      <c r="D1421">
        <f>IF(Skills!C23=1,60+Inputs!$B$25+Inputs!$B$29,IF(Skills!C23=2,90+Inputs!$B$26+Inputs!$B$29,IF(Skills!C23=3,120+Inputs!$B$27+Inputs!$B$29,MAX(0,(Inputs!$B$3-100)*3)+Inputs!$B$28+Inputs!$B$29)))</f>
        <v/>
      </c>
      <c r="E1421">
        <f>INDEX(FactorTable!$B$2:$Y$301, MATCH(ROUND(MIN(300,MAX(1,D1421)),0), FactorTable!$A$2:$A$301,0), Skills!M23+1)</f>
        <v/>
      </c>
      <c r="F1421">
        <f>IF(Skills!N23=TRUE,(Skills!L23/10)*(E1421/1000),Skills!L23/10)+Skills!O23</f>
        <v/>
      </c>
      <c r="G1421">
        <f>Skills!G23*IF(Skills!H23&gt;0,Skills!I23/Skills!H23,1)</f>
        <v/>
      </c>
      <c r="H1421">
        <f>1-(1-Skills!J23/100)^Skills!K23</f>
        <v/>
      </c>
      <c r="I1421" t="inlineStr">
        <is>
          <t>1</t>
        </is>
      </c>
      <c r="J1421" t="inlineStr"/>
      <c r="K1421" t="inlineStr"/>
      <c r="L1421" t="inlineStr"/>
      <c r="M1421" t="inlineStr"/>
      <c r="N1421" t="inlineStr"/>
      <c r="O1421">
        <f>(1-Summary!$B$55)*T1421+Summary!$B$55*V1421</f>
        <v/>
      </c>
      <c r="P1421">
        <f>IF(B1443=0,0,O1421/B1443)</f>
        <v/>
      </c>
      <c r="Q1421" t="n">
        <v>0</v>
      </c>
      <c r="R1421" t="n">
        <v>0</v>
      </c>
      <c r="S1421">
        <f>IFERROR(O1421/N1421,0)</f>
        <v/>
      </c>
      <c r="T1421" t="n">
        <v>0</v>
      </c>
      <c r="V1421" t="n">
        <v>0</v>
      </c>
    </row>
    <row r="1422">
      <c r="A1422">
        <f>Skills!A24</f>
        <v/>
      </c>
      <c r="B1422">
        <f>Skills!B24</f>
        <v/>
      </c>
      <c r="C1422">
        <f>Inputs!$B$3&gt;=43</f>
        <v/>
      </c>
      <c r="D1422">
        <f>IF(Skills!C24=1,60+Inputs!$B$25+Inputs!$B$29,IF(Skills!C24=2,90+Inputs!$B$26+Inputs!$B$29,IF(Skills!C24=3,120+Inputs!$B$27+Inputs!$B$29,MAX(0,(Inputs!$B$3-100)*3)+Inputs!$B$28+Inputs!$B$29)))</f>
        <v/>
      </c>
      <c r="E1422">
        <f>INDEX(FactorTable!$B$2:$Y$301, MATCH(ROUND(MIN(300,MAX(1,D1422)),0), FactorTable!$A$2:$A$301,0), Skills!M24+1)</f>
        <v/>
      </c>
      <c r="F1422">
        <f>IF(Skills!N24=TRUE,(Skills!L24/10)*(E1422/1000),Skills!L24/10)+Skills!O24</f>
        <v/>
      </c>
      <c r="G1422">
        <f>Skills!G24*IF(Skills!H24&gt;0,Skills!I24/Skills!H24,1)</f>
        <v/>
      </c>
      <c r="H1422">
        <f>1-(1-Skills!J24/100)^Skills!K24</f>
        <v/>
      </c>
      <c r="I1422" t="inlineStr">
        <is>
          <t>1</t>
        </is>
      </c>
      <c r="J1422" t="inlineStr"/>
      <c r="K1422" t="inlineStr"/>
      <c r="L1422" t="inlineStr"/>
      <c r="M1422" t="inlineStr"/>
      <c r="N1422" t="inlineStr"/>
      <c r="O1422">
        <f>(1-Summary!$B$55)*T1422+Summary!$B$55*V1422</f>
        <v/>
      </c>
      <c r="P1422">
        <f>IF(B1443=0,0,O1422/B1443)</f>
        <v/>
      </c>
      <c r="Q1422" t="n">
        <v>0</v>
      </c>
      <c r="R1422" t="n">
        <v>0</v>
      </c>
      <c r="S1422">
        <f>IFERROR(O1422/N1422,0)</f>
        <v/>
      </c>
      <c r="T1422" t="n">
        <v>0</v>
      </c>
      <c r="V1422" t="n">
        <v>0</v>
      </c>
    </row>
    <row r="1423">
      <c r="A1423">
        <f>Skills!A25</f>
        <v/>
      </c>
      <c r="B1423">
        <f>Skills!B25</f>
        <v/>
      </c>
      <c r="C1423">
        <f>Inputs!$B$3&gt;=50</f>
        <v/>
      </c>
      <c r="D1423">
        <f>IF(Skills!C25=1,60+Inputs!$B$25+Inputs!$B$29,IF(Skills!C25=2,90+Inputs!$B$26+Inputs!$B$29,IF(Skills!C25=3,120+Inputs!$B$27+Inputs!$B$29,MAX(0,(Inputs!$B$3-100)*3)+Inputs!$B$28+Inputs!$B$29)))</f>
        <v/>
      </c>
      <c r="E1423">
        <f>INDEX(FactorTable!$B$2:$Y$301, MATCH(ROUND(MIN(300,MAX(1,D1423)),0), FactorTable!$A$2:$A$301,0), Skills!M25+1)</f>
        <v/>
      </c>
      <c r="F1423">
        <f>IF(Skills!N25=TRUE,(Skills!L25/10)*(E1423/1000),Skills!L25/10)+Skills!O25</f>
        <v/>
      </c>
      <c r="G1423">
        <f>Skills!G25*IF(Skills!H25&gt;0,Skills!I25/Skills!H25,1)</f>
        <v/>
      </c>
      <c r="H1423">
        <f>1-(1-Skills!J25/100)^Skills!K25</f>
        <v/>
      </c>
      <c r="I1423" t="inlineStr">
        <is>
          <t>1</t>
        </is>
      </c>
      <c r="J1423" t="inlineStr"/>
      <c r="K1423" t="inlineStr"/>
      <c r="L1423" t="inlineStr"/>
      <c r="M1423" t="inlineStr"/>
      <c r="N1423" t="inlineStr"/>
      <c r="O1423">
        <f>(1-Summary!$B$55)*T1423+Summary!$B$55*V1423</f>
        <v/>
      </c>
      <c r="P1423">
        <f>IF(B1443=0,0,O1423/B1443)</f>
        <v/>
      </c>
      <c r="Q1423" t="n">
        <v>0</v>
      </c>
      <c r="R1423" t="n">
        <v>0</v>
      </c>
      <c r="S1423">
        <f>IFERROR(O1423/N1423,0)</f>
        <v/>
      </c>
      <c r="T1423" t="n">
        <v>0</v>
      </c>
      <c r="V1423" t="n">
        <v>0</v>
      </c>
    </row>
    <row r="1424">
      <c r="A1424">
        <f>Skills!A26</f>
        <v/>
      </c>
      <c r="B1424">
        <f>Skills!B26</f>
        <v/>
      </c>
      <c r="C1424">
        <f>Inputs!$B$3&gt;=50</f>
        <v/>
      </c>
      <c r="D1424">
        <f>IF(Skills!C26=1,60+Inputs!$B$25+Inputs!$B$29,IF(Skills!C26=2,90+Inputs!$B$26+Inputs!$B$29,IF(Skills!C26=3,120+Inputs!$B$27+Inputs!$B$29,MAX(0,(Inputs!$B$3-100)*3)+Inputs!$B$28+Inputs!$B$29)))</f>
        <v/>
      </c>
      <c r="E1424">
        <f>INDEX(FactorTable!$B$2:$Y$301, MATCH(ROUND(MIN(300,MAX(1,D1424)),0), FactorTable!$A$2:$A$301,0), Skills!M26+1)</f>
        <v/>
      </c>
      <c r="F1424">
        <f>IF(Skills!N26=TRUE,(Skills!L26/10)*(E1424/1000),Skills!L26/10)+Skills!O26</f>
        <v/>
      </c>
      <c r="G1424">
        <f>Skills!G26*IF(Skills!H26&gt;0,Skills!I26/Skills!H26,1)</f>
        <v/>
      </c>
      <c r="H1424">
        <f>1-(1-Skills!J26/100)^Skills!K26</f>
        <v/>
      </c>
      <c r="I1424" t="inlineStr">
        <is>
          <t>1</t>
        </is>
      </c>
      <c r="J1424" t="inlineStr"/>
      <c r="K1424" t="inlineStr"/>
      <c r="L1424" t="inlineStr"/>
      <c r="M1424" t="inlineStr"/>
      <c r="N1424" t="inlineStr"/>
      <c r="O1424">
        <f>(1-Summary!$B$55)*T1424+Summary!$B$55*V1424</f>
        <v/>
      </c>
      <c r="P1424">
        <f>IF(B1443=0,0,O1424/B1443)</f>
        <v/>
      </c>
      <c r="Q1424" t="n">
        <v>0</v>
      </c>
      <c r="R1424" t="n">
        <v>0</v>
      </c>
      <c r="S1424">
        <f>IFERROR(O1424/N1424,0)</f>
        <v/>
      </c>
      <c r="T1424" t="n">
        <v>0</v>
      </c>
      <c r="V1424" t="n">
        <v>0</v>
      </c>
    </row>
    <row r="1425">
      <c r="A1425">
        <f>Skills!A27</f>
        <v/>
      </c>
      <c r="B1425">
        <f>Skills!B27</f>
        <v/>
      </c>
      <c r="C1425">
        <f>Inputs!$B$3&gt;=38</f>
        <v/>
      </c>
      <c r="D1425">
        <f>IF(Skills!C27=1,60+Inputs!$B$25+Inputs!$B$29,IF(Skills!C27=2,90+Inputs!$B$26+Inputs!$B$29,IF(Skills!C27=3,120+Inputs!$B$27+Inputs!$B$29,MAX(0,(Inputs!$B$3-100)*3)+Inputs!$B$28+Inputs!$B$29)))</f>
        <v/>
      </c>
      <c r="E1425">
        <f>INDEX(FactorTable!$B$2:$Y$301, MATCH(ROUND(MIN(300,MAX(1,D1425)),0), FactorTable!$A$2:$A$301,0), Skills!M27+1)</f>
        <v/>
      </c>
      <c r="F1425">
        <f>IF(Skills!N27=TRUE,(Skills!L27/10)*(E1425/1000),Skills!L27/10)+Skills!O27</f>
        <v/>
      </c>
      <c r="G1425">
        <f>Skills!G27*IF(Skills!H27&gt;0,Skills!I27/Skills!H27,1)</f>
        <v/>
      </c>
      <c r="H1425">
        <f>1-(1-Skills!J27/100)^Skills!K27</f>
        <v/>
      </c>
      <c r="I1425" t="inlineStr">
        <is>
          <t>1</t>
        </is>
      </c>
      <c r="J1425" t="inlineStr"/>
      <c r="K1425" t="inlineStr"/>
      <c r="L1425" t="inlineStr"/>
      <c r="M1425" t="inlineStr"/>
      <c r="N1425" t="inlineStr"/>
      <c r="O1425">
        <f>(1-Summary!$B$55)*T1425+Summary!$B$55*V1425</f>
        <v/>
      </c>
      <c r="P1425">
        <f>IF(B1443=0,0,O1425/B1443)</f>
        <v/>
      </c>
      <c r="Q1425" t="n">
        <v>0</v>
      </c>
      <c r="R1425" t="n">
        <v>0</v>
      </c>
      <c r="S1425">
        <f>IFERROR(O1425/N1425,0)</f>
        <v/>
      </c>
      <c r="T1425" t="n">
        <v>0</v>
      </c>
      <c r="V1425" t="n">
        <v>0</v>
      </c>
    </row>
    <row r="1426">
      <c r="A1426">
        <f>Skills!A28</f>
        <v/>
      </c>
      <c r="B1426">
        <f>Skills!B28</f>
        <v/>
      </c>
      <c r="C1426">
        <f>Inputs!$B$3&gt;=120</f>
        <v/>
      </c>
      <c r="D1426">
        <f>IF(Skills!C28=1,60+Inputs!$B$25+Inputs!$B$29,IF(Skills!C28=2,90+Inputs!$B$26+Inputs!$B$29,IF(Skills!C28=3,120+Inputs!$B$27+Inputs!$B$29,MAX(0,(Inputs!$B$3-100)*3)+Inputs!$B$28+Inputs!$B$29)))</f>
        <v/>
      </c>
      <c r="E1426">
        <f>INDEX(FactorTable!$B$2:$Y$301, MATCH(ROUND(MIN(300,MAX(1,D1426)),0), FactorTable!$A$2:$A$301,0), Skills!M28+1)</f>
        <v/>
      </c>
      <c r="F1426">
        <f>IF(Skills!N28=TRUE,(Skills!L28/10)*(E1426/1000),Skills!L28/10)+Skills!O28</f>
        <v/>
      </c>
      <c r="G1426">
        <f>Skills!G28*IF(Skills!H28&gt;0,Skills!I28/Skills!H28,1)</f>
        <v/>
      </c>
      <c r="H1426">
        <f>1-(1-Skills!J28/100)^Skills!K28</f>
        <v/>
      </c>
      <c r="I1426" t="inlineStr">
        <is>
          <t>1</t>
        </is>
      </c>
      <c r="J1426" t="inlineStr"/>
      <c r="K1426" t="inlineStr"/>
      <c r="L1426" t="inlineStr"/>
      <c r="M1426" t="inlineStr"/>
      <c r="N1426" t="inlineStr"/>
      <c r="O1426">
        <f>(1-Summary!$B$55)*T1426+Summary!$B$55*V1426</f>
        <v/>
      </c>
      <c r="P1426">
        <f>IF(B1443=0,0,O1426/B1443)</f>
        <v/>
      </c>
      <c r="Q1426" t="n">
        <v>0</v>
      </c>
      <c r="R1426" t="n">
        <v>0</v>
      </c>
      <c r="S1426">
        <f>IFERROR(O1426/N1426,0)</f>
        <v/>
      </c>
      <c r="T1426" t="n">
        <v>0</v>
      </c>
      <c r="V1426" t="n">
        <v>0</v>
      </c>
    </row>
    <row r="1427">
      <c r="A1427">
        <f>Skills!A29</f>
        <v/>
      </c>
      <c r="B1427">
        <f>Skills!B29</f>
        <v/>
      </c>
      <c r="C1427">
        <f>Inputs!$B$3&gt;=120</f>
        <v/>
      </c>
      <c r="D1427">
        <f>IF(Skills!C29=1,60+Inputs!$B$25+Inputs!$B$29,IF(Skills!C29=2,90+Inputs!$B$26+Inputs!$B$29,IF(Skills!C29=3,120+Inputs!$B$27+Inputs!$B$29,MAX(0,(Inputs!$B$3-100)*3)+Inputs!$B$28+Inputs!$B$29)))</f>
        <v/>
      </c>
      <c r="E1427">
        <f>INDEX(FactorTable!$B$2:$Y$301, MATCH(ROUND(MIN(300,MAX(1,D1427)),0), FactorTable!$A$2:$A$301,0), Skills!M29+1)</f>
        <v/>
      </c>
      <c r="F1427">
        <f>IF(Skills!N29=TRUE,(Skills!L29/10)*(E1427/1000),Skills!L29/10)+Skills!O29</f>
        <v/>
      </c>
      <c r="G1427">
        <f>Skills!G29*IF(Skills!H29&gt;0,Skills!I29/Skills!H29,1)</f>
        <v/>
      </c>
      <c r="H1427">
        <f>1-(1-Skills!J29/100)^Skills!K29</f>
        <v/>
      </c>
      <c r="I1427" t="inlineStr">
        <is>
          <t>1</t>
        </is>
      </c>
      <c r="J1427" t="inlineStr"/>
      <c r="K1427" t="inlineStr"/>
      <c r="L1427" t="inlineStr"/>
      <c r="M1427" t="inlineStr"/>
      <c r="N1427" t="inlineStr"/>
      <c r="O1427">
        <f>(1-Summary!$B$55)*T1427+Summary!$B$55*V1427</f>
        <v/>
      </c>
      <c r="P1427">
        <f>IF(B1443=0,0,O1427/B1443)</f>
        <v/>
      </c>
      <c r="Q1427" t="n">
        <v>0</v>
      </c>
      <c r="R1427" t="n">
        <v>0</v>
      </c>
      <c r="S1427">
        <f>IFERROR(O1427/N1427,0)</f>
        <v/>
      </c>
      <c r="T1427" t="n">
        <v>0</v>
      </c>
      <c r="V1427" t="n">
        <v>0</v>
      </c>
    </row>
    <row r="1428">
      <c r="A1428">
        <f>Skills!A30</f>
        <v/>
      </c>
      <c r="B1428">
        <f>Skills!B30</f>
        <v/>
      </c>
      <c r="C1428">
        <f>Inputs!$B$3&gt;=125</f>
        <v/>
      </c>
      <c r="D1428">
        <f>IF(Skills!C30=1,60+Inputs!$B$25+Inputs!$B$29,IF(Skills!C30=2,90+Inputs!$B$26+Inputs!$B$29,IF(Skills!C30=3,120+Inputs!$B$27+Inputs!$B$29,MAX(0,(Inputs!$B$3-100)*3)+Inputs!$B$28+Inputs!$B$29)))</f>
        <v/>
      </c>
      <c r="E1428">
        <f>INDEX(FactorTable!$B$2:$Y$301, MATCH(ROUND(MIN(300,MAX(1,D1428)),0), FactorTable!$A$2:$A$301,0), Skills!M30+1)</f>
        <v/>
      </c>
      <c r="F1428">
        <f>IF(Skills!N30=TRUE,(Skills!L30/10)*(E1428/1000),Skills!L30/10)+Skills!O30</f>
        <v/>
      </c>
      <c r="G1428">
        <f>Skills!G30*IF(Skills!H30&gt;0,Skills!I30/Skills!H30,1)</f>
        <v/>
      </c>
      <c r="H1428">
        <f>1-(1-Skills!J30/100)^Skills!K30</f>
        <v/>
      </c>
      <c r="I1428" t="inlineStr">
        <is>
          <t>1</t>
        </is>
      </c>
      <c r="J1428" t="inlineStr"/>
      <c r="K1428" t="inlineStr"/>
      <c r="L1428" t="inlineStr"/>
      <c r="M1428" t="inlineStr"/>
      <c r="N1428" t="inlineStr"/>
      <c r="O1428">
        <f>(1-Summary!$B$55)*T1428+Summary!$B$55*V1428</f>
        <v/>
      </c>
      <c r="P1428">
        <f>IF(B1443=0,0,O1428/B1443)</f>
        <v/>
      </c>
      <c r="Q1428" t="n">
        <v>0</v>
      </c>
      <c r="R1428" t="n">
        <v>0</v>
      </c>
      <c r="S1428">
        <f>IFERROR(O1428/N1428,0)</f>
        <v/>
      </c>
      <c r="T1428" t="n">
        <v>0</v>
      </c>
      <c r="V1428" t="n">
        <v>0</v>
      </c>
    </row>
    <row r="1430">
      <c r="A1430" t="inlineStr">
        <is>
          <t>Average Buff Multiplier</t>
        </is>
      </c>
      <c r="B1430">
        <f>(1+(((C1419=TRUE)*F1419*IF(AND(Inputs!$B$39&lt;&gt;"pvp",Inputs!$B$44&gt;0),(((R1419-1)*(Skills!Y21*(1+Inputs!$B$34/100))+MIN((Skills!Y21*(1+Inputs!$B$34/100)),MAX(0,Inputs!$B$44-((R1419-1)*Skills!D21))))/Inputs!$B$44),IF(Inputs!$B$39="pvp",MIN((Skills!Y21*(1+Inputs!$B$34/100)),15)/15,(Skills!Y21*(1+Inputs!$B$34/100))/Skills!D21)))+((C1421=TRUE)*(F1421-Calc!F23))+((C1415=TRUE)*(F1415-Calc!F17)))/100)*(1+((C1408=TRUE)*F1408*IF(AND(Inputs!$B$39&lt;&gt;"pvp",Inputs!$B$44&gt;0),(((R1408-1)*(Skills!Y10*(1+Inputs!$B$34/100))+MIN((Skills!Y10*(1+Inputs!$B$34/100)),MAX(0,Inputs!$B$44-((R1408-1)*Skills!D10))))/Inputs!$B$44),IF(Inputs!$B$39="pvp",MIN((Skills!Y10*(1+Inputs!$B$34/100)),15)/15,(Skills!Y10*(1+Inputs!$B$34/100))/Skills!D10)))/100)*(1+((C1413=TRUE)*F1413*IF(AND(Inputs!$B$39&lt;&gt;"pvp",Inputs!$B$44&gt;0),(((R1413-1)*(Skills!Y15*(1+Inputs!$B$34/100))+MIN((Skills!Y15*(1+Inputs!$B$34/100)),MAX(0,Inputs!$B$44-((R1413-1)*Skills!D15))))/Inputs!$B$44),IF(Inputs!$B$39="pvp",MIN((Skills!Y15*(1+Inputs!$B$34/100)),15)/15,(Skills!Y15*(1+Inputs!$B$34/100))/Skills!D15)))/100)</f>
        <v/>
      </c>
    </row>
    <row r="1431">
      <c r="A1431" t="inlineStr">
        <is>
          <t>Global Crit Rate Bonus %</t>
        </is>
      </c>
      <c r="B1431">
        <f>((C1418=TRUE)*F1418*IF(AND(Inputs!$B$39&lt;&gt;"pvp",Inputs!$B$44&gt;0),(((R1418-1)*(Skills!Y20*(1+Inputs!$B$34/100))+MIN((Skills!Y20*(1+Inputs!$B$34/100)),MAX(0,Inputs!$B$44-((R1418-1)*Skills!D20))))/Inputs!$B$44),IF(Inputs!$B$39="pvp",MIN((Skills!Y20*(1+Inputs!$B$34/100)),15)/15,(Skills!Y20*(1+Inputs!$B$34/100))/Skills!D20)))</f>
        <v/>
      </c>
    </row>
    <row r="1432">
      <c r="A1432" t="inlineStr">
        <is>
          <t>Global Monster Damage-Taken Bonus %</t>
        </is>
      </c>
      <c r="B1432">
        <f>IF(Inputs!$B$3&gt;=82,15,0)</f>
        <v/>
      </c>
    </row>
    <row r="1433">
      <c r="A1433" t="inlineStr">
        <is>
          <t>Shadow Partner Average Multiplier</t>
        </is>
      </c>
      <c r="B1433">
        <f>1+((C1405=TRUE)*F1405*(1+3.3333333333333335*IF(C1416=TRUE,F1416,0)/100)*I1405*Skills!J7/100)/100</f>
        <v/>
      </c>
    </row>
    <row r="1434">
      <c r="A1434" t="inlineStr">
        <is>
          <t>Attack Speed Buff Bonus %</t>
        </is>
      </c>
      <c r="B1434">
        <f>((C1417=TRUE)*F1417*IF(AND(Inputs!$B$39&lt;&gt;"pvp",Inputs!$B$44&gt;0),(((R1417-1)*(Skills!Y19*(1+Inputs!$B$34/100))+MIN((Skills!Y19*(1+Inputs!$B$34/100)),MAX(0,Inputs!$B$44-((R1417-1)*Skills!D19))))/Inputs!$B$44),IF(Inputs!$B$39="pvp",MIN((Skills!Y19*(1+Inputs!$B$34/100)),15)/15,(Skills!Y19*(1+Inputs!$B$34/100))/Skills!D19)))+((C1401=TRUE)*F1401*3)</f>
        <v/>
      </c>
    </row>
    <row r="1435">
      <c r="A1435" t="inlineStr">
        <is>
          <t>Actions Per Second</t>
        </is>
      </c>
      <c r="B1435">
        <f>1+MIN(150,150*(1-(1-(Inputs!$B$11+((C1420=TRUE)*(F1420-Calc!F22)))/150)*(1-B1434/150)))/100</f>
        <v/>
      </c>
    </row>
    <row r="1436">
      <c r="A1436" t="inlineStr">
        <is>
          <t>Skill + Buff Cast Rate</t>
        </is>
      </c>
      <c r="B1436">
        <f>IF(AND(Inputs!$B$39&lt;&gt;"pvp",Inputs!$B$44&gt;0),SUMPRODUCT((Skills!E2:E30=TRUE)*(C1400:C1428=TRUE)*R1400:R1428*Skills!F2:F30)/Inputs!$B$44,SUMPRODUCT((Skills!E2:E30=TRUE)*(C1400:C1428=TRUE)*Q1400:Q1428*Skills!F2:F30))</f>
        <v/>
      </c>
    </row>
    <row r="1437">
      <c r="A1437" t="inlineStr">
        <is>
          <t>Cruel Stab Casts Per Second</t>
        </is>
      </c>
      <c r="B1437">
        <f>MAX(0,B1435-B1436)</f>
        <v/>
      </c>
    </row>
    <row r="1438">
      <c r="A1438" t="inlineStr">
        <is>
          <t>Global Critical Damage Bonus % (Smokescreen Mastery Lv.113)</t>
        </is>
      </c>
      <c r="B1438">
        <f>IF(Inputs!$B$3&gt;=113,30,0)*IF(AND(Inputs!$B$39&lt;&gt;"pvp",Inputs!$B$44&gt;0),(((R1413-1)*(Skills!Y15*(1+Inputs!$B$34/100))+MIN((Skills!Y15*(1+Inputs!$B$34/100)),MAX(0,Inputs!$B$44-((R1413-1)*Skills!D15))))/Inputs!$B$44),IF(Inputs!$B$39="pvp",MIN((Skills!Y15*(1+Inputs!$B$34/100)),15)/15,(Skills!Y15*(1+Inputs!$B$34/100))/Skills!D15))</f>
        <v/>
      </c>
    </row>
    <row r="1439">
      <c r="A1439" t="inlineStr">
        <is>
          <t>Meso Explosion average stack count</t>
        </is>
      </c>
      <c r="B1439">
        <f>MIN(10,0.5*B1435*Skills!D4)</f>
        <v/>
      </c>
    </row>
    <row r="1440">
      <c r="A1440" t="inlineStr">
        <is>
          <t>Blood Money average stack count</t>
        </is>
      </c>
      <c r="B1440">
        <f>MIN(5,0.25*B1435*Skills!D4)</f>
        <v/>
      </c>
    </row>
    <row r="1441">
      <c r="A1441" t="inlineStr">
        <is>
          <t>Assassinate Murderous Intent Multiplier</t>
        </is>
      </c>
      <c r="B1441">
        <f>1+IFERROR(MIN(1,Q1412*2/Q1409),0)</f>
        <v/>
      </c>
    </row>
    <row r="1442">
      <c r="A1442" t="inlineStr">
        <is>
          <t>Buff-Casting Startup Delay (s, fixed-duration only)</t>
        </is>
      </c>
      <c r="B1442">
        <f>IF(AND(Inputs!$B$39&lt;&gt;"pvp",Inputs!$B$44&gt;0),SUMPRODUCT((Skills!Y2:Y30&gt;0)*(Skills!E2:E30=TRUE)*(C1400:C1428=TRUE))/B1435,0)</f>
        <v/>
      </c>
    </row>
    <row r="1443">
      <c r="A1443" s="5" t="inlineStr">
        <is>
          <t>TOTAL DPS</t>
        </is>
      </c>
      <c r="B1443" s="5">
        <f>SUM(O1400:O1428)</f>
        <v/>
      </c>
    </row>
    <row r="1444">
      <c r="A1444" t="inlineStr">
        <is>
          <t>Boss-Only Total DPS (this block's swept value)</t>
        </is>
      </c>
      <c r="B1444">
        <f>SUM(T1400:T1428)</f>
        <v/>
      </c>
    </row>
    <row r="1445">
      <c r="A1445" t="inlineStr">
        <is>
          <t>Normal-Only Total DPS (this block's swept value)</t>
        </is>
      </c>
      <c r="B1445">
        <f>SUM(V1400:V1428)</f>
        <v/>
      </c>
    </row>
    <row r="1448">
      <c r="A1448" s="5" t="inlineStr">
        <is>
          <t>Stat: CDR = 1.0s</t>
        </is>
      </c>
    </row>
    <row r="1449">
      <c r="A1449" s="9" t="inlineStr">
        <is>
          <t>Key</t>
        </is>
      </c>
      <c r="B1449" s="9" t="inlineStr">
        <is>
          <t>Name</t>
        </is>
      </c>
      <c r="C1449" s="9" t="inlineStr">
        <is>
          <t>Unlocked</t>
        </is>
      </c>
      <c r="D1449" s="9" t="inlineStr">
        <is>
          <t>InputLevel</t>
        </is>
      </c>
      <c r="E1449" s="9" t="inlineStr">
        <is>
          <t>Factor</t>
        </is>
      </c>
      <c r="F1449" s="9" t="inlineStr">
        <is>
          <t>CoefficientPercent</t>
        </is>
      </c>
      <c r="G1449" s="9" t="inlineStr">
        <is>
          <t>EffectiveHits</t>
        </is>
      </c>
      <c r="H1449" s="9" t="inlineStr">
        <is>
          <t>ProcProbability</t>
        </is>
      </c>
      <c r="I1449" s="9" t="inlineStr">
        <is>
          <t>MapleHeroMultiplier</t>
        </is>
      </c>
      <c r="J1449" s="9" t="inlineStr">
        <is>
          <t>BaseDamage</t>
        </is>
      </c>
      <c r="K1449" s="9" t="inlineStr">
        <is>
          <t>BaseHitDamage</t>
        </is>
      </c>
      <c r="L1449" s="9" t="inlineStr">
        <is>
          <t>NonCritAvg</t>
        </is>
      </c>
      <c r="M1449" s="9" t="inlineStr">
        <is>
          <t>CritAvg</t>
        </is>
      </c>
      <c r="N1449" s="9" t="inlineStr">
        <is>
          <t>ExpectedDamage(perHit)</t>
        </is>
      </c>
      <c r="O1449" s="9" t="inlineStr">
        <is>
          <t>DPS</t>
        </is>
      </c>
      <c r="P1449" s="9" t="inlineStr">
        <is>
          <t>% of Total</t>
        </is>
      </c>
      <c r="Q1449" s="9" t="inlineStr">
        <is>
          <t>InvCooldown</t>
        </is>
      </c>
      <c r="R1449" s="9" t="inlineStr">
        <is>
          <t>CastsInFight</t>
        </is>
      </c>
      <c r="S1449" s="9" t="inlineStr">
        <is>
          <t>HitRate(perSec)</t>
        </is>
      </c>
      <c r="U1449" t="inlineStr">
        <is>
          <t>helpers</t>
        </is>
      </c>
    </row>
    <row r="1450">
      <c r="A1450">
        <f>Skills!A2</f>
        <v/>
      </c>
      <c r="B1450">
        <f>Skills!B2</f>
        <v/>
      </c>
      <c r="C1450">
        <f>Inputs!$B$3&gt;=100</f>
        <v/>
      </c>
      <c r="D1450" t="inlineStr"/>
      <c r="E1450" t="inlineStr"/>
      <c r="F1450">
        <f>U1452+Skills!O2</f>
        <v/>
      </c>
      <c r="G1450">
        <f>Skills!G2*IF(Skills!H2&gt;0,Skills!I2/Skills!H2,1)</f>
        <v/>
      </c>
      <c r="H1450">
        <f>1-(1-Skills!J2/100)^Skills!K2</f>
        <v/>
      </c>
      <c r="I1450" t="inlineStr">
        <is>
          <t>1</t>
        </is>
      </c>
      <c r="J1450">
        <f>((Inputs!$B$6*(1+Inputs!$B$7/100))+(((Inputs!$B$12*(1+Inputs!$B$13/100))-(Inputs!$B$12*(1+Inputs!$B$13/100)))+0.25*(Inputs!$B$14-Inputs!$B$14))*(1+Inputs!$B$7/100))*(F1450/100)</f>
        <v/>
      </c>
      <c r="K1450">
        <f>J1450*(1+((Inputs!$B$12*(1+Inputs!$B$13/100))*0.01+Inputs!$B$14*0.0025)/100)*(1+Inputs!$B$15/100)*(1+Inputs!$B$16/100)*(5000/(6000+Inputs!$B$43*(1-Inputs!$B$19/100)))*(1+(Inputs!$B$24+((C1478=TRUE)*(F1478-Calc!F30)))/100)*(1+(IF(Skills!A2="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1450)</f>
        <v/>
      </c>
      <c r="L1450">
        <f>K1450*(MIN(Inputs!$B$22+((C1472=TRUE)*(F1472-Calc!F24)),Inputs!$B$23+((C1477=TRUE)*(F1477-Calc!F29)))/100+(Inputs!$B$23+((C1477=TRUE)*(F1477-Calc!F29)))/100)/2</f>
        <v/>
      </c>
      <c r="M1450">
        <f>L1450*(1+(Inputs!$B$10+((C1474=TRUE)*(F1474-Calc!F26))+B1488)/100)</f>
        <v/>
      </c>
      <c r="N1450">
        <f>L1450*(1-MIN((Inputs!$B$9+((C1473=TRUE)*(F1473-Calc!F25))+B1481),100)/100)+M1450*(MIN((Inputs!$B$9+((C1473=TRUE)*(F1473-Calc!F25))+B1481),100)/100)</f>
        <v/>
      </c>
      <c r="O1450">
        <f>(1-Summary!$B$55)*T1450+Summary!$B$55*V1450</f>
        <v/>
      </c>
      <c r="P1450">
        <f>IF(B1493=0,0,O1450/B1493)</f>
        <v/>
      </c>
      <c r="Q1450" t="n">
        <v>0</v>
      </c>
      <c r="R1450" t="n">
        <v>0</v>
      </c>
      <c r="S1450">
        <f>IFERROR(O1450/N1450,0)</f>
        <v/>
      </c>
      <c r="T1450">
        <f>IF(C1450,(Skills!G2*N1450*B1487)*IF(Inputs!$B$39="pvp",1,1+(Inputs!$B$20+0+Skills!P2+B1482)/100),0)</f>
        <v/>
      </c>
      <c r="U1450">
        <f>MAX(0,(Inputs!$B$3-100)*3)+Inputs!$B$28+Inputs!$B$29</f>
        <v/>
      </c>
      <c r="V1450">
        <f>IF(C1450,(Skills!G2*N1450*B1487)*IF(Inputs!$B$39="pvp",1,(1+(Inputs!$B$21+Skills!Q2+B1482)/100)*(MIN((6+Inputs!$B$33),Inputs!$B$37))),0)</f>
        <v/>
      </c>
    </row>
    <row r="1451">
      <c r="A1451">
        <f>Skills!A3</f>
        <v/>
      </c>
      <c r="B1451">
        <f>Skills!B3</f>
        <v/>
      </c>
      <c r="C1451">
        <f>Inputs!$B$3&gt;=35</f>
        <v/>
      </c>
      <c r="D1451">
        <f>IF(Skills!C3=1,60+Inputs!$B$25+Inputs!$B$29,IF(Skills!C3=2,90+Inputs!$B$26+Inputs!$B$29,IF(Skills!C3=3,120+Inputs!$B$27+Inputs!$B$29,MAX(0,(Inputs!$B$3-100)*3)+Inputs!$B$28+Inputs!$B$29)))</f>
        <v/>
      </c>
      <c r="E1451">
        <f>INDEX(FactorTable!$B$2:$Y$301, MATCH(ROUND(MIN(300,MAX(1,D1451)),0), FactorTable!$A$2:$A$301,0), Skills!M3+1)</f>
        <v/>
      </c>
      <c r="F1451">
        <f>IF(Skills!N3=TRUE,(Skills!L3/10)*(E1451/1000),Skills!L3/10)+Skills!O3</f>
        <v/>
      </c>
      <c r="G1451">
        <f>Skills!G3*IF(Skills!H3&gt;0,Skills!I3/Skills!H3,1)</f>
        <v/>
      </c>
      <c r="H1451">
        <f>1-(1-Skills!J3/100)^Skills!K3</f>
        <v/>
      </c>
      <c r="I1451" t="inlineStr">
        <is>
          <t>1</t>
        </is>
      </c>
      <c r="J1451" t="inlineStr"/>
      <c r="K1451" t="inlineStr"/>
      <c r="L1451" t="inlineStr"/>
      <c r="M1451" t="inlineStr"/>
      <c r="N1451" t="inlineStr"/>
      <c r="O1451">
        <f>(1-Summary!$B$55)*T1451+Summary!$B$55*V1451</f>
        <v/>
      </c>
      <c r="P1451">
        <f>IF(B1493=0,0,O1451/B1493)</f>
        <v/>
      </c>
      <c r="Q1451" t="n">
        <v>0</v>
      </c>
      <c r="R1451" t="n">
        <v>0</v>
      </c>
      <c r="S1451">
        <f>IFERROR(O1451/N1451,0)</f>
        <v/>
      </c>
      <c r="T1451" t="n">
        <v>0</v>
      </c>
      <c r="U1451">
        <f>INDEX(FactorTable!$B$2:$Y$301, MATCH(ROUND(MIN(300,MAX(1,U1450)),0), FactorTable!$A$2:$A$301,0), 22)</f>
        <v/>
      </c>
      <c r="V1451" t="n">
        <v>0</v>
      </c>
    </row>
    <row r="1452">
      <c r="A1452">
        <f>Skills!A4</f>
        <v/>
      </c>
      <c r="B1452">
        <f>Skills!B4</f>
        <v/>
      </c>
      <c r="C1452">
        <f>Inputs!$B$3&gt;=66</f>
        <v/>
      </c>
      <c r="D1452">
        <f>IF(Skills!C4=1,60+Inputs!$B$25+Inputs!$B$29,IF(Skills!C4=2,90+Inputs!$B$26+Inputs!$B$29,IF(Skills!C4=3,120+Inputs!$B$27+Inputs!$B$29,MAX(0,(Inputs!$B$3-100)*3)+Inputs!$B$28+Inputs!$B$29)))</f>
        <v/>
      </c>
      <c r="E1452">
        <f>INDEX(FactorTable!$B$2:$Y$301, MATCH(ROUND(MIN(300,MAX(1,D1452)),0), FactorTable!$A$2:$A$301,0), Skills!M4+1)</f>
        <v/>
      </c>
      <c r="F1452">
        <f>IF(Skills!N4=TRUE,(Skills!L4/10)*(E1452/1000),Skills!L4/10)+Skills!O4</f>
        <v/>
      </c>
      <c r="G1452">
        <f>Skills!G4*IF(Skills!H4&gt;0,Skills!I4/Skills!H4,1)</f>
        <v/>
      </c>
      <c r="H1452">
        <f>1-(1-Skills!J4/100)^Skills!K4</f>
        <v/>
      </c>
      <c r="I1452" t="inlineStr">
        <is>
          <t>1</t>
        </is>
      </c>
      <c r="J1452">
        <f>((Inputs!$B$6*(1+Inputs!$B$7/100))+(((Inputs!$B$12*(1+Inputs!$B$13/100))-(Inputs!$B$12*(1+Inputs!$B$13/100)))+0.25*(Inputs!$B$14-Inputs!$B$14))*(1+Inputs!$B$7/100))*(F1452/100)</f>
        <v/>
      </c>
      <c r="K1452">
        <f>J1452*(1+((Inputs!$B$12*(1+Inputs!$B$13/100))*0.01+Inputs!$B$14*0.0025)/100)*(1+Inputs!$B$15/100)*(1+Inputs!$B$16/100)*(5000/(6000+Inputs!$B$43*(1-Inputs!$B$19/100)))*(1+(Inputs!$B$24+((C1478=TRUE)*(F1478-Calc!F30)))/100)*(1+(IF(Skills!A4="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1452)</f>
        <v/>
      </c>
      <c r="L1452">
        <f>K1452*(MIN(Inputs!$B$22+((C1472=TRUE)*(F1472-Calc!F24)),Inputs!$B$23+((C1477=TRUE)*(F1477-Calc!F29)))/100+(Inputs!$B$23+((C1477=TRUE)*(F1477-Calc!F29)))/100)/2</f>
        <v/>
      </c>
      <c r="M1452">
        <f>L1452*(1+(Inputs!$B$10+((C1474=TRUE)*(F1474-Calc!F26))+B1488)/100)</f>
        <v/>
      </c>
      <c r="N1452">
        <f>L1452*(1-MIN((Inputs!$B$9+((C1473=TRUE)*(F1473-Calc!F25))+B1481),100)/100)+M1452*(MIN((Inputs!$B$9+((C1473=TRUE)*(F1473-Calc!F25))+B1481),100)/100)</f>
        <v/>
      </c>
      <c r="O1452">
        <f>(1-Summary!$B$55)*T1452+Summary!$B$55*V1452</f>
        <v/>
      </c>
      <c r="P1452">
        <f>IF(B1493=0,0,O1452/B1493)</f>
        <v/>
      </c>
      <c r="Q1452">
        <f>IFERROR(1/IF(Inputs!$B$39="pvp",15,MAX(0.1,Skills!D4-IF(Skills!E4=TRUE,1.0,0))),0)</f>
        <v/>
      </c>
      <c r="R1452">
        <f>IF(AND(Inputs!$B$39&lt;&gt;"pvp",Inputs!$B$44&gt;0),IF(MAX(0,Inputs!$B$44-B1492)&lt;=0,0,(INT(MAX(0,Inputs!$B$44-B1492)/IF(Inputs!$B$39="pvp",15,MAX(0.1,Skills!D4-IF(Skills!E4=TRUE,1.0,0))))+1)),0)</f>
        <v/>
      </c>
      <c r="S1452">
        <f>IFERROR(O1452/N1452,0)</f>
        <v/>
      </c>
      <c r="T1452">
        <f>IF(C1452,(H1452*N1452*IF(AND(Inputs!$B$39&lt;&gt;"pvp",Inputs!$B$44&gt;0),((Skills!G4*((R1452-1)*IF(Skills!H4&gt;0,Skills!I4/Skills!H4,1)+IF(Skills!H4&gt;0,MIN(Skills!I4,MAX(0,MAX(0,Inputs!$B$44-B1492)-((R1452-1)*IF(Inputs!$B$39="pvp",15,MAX(0.1,Skills!D4-IF(Skills!E4=TRUE,1.0,0))))))/Skills!H4,1)))/Inputs!$B$44),G1452*Q1452))*IF(Inputs!$B$39="pvp",1,1+(Inputs!$B$20+0+Skills!P4+B1482)/100),0)</f>
        <v/>
      </c>
      <c r="U1452">
        <f>290*U1451/1000</f>
        <v/>
      </c>
      <c r="V1452">
        <f>IF(C1452,(H1452*N1452*IF(AND(Inputs!$B$39&lt;&gt;"pvp",Inputs!$B$44&gt;0),((Skills!G4*((R1452-1)*IF(Skills!H4&gt;0,Skills!I4/Skills!H4,1)+IF(Skills!H4&gt;0,MIN(Skills!I4,MAX(0,MAX(0,Inputs!$B$44-B1492)-((R1452-1)*IF(Inputs!$B$39="pvp",15,MAX(0.1,Skills!D4-IF(Skills!E4=TRUE,1.0,0))))))/Skills!H4,1)))/Inputs!$B$44),G1452*Q1452))*IF(Inputs!$B$39="pvp",1,(1+(Inputs!$B$21+Skills!Q4+B1482)/100)*(MIN(MIN(10,0.5*B1485*Skills!D4),Inputs!$B$37))),0)</f>
        <v/>
      </c>
    </row>
    <row r="1453">
      <c r="A1453">
        <f>Skills!A5</f>
        <v/>
      </c>
      <c r="B1453">
        <f>Skills!B5</f>
        <v/>
      </c>
      <c r="C1453">
        <f>Inputs!$B$3&gt;=63</f>
        <v/>
      </c>
      <c r="D1453">
        <f>IF(Skills!C5=1,60+Inputs!$B$25+Inputs!$B$29,IF(Skills!C5=2,90+Inputs!$B$26+Inputs!$B$29,IF(Skills!C5=3,120+Inputs!$B$27+Inputs!$B$29,MAX(0,(Inputs!$B$3-100)*3)+Inputs!$B$28+Inputs!$B$29)))</f>
        <v/>
      </c>
      <c r="E1453">
        <f>INDEX(FactorTable!$B$2:$Y$301, MATCH(ROUND(MIN(300,MAX(1,D1453)),0), FactorTable!$A$2:$A$301,0), Skills!M5+1)</f>
        <v/>
      </c>
      <c r="F1453">
        <f>IF(Skills!N5=TRUE,(Skills!L5/10)*(E1453/1000),Skills!L5/10)+Skills!O5</f>
        <v/>
      </c>
      <c r="G1453">
        <f>Skills!G5*IF(Skills!H5&gt;0,Skills!I5/Skills!H5,1)</f>
        <v/>
      </c>
      <c r="H1453">
        <f>1-(1-Skills!J5/100)^Skills!K5</f>
        <v/>
      </c>
      <c r="I1453" t="inlineStr">
        <is>
          <t>1</t>
        </is>
      </c>
      <c r="J1453">
        <f>((Inputs!$B$6*(1+Inputs!$B$7/100))+(((Inputs!$B$12*(1+Inputs!$B$13/100))-(Inputs!$B$12*(1+Inputs!$B$13/100)))+0.25*(Inputs!$B$14-Inputs!$B$14))*(1+Inputs!$B$7/100))*(F1453/100)</f>
        <v/>
      </c>
      <c r="K1453">
        <f>J1453*(1+((Inputs!$B$12*(1+Inputs!$B$13/100))*0.01+Inputs!$B$14*0.0025)/100)*(1+Inputs!$B$15/100)*(1+Inputs!$B$16/100)*(5000/(6000+Inputs!$B$43*(1-Inputs!$B$19/100)))*(1+(Inputs!$B$24+((C1478=TRUE)*(F1478-Calc!F30)))/100)*(1+2.6666666666666665*IF(C1466=TRUE,F1466,0)/100)*(1+(IF(Skills!A5="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1453)</f>
        <v/>
      </c>
      <c r="L1453">
        <f>K1453*(MIN(Inputs!$B$22+((C1472=TRUE)*(F1472-Calc!F24)),Inputs!$B$23+((C1477=TRUE)*(F1477-Calc!F29)))/100+(Inputs!$B$23+((C1477=TRUE)*(F1477-Calc!F29)))/100)/2</f>
        <v/>
      </c>
      <c r="M1453">
        <f>L1453*(1+(Inputs!$B$10+((C1474=TRUE)*(F1474-Calc!F26))+B1488)/100)</f>
        <v/>
      </c>
      <c r="N1453">
        <f>L1453*(1-MIN((Inputs!$B$9+((C1473=TRUE)*(F1473-Calc!F25))+B1481),100)/100)+M1453*(MIN((Inputs!$B$9+((C1473=TRUE)*(F1473-Calc!F25))+B1481),100)/100)</f>
        <v/>
      </c>
      <c r="O1453">
        <f>(1-Summary!$B$55)*T1453+Summary!$B$55*V1453</f>
        <v/>
      </c>
      <c r="P1453">
        <f>IF(B1493=0,0,O1453/B1493)</f>
        <v/>
      </c>
      <c r="Q1453">
        <f>IFERROR(1/IF(Inputs!$B$39="pvp",15,MAX(0.1,Skills!D5-IF(Skills!E5=TRUE,1.0,0))),0)</f>
        <v/>
      </c>
      <c r="R1453">
        <f>IF(AND(Inputs!$B$39&lt;&gt;"pvp",Inputs!$B$44&gt;0),IF(MAX(0,Inputs!$B$44-B1492)&lt;=0,0,(INT(MAX(0,Inputs!$B$44-B1492)/IF(Inputs!$B$39="pvp",15,MAX(0.1,Skills!D5-IF(Skills!E5=TRUE,1.0,0))))+1)),0)</f>
        <v/>
      </c>
      <c r="S1453">
        <f>IFERROR(O1453/N1453,0)</f>
        <v/>
      </c>
      <c r="T1453">
        <f>IF(C1453,(H1453*N1453*IF(AND(Inputs!$B$39&lt;&gt;"pvp",Inputs!$B$44&gt;0),((Skills!G5*((R1453-1)*IF(Skills!H5&gt;0,Skills!I5/Skills!H5,1)+IF(Skills!H5&gt;0,MIN(Skills!I5,MAX(0,MAX(0,Inputs!$B$44-B1492)-((R1453-1)*IF(Inputs!$B$39="pvp",15,MAX(0.1,Skills!D5-IF(Skills!E5=TRUE,1.0,0))))))/Skills!H5,1)))/Inputs!$B$44),G1453*Q1453))*IF(Inputs!$B$39="pvp",1,1+(Inputs!$B$20+0+Skills!P5+B1482)/100),0)</f>
        <v/>
      </c>
      <c r="V1453">
        <f>IF(C1453,(H1453*N1453*IF(AND(Inputs!$B$39&lt;&gt;"pvp",Inputs!$B$44&gt;0),((Skills!G5*((R1453-1)*IF(Skills!H5&gt;0,Skills!I5/Skills!H5,1)+IF(Skills!H5&gt;0,MIN(Skills!I5,MAX(0,MAX(0,Inputs!$B$44-B1492)-((R1453-1)*IF(Inputs!$B$39="pvp",15,MAX(0.1,Skills!D5-IF(Skills!E5=TRUE,1.0,0))))))/Skills!H5,1)))/Inputs!$B$44),G1453*Q1453))*IF(Inputs!$B$39="pvp",1,(1+(Inputs!$B$21+Skills!Q5+B1482)/100)*(MIN(Skills!W5,Inputs!$B$37))),0)</f>
        <v/>
      </c>
    </row>
    <row r="1454">
      <c r="A1454">
        <f>Skills!A6</f>
        <v/>
      </c>
      <c r="B1454">
        <f>Skills!B6</f>
        <v/>
      </c>
      <c r="C1454">
        <f>Inputs!$B$3&gt;=69</f>
        <v/>
      </c>
      <c r="D1454">
        <f>IF(Skills!C6=1,60+Inputs!$B$25+Inputs!$B$29,IF(Skills!C6=2,90+Inputs!$B$26+Inputs!$B$29,IF(Skills!C6=3,120+Inputs!$B$27+Inputs!$B$29,MAX(0,(Inputs!$B$3-100)*3)+Inputs!$B$28+Inputs!$B$29)))</f>
        <v/>
      </c>
      <c r="E1454">
        <f>INDEX(FactorTable!$B$2:$Y$301, MATCH(ROUND(MIN(300,MAX(1,D1454)),0), FactorTable!$A$2:$A$301,0), Skills!M6+1)</f>
        <v/>
      </c>
      <c r="F1454">
        <f>IF(Skills!N6=TRUE,(Skills!L6/10)*(E1454/1000),Skills!L6/10)+Skills!O6</f>
        <v/>
      </c>
      <c r="G1454">
        <f>Skills!G6*IF(Skills!H6&gt;0,Skills!I6/Skills!H6,1)</f>
        <v/>
      </c>
      <c r="H1454">
        <f>1-(1-Skills!J6/100)^Skills!K6</f>
        <v/>
      </c>
      <c r="I1454" t="inlineStr">
        <is>
          <t>1</t>
        </is>
      </c>
      <c r="J1454">
        <f>((Inputs!$B$6*(1+Inputs!$B$7/100))+(((Inputs!$B$12*(1+Inputs!$B$13/100))-(Inputs!$B$12*(1+Inputs!$B$13/100)))+0.25*(Inputs!$B$14-Inputs!$B$14))*(1+Inputs!$B$7/100))*(F1454/100)</f>
        <v/>
      </c>
      <c r="K1454">
        <f>J1454*(1+((Inputs!$B$12*(1+Inputs!$B$13/100))*0.01+Inputs!$B$14*0.0025)/100)*(1+Inputs!$B$15/100)*(1+Inputs!$B$16/100)*(5000/(6000+Inputs!$B$43*(1-Inputs!$B$19/100)))*(1+(Inputs!$B$24+((C1478=TRUE)*(F1478-Calc!F30)))/100)*(1+1.0*IF(C1466=TRUE,F1466,0)/100)*(1+(IF(Skills!A6="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1454)</f>
        <v/>
      </c>
      <c r="L1454">
        <f>K1454*(MIN(Inputs!$B$22+((C1472=TRUE)*(F1472-Calc!F24)),Inputs!$B$23+((C1477=TRUE)*(F1477-Calc!F29)))/100+(Inputs!$B$23+((C1477=TRUE)*(F1477-Calc!F29)))/100)/2</f>
        <v/>
      </c>
      <c r="M1454">
        <f>L1454*(1+(Inputs!$B$10+((C1474=TRUE)*(F1474-Calc!F26))+B1488)/100)</f>
        <v/>
      </c>
      <c r="N1454">
        <f>L1454*(1-MIN((Inputs!$B$9+((C1473=TRUE)*(F1473-Calc!F25))+B1481),100)/100)+M1454*(MIN((Inputs!$B$9+((C1473=TRUE)*(F1473-Calc!F25))+B1481),100)/100)</f>
        <v/>
      </c>
      <c r="O1454">
        <f>(1-Summary!$B$55)*T1454+Summary!$B$55*V1454</f>
        <v/>
      </c>
      <c r="P1454">
        <f>IF(B1493=0,0,O1454/B1493)</f>
        <v/>
      </c>
      <c r="Q1454">
        <f>IFERROR(1/IF(Inputs!$B$39="pvp",15,MAX(0.1,Skills!D6-IF(Skills!E6=TRUE,1.0,0))),0)</f>
        <v/>
      </c>
      <c r="R1454">
        <f>IF(AND(Inputs!$B$39&lt;&gt;"pvp",Inputs!$B$44&gt;0),IF(MAX(0,Inputs!$B$44-B1492)&lt;=0,0,(INT(MAX(0,Inputs!$B$44-B1492)/IF(Inputs!$B$39="pvp",15,MAX(0.1,Skills!D6-IF(Skills!E6=TRUE,1.0,0))))+1)),0)</f>
        <v/>
      </c>
      <c r="S1454">
        <f>IFERROR(O1454/N1454,0)</f>
        <v/>
      </c>
      <c r="T1454">
        <f>IF(C1454,(H1454*N1454*IF(AND(Inputs!$B$39&lt;&gt;"pvp",Inputs!$B$44&gt;0),((Skills!G6*((R1454-1)*IF(Skills!H6&gt;0,Skills!I6/Skills!H6,1)+IF(Skills!H6&gt;0,MIN(Skills!I6,MAX(0,MAX(0,Inputs!$B$44-B1492)-((R1454-1)*IF(Inputs!$B$39="pvp",15,MAX(0.1,Skills!D6-IF(Skills!E6=TRUE,1.0,0))))))/Skills!H6,1)))/Inputs!$B$44),G1454*Q1454))*IF(Inputs!$B$39="pvp",1,1+(Inputs!$B$20+0+Skills!P6+B1482)/100),0)</f>
        <v/>
      </c>
      <c r="V1454">
        <f>IF(C1454,(H1454*N1454*IF(AND(Inputs!$B$39&lt;&gt;"pvp",Inputs!$B$44&gt;0),((Skills!G6*((R1454-1)*IF(Skills!H6&gt;0,Skills!I6/Skills!H6,1)+IF(Skills!H6&gt;0,MIN(Skills!I6,MAX(0,MAX(0,Inputs!$B$44-B1492)-((R1454-1)*IF(Inputs!$B$39="pvp",15,MAX(0.1,Skills!D6-IF(Skills!E6=TRUE,1.0,0))))))/Skills!H6,1)))/Inputs!$B$44),G1454*Q1454))*IF(Inputs!$B$39="pvp",1,(1+(Inputs!$B$21+Skills!Q6+B1482)/100)*(MIN(Skills!W6,Inputs!$B$37))),0)</f>
        <v/>
      </c>
    </row>
    <row r="1455">
      <c r="A1455">
        <f>Skills!A7</f>
        <v/>
      </c>
      <c r="B1455">
        <f>Skills!B7</f>
        <v/>
      </c>
      <c r="C1455">
        <f>Inputs!$B$3&gt;=60</f>
        <v/>
      </c>
      <c r="D1455">
        <f>IF(Skills!C7=1,60+Inputs!$B$25+Inputs!$B$29,IF(Skills!C7=2,90+Inputs!$B$26+Inputs!$B$29,IF(Skills!C7=3,120+Inputs!$B$27+Inputs!$B$29,MAX(0,(Inputs!$B$3-100)*3)+Inputs!$B$28+Inputs!$B$29)))</f>
        <v/>
      </c>
      <c r="E1455">
        <f>INDEX(FactorTable!$B$2:$Y$301, MATCH(ROUND(MIN(300,MAX(1,D1455)),0), FactorTable!$A$2:$A$301,0), Skills!M7+1)</f>
        <v/>
      </c>
      <c r="F1455">
        <f>IF(Skills!N7=TRUE,(Skills!L7/10)*(E1455/1000),Skills!L7/10)+Skills!O7</f>
        <v/>
      </c>
      <c r="G1455">
        <f>Skills!G7*IF(Skills!H7&gt;0,Skills!I7/Skills!H7,1)</f>
        <v/>
      </c>
      <c r="H1455">
        <f>1-(1-Skills!J7/100)^Skills!K7</f>
        <v/>
      </c>
      <c r="I1455" t="inlineStr">
        <is>
          <t>1</t>
        </is>
      </c>
      <c r="J1455" t="inlineStr"/>
      <c r="K1455" t="inlineStr"/>
      <c r="L1455" t="inlineStr"/>
      <c r="M1455" t="inlineStr"/>
      <c r="N1455" t="inlineStr"/>
      <c r="O1455">
        <f>(1-Summary!$B$55)*T1455+Summary!$B$55*V1455</f>
        <v/>
      </c>
      <c r="P1455">
        <f>IF(B1493=0,0,O1455/B1493)</f>
        <v/>
      </c>
      <c r="Q1455" t="n">
        <v>0</v>
      </c>
      <c r="R1455" t="n">
        <v>0</v>
      </c>
      <c r="S1455">
        <f>IFERROR(O1455/N1455,0)</f>
        <v/>
      </c>
      <c r="T1455" t="n">
        <v>0</v>
      </c>
      <c r="V1455" t="n">
        <v>0</v>
      </c>
    </row>
    <row r="1456">
      <c r="A1456">
        <f>Skills!A8</f>
        <v/>
      </c>
      <c r="B1456">
        <f>Skills!B8</f>
        <v/>
      </c>
      <c r="C1456">
        <f>Inputs!$B$3&gt;=72</f>
        <v/>
      </c>
      <c r="D1456">
        <f>IF(Skills!C8=1,60+Inputs!$B$25+Inputs!$B$29,IF(Skills!C8=2,90+Inputs!$B$26+Inputs!$B$29,IF(Skills!C8=3,120+Inputs!$B$27+Inputs!$B$29,MAX(0,(Inputs!$B$3-100)*3)+Inputs!$B$28+Inputs!$B$29)))</f>
        <v/>
      </c>
      <c r="E1456">
        <f>INDEX(FactorTable!$B$2:$Y$301, MATCH(ROUND(MIN(300,MAX(1,D1456)),0), FactorTable!$A$2:$A$301,0), Skills!M8+1)</f>
        <v/>
      </c>
      <c r="F1456">
        <f>IF(Skills!N8=TRUE,(Skills!L8/10)*(E1456/1000),Skills!L8/10)+Skills!O8</f>
        <v/>
      </c>
      <c r="G1456">
        <f>Skills!G8*IF(Skills!H8&gt;0,Skills!I8/Skills!H8,1)</f>
        <v/>
      </c>
      <c r="H1456">
        <f>1-(1-Skills!J8/100)^Skills!K8</f>
        <v/>
      </c>
      <c r="I1456" t="inlineStr">
        <is>
          <t>1</t>
        </is>
      </c>
      <c r="J1456">
        <f>((Inputs!$B$6*(1+Inputs!$B$7/100))+(((Inputs!$B$12*(1+Inputs!$B$13/100))-(Inputs!$B$12*(1+Inputs!$B$13/100)))+0.25*(Inputs!$B$14-Inputs!$B$14))*(1+Inputs!$B$7/100))*(F1456/100)</f>
        <v/>
      </c>
      <c r="K1456">
        <f>J1456*(1+((Inputs!$B$12*(1+Inputs!$B$13/100))*0.01+Inputs!$B$14*0.0025)/100)*(1+Inputs!$B$15/100)*(1+Inputs!$B$16/100)*(5000/(6000+Inputs!$B$43*(1-Inputs!$B$19/100)))*(1+(Inputs!$B$24+((C1478=TRUE)*(F1478-Calc!F30)))/100)*(1+3.3333333333333335*IF(C1466=TRUE,F1466,0)/100)*(1+(IF(Skills!A8="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1456)</f>
        <v/>
      </c>
      <c r="L1456">
        <f>K1456*(MIN(Inputs!$B$22+((C1472=TRUE)*(F1472-Calc!F24)),Inputs!$B$23+((C1477=TRUE)*(F1477-Calc!F29)))/100+(Inputs!$B$23+((C1477=TRUE)*(F1477-Calc!F29)))/100)/2</f>
        <v/>
      </c>
      <c r="M1456">
        <f>L1456*(1+(Inputs!$B$10+((C1474=TRUE)*(F1474-Calc!F26))+B1488)/100)</f>
        <v/>
      </c>
      <c r="N1456">
        <f>L1456*(1-MIN((Inputs!$B$9+((C1473=TRUE)*(F1473-Calc!F25))+B1481),100)/100)+M1456*(MIN((Inputs!$B$9+((C1473=TRUE)*(F1473-Calc!F25))+B1481),100)/100)</f>
        <v/>
      </c>
      <c r="O1456">
        <f>(1-Summary!$B$55)*T1456+Summary!$B$55*V1456</f>
        <v/>
      </c>
      <c r="P1456">
        <f>IF(B1493=0,0,O1456/B1493)</f>
        <v/>
      </c>
      <c r="Q1456">
        <f>IFERROR(1/IF(Inputs!$B$39="pvp",15,MAX(0.1,Skills!D8-IF(Skills!E8=TRUE,1.0,0))),0)</f>
        <v/>
      </c>
      <c r="R1456">
        <f>IF(AND(Inputs!$B$39&lt;&gt;"pvp",Inputs!$B$44&gt;0),IF(MAX(0,Inputs!$B$44-B1492)&lt;=0,0,(INT(MAX(0,Inputs!$B$44-B1492)/IF(Inputs!$B$39="pvp",15,MAX(0.1,Skills!D8-IF(Skills!E8=TRUE,1.0,0))))+1)),0)</f>
        <v/>
      </c>
      <c r="S1456">
        <f>IFERROR(O1456/N1456,0)</f>
        <v/>
      </c>
      <c r="T1456">
        <f>IF(C1456,(H1456*N1456*IF(AND(Inputs!$B$39&lt;&gt;"pvp",Inputs!$B$44&gt;0),((Skills!G8*((R1456-1)*IF(Skills!H8&gt;0,Skills!I8/Skills!H8,1)+IF(Skills!H8&gt;0,MIN(Skills!I8,MAX(0,MAX(0,Inputs!$B$44-B1492)-((R1456-1)*IF(Inputs!$B$39="pvp",15,MAX(0.1,Skills!D8-IF(Skills!E8=TRUE,1.0,0))))))/Skills!H8,1)))/Inputs!$B$44),G1456*Q1456))*IF(Inputs!$B$39="pvp",1,1+(Inputs!$B$20+0+Skills!P8+B1482)/100),0)</f>
        <v/>
      </c>
      <c r="V1456">
        <f>IF(C1456,(H1456*N1456*IF(AND(Inputs!$B$39&lt;&gt;"pvp",Inputs!$B$44&gt;0),((Skills!G8*((R1456-1)*IF(Skills!H8&gt;0,Skills!I8/Skills!H8,1)+IF(Skills!H8&gt;0,MIN(Skills!I8,MAX(0,MAX(0,Inputs!$B$44-B1492)-((R1456-1)*IF(Inputs!$B$39="pvp",15,MAX(0.1,Skills!D8-IF(Skills!E8=TRUE,1.0,0))))))/Skills!H8,1)))/Inputs!$B$44),G1456*Q1456))*IF(Inputs!$B$39="pvp",1,(1+(Inputs!$B$21+Skills!Q8+B1482)/100)*(MIN(Skills!W8,Inputs!$B$37))),0)</f>
        <v/>
      </c>
    </row>
    <row r="1457">
      <c r="A1457">
        <f>Skills!A9</f>
        <v/>
      </c>
      <c r="B1457">
        <f>Skills!B9</f>
        <v/>
      </c>
      <c r="C1457">
        <f>Inputs!$B$3&gt;=117</f>
        <v/>
      </c>
      <c r="D1457">
        <f>IF(Skills!C9=1,60+Inputs!$B$25+Inputs!$B$29,IF(Skills!C9=2,90+Inputs!$B$26+Inputs!$B$29,IF(Skills!C9=3,120+Inputs!$B$27+Inputs!$B$29,MAX(0,(Inputs!$B$3-100)*3)+Inputs!$B$28+Inputs!$B$29)))</f>
        <v/>
      </c>
      <c r="E1457">
        <f>INDEX(FactorTable!$B$2:$Y$301, MATCH(ROUND(MIN(300,MAX(1,D1457)),0), FactorTable!$A$2:$A$301,0), Skills!M9+1)</f>
        <v/>
      </c>
      <c r="F1457">
        <f>IF(Skills!N9=TRUE,(Skills!L9/10)*(E1457/1000),Skills!L9/10)+Skills!O9</f>
        <v/>
      </c>
      <c r="G1457">
        <f>Skills!G9*IF(Skills!H9&gt;0,Skills!I9/Skills!H9,1)</f>
        <v/>
      </c>
      <c r="H1457">
        <f>1-(1-Skills!J9/100)^Skills!K9</f>
        <v/>
      </c>
      <c r="I1457" t="inlineStr">
        <is>
          <t>1</t>
        </is>
      </c>
      <c r="J1457">
        <f>((Inputs!$B$6*(1+Inputs!$B$7/100))+(((Inputs!$B$12*(1+Inputs!$B$13/100))-(Inputs!$B$12*(1+Inputs!$B$13/100)))+0.25*(Inputs!$B$14-Inputs!$B$14))*(1+Inputs!$B$7/100))*(F1457/100)</f>
        <v/>
      </c>
      <c r="K1457">
        <f>J1457*(1+((Inputs!$B$12*(1+Inputs!$B$13/100))*0.01+Inputs!$B$14*0.0025)/100)*(1+Inputs!$B$15/100)*(1+Inputs!$B$16/100)*(5000/(6000+Inputs!$B$43*(1-Inputs!$B$19/100)))*(1+(Inputs!$B$24+((C1478=TRUE)*(F1478-Calc!F30)))/100)*(1+(IF(Skills!A9="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1457)</f>
        <v/>
      </c>
      <c r="L1457">
        <f>K1457*(MIN(Inputs!$B$22+((C1472=TRUE)*(F1472-Calc!F24)),Inputs!$B$23+((C1477=TRUE)*(F1477-Calc!F29)))/100+(Inputs!$B$23+((C1477=TRUE)*(F1477-Calc!F29)))/100)/2</f>
        <v/>
      </c>
      <c r="M1457">
        <f>L1457*(1+(Inputs!$B$10+((C1474=TRUE)*(F1474-Calc!F26))+B1488)/100)</f>
        <v/>
      </c>
      <c r="N1457">
        <f>L1457*(1-MIN((Inputs!$B$9+((C1473=TRUE)*(F1473-Calc!F25))+B1481),100)/100)+M1457*(MIN((Inputs!$B$9+((C1473=TRUE)*(F1473-Calc!F25))+B1481),100)/100)</f>
        <v/>
      </c>
      <c r="O1457">
        <f>(1-Summary!$B$55)*T1457+Summary!$B$55*V1457</f>
        <v/>
      </c>
      <c r="P1457">
        <f>IF(B1493=0,0,O1457/B1493)</f>
        <v/>
      </c>
      <c r="Q1457" t="n">
        <v>0</v>
      </c>
      <c r="R1457" t="n">
        <v>0</v>
      </c>
      <c r="S1457" t="n">
        <v>0</v>
      </c>
      <c r="T1457">
        <f>IF(C1457,(0.2*SUMPRODUCT((Skills!Z2:Z30=TRUE)*(C1450:C1478=TRUE)*S1450:S1478)*N1457)*IF(Inputs!$B$39="pvp",1,1+(Inputs!$B$20+0+Skills!P9+B1482)/100),0)</f>
        <v/>
      </c>
      <c r="V1457">
        <f>IF(C1457,(0.2*SUMPRODUCT((Skills!Z2:Z30=TRUE)*(C1450:C1478=TRUE)*S1450:S1478)*N1457)*IF(Inputs!$B$39="pvp",1,(1+(Inputs!$B$21+Skills!Q9+B1482)/100)*(MIN(Skills!W9,Inputs!$B$37))),0)</f>
        <v/>
      </c>
    </row>
    <row r="1458">
      <c r="A1458">
        <f>Skills!A10</f>
        <v/>
      </c>
      <c r="B1458">
        <f>Skills!B10</f>
        <v/>
      </c>
      <c r="C1458">
        <f>Inputs!$B$3&gt;=74</f>
        <v/>
      </c>
      <c r="D1458">
        <f>IF(Skills!C10=1,60+Inputs!$B$25+Inputs!$B$29,IF(Skills!C10=2,90+Inputs!$B$26+Inputs!$B$29,IF(Skills!C10=3,120+Inputs!$B$27+Inputs!$B$29,MAX(0,(Inputs!$B$3-100)*3)+Inputs!$B$28+Inputs!$B$29)))</f>
        <v/>
      </c>
      <c r="E1458">
        <f>INDEX(FactorTable!$B$2:$Y$301, MATCH(ROUND(MIN(300,MAX(1,D1458)),0), FactorTable!$A$2:$A$301,0), Skills!M10+1)</f>
        <v/>
      </c>
      <c r="F1458">
        <f>IF(Skills!N10=TRUE,(Skills!L10/10)*(E1458/1000),Skills!L10/10)+Skills!O10</f>
        <v/>
      </c>
      <c r="G1458">
        <f>Skills!G10*IF(Skills!H10&gt;0,Skills!I10/Skills!H10,1)</f>
        <v/>
      </c>
      <c r="H1458">
        <f>1-(1-Skills!J10/100)^Skills!K10</f>
        <v/>
      </c>
      <c r="I1458" t="inlineStr">
        <is>
          <t>1</t>
        </is>
      </c>
      <c r="J1458" t="inlineStr"/>
      <c r="K1458" t="inlineStr"/>
      <c r="L1458" t="inlineStr"/>
      <c r="M1458" t="inlineStr"/>
      <c r="N1458" t="inlineStr"/>
      <c r="O1458">
        <f>(1-Summary!$B$55)*T1458+Summary!$B$55*V1458</f>
        <v/>
      </c>
      <c r="P1458">
        <f>IF(B1493=0,0,O1458/B1493)</f>
        <v/>
      </c>
      <c r="Q1458">
        <f>IFERROR(1/IF(Inputs!$B$39="pvp",15,MAX(0.1,Skills!D10-IF(Skills!E10=TRUE,1.0,0))),0)</f>
        <v/>
      </c>
      <c r="R1458">
        <f>IF(AND(Inputs!$B$39&lt;&gt;"pvp",Inputs!$B$44&gt;0),IF(Inputs!$B$44&lt;=0,0,(INT(Inputs!$B$44/IF(Inputs!$B$39="pvp",15,MAX(0.1,Skills!D10-IF(Skills!E10=TRUE,1.0,0))))+1)),0)</f>
        <v/>
      </c>
      <c r="S1458">
        <f>IFERROR(O1458/N1458,0)</f>
        <v/>
      </c>
      <c r="T1458" t="n">
        <v>0</v>
      </c>
      <c r="V1458" t="n">
        <v>0</v>
      </c>
    </row>
    <row r="1459">
      <c r="A1459">
        <f>Skills!A11</f>
        <v/>
      </c>
      <c r="B1459">
        <f>Skills!B11</f>
        <v/>
      </c>
      <c r="C1459">
        <f>Inputs!$B$3&gt;=103</f>
        <v/>
      </c>
      <c r="D1459">
        <f>IF(Skills!C11=1,60+Inputs!$B$25+Inputs!$B$29,IF(Skills!C11=2,90+Inputs!$B$26+Inputs!$B$29,IF(Skills!C11=3,120+Inputs!$B$27+Inputs!$B$29,MAX(0,(Inputs!$B$3-100)*3)+Inputs!$B$28+Inputs!$B$29)))</f>
        <v/>
      </c>
      <c r="E1459">
        <f>INDEX(FactorTable!$B$2:$Y$301, MATCH(ROUND(MIN(300,MAX(1,D1459)),0), FactorTable!$A$2:$A$301,0), Skills!M11+1)</f>
        <v/>
      </c>
      <c r="F1459">
        <f>(Skills!L11/10)*(E1459/1000)+IF(Inputs!$B$3&gt;=134,50,0)+0.5*(30000/10)*(INDEX(FactorTable!$B$2:$Y$301, MATCH(ROUND(MIN(300,MAX(1,D1459)),0), FactorTable!$A$2:$A$301,0), 13)/1000)*B1491</f>
        <v/>
      </c>
      <c r="G1459">
        <f>Skills!G11*IF(Skills!H11&gt;0,Skills!I11/Skills!H11,1)</f>
        <v/>
      </c>
      <c r="H1459">
        <f>1-(1-Skills!J11/100)^Skills!K11</f>
        <v/>
      </c>
      <c r="I1459" t="inlineStr">
        <is>
          <t>1</t>
        </is>
      </c>
      <c r="J1459">
        <f>((Inputs!$B$6*(1+Inputs!$B$7/100))+(((Inputs!$B$12*(1+Inputs!$B$13/100))-(Inputs!$B$12*(1+Inputs!$B$13/100)))+0.25*(Inputs!$B$14-Inputs!$B$14))*(1+Inputs!$B$7/100))*(F1459/100)</f>
        <v/>
      </c>
      <c r="K1459">
        <f>J1459*(1+((Inputs!$B$12*(1+Inputs!$B$13/100))*0.01+Inputs!$B$14*0.0025)/100)*(1+Inputs!$B$15/100)*(1+Inputs!$B$16/100)*(5000/(6000+Inputs!$B$43*(1-Inputs!$B$19/100)))*(1+(Inputs!$B$24+((C1478=TRUE)*(F1478-Calc!F30)))/100)*(1+(IF(Skills!A11="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1459)</f>
        <v/>
      </c>
      <c r="L1459">
        <f>K1459*(MIN(Inputs!$B$22+((C1472=TRUE)*(F1472-Calc!F24)),Inputs!$B$23+((C1477=TRUE)*(F1477-Calc!F29)))/100+(Inputs!$B$23+((C1477=TRUE)*(F1477-Calc!F29)))/100)/2</f>
        <v/>
      </c>
      <c r="M1459">
        <f>L1459*(1+(Inputs!$B$10+((C1474=TRUE)*(F1474-Calc!F26))+B1488)/100)</f>
        <v/>
      </c>
      <c r="N1459">
        <f>L1459*(1-MIN((Inputs!$B$9+((C1473=TRUE)*(F1473-Calc!F25))+B1481),100)/100)+M1459*(MIN((Inputs!$B$9+((C1473=TRUE)*(F1473-Calc!F25))+B1481),100)/100)</f>
        <v/>
      </c>
      <c r="O1459">
        <f>(1-Summary!$B$55)*T1459+Summary!$B$55*V1459</f>
        <v/>
      </c>
      <c r="P1459">
        <f>IF(B1493=0,0,O1459/B1493)</f>
        <v/>
      </c>
      <c r="Q1459">
        <f>IFERROR(1/IF(Inputs!$B$39="pvp",15,MAX(0.1,Skills!D11-IF(Skills!E11=TRUE,1.0,0))),0)</f>
        <v/>
      </c>
      <c r="R1459">
        <f>IF(AND(Inputs!$B$39&lt;&gt;"pvp",Inputs!$B$44&gt;0),IF(MAX(0,Inputs!$B$44-B1492)&lt;=0,0,(INT(MAX(0,Inputs!$B$44-B1492)/IF(Inputs!$B$39="pvp",15,MAX(0.1,Skills!D11-IF(Skills!E11=TRUE,1.0,0))))+1)),0)</f>
        <v/>
      </c>
      <c r="S1459">
        <f>IFERROR(O1459/N1459,0)</f>
        <v/>
      </c>
      <c r="T1459">
        <f>IF(C1459,(H1459*N1459*IF(AND(Inputs!$B$39&lt;&gt;"pvp",Inputs!$B$44&gt;0),((Skills!G11*((R1459-1)*IF(Skills!H11&gt;0,Skills!I11/Skills!H11,1)+IF(Skills!H11&gt;0,MIN(Skills!I11,MAX(0,MAX(0,Inputs!$B$44-B1492)-((R1459-1)*IF(Inputs!$B$39="pvp",15,MAX(0.1,Skills!D11-IF(Skills!E11=TRUE,1.0,0))))))/Skills!H11,1)))/Inputs!$B$44),G1459*Q1459))*IF(Inputs!$B$39="pvp",1,1+(Inputs!$B$20+0+Skills!P11+B1482)/100),0)</f>
        <v/>
      </c>
      <c r="V1459">
        <f>IF(C1459,(H1459*N1459*IF(AND(Inputs!$B$39&lt;&gt;"pvp",Inputs!$B$44&gt;0),((Skills!G11*((R1459-1)*IF(Skills!H11&gt;0,Skills!I11/Skills!H11,1)+IF(Skills!H11&gt;0,MIN(Skills!I11,MAX(0,MAX(0,Inputs!$B$44-B1492)-((R1459-1)*IF(Inputs!$B$39="pvp",15,MAX(0.1,Skills!D11-IF(Skills!E11=TRUE,1.0,0))))))/Skills!H11,1)))/Inputs!$B$44),G1459*Q1459))*IF(Inputs!$B$39="pvp",1,(1+(Inputs!$B$21+Skills!Q11+B1482)/100)*(MIN(Skills!W11,Inputs!$B$37))),0)</f>
        <v/>
      </c>
    </row>
    <row r="1460">
      <c r="A1460">
        <f>Skills!A12</f>
        <v/>
      </c>
      <c r="B1460">
        <f>Skills!B12</f>
        <v/>
      </c>
      <c r="C1460">
        <f>Inputs!$B$3&gt;=105</f>
        <v/>
      </c>
      <c r="D1460">
        <f>IF(Skills!C12=1,60+Inputs!$B$25+Inputs!$B$29,IF(Skills!C12=2,90+Inputs!$B$26+Inputs!$B$29,IF(Skills!C12=3,120+Inputs!$B$27+Inputs!$B$29,MAX(0,(Inputs!$B$3-100)*3)+Inputs!$B$28+Inputs!$B$29)))</f>
        <v/>
      </c>
      <c r="E1460">
        <f>INDEX(FactorTable!$B$2:$Y$301, MATCH(ROUND(MIN(300,MAX(1,D1460)),0), FactorTable!$A$2:$A$301,0), Skills!M12+1)</f>
        <v/>
      </c>
      <c r="F1460">
        <f>IF(Skills!N12=TRUE,(Skills!L12/10)*(E1460/1000),Skills!L12/10)+Skills!O12</f>
        <v/>
      </c>
      <c r="G1460">
        <f>Skills!G12*IF(Skills!H12&gt;0,Skills!I12/Skills!H12,1)</f>
        <v/>
      </c>
      <c r="H1460">
        <f>1-(1-Skills!J12/100)^Skills!K12</f>
        <v/>
      </c>
      <c r="I1460" t="inlineStr">
        <is>
          <t>1</t>
        </is>
      </c>
      <c r="J1460">
        <f>((Inputs!$B$6*(1+Inputs!$B$7/100))+(((Inputs!$B$12*(1+Inputs!$B$13/100))-(Inputs!$B$12*(1+Inputs!$B$13/100)))+0.25*(Inputs!$B$14-Inputs!$B$14))*(1+Inputs!$B$7/100))*(F1460/100)</f>
        <v/>
      </c>
      <c r="K1460">
        <f>J1460*(1+((Inputs!$B$12*(1+Inputs!$B$13/100))*0.01+Inputs!$B$14*0.0025)/100)*(1+Inputs!$B$15/100)*(1+Inputs!$B$16/100)*(5000/(6000+Inputs!$B$43*(1-Inputs!$B$19/100)))*(1+(Inputs!$B$24+((C1478=TRUE)*(F1478-Calc!F30)))/100)*(1+(IF(Skills!A12="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1460)</f>
        <v/>
      </c>
      <c r="L1460">
        <f>K1460*(MIN(Inputs!$B$22+((C1472=TRUE)*(F1472-Calc!F24)),Inputs!$B$23+((C1477=TRUE)*(F1477-Calc!F29)))/100+(Inputs!$B$23+((C1477=TRUE)*(F1477-Calc!F29)))/100)/2</f>
        <v/>
      </c>
      <c r="M1460">
        <f>L1460*(1+(Inputs!$B$10+((C1474=TRUE)*(F1474-Calc!F26))+B1488)/100)</f>
        <v/>
      </c>
      <c r="N1460">
        <f>L1460*(1-MIN((Inputs!$B$9+((C1473=TRUE)*(F1473-Calc!F25))+B1481),100)/100)+M1460*(MIN((Inputs!$B$9+((C1473=TRUE)*(F1473-Calc!F25))+B1481),100)/100)</f>
        <v/>
      </c>
      <c r="O1460">
        <f>(1-Summary!$B$55)*T1460+Summary!$B$55*V1460</f>
        <v/>
      </c>
      <c r="P1460">
        <f>IF(B1493=0,0,O1460/B1493)</f>
        <v/>
      </c>
      <c r="Q1460">
        <f>IFERROR(1/IF(Inputs!$B$39="pvp",15,MAX(0.1,Skills!D12-IF(Skills!E12=TRUE,1.0,0))),0)</f>
        <v/>
      </c>
      <c r="R1460">
        <f>IF(AND(Inputs!$B$39&lt;&gt;"pvp",Inputs!$B$44&gt;0),IF(MAX(0,Inputs!$B$44-B1492)&lt;=0,0,(INT(MAX(0,Inputs!$B$44-B1492)/IF(Inputs!$B$39="pvp",15,MAX(0.1,Skills!D12-IF(Skills!E12=TRUE,1.0,0))))+1)),0)</f>
        <v/>
      </c>
      <c r="S1460">
        <f>IFERROR(O1460/N1460,0)</f>
        <v/>
      </c>
      <c r="T1460">
        <f>IF(C1460,(H1460*N1460*IF(AND(Inputs!$B$39&lt;&gt;"pvp",Inputs!$B$44&gt;0),((Skills!G12*((R1460-1)*IF(Skills!H12&gt;0,Skills!I12/Skills!H12,1)+IF(Skills!H12&gt;0,MIN(Skills!I12,MAX(0,MAX(0,Inputs!$B$44-B1492)-((R1460-1)*IF(Inputs!$B$39="pvp",15,MAX(0.1,Skills!D12-IF(Skills!E12=TRUE,1.0,0))))))/Skills!H12,1)))/Inputs!$B$44),G1460*Q1460))*IF(Inputs!$B$39="pvp",1,1+(Inputs!$B$20+0+Skills!P12+B1482)/100),0)</f>
        <v/>
      </c>
      <c r="V1460">
        <f>IF(C1460,(H1460*N1460*IF(AND(Inputs!$B$39&lt;&gt;"pvp",Inputs!$B$44&gt;0),((Skills!G12*((R1460-1)*IF(Skills!H12&gt;0,Skills!I12/Skills!H12,1)+IF(Skills!H12&gt;0,MIN(Skills!I12,MAX(0,MAX(0,Inputs!$B$44-B1492)-((R1460-1)*IF(Inputs!$B$39="pvp",15,MAX(0.1,Skills!D12-IF(Skills!E12=TRUE,1.0,0))))))/Skills!H12,1)))/Inputs!$B$44),G1460*Q1460))*IF(Inputs!$B$39="pvp",1,(1+(Inputs!$B$21+Skills!Q12+B1482)/100)*(MIN(Skills!W12,Inputs!$B$37))),0)</f>
        <v/>
      </c>
    </row>
    <row r="1461">
      <c r="A1461">
        <f>Skills!A13</f>
        <v/>
      </c>
      <c r="B1461">
        <f>Skills!B13</f>
        <v/>
      </c>
      <c r="C1461">
        <f>Inputs!$B$3&gt;=105</f>
        <v/>
      </c>
      <c r="D1461">
        <f>IF(Skills!C13=1,60+Inputs!$B$25+Inputs!$B$29,IF(Skills!C13=2,90+Inputs!$B$26+Inputs!$B$29,IF(Skills!C13=3,120+Inputs!$B$27+Inputs!$B$29,MAX(0,(Inputs!$B$3-100)*3)+Inputs!$B$28+Inputs!$B$29)))</f>
        <v/>
      </c>
      <c r="E1461">
        <f>INDEX(FactorTable!$B$2:$Y$301, MATCH(ROUND(MIN(300,MAX(1,D1461)),0), FactorTable!$A$2:$A$301,0), Skills!M13+1)</f>
        <v/>
      </c>
      <c r="F1461">
        <f>IF(Skills!N13=TRUE,(Skills!L13/10)*(E1461/1000),Skills!L13/10)+Skills!O13</f>
        <v/>
      </c>
      <c r="G1461">
        <f>Skills!G13*IF(Skills!H13&gt;0,Skills!I13/Skills!H13,1)</f>
        <v/>
      </c>
      <c r="H1461">
        <f>1-(1-Skills!J13/100)^Skills!K13</f>
        <v/>
      </c>
      <c r="I1461" t="inlineStr">
        <is>
          <t>1</t>
        </is>
      </c>
      <c r="J1461">
        <f>((Inputs!$B$6*(1+Inputs!$B$7/100))+(((Inputs!$B$12*(1+Inputs!$B$13/100))-(Inputs!$B$12*(1+Inputs!$B$13/100)))+0.25*(Inputs!$B$14-Inputs!$B$14))*(1+Inputs!$B$7/100))*(F1461/100)</f>
        <v/>
      </c>
      <c r="K1461">
        <f>J1461*(1+((Inputs!$B$12*(1+Inputs!$B$13/100))*0.01+Inputs!$B$14*0.0025)/100)*(1+Inputs!$B$15/100)*(1+Inputs!$B$16/100)*(5000/(6000+Inputs!$B$43*(1-Inputs!$B$19/100)))*(1+(Inputs!$B$24+((C1478=TRUE)*(F1478-Calc!F30)))/100)*(1+(IF(Skills!A13="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1461)</f>
        <v/>
      </c>
      <c r="L1461">
        <f>K1461*(MIN(Inputs!$B$22+((C1472=TRUE)*(F1472-Calc!F24)),Inputs!$B$23+((C1477=TRUE)*(F1477-Calc!F29)))/100+(Inputs!$B$23+((C1477=TRUE)*(F1477-Calc!F29)))/100)/2</f>
        <v/>
      </c>
      <c r="M1461">
        <f>L1461*(1+(Inputs!$B$10+((C1474=TRUE)*(F1474-Calc!F26))+B1488)/100)</f>
        <v/>
      </c>
      <c r="N1461">
        <f>L1461*(1-MIN((Inputs!$B$9+((C1473=TRUE)*(F1473-Calc!F25))+B1481),100)/100)+M1461*(MIN((Inputs!$B$9+((C1473=TRUE)*(F1473-Calc!F25))+B1481),100)/100)</f>
        <v/>
      </c>
      <c r="O1461">
        <f>(1-Summary!$B$55)*T1461+Summary!$B$55*V1461</f>
        <v/>
      </c>
      <c r="P1461">
        <f>IF(B1493=0,0,O1461/B1493)</f>
        <v/>
      </c>
      <c r="Q1461">
        <f>IFERROR(1/IF(Inputs!$B$39="pvp",15,MAX(0.1,Skills!D13-IF(Skills!E13=TRUE,1.0,0))),0)</f>
        <v/>
      </c>
      <c r="R1461">
        <f>IF(AND(Inputs!$B$39&lt;&gt;"pvp",Inputs!$B$44&gt;0),IF(MAX(0,Inputs!$B$44-B1492)&lt;=0,0,(INT(MAX(0,Inputs!$B$44-B1492)/IF(Inputs!$B$39="pvp",15,MAX(0.1,Skills!D13-IF(Skills!E13=TRUE,1.0,0))))+1)),0)</f>
        <v/>
      </c>
      <c r="S1461">
        <f>IFERROR(O1461/N1461,0)</f>
        <v/>
      </c>
      <c r="T1461">
        <f>IF(C1461,(H1461*N1461*IF(AND(Inputs!$B$39&lt;&gt;"pvp",Inputs!$B$44&gt;0),((Skills!G13*((R1461-1)*IF(Skills!H13&gt;0,Skills!I13/Skills!H13,1)+IF(Skills!H13&gt;0,MIN(Skills!I13,MAX(0,MAX(0,Inputs!$B$44-B1492)-((R1461-1)*IF(Inputs!$B$39="pvp",15,MAX(0.1,Skills!D13-IF(Skills!E13=TRUE,1.0,0))))))/Skills!H13,1)))/Inputs!$B$44),G1461*Q1461))*IF(Inputs!$B$39="pvp",1,1+(Inputs!$B$20+0+Skills!P13+B1482)/100),0)</f>
        <v/>
      </c>
      <c r="V1461">
        <f>IF(C1461,(H1461*N1461*IF(AND(Inputs!$B$39&lt;&gt;"pvp",Inputs!$B$44&gt;0),((Skills!G13*((R1461-1)*IF(Skills!H13&gt;0,Skills!I13/Skills!H13,1)+IF(Skills!H13&gt;0,MIN(Skills!I13,MAX(0,MAX(0,Inputs!$B$44-B1492)-((R1461-1)*IF(Inputs!$B$39="pvp",15,MAX(0.1,Skills!D13-IF(Skills!E13=TRUE,1.0,0))))))/Skills!H13,1)))/Inputs!$B$44),G1461*Q1461))*IF(Inputs!$B$39="pvp",1,(1+(Inputs!$B$21+Skills!Q13+B1482)/100)*(MIN(Skills!W13,Inputs!$B$37))),0)</f>
        <v/>
      </c>
    </row>
    <row r="1462">
      <c r="A1462">
        <f>Skills!A14</f>
        <v/>
      </c>
      <c r="B1462">
        <f>Skills!B14</f>
        <v/>
      </c>
      <c r="C1462">
        <f>Inputs!$B$3&gt;=107</f>
        <v/>
      </c>
      <c r="D1462">
        <f>IF(Skills!C14=1,60+Inputs!$B$25+Inputs!$B$29,IF(Skills!C14=2,90+Inputs!$B$26+Inputs!$B$29,IF(Skills!C14=3,120+Inputs!$B$27+Inputs!$B$29,MAX(0,(Inputs!$B$3-100)*3)+Inputs!$B$28+Inputs!$B$29)))</f>
        <v/>
      </c>
      <c r="E1462">
        <f>INDEX(FactorTable!$B$2:$Y$301, MATCH(ROUND(MIN(300,MAX(1,D1462)),0), FactorTable!$A$2:$A$301,0), Skills!M14+1)</f>
        <v/>
      </c>
      <c r="F1462">
        <f>IF(Skills!N14=TRUE,(Skills!L14/10)*(E1462/1000),Skills!L14/10)+Skills!O14</f>
        <v/>
      </c>
      <c r="G1462">
        <f>Skills!G14*IF(Skills!H14&gt;0,Skills!I14/Skills!H14,1)</f>
        <v/>
      </c>
      <c r="H1462">
        <f>1-(1-Skills!J14/100)^Skills!K14</f>
        <v/>
      </c>
      <c r="I1462" t="inlineStr">
        <is>
          <t>1</t>
        </is>
      </c>
      <c r="J1462">
        <f>((Inputs!$B$6*(1+Inputs!$B$7/100))+(((Inputs!$B$12*(1+Inputs!$B$13/100))-(Inputs!$B$12*(1+Inputs!$B$13/100)))+0.25*(Inputs!$B$14-Inputs!$B$14))*(1+Inputs!$B$7/100))*(F1462/100)</f>
        <v/>
      </c>
      <c r="K1462">
        <f>J1462*(1+((Inputs!$B$12*(1+Inputs!$B$13/100))*0.01+Inputs!$B$14*0.0025)/100)*(1+Inputs!$B$15/100)*(1+Inputs!$B$16/100)*(5000/(6000+Inputs!$B$43*(1-Inputs!$B$19/100)))*(1+(Inputs!$B$24+((C1478=TRUE)*(F1478-Calc!F30)))/100)*(1+(IF(Skills!A14="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1462)</f>
        <v/>
      </c>
      <c r="L1462">
        <f>K1462*(MIN(Inputs!$B$22+((C1472=TRUE)*(F1472-Calc!F24)),Inputs!$B$23+((C1477=TRUE)*(F1477-Calc!F29)))/100+(Inputs!$B$23+((C1477=TRUE)*(F1477-Calc!F29)))/100)/2</f>
        <v/>
      </c>
      <c r="M1462">
        <f>L1462*(1+(Inputs!$B$10+((C1474=TRUE)*(F1474-Calc!F26))+B1488)/100)</f>
        <v/>
      </c>
      <c r="N1462">
        <f>L1462*(1-MIN((Inputs!$B$9+((C1473=TRUE)*(F1473-Calc!F25))+B1481),100)/100)+M1462*(MIN((Inputs!$B$9+((C1473=TRUE)*(F1473-Calc!F25))+B1481),100)/100)</f>
        <v/>
      </c>
      <c r="O1462">
        <f>(1-Summary!$B$55)*T1462+Summary!$B$55*V1462</f>
        <v/>
      </c>
      <c r="P1462">
        <f>IF(B1493=0,0,O1462/B1493)</f>
        <v/>
      </c>
      <c r="Q1462">
        <f>IFERROR(1/IF(Inputs!$B$39="pvp",15,MAX(0.1,Skills!D14-IF(Skills!E14=TRUE,1.0,0))),0)</f>
        <v/>
      </c>
      <c r="R1462">
        <f>IF(AND(Inputs!$B$39&lt;&gt;"pvp",Inputs!$B$44&gt;0),IF(MAX(0,Inputs!$B$44-B1492)&lt;=0,0,(INT(MAX(0,Inputs!$B$44-B1492)/IF(Inputs!$B$39="pvp",15,MAX(0.1,Skills!D14-IF(Skills!E14=TRUE,1.0,0))))+1)),0)</f>
        <v/>
      </c>
      <c r="S1462">
        <f>IFERROR(O1462/N1462,0)</f>
        <v/>
      </c>
      <c r="T1462">
        <f>IF(C1462,(H1462*N1462*IF(AND(Inputs!$B$39&lt;&gt;"pvp",Inputs!$B$44&gt;0),((Skills!G14*((R1462-1)*IF(Skills!H14&gt;0,Skills!I14/Skills!H14,1)+IF(Skills!H14&gt;0,MIN(Skills!I14,MAX(0,MAX(0,Inputs!$B$44-B1492)-((R1462-1)*IF(Inputs!$B$39="pvp",15,MAX(0.1,Skills!D14-IF(Skills!E14=TRUE,1.0,0))))))/Skills!H14,1)))/Inputs!$B$44),G1462*Q1462))*IF(Inputs!$B$39="pvp",1,1+(Inputs!$B$20+0+Skills!P14+B1482)/100),0)</f>
        <v/>
      </c>
      <c r="V1462">
        <f>IF(C1462,(H1462*N1462*IF(AND(Inputs!$B$39&lt;&gt;"pvp",Inputs!$B$44&gt;0),((Skills!G14*((R1462-1)*IF(Skills!H14&gt;0,Skills!I14/Skills!H14,1)+IF(Skills!H14&gt;0,MIN(Skills!I14,MAX(0,MAX(0,Inputs!$B$44-B1492)-((R1462-1)*IF(Inputs!$B$39="pvp",15,MAX(0.1,Skills!D14-IF(Skills!E14=TRUE,1.0,0))))))/Skills!H14,1)))/Inputs!$B$44),G1462*Q1462))*IF(Inputs!$B$39="pvp",1,(1+(Inputs!$B$21+Skills!Q14+B1482)/100)*(MIN(MIN(5,0.25*B1485*Skills!D4)*Skills!V14,Inputs!$B$37))),0)</f>
        <v/>
      </c>
    </row>
    <row r="1463">
      <c r="A1463">
        <f>Skills!A15</f>
        <v/>
      </c>
      <c r="B1463">
        <f>Skills!B15</f>
        <v/>
      </c>
      <c r="C1463">
        <f>Inputs!$B$3&gt;=110</f>
        <v/>
      </c>
      <c r="D1463">
        <f>IF(Skills!C15=1,60+Inputs!$B$25+Inputs!$B$29,IF(Skills!C15=2,90+Inputs!$B$26+Inputs!$B$29,IF(Skills!C15=3,120+Inputs!$B$27+Inputs!$B$29,MAX(0,(Inputs!$B$3-100)*3)+Inputs!$B$28+Inputs!$B$29)))</f>
        <v/>
      </c>
      <c r="E1463">
        <f>INDEX(FactorTable!$B$2:$Y$301, MATCH(ROUND(MIN(300,MAX(1,D1463)),0), FactorTable!$A$2:$A$301,0), Skills!M15+1)</f>
        <v/>
      </c>
      <c r="F1463">
        <f>IF(Skills!N15=TRUE,(Skills!L15/10)*(E1463/1000),Skills!L15/10)+Skills!O15</f>
        <v/>
      </c>
      <c r="G1463">
        <f>Skills!G15*IF(Skills!H15&gt;0,Skills!I15/Skills!H15,1)</f>
        <v/>
      </c>
      <c r="H1463">
        <f>1-(1-Skills!J15/100)^Skills!K15</f>
        <v/>
      </c>
      <c r="I1463" t="inlineStr">
        <is>
          <t>1</t>
        </is>
      </c>
      <c r="J1463" t="inlineStr"/>
      <c r="K1463" t="inlineStr"/>
      <c r="L1463" t="inlineStr"/>
      <c r="M1463" t="inlineStr"/>
      <c r="N1463" t="inlineStr"/>
      <c r="O1463">
        <f>(1-Summary!$B$55)*T1463+Summary!$B$55*V1463</f>
        <v/>
      </c>
      <c r="P1463">
        <f>IF(B1493=0,0,O1463/B1493)</f>
        <v/>
      </c>
      <c r="Q1463">
        <f>IFERROR(1/IF(Inputs!$B$39="pvp",15,MAX(0.1,Skills!D15-IF(Skills!E15=TRUE,1.0,0))),0)</f>
        <v/>
      </c>
      <c r="R1463">
        <f>IF(AND(Inputs!$B$39&lt;&gt;"pvp",Inputs!$B$44&gt;0),IF(Inputs!$B$44&lt;=0,0,(INT(Inputs!$B$44/IF(Inputs!$B$39="pvp",15,MAX(0.1,Skills!D15-IF(Skills!E15=TRUE,1.0,0))))+1)),0)</f>
        <v/>
      </c>
      <c r="S1463">
        <f>IFERROR(O1463/N1463,0)</f>
        <v/>
      </c>
      <c r="T1463" t="n">
        <v>0</v>
      </c>
      <c r="V1463" t="n">
        <v>0</v>
      </c>
    </row>
    <row r="1464">
      <c r="A1464">
        <f>Skills!A16</f>
        <v/>
      </c>
      <c r="B1464">
        <f>Skills!B16</f>
        <v/>
      </c>
      <c r="C1464">
        <f>Inputs!$B$3&gt;=115</f>
        <v/>
      </c>
      <c r="D1464">
        <f>IF(Skills!C16=1,60+Inputs!$B$25+Inputs!$B$29,IF(Skills!C16=2,90+Inputs!$B$26+Inputs!$B$29,IF(Skills!C16=3,120+Inputs!$B$27+Inputs!$B$29,MAX(0,(Inputs!$B$3-100)*3)+Inputs!$B$28+Inputs!$B$29)))</f>
        <v/>
      </c>
      <c r="E1464">
        <f>INDEX(FactorTable!$B$2:$Y$301, MATCH(ROUND(MIN(300,MAX(1,D1464)),0), FactorTable!$A$2:$A$301,0), Skills!M16+1)</f>
        <v/>
      </c>
      <c r="F1464">
        <f>IF(Skills!N16=TRUE,(Skills!L16/10)*(E1464/1000),Skills!L16/10)+Skills!O16</f>
        <v/>
      </c>
      <c r="G1464">
        <f>Skills!G16*IF(Skills!H16&gt;0,Skills!I16/Skills!H16,1)</f>
        <v/>
      </c>
      <c r="H1464">
        <f>1-(1-Skills!J16/100)^Skills!K16</f>
        <v/>
      </c>
      <c r="I1464" t="inlineStr">
        <is>
          <t>1</t>
        </is>
      </c>
      <c r="J1464">
        <f>((Inputs!$B$6*(1+Inputs!$B$7/100))+(((Inputs!$B$12*(1+Inputs!$B$13/100))-(Inputs!$B$12*(1+Inputs!$B$13/100)))+0.25*(Inputs!$B$14-Inputs!$B$14))*(1+Inputs!$B$7/100))*(F1464/100)</f>
        <v/>
      </c>
      <c r="K1464">
        <f>J1464*(1+((Inputs!$B$12*(1+Inputs!$B$13/100))*0.01+Inputs!$B$14*0.0025)/100)*(1+Inputs!$B$15/100)*(1+Inputs!$B$16/100)*(5000/(6000+Inputs!$B$43*(1-Inputs!$B$19/100)))*(1+(Inputs!$B$24+((C1478=TRUE)*(F1478-Calc!F30)))/100)*(1+(IF(Skills!A16="CRUEL_STAB",Inputs!$B$17+((C1475=TRUE)*(F1475-Calc!F27)),Inputs!$B$18+((C1476=TRUE)*(F1476-Calc!F28))))/100)*(((1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B1483*I1464)</f>
        <v/>
      </c>
      <c r="L1464">
        <f>K1464*(MIN(Inputs!$B$22+((C1472=TRUE)*(F1472-Calc!F24)),Inputs!$B$23+((C1477=TRUE)*(F1477-Calc!F29)))/100+(Inputs!$B$23+((C1477=TRUE)*(F1477-Calc!F29)))/100)/2</f>
        <v/>
      </c>
      <c r="M1464">
        <f>L1464*(1+(Inputs!$B$10+((C1474=TRUE)*(F1474-Calc!F26))+B1488)/100)</f>
        <v/>
      </c>
      <c r="N1464">
        <f>L1464*(1-MIN((Inputs!$B$9+((C1473=TRUE)*(F1473-Calc!F25))+B1481),100)/100)+M1464*(MIN((Inputs!$B$9+((C1473=TRUE)*(F1473-Calc!F25))+B1481),100)/100)</f>
        <v/>
      </c>
      <c r="O1464">
        <f>(1-Summary!$B$55)*T1464+Summary!$B$55*V1464</f>
        <v/>
      </c>
      <c r="P1464">
        <f>IF(B1493=0,0,O1464/B1493)</f>
        <v/>
      </c>
      <c r="Q1464" t="n">
        <v>0</v>
      </c>
      <c r="R1464" t="n">
        <v>0</v>
      </c>
      <c r="S1464">
        <f>IFERROR(O1464/N1464,0)</f>
        <v/>
      </c>
      <c r="T1464">
        <f>IF(C1464,(Inputs!$B$38*0.2*N1464)*IF(Inputs!$B$39="pvp",1,1+(Inputs!$B$20+0+Skills!P16+B1482)/100),0)</f>
        <v/>
      </c>
      <c r="V1464">
        <f>IF(C1464,(Inputs!$B$38*0.2*N1464)*IF(Inputs!$B$39="pvp",1,(1+(Inputs!$B$21+Skills!Q16+B1482)/100)*(MIN(Skills!W16,Inputs!$B$37))),0)</f>
        <v/>
      </c>
    </row>
    <row r="1465">
      <c r="A1465">
        <f>Skills!A17</f>
        <v/>
      </c>
      <c r="B1465">
        <f>Skills!B17</f>
        <v/>
      </c>
      <c r="C1465">
        <f>Inputs!$B$3&gt;=115</f>
        <v/>
      </c>
      <c r="D1465">
        <f>IF(Skills!C17=1,60+Inputs!$B$25+Inputs!$B$29,IF(Skills!C17=2,90+Inputs!$B$26+Inputs!$B$29,IF(Skills!C17=3,120+Inputs!$B$27+Inputs!$B$29,MAX(0,(Inputs!$B$3-100)*3)+Inputs!$B$28+Inputs!$B$29)))</f>
        <v/>
      </c>
      <c r="E1465">
        <f>INDEX(FactorTable!$B$2:$Y$301, MATCH(ROUND(MIN(300,MAX(1,D1465)),0), FactorTable!$A$2:$A$301,0), Skills!M17+1)</f>
        <v/>
      </c>
      <c r="F1465">
        <f>IF(Skills!N17=TRUE,(Skills!L17/10)*(E1465/1000),Skills!L17/10)+Skills!O17</f>
        <v/>
      </c>
      <c r="G1465">
        <f>Skills!G17*IF(Skills!H17&gt;0,Skills!I17/Skills!H17,1)</f>
        <v/>
      </c>
      <c r="H1465">
        <f>1-(1-Skills!J17/100)^Skills!K17</f>
        <v/>
      </c>
      <c r="I1465" t="inlineStr">
        <is>
          <t>1</t>
        </is>
      </c>
      <c r="J1465" t="inlineStr"/>
      <c r="K1465" t="inlineStr"/>
      <c r="L1465" t="inlineStr"/>
      <c r="M1465" t="inlineStr"/>
      <c r="N1465" t="inlineStr"/>
      <c r="O1465">
        <f>(1-Summary!$B$55)*T1465+Summary!$B$55*V1465</f>
        <v/>
      </c>
      <c r="P1465">
        <f>IF(B1493=0,0,O1465/B1493)</f>
        <v/>
      </c>
      <c r="Q1465" t="n">
        <v>0</v>
      </c>
      <c r="R1465" t="n">
        <v>0</v>
      </c>
      <c r="S1465">
        <f>IFERROR(O1465/N1465,0)</f>
        <v/>
      </c>
      <c r="T1465" t="n">
        <v>0</v>
      </c>
      <c r="V1465" t="n">
        <v>0</v>
      </c>
    </row>
    <row r="1466">
      <c r="A1466">
        <f>Skills!A18</f>
        <v/>
      </c>
      <c r="B1466">
        <f>Skills!B18</f>
        <v/>
      </c>
      <c r="C1466">
        <f>Inputs!$B$3&gt;=100</f>
        <v/>
      </c>
      <c r="D1466">
        <f>IF(Skills!C18=1,60+Inputs!$B$25+Inputs!$B$29,IF(Skills!C18=2,90+Inputs!$B$26+Inputs!$B$29,IF(Skills!C18=3,120+Inputs!$B$27+Inputs!$B$29,MAX(0,(Inputs!$B$3-100)*3)+Inputs!$B$28+Inputs!$B$29)))</f>
        <v/>
      </c>
      <c r="E1466">
        <f>INDEX(FactorTable!$B$2:$Y$301, MATCH(ROUND(MIN(300,MAX(1,D1466)),0), FactorTable!$A$2:$A$301,0), Skills!M18+1)</f>
        <v/>
      </c>
      <c r="F1466">
        <f>IF(Skills!N18=TRUE,(Skills!L18/10)*(E1466/1000),Skills!L18/10)+Skills!O18</f>
        <v/>
      </c>
      <c r="G1466">
        <f>Skills!G18*IF(Skills!H18&gt;0,Skills!I18/Skills!H18,1)</f>
        <v/>
      </c>
      <c r="H1466">
        <f>1-(1-Skills!J18/100)^Skills!K18</f>
        <v/>
      </c>
      <c r="I1466" t="inlineStr">
        <is>
          <t>1</t>
        </is>
      </c>
      <c r="J1466" t="inlineStr"/>
      <c r="K1466" t="inlineStr"/>
      <c r="L1466" t="inlineStr"/>
      <c r="M1466" t="inlineStr"/>
      <c r="N1466" t="inlineStr"/>
      <c r="O1466">
        <f>(1-Summary!$B$55)*T1466+Summary!$B$55*V1466</f>
        <v/>
      </c>
      <c r="P1466">
        <f>IF(B1493=0,0,O1466/B1493)</f>
        <v/>
      </c>
      <c r="Q1466" t="n">
        <v>0</v>
      </c>
      <c r="R1466" t="n">
        <v>0</v>
      </c>
      <c r="S1466">
        <f>IFERROR(O1466/N1466,0)</f>
        <v/>
      </c>
      <c r="T1466" t="n">
        <v>0</v>
      </c>
      <c r="V1466" t="n">
        <v>0</v>
      </c>
    </row>
    <row r="1467">
      <c r="A1467">
        <f>Skills!A19</f>
        <v/>
      </c>
      <c r="B1467">
        <f>Skills!B19</f>
        <v/>
      </c>
      <c r="C1467">
        <f>TRUE</f>
        <v/>
      </c>
      <c r="D1467">
        <f>IF(Skills!C19=1,60+Inputs!$B$25+Inputs!$B$29,IF(Skills!C19=2,90+Inputs!$B$26+Inputs!$B$29,IF(Skills!C19=3,120+Inputs!$B$27+Inputs!$B$29,MAX(0,(Inputs!$B$3-100)*3)+Inputs!$B$28+Inputs!$B$29)))</f>
        <v/>
      </c>
      <c r="E1467">
        <f>INDEX(FactorTable!$B$2:$Y$301, MATCH(ROUND(MIN(300,MAX(1,D1467)),0), FactorTable!$A$2:$A$301,0), Skills!M19+1)</f>
        <v/>
      </c>
      <c r="F1467">
        <f>IF(Skills!N19=TRUE,(Skills!L19/10)*(E1467/1000),Skills!L19/10)+Skills!O19</f>
        <v/>
      </c>
      <c r="G1467">
        <f>Skills!G19*IF(Skills!H19&gt;0,Skills!I19/Skills!H19,1)</f>
        <v/>
      </c>
      <c r="H1467">
        <f>1-(1-Skills!J19/100)^Skills!K19</f>
        <v/>
      </c>
      <c r="I1467" t="inlineStr">
        <is>
          <t>1</t>
        </is>
      </c>
      <c r="J1467" t="inlineStr"/>
      <c r="K1467" t="inlineStr"/>
      <c r="L1467" t="inlineStr"/>
      <c r="M1467" t="inlineStr"/>
      <c r="N1467" t="inlineStr"/>
      <c r="O1467">
        <f>(1-Summary!$B$55)*T1467+Summary!$B$55*V1467</f>
        <v/>
      </c>
      <c r="P1467">
        <f>IF(B1493=0,0,O1467/B1493)</f>
        <v/>
      </c>
      <c r="Q1467">
        <f>IFERROR(1/IF(Inputs!$B$39="pvp",15,MAX(0.1,Skills!D19-IF(Skills!E19=TRUE,1.0,0))),0)</f>
        <v/>
      </c>
      <c r="R1467">
        <f>IF(AND(Inputs!$B$39&lt;&gt;"pvp",Inputs!$B$44&gt;0),IF(Inputs!$B$44&lt;=0,0,(INT(Inputs!$B$44/IF(Inputs!$B$39="pvp",15,MAX(0.1,Skills!D19-IF(Skills!E19=TRUE,1.0,0))))+1)),0)</f>
        <v/>
      </c>
      <c r="S1467">
        <f>IFERROR(O1467/N1467,0)</f>
        <v/>
      </c>
      <c r="T1467" t="n">
        <v>0</v>
      </c>
      <c r="V1467" t="n">
        <v>0</v>
      </c>
    </row>
    <row r="1468">
      <c r="A1468">
        <f>Skills!A20</f>
        <v/>
      </c>
      <c r="B1468">
        <f>Skills!B20</f>
        <v/>
      </c>
      <c r="C1468">
        <f>Inputs!$B$3&gt;=15</f>
        <v/>
      </c>
      <c r="D1468">
        <f>IF(Skills!C20=1,60+Inputs!$B$25+Inputs!$B$29,IF(Skills!C20=2,90+Inputs!$B$26+Inputs!$B$29,IF(Skills!C20=3,120+Inputs!$B$27+Inputs!$B$29,MAX(0,(Inputs!$B$3-100)*3)+Inputs!$B$28+Inputs!$B$29)))</f>
        <v/>
      </c>
      <c r="E1468">
        <f>INDEX(FactorTable!$B$2:$Y$301, MATCH(ROUND(MIN(300,MAX(1,D1468)),0), FactorTable!$A$2:$A$301,0), Skills!M20+1)</f>
        <v/>
      </c>
      <c r="F1468">
        <f>IF(Skills!N20=TRUE,(Skills!L20/10)*(E1468/1000),Skills!L20/10)+Skills!O20</f>
        <v/>
      </c>
      <c r="G1468">
        <f>Skills!G20*IF(Skills!H20&gt;0,Skills!I20/Skills!H20,1)</f>
        <v/>
      </c>
      <c r="H1468">
        <f>1-(1-Skills!J20/100)^Skills!K20</f>
        <v/>
      </c>
      <c r="I1468" t="inlineStr">
        <is>
          <t>1</t>
        </is>
      </c>
      <c r="J1468" t="inlineStr"/>
      <c r="K1468" t="inlineStr"/>
      <c r="L1468" t="inlineStr"/>
      <c r="M1468" t="inlineStr"/>
      <c r="N1468" t="inlineStr"/>
      <c r="O1468">
        <f>(1-Summary!$B$55)*T1468+Summary!$B$55*V1468</f>
        <v/>
      </c>
      <c r="P1468">
        <f>IF(B1493=0,0,O1468/B1493)</f>
        <v/>
      </c>
      <c r="Q1468">
        <f>IFERROR(1/IF(Inputs!$B$39="pvp",15,MAX(0.1,Skills!D20-IF(Skills!E20=TRUE,1.0,0))),0)</f>
        <v/>
      </c>
      <c r="R1468">
        <f>IF(AND(Inputs!$B$39&lt;&gt;"pvp",Inputs!$B$44&gt;0),IF(Inputs!$B$44&lt;=0,0,(INT(Inputs!$B$44/IF(Inputs!$B$39="pvp",15,MAX(0.1,Skills!D20-IF(Skills!E20=TRUE,1.0,0))))+1)),0)</f>
        <v/>
      </c>
      <c r="S1468">
        <f>IFERROR(O1468/N1468,0)</f>
        <v/>
      </c>
      <c r="T1468" t="n">
        <v>0</v>
      </c>
      <c r="V1468" t="n">
        <v>0</v>
      </c>
    </row>
    <row r="1469">
      <c r="A1469">
        <f>Skills!A21</f>
        <v/>
      </c>
      <c r="B1469">
        <f>Skills!B21</f>
        <v/>
      </c>
      <c r="C1469">
        <f>Inputs!$B$3&gt;=15</f>
        <v/>
      </c>
      <c r="D1469">
        <f>IF(Skills!C21=1,60+Inputs!$B$25+Inputs!$B$29,IF(Skills!C21=2,90+Inputs!$B$26+Inputs!$B$29,IF(Skills!C21=3,120+Inputs!$B$27+Inputs!$B$29,MAX(0,(Inputs!$B$3-100)*3)+Inputs!$B$28+Inputs!$B$29)))</f>
        <v/>
      </c>
      <c r="E1469">
        <f>INDEX(FactorTable!$B$2:$Y$301, MATCH(ROUND(MIN(300,MAX(1,D1469)),0), FactorTable!$A$2:$A$301,0), Skills!M21+1)</f>
        <v/>
      </c>
      <c r="F1469">
        <f>IF(Skills!N21=TRUE,(Skills!L21/10)*(E1469/1000),Skills!L21/10)+Skills!O21</f>
        <v/>
      </c>
      <c r="G1469">
        <f>Skills!G21*IF(Skills!H21&gt;0,Skills!I21/Skills!H21,1)</f>
        <v/>
      </c>
      <c r="H1469">
        <f>1-(1-Skills!J21/100)^Skills!K21</f>
        <v/>
      </c>
      <c r="I1469" t="inlineStr">
        <is>
          <t>1</t>
        </is>
      </c>
      <c r="J1469" t="inlineStr"/>
      <c r="K1469" t="inlineStr"/>
      <c r="L1469" t="inlineStr"/>
      <c r="M1469" t="inlineStr"/>
      <c r="N1469" t="inlineStr"/>
      <c r="O1469">
        <f>(1-Summary!$B$55)*T1469+Summary!$B$55*V1469</f>
        <v/>
      </c>
      <c r="P1469">
        <f>IF(B1493=0,0,O1469/B1493)</f>
        <v/>
      </c>
      <c r="Q1469">
        <f>IFERROR(1/IF(Inputs!$B$39="pvp",15,MAX(0.1,Skills!D21-IF(Skills!E21=TRUE,1.0,0))),0)</f>
        <v/>
      </c>
      <c r="R1469">
        <f>IF(AND(Inputs!$B$39&lt;&gt;"pvp",Inputs!$B$44&gt;0),IF(Inputs!$B$44&lt;=0,0,(INT(Inputs!$B$44/IF(Inputs!$B$39="pvp",15,MAX(0.1,Skills!D21-IF(Skills!E21=TRUE,1.0,0))))+1)),0)</f>
        <v/>
      </c>
      <c r="S1469">
        <f>IFERROR(O1469/N1469,0)</f>
        <v/>
      </c>
      <c r="T1469" t="n">
        <v>0</v>
      </c>
      <c r="V1469" t="n">
        <v>0</v>
      </c>
    </row>
    <row r="1470">
      <c r="A1470">
        <f>Skills!A22</f>
        <v/>
      </c>
      <c r="B1470">
        <f>Skills!B22</f>
        <v/>
      </c>
      <c r="C1470">
        <f>Inputs!$B$3&gt;=33</f>
        <v/>
      </c>
      <c r="D1470">
        <f>IF(Skills!C22=1,60+Inputs!$B$25+Inputs!$B$29,IF(Skills!C22=2,90+Inputs!$B$26+Inputs!$B$29,IF(Skills!C22=3,120+Inputs!$B$27+Inputs!$B$29,MAX(0,(Inputs!$B$3-100)*3)+Inputs!$B$28+Inputs!$B$29)))</f>
        <v/>
      </c>
      <c r="E1470">
        <f>INDEX(FactorTable!$B$2:$Y$301, MATCH(ROUND(MIN(300,MAX(1,D1470)),0), FactorTable!$A$2:$A$301,0), Skills!M22+1)</f>
        <v/>
      </c>
      <c r="F1470">
        <f>IF(Skills!N22=TRUE,(Skills!L22/10)*(E1470/1000),Skills!L22/10)+Skills!O22</f>
        <v/>
      </c>
      <c r="G1470">
        <f>Skills!G22*IF(Skills!H22&gt;0,Skills!I22/Skills!H22,1)</f>
        <v/>
      </c>
      <c r="H1470">
        <f>1-(1-Skills!J22/100)^Skills!K22</f>
        <v/>
      </c>
      <c r="I1470" t="inlineStr">
        <is>
          <t>1</t>
        </is>
      </c>
      <c r="J1470" t="inlineStr"/>
      <c r="K1470" t="inlineStr"/>
      <c r="L1470" t="inlineStr"/>
      <c r="M1470" t="inlineStr"/>
      <c r="N1470" t="inlineStr"/>
      <c r="O1470">
        <f>(1-Summary!$B$55)*T1470+Summary!$B$55*V1470</f>
        <v/>
      </c>
      <c r="P1470">
        <f>IF(B1493=0,0,O1470/B1493)</f>
        <v/>
      </c>
      <c r="Q1470" t="n">
        <v>0</v>
      </c>
      <c r="R1470" t="n">
        <v>0</v>
      </c>
      <c r="S1470">
        <f>IFERROR(O1470/N1470,0)</f>
        <v/>
      </c>
      <c r="T1470" t="n">
        <v>0</v>
      </c>
      <c r="V1470" t="n">
        <v>0</v>
      </c>
    </row>
    <row r="1471">
      <c r="A1471">
        <f>Skills!A23</f>
        <v/>
      </c>
      <c r="B1471">
        <f>Skills!B23</f>
        <v/>
      </c>
      <c r="C1471">
        <f>Inputs!$B$3&gt;=40</f>
        <v/>
      </c>
      <c r="D1471">
        <f>IF(Skills!C23=1,60+Inputs!$B$25+Inputs!$B$29,IF(Skills!C23=2,90+Inputs!$B$26+Inputs!$B$29,IF(Skills!C23=3,120+Inputs!$B$27+Inputs!$B$29,MAX(0,(Inputs!$B$3-100)*3)+Inputs!$B$28+Inputs!$B$29)))</f>
        <v/>
      </c>
      <c r="E1471">
        <f>INDEX(FactorTable!$B$2:$Y$301, MATCH(ROUND(MIN(300,MAX(1,D1471)),0), FactorTable!$A$2:$A$301,0), Skills!M23+1)</f>
        <v/>
      </c>
      <c r="F1471">
        <f>IF(Skills!N23=TRUE,(Skills!L23/10)*(E1471/1000),Skills!L23/10)+Skills!O23</f>
        <v/>
      </c>
      <c r="G1471">
        <f>Skills!G23*IF(Skills!H23&gt;0,Skills!I23/Skills!H23,1)</f>
        <v/>
      </c>
      <c r="H1471">
        <f>1-(1-Skills!J23/100)^Skills!K23</f>
        <v/>
      </c>
      <c r="I1471" t="inlineStr">
        <is>
          <t>1</t>
        </is>
      </c>
      <c r="J1471" t="inlineStr"/>
      <c r="K1471" t="inlineStr"/>
      <c r="L1471" t="inlineStr"/>
      <c r="M1471" t="inlineStr"/>
      <c r="N1471" t="inlineStr"/>
      <c r="O1471">
        <f>(1-Summary!$B$55)*T1471+Summary!$B$55*V1471</f>
        <v/>
      </c>
      <c r="P1471">
        <f>IF(B1493=0,0,O1471/B1493)</f>
        <v/>
      </c>
      <c r="Q1471" t="n">
        <v>0</v>
      </c>
      <c r="R1471" t="n">
        <v>0</v>
      </c>
      <c r="S1471">
        <f>IFERROR(O1471/N1471,0)</f>
        <v/>
      </c>
      <c r="T1471" t="n">
        <v>0</v>
      </c>
      <c r="V1471" t="n">
        <v>0</v>
      </c>
    </row>
    <row r="1472">
      <c r="A1472">
        <f>Skills!A24</f>
        <v/>
      </c>
      <c r="B1472">
        <f>Skills!B24</f>
        <v/>
      </c>
      <c r="C1472">
        <f>Inputs!$B$3&gt;=43</f>
        <v/>
      </c>
      <c r="D1472">
        <f>IF(Skills!C24=1,60+Inputs!$B$25+Inputs!$B$29,IF(Skills!C24=2,90+Inputs!$B$26+Inputs!$B$29,IF(Skills!C24=3,120+Inputs!$B$27+Inputs!$B$29,MAX(0,(Inputs!$B$3-100)*3)+Inputs!$B$28+Inputs!$B$29)))</f>
        <v/>
      </c>
      <c r="E1472">
        <f>INDEX(FactorTable!$B$2:$Y$301, MATCH(ROUND(MIN(300,MAX(1,D1472)),0), FactorTable!$A$2:$A$301,0), Skills!M24+1)</f>
        <v/>
      </c>
      <c r="F1472">
        <f>IF(Skills!N24=TRUE,(Skills!L24/10)*(E1472/1000),Skills!L24/10)+Skills!O24</f>
        <v/>
      </c>
      <c r="G1472">
        <f>Skills!G24*IF(Skills!H24&gt;0,Skills!I24/Skills!H24,1)</f>
        <v/>
      </c>
      <c r="H1472">
        <f>1-(1-Skills!J24/100)^Skills!K24</f>
        <v/>
      </c>
      <c r="I1472" t="inlineStr">
        <is>
          <t>1</t>
        </is>
      </c>
      <c r="J1472" t="inlineStr"/>
      <c r="K1472" t="inlineStr"/>
      <c r="L1472" t="inlineStr"/>
      <c r="M1472" t="inlineStr"/>
      <c r="N1472" t="inlineStr"/>
      <c r="O1472">
        <f>(1-Summary!$B$55)*T1472+Summary!$B$55*V1472</f>
        <v/>
      </c>
      <c r="P1472">
        <f>IF(B1493=0,0,O1472/B1493)</f>
        <v/>
      </c>
      <c r="Q1472" t="n">
        <v>0</v>
      </c>
      <c r="R1472" t="n">
        <v>0</v>
      </c>
      <c r="S1472">
        <f>IFERROR(O1472/N1472,0)</f>
        <v/>
      </c>
      <c r="T1472" t="n">
        <v>0</v>
      </c>
      <c r="V1472" t="n">
        <v>0</v>
      </c>
    </row>
    <row r="1473">
      <c r="A1473">
        <f>Skills!A25</f>
        <v/>
      </c>
      <c r="B1473">
        <f>Skills!B25</f>
        <v/>
      </c>
      <c r="C1473">
        <f>Inputs!$B$3&gt;=50</f>
        <v/>
      </c>
      <c r="D1473">
        <f>IF(Skills!C25=1,60+Inputs!$B$25+Inputs!$B$29,IF(Skills!C25=2,90+Inputs!$B$26+Inputs!$B$29,IF(Skills!C25=3,120+Inputs!$B$27+Inputs!$B$29,MAX(0,(Inputs!$B$3-100)*3)+Inputs!$B$28+Inputs!$B$29)))</f>
        <v/>
      </c>
      <c r="E1473">
        <f>INDEX(FactorTable!$B$2:$Y$301, MATCH(ROUND(MIN(300,MAX(1,D1473)),0), FactorTable!$A$2:$A$301,0), Skills!M25+1)</f>
        <v/>
      </c>
      <c r="F1473">
        <f>IF(Skills!N25=TRUE,(Skills!L25/10)*(E1473/1000),Skills!L25/10)+Skills!O25</f>
        <v/>
      </c>
      <c r="G1473">
        <f>Skills!G25*IF(Skills!H25&gt;0,Skills!I25/Skills!H25,1)</f>
        <v/>
      </c>
      <c r="H1473">
        <f>1-(1-Skills!J25/100)^Skills!K25</f>
        <v/>
      </c>
      <c r="I1473" t="inlineStr">
        <is>
          <t>1</t>
        </is>
      </c>
      <c r="J1473" t="inlineStr"/>
      <c r="K1473" t="inlineStr"/>
      <c r="L1473" t="inlineStr"/>
      <c r="M1473" t="inlineStr"/>
      <c r="N1473" t="inlineStr"/>
      <c r="O1473">
        <f>(1-Summary!$B$55)*T1473+Summary!$B$55*V1473</f>
        <v/>
      </c>
      <c r="P1473">
        <f>IF(B1493=0,0,O1473/B1493)</f>
        <v/>
      </c>
      <c r="Q1473" t="n">
        <v>0</v>
      </c>
      <c r="R1473" t="n">
        <v>0</v>
      </c>
      <c r="S1473">
        <f>IFERROR(O1473/N1473,0)</f>
        <v/>
      </c>
      <c r="T1473" t="n">
        <v>0</v>
      </c>
      <c r="V1473" t="n">
        <v>0</v>
      </c>
    </row>
    <row r="1474">
      <c r="A1474">
        <f>Skills!A26</f>
        <v/>
      </c>
      <c r="B1474">
        <f>Skills!B26</f>
        <v/>
      </c>
      <c r="C1474">
        <f>Inputs!$B$3&gt;=50</f>
        <v/>
      </c>
      <c r="D1474">
        <f>IF(Skills!C26=1,60+Inputs!$B$25+Inputs!$B$29,IF(Skills!C26=2,90+Inputs!$B$26+Inputs!$B$29,IF(Skills!C26=3,120+Inputs!$B$27+Inputs!$B$29,MAX(0,(Inputs!$B$3-100)*3)+Inputs!$B$28+Inputs!$B$29)))</f>
        <v/>
      </c>
      <c r="E1474">
        <f>INDEX(FactorTable!$B$2:$Y$301, MATCH(ROUND(MIN(300,MAX(1,D1474)),0), FactorTable!$A$2:$A$301,0), Skills!M26+1)</f>
        <v/>
      </c>
      <c r="F1474">
        <f>IF(Skills!N26=TRUE,(Skills!L26/10)*(E1474/1000),Skills!L26/10)+Skills!O26</f>
        <v/>
      </c>
      <c r="G1474">
        <f>Skills!G26*IF(Skills!H26&gt;0,Skills!I26/Skills!H26,1)</f>
        <v/>
      </c>
      <c r="H1474">
        <f>1-(1-Skills!J26/100)^Skills!K26</f>
        <v/>
      </c>
      <c r="I1474" t="inlineStr">
        <is>
          <t>1</t>
        </is>
      </c>
      <c r="J1474" t="inlineStr"/>
      <c r="K1474" t="inlineStr"/>
      <c r="L1474" t="inlineStr"/>
      <c r="M1474" t="inlineStr"/>
      <c r="N1474" t="inlineStr"/>
      <c r="O1474">
        <f>(1-Summary!$B$55)*T1474+Summary!$B$55*V1474</f>
        <v/>
      </c>
      <c r="P1474">
        <f>IF(B1493=0,0,O1474/B1493)</f>
        <v/>
      </c>
      <c r="Q1474" t="n">
        <v>0</v>
      </c>
      <c r="R1474" t="n">
        <v>0</v>
      </c>
      <c r="S1474">
        <f>IFERROR(O1474/N1474,0)</f>
        <v/>
      </c>
      <c r="T1474" t="n">
        <v>0</v>
      </c>
      <c r="V1474" t="n">
        <v>0</v>
      </c>
    </row>
    <row r="1475">
      <c r="A1475">
        <f>Skills!A27</f>
        <v/>
      </c>
      <c r="B1475">
        <f>Skills!B27</f>
        <v/>
      </c>
      <c r="C1475">
        <f>Inputs!$B$3&gt;=38</f>
        <v/>
      </c>
      <c r="D1475">
        <f>IF(Skills!C27=1,60+Inputs!$B$25+Inputs!$B$29,IF(Skills!C27=2,90+Inputs!$B$26+Inputs!$B$29,IF(Skills!C27=3,120+Inputs!$B$27+Inputs!$B$29,MAX(0,(Inputs!$B$3-100)*3)+Inputs!$B$28+Inputs!$B$29)))</f>
        <v/>
      </c>
      <c r="E1475">
        <f>INDEX(FactorTable!$B$2:$Y$301, MATCH(ROUND(MIN(300,MAX(1,D1475)),0), FactorTable!$A$2:$A$301,0), Skills!M27+1)</f>
        <v/>
      </c>
      <c r="F1475">
        <f>IF(Skills!N27=TRUE,(Skills!L27/10)*(E1475/1000),Skills!L27/10)+Skills!O27</f>
        <v/>
      </c>
      <c r="G1475">
        <f>Skills!G27*IF(Skills!H27&gt;0,Skills!I27/Skills!H27,1)</f>
        <v/>
      </c>
      <c r="H1475">
        <f>1-(1-Skills!J27/100)^Skills!K27</f>
        <v/>
      </c>
      <c r="I1475" t="inlineStr">
        <is>
          <t>1</t>
        </is>
      </c>
      <c r="J1475" t="inlineStr"/>
      <c r="K1475" t="inlineStr"/>
      <c r="L1475" t="inlineStr"/>
      <c r="M1475" t="inlineStr"/>
      <c r="N1475" t="inlineStr"/>
      <c r="O1475">
        <f>(1-Summary!$B$55)*T1475+Summary!$B$55*V1475</f>
        <v/>
      </c>
      <c r="P1475">
        <f>IF(B1493=0,0,O1475/B1493)</f>
        <v/>
      </c>
      <c r="Q1475" t="n">
        <v>0</v>
      </c>
      <c r="R1475" t="n">
        <v>0</v>
      </c>
      <c r="S1475">
        <f>IFERROR(O1475/N1475,0)</f>
        <v/>
      </c>
      <c r="T1475" t="n">
        <v>0</v>
      </c>
      <c r="V1475" t="n">
        <v>0</v>
      </c>
    </row>
    <row r="1476">
      <c r="A1476">
        <f>Skills!A28</f>
        <v/>
      </c>
      <c r="B1476">
        <f>Skills!B28</f>
        <v/>
      </c>
      <c r="C1476">
        <f>Inputs!$B$3&gt;=120</f>
        <v/>
      </c>
      <c r="D1476">
        <f>IF(Skills!C28=1,60+Inputs!$B$25+Inputs!$B$29,IF(Skills!C28=2,90+Inputs!$B$26+Inputs!$B$29,IF(Skills!C28=3,120+Inputs!$B$27+Inputs!$B$29,MAX(0,(Inputs!$B$3-100)*3)+Inputs!$B$28+Inputs!$B$29)))</f>
        <v/>
      </c>
      <c r="E1476">
        <f>INDEX(FactorTable!$B$2:$Y$301, MATCH(ROUND(MIN(300,MAX(1,D1476)),0), FactorTable!$A$2:$A$301,0), Skills!M28+1)</f>
        <v/>
      </c>
      <c r="F1476">
        <f>IF(Skills!N28=TRUE,(Skills!L28/10)*(E1476/1000),Skills!L28/10)+Skills!O28</f>
        <v/>
      </c>
      <c r="G1476">
        <f>Skills!G28*IF(Skills!H28&gt;0,Skills!I28/Skills!H28,1)</f>
        <v/>
      </c>
      <c r="H1476">
        <f>1-(1-Skills!J28/100)^Skills!K28</f>
        <v/>
      </c>
      <c r="I1476" t="inlineStr">
        <is>
          <t>1</t>
        </is>
      </c>
      <c r="J1476" t="inlineStr"/>
      <c r="K1476" t="inlineStr"/>
      <c r="L1476" t="inlineStr"/>
      <c r="M1476" t="inlineStr"/>
      <c r="N1476" t="inlineStr"/>
      <c r="O1476">
        <f>(1-Summary!$B$55)*T1476+Summary!$B$55*V1476</f>
        <v/>
      </c>
      <c r="P1476">
        <f>IF(B1493=0,0,O1476/B1493)</f>
        <v/>
      </c>
      <c r="Q1476" t="n">
        <v>0</v>
      </c>
      <c r="R1476" t="n">
        <v>0</v>
      </c>
      <c r="S1476">
        <f>IFERROR(O1476/N1476,0)</f>
        <v/>
      </c>
      <c r="T1476" t="n">
        <v>0</v>
      </c>
      <c r="V1476" t="n">
        <v>0</v>
      </c>
    </row>
    <row r="1477">
      <c r="A1477">
        <f>Skills!A29</f>
        <v/>
      </c>
      <c r="B1477">
        <f>Skills!B29</f>
        <v/>
      </c>
      <c r="C1477">
        <f>Inputs!$B$3&gt;=120</f>
        <v/>
      </c>
      <c r="D1477">
        <f>IF(Skills!C29=1,60+Inputs!$B$25+Inputs!$B$29,IF(Skills!C29=2,90+Inputs!$B$26+Inputs!$B$29,IF(Skills!C29=3,120+Inputs!$B$27+Inputs!$B$29,MAX(0,(Inputs!$B$3-100)*3)+Inputs!$B$28+Inputs!$B$29)))</f>
        <v/>
      </c>
      <c r="E1477">
        <f>INDEX(FactorTable!$B$2:$Y$301, MATCH(ROUND(MIN(300,MAX(1,D1477)),0), FactorTable!$A$2:$A$301,0), Skills!M29+1)</f>
        <v/>
      </c>
      <c r="F1477">
        <f>IF(Skills!N29=TRUE,(Skills!L29/10)*(E1477/1000),Skills!L29/10)+Skills!O29</f>
        <v/>
      </c>
      <c r="G1477">
        <f>Skills!G29*IF(Skills!H29&gt;0,Skills!I29/Skills!H29,1)</f>
        <v/>
      </c>
      <c r="H1477">
        <f>1-(1-Skills!J29/100)^Skills!K29</f>
        <v/>
      </c>
      <c r="I1477" t="inlineStr">
        <is>
          <t>1</t>
        </is>
      </c>
      <c r="J1477" t="inlineStr"/>
      <c r="K1477" t="inlineStr"/>
      <c r="L1477" t="inlineStr"/>
      <c r="M1477" t="inlineStr"/>
      <c r="N1477" t="inlineStr"/>
      <c r="O1477">
        <f>(1-Summary!$B$55)*T1477+Summary!$B$55*V1477</f>
        <v/>
      </c>
      <c r="P1477">
        <f>IF(B1493=0,0,O1477/B1493)</f>
        <v/>
      </c>
      <c r="Q1477" t="n">
        <v>0</v>
      </c>
      <c r="R1477" t="n">
        <v>0</v>
      </c>
      <c r="S1477">
        <f>IFERROR(O1477/N1477,0)</f>
        <v/>
      </c>
      <c r="T1477" t="n">
        <v>0</v>
      </c>
      <c r="V1477" t="n">
        <v>0</v>
      </c>
    </row>
    <row r="1478">
      <c r="A1478">
        <f>Skills!A30</f>
        <v/>
      </c>
      <c r="B1478">
        <f>Skills!B30</f>
        <v/>
      </c>
      <c r="C1478">
        <f>Inputs!$B$3&gt;=125</f>
        <v/>
      </c>
      <c r="D1478">
        <f>IF(Skills!C30=1,60+Inputs!$B$25+Inputs!$B$29,IF(Skills!C30=2,90+Inputs!$B$26+Inputs!$B$29,IF(Skills!C30=3,120+Inputs!$B$27+Inputs!$B$29,MAX(0,(Inputs!$B$3-100)*3)+Inputs!$B$28+Inputs!$B$29)))</f>
        <v/>
      </c>
      <c r="E1478">
        <f>INDEX(FactorTable!$B$2:$Y$301, MATCH(ROUND(MIN(300,MAX(1,D1478)),0), FactorTable!$A$2:$A$301,0), Skills!M30+1)</f>
        <v/>
      </c>
      <c r="F1478">
        <f>IF(Skills!N30=TRUE,(Skills!L30/10)*(E1478/1000),Skills!L30/10)+Skills!O30</f>
        <v/>
      </c>
      <c r="G1478">
        <f>Skills!G30*IF(Skills!H30&gt;0,Skills!I30/Skills!H30,1)</f>
        <v/>
      </c>
      <c r="H1478">
        <f>1-(1-Skills!J30/100)^Skills!K30</f>
        <v/>
      </c>
      <c r="I1478" t="inlineStr">
        <is>
          <t>1</t>
        </is>
      </c>
      <c r="J1478" t="inlineStr"/>
      <c r="K1478" t="inlineStr"/>
      <c r="L1478" t="inlineStr"/>
      <c r="M1478" t="inlineStr"/>
      <c r="N1478" t="inlineStr"/>
      <c r="O1478">
        <f>(1-Summary!$B$55)*T1478+Summary!$B$55*V1478</f>
        <v/>
      </c>
      <c r="P1478">
        <f>IF(B1493=0,0,O1478/B1493)</f>
        <v/>
      </c>
      <c r="Q1478" t="n">
        <v>0</v>
      </c>
      <c r="R1478" t="n">
        <v>0</v>
      </c>
      <c r="S1478">
        <f>IFERROR(O1478/N1478,0)</f>
        <v/>
      </c>
      <c r="T1478" t="n">
        <v>0</v>
      </c>
      <c r="V1478" t="n">
        <v>0</v>
      </c>
    </row>
    <row r="1480">
      <c r="A1480" t="inlineStr">
        <is>
          <t>Average Buff Multiplier</t>
        </is>
      </c>
      <c r="B1480">
        <f>(1+(((C1469=TRUE)*F1469*IF(AND(Inputs!$B$39&lt;&gt;"pvp",Inputs!$B$44&gt;0),(((R1469-1)*(Skills!Y21*(1+Inputs!$B$34/100))+MIN((Skills!Y21*(1+Inputs!$B$34/100)),MAX(0,Inputs!$B$44-((R1469-1)*Skills!D21))))/Inputs!$B$44),IF(Inputs!$B$39="pvp",MIN((Skills!Y21*(1+Inputs!$B$34/100)),15)/15,(Skills!Y21*(1+Inputs!$B$34/100))/Skills!D21)))+((C1471=TRUE)*(F1471-Calc!F23))+((C1465=TRUE)*(F1465-Calc!F17)))/100)*(1+((C1458=TRUE)*F1458*IF(AND(Inputs!$B$39&lt;&gt;"pvp",Inputs!$B$44&gt;0),(((R1458-1)*(Skills!Y10*(1+Inputs!$B$34/100))+MIN((Skills!Y10*(1+Inputs!$B$34/100)),MAX(0,Inputs!$B$44-((R1458-1)*Skills!D10))))/Inputs!$B$44),IF(Inputs!$B$39="pvp",MIN((Skills!Y10*(1+Inputs!$B$34/100)),15)/15,(Skills!Y10*(1+Inputs!$B$34/100))/Skills!D10)))/100)*(1+((C1463=TRUE)*F1463*IF(AND(Inputs!$B$39&lt;&gt;"pvp",Inputs!$B$44&gt;0),(((R1463-1)*(Skills!Y15*(1+Inputs!$B$34/100))+MIN((Skills!Y15*(1+Inputs!$B$34/100)),MAX(0,Inputs!$B$44-((R1463-1)*Skills!D15))))/Inputs!$B$44),IF(Inputs!$B$39="pvp",MIN((Skills!Y15*(1+Inputs!$B$34/100)),15)/15,(Skills!Y15*(1+Inputs!$B$34/100))/Skills!D15)))/100)</f>
        <v/>
      </c>
    </row>
    <row r="1481">
      <c r="A1481" t="inlineStr">
        <is>
          <t>Global Crit Rate Bonus %</t>
        </is>
      </c>
      <c r="B1481">
        <f>((C1468=TRUE)*F1468*IF(AND(Inputs!$B$39&lt;&gt;"pvp",Inputs!$B$44&gt;0),(((R1468-1)*(Skills!Y20*(1+Inputs!$B$34/100))+MIN((Skills!Y20*(1+Inputs!$B$34/100)),MAX(0,Inputs!$B$44-((R1468-1)*Skills!D20))))/Inputs!$B$44),IF(Inputs!$B$39="pvp",MIN((Skills!Y20*(1+Inputs!$B$34/100)),15)/15,(Skills!Y20*(1+Inputs!$B$34/100))/Skills!D20)))</f>
        <v/>
      </c>
    </row>
    <row r="1482">
      <c r="A1482" t="inlineStr">
        <is>
          <t>Global Monster Damage-Taken Bonus %</t>
        </is>
      </c>
      <c r="B1482">
        <f>IF(Inputs!$B$3&gt;=82,15,0)</f>
        <v/>
      </c>
    </row>
    <row r="1483">
      <c r="A1483" t="inlineStr">
        <is>
          <t>Shadow Partner Average Multiplier</t>
        </is>
      </c>
      <c r="B1483">
        <f>1+((C1455=TRUE)*F1455*(1+3.3333333333333335*IF(C1466=TRUE,F1466,0)/100)*I1455*Skills!J7/100)/100</f>
        <v/>
      </c>
    </row>
    <row r="1484">
      <c r="A1484" t="inlineStr">
        <is>
          <t>Attack Speed Buff Bonus %</t>
        </is>
      </c>
      <c r="B1484">
        <f>((C1467=TRUE)*F1467*IF(AND(Inputs!$B$39&lt;&gt;"pvp",Inputs!$B$44&gt;0),(((R1467-1)*(Skills!Y19*(1+Inputs!$B$34/100))+MIN((Skills!Y19*(1+Inputs!$B$34/100)),MAX(0,Inputs!$B$44-((R1467-1)*Skills!D19))))/Inputs!$B$44),IF(Inputs!$B$39="pvp",MIN((Skills!Y19*(1+Inputs!$B$34/100)),15)/15,(Skills!Y19*(1+Inputs!$B$34/100))/Skills!D19)))+((C1451=TRUE)*F1451*3)</f>
        <v/>
      </c>
    </row>
    <row r="1485">
      <c r="A1485" t="inlineStr">
        <is>
          <t>Actions Per Second</t>
        </is>
      </c>
      <c r="B1485">
        <f>1+MIN(150,150*(1-(1-(Inputs!$B$11+((C1470=TRUE)*(F1470-Calc!F22)))/150)*(1-B1484/150)))/100</f>
        <v/>
      </c>
    </row>
    <row r="1486">
      <c r="A1486" t="inlineStr">
        <is>
          <t>Skill + Buff Cast Rate</t>
        </is>
      </c>
      <c r="B1486">
        <f>IF(AND(Inputs!$B$39&lt;&gt;"pvp",Inputs!$B$44&gt;0),SUMPRODUCT((Skills!E2:E30=TRUE)*(C1450:C1478=TRUE)*R1450:R1478*Skills!F2:F30)/Inputs!$B$44,SUMPRODUCT((Skills!E2:E30=TRUE)*(C1450:C1478=TRUE)*Q1450:Q1478*Skills!F2:F30))</f>
        <v/>
      </c>
    </row>
    <row r="1487">
      <c r="A1487" t="inlineStr">
        <is>
          <t>Cruel Stab Casts Per Second</t>
        </is>
      </c>
      <c r="B1487">
        <f>MAX(0,B1485-B1486)</f>
        <v/>
      </c>
    </row>
    <row r="1488">
      <c r="A1488" t="inlineStr">
        <is>
          <t>Global Critical Damage Bonus % (Smokescreen Mastery Lv.113)</t>
        </is>
      </c>
      <c r="B1488">
        <f>IF(Inputs!$B$3&gt;=113,30,0)*IF(AND(Inputs!$B$39&lt;&gt;"pvp",Inputs!$B$44&gt;0),(((R1463-1)*(Skills!Y15*(1+Inputs!$B$34/100))+MIN((Skills!Y15*(1+Inputs!$B$34/100)),MAX(0,Inputs!$B$44-((R1463-1)*Skills!D15))))/Inputs!$B$44),IF(Inputs!$B$39="pvp",MIN((Skills!Y15*(1+Inputs!$B$34/100)),15)/15,(Skills!Y15*(1+Inputs!$B$34/100))/Skills!D15))</f>
        <v/>
      </c>
    </row>
    <row r="1489">
      <c r="A1489" t="inlineStr">
        <is>
          <t>Meso Explosion average stack count</t>
        </is>
      </c>
      <c r="B1489">
        <f>MIN(10,0.5*B1485*Skills!D4)</f>
        <v/>
      </c>
    </row>
    <row r="1490">
      <c r="A1490" t="inlineStr">
        <is>
          <t>Blood Money average stack count</t>
        </is>
      </c>
      <c r="B1490">
        <f>MIN(5,0.25*B1485*Skills!D4)</f>
        <v/>
      </c>
    </row>
    <row r="1491">
      <c r="A1491" t="inlineStr">
        <is>
          <t>Assassinate Murderous Intent Multiplier</t>
        </is>
      </c>
      <c r="B1491">
        <f>1+IFERROR(MIN(1,Q1462*2/Q1459),0)</f>
        <v/>
      </c>
    </row>
    <row r="1492">
      <c r="A1492" t="inlineStr">
        <is>
          <t>Buff-Casting Startup Delay (s, fixed-duration only)</t>
        </is>
      </c>
      <c r="B1492">
        <f>IF(AND(Inputs!$B$39&lt;&gt;"pvp",Inputs!$B$44&gt;0),SUMPRODUCT((Skills!Y2:Y30&gt;0)*(Skills!E2:E30=TRUE)*(C1450:C1478=TRUE))/B1485,0)</f>
        <v/>
      </c>
    </row>
    <row r="1493">
      <c r="A1493" s="5" t="inlineStr">
        <is>
          <t>TOTAL DPS</t>
        </is>
      </c>
      <c r="B1493" s="5">
        <f>SUM(O1450:O1478)</f>
        <v/>
      </c>
    </row>
    <row r="1494">
      <c r="A1494" t="inlineStr">
        <is>
          <t>Boss-Only Total DPS (this block's swept value)</t>
        </is>
      </c>
      <c r="B1494">
        <f>SUM(T1450:T1478)</f>
        <v/>
      </c>
    </row>
    <row r="1495">
      <c r="A1495" t="inlineStr">
        <is>
          <t>Normal-Only Total DPS (this block's swept value)</t>
        </is>
      </c>
      <c r="B1495">
        <f>SUM(V1450:V1478)</f>
        <v/>
      </c>
    </row>
    <row r="1498">
      <c r="A1498" s="5" t="inlineStr">
        <is>
          <t>Stat: CDR = 1.5s</t>
        </is>
      </c>
    </row>
    <row r="1499">
      <c r="A1499" s="9" t="inlineStr">
        <is>
          <t>Key</t>
        </is>
      </c>
      <c r="B1499" s="9" t="inlineStr">
        <is>
          <t>Name</t>
        </is>
      </c>
      <c r="C1499" s="9" t="inlineStr">
        <is>
          <t>Unlocked</t>
        </is>
      </c>
      <c r="D1499" s="9" t="inlineStr">
        <is>
          <t>InputLevel</t>
        </is>
      </c>
      <c r="E1499" s="9" t="inlineStr">
        <is>
          <t>Factor</t>
        </is>
      </c>
      <c r="F1499" s="9" t="inlineStr">
        <is>
          <t>CoefficientPercent</t>
        </is>
      </c>
      <c r="G1499" s="9" t="inlineStr">
        <is>
          <t>EffectiveHits</t>
        </is>
      </c>
      <c r="H1499" s="9" t="inlineStr">
        <is>
          <t>ProcProbability</t>
        </is>
      </c>
      <c r="I1499" s="9" t="inlineStr">
        <is>
          <t>MapleHeroMultiplier</t>
        </is>
      </c>
      <c r="J1499" s="9" t="inlineStr">
        <is>
          <t>BaseDamage</t>
        </is>
      </c>
      <c r="K1499" s="9" t="inlineStr">
        <is>
          <t>BaseHitDamage</t>
        </is>
      </c>
      <c r="L1499" s="9" t="inlineStr">
        <is>
          <t>NonCritAvg</t>
        </is>
      </c>
      <c r="M1499" s="9" t="inlineStr">
        <is>
          <t>CritAvg</t>
        </is>
      </c>
      <c r="N1499" s="9" t="inlineStr">
        <is>
          <t>ExpectedDamage(perHit)</t>
        </is>
      </c>
      <c r="O1499" s="9" t="inlineStr">
        <is>
          <t>DPS</t>
        </is>
      </c>
      <c r="P1499" s="9" t="inlineStr">
        <is>
          <t>% of Total</t>
        </is>
      </c>
      <c r="Q1499" s="9" t="inlineStr">
        <is>
          <t>InvCooldown</t>
        </is>
      </c>
      <c r="R1499" s="9" t="inlineStr">
        <is>
          <t>CastsInFight</t>
        </is>
      </c>
      <c r="S1499" s="9" t="inlineStr">
        <is>
          <t>HitRate(perSec)</t>
        </is>
      </c>
      <c r="U1499" t="inlineStr">
        <is>
          <t>helpers</t>
        </is>
      </c>
    </row>
    <row r="1500">
      <c r="A1500">
        <f>Skills!A2</f>
        <v/>
      </c>
      <c r="B1500">
        <f>Skills!B2</f>
        <v/>
      </c>
      <c r="C1500">
        <f>Inputs!$B$3&gt;=100</f>
        <v/>
      </c>
      <c r="D1500" t="inlineStr"/>
      <c r="E1500" t="inlineStr"/>
      <c r="F1500">
        <f>U1502+Skills!O2</f>
        <v/>
      </c>
      <c r="G1500">
        <f>Skills!G2*IF(Skills!H2&gt;0,Skills!I2/Skills!H2,1)</f>
        <v/>
      </c>
      <c r="H1500">
        <f>1-(1-Skills!J2/100)^Skills!K2</f>
        <v/>
      </c>
      <c r="I1500" t="inlineStr">
        <is>
          <t>1</t>
        </is>
      </c>
      <c r="J1500">
        <f>((Inputs!$B$6*(1+Inputs!$B$7/100))+(((Inputs!$B$12*(1+Inputs!$B$13/100))-(Inputs!$B$12*(1+Inputs!$B$13/100)))+0.25*(Inputs!$B$14-Inputs!$B$14))*(1+Inputs!$B$7/100))*(F1500/100)</f>
        <v/>
      </c>
      <c r="K1500">
        <f>J1500*(1+((Inputs!$B$12*(1+Inputs!$B$13/100))*0.01+Inputs!$B$14*0.0025)/100)*(1+Inputs!$B$15/100)*(1+Inputs!$B$16/100)*(5000/(6000+Inputs!$B$43*(1-Inputs!$B$19/100)))*(1+(Inputs!$B$24+((C1528=TRUE)*(F1528-Calc!F30)))/100)*(1+(IF(Skills!A2="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1500)</f>
        <v/>
      </c>
      <c r="L1500">
        <f>K1500*(MIN(Inputs!$B$22+((C1522=TRUE)*(F1522-Calc!F24)),Inputs!$B$23+((C1527=TRUE)*(F1527-Calc!F29)))/100+(Inputs!$B$23+((C1527=TRUE)*(F1527-Calc!F29)))/100)/2</f>
        <v/>
      </c>
      <c r="M1500">
        <f>L1500*(1+(Inputs!$B$10+((C1524=TRUE)*(F1524-Calc!F26))+B1538)/100)</f>
        <v/>
      </c>
      <c r="N1500">
        <f>L1500*(1-MIN((Inputs!$B$9+((C1523=TRUE)*(F1523-Calc!F25))+B1531),100)/100)+M1500*(MIN((Inputs!$B$9+((C1523=TRUE)*(F1523-Calc!F25))+B1531),100)/100)</f>
        <v/>
      </c>
      <c r="O1500">
        <f>(1-Summary!$B$55)*T1500+Summary!$B$55*V1500</f>
        <v/>
      </c>
      <c r="P1500">
        <f>IF(B1543=0,0,O1500/B1543)</f>
        <v/>
      </c>
      <c r="Q1500" t="n">
        <v>0</v>
      </c>
      <c r="R1500" t="n">
        <v>0</v>
      </c>
      <c r="S1500">
        <f>IFERROR(O1500/N1500,0)</f>
        <v/>
      </c>
      <c r="T1500">
        <f>IF(C1500,(Skills!G2*N1500*B1537)*IF(Inputs!$B$39="pvp",1,1+(Inputs!$B$20+0+Skills!P2+B1532)/100),0)</f>
        <v/>
      </c>
      <c r="U1500">
        <f>MAX(0,(Inputs!$B$3-100)*3)+Inputs!$B$28+Inputs!$B$29</f>
        <v/>
      </c>
      <c r="V1500">
        <f>IF(C1500,(Skills!G2*N1500*B1537)*IF(Inputs!$B$39="pvp",1,(1+(Inputs!$B$21+Skills!Q2+B1532)/100)*(MIN((6+Inputs!$B$33),Inputs!$B$37))),0)</f>
        <v/>
      </c>
    </row>
    <row r="1501">
      <c r="A1501">
        <f>Skills!A3</f>
        <v/>
      </c>
      <c r="B1501">
        <f>Skills!B3</f>
        <v/>
      </c>
      <c r="C1501">
        <f>Inputs!$B$3&gt;=35</f>
        <v/>
      </c>
      <c r="D1501">
        <f>IF(Skills!C3=1,60+Inputs!$B$25+Inputs!$B$29,IF(Skills!C3=2,90+Inputs!$B$26+Inputs!$B$29,IF(Skills!C3=3,120+Inputs!$B$27+Inputs!$B$29,MAX(0,(Inputs!$B$3-100)*3)+Inputs!$B$28+Inputs!$B$29)))</f>
        <v/>
      </c>
      <c r="E1501">
        <f>INDEX(FactorTable!$B$2:$Y$301, MATCH(ROUND(MIN(300,MAX(1,D1501)),0), FactorTable!$A$2:$A$301,0), Skills!M3+1)</f>
        <v/>
      </c>
      <c r="F1501">
        <f>IF(Skills!N3=TRUE,(Skills!L3/10)*(E1501/1000),Skills!L3/10)+Skills!O3</f>
        <v/>
      </c>
      <c r="G1501">
        <f>Skills!G3*IF(Skills!H3&gt;0,Skills!I3/Skills!H3,1)</f>
        <v/>
      </c>
      <c r="H1501">
        <f>1-(1-Skills!J3/100)^Skills!K3</f>
        <v/>
      </c>
      <c r="I1501" t="inlineStr">
        <is>
          <t>1</t>
        </is>
      </c>
      <c r="J1501" t="inlineStr"/>
      <c r="K1501" t="inlineStr"/>
      <c r="L1501" t="inlineStr"/>
      <c r="M1501" t="inlineStr"/>
      <c r="N1501" t="inlineStr"/>
      <c r="O1501">
        <f>(1-Summary!$B$55)*T1501+Summary!$B$55*V1501</f>
        <v/>
      </c>
      <c r="P1501">
        <f>IF(B1543=0,0,O1501/B1543)</f>
        <v/>
      </c>
      <c r="Q1501" t="n">
        <v>0</v>
      </c>
      <c r="R1501" t="n">
        <v>0</v>
      </c>
      <c r="S1501">
        <f>IFERROR(O1501/N1501,0)</f>
        <v/>
      </c>
      <c r="T1501" t="n">
        <v>0</v>
      </c>
      <c r="U1501">
        <f>INDEX(FactorTable!$B$2:$Y$301, MATCH(ROUND(MIN(300,MAX(1,U1500)),0), FactorTable!$A$2:$A$301,0), 22)</f>
        <v/>
      </c>
      <c r="V1501" t="n">
        <v>0</v>
      </c>
    </row>
    <row r="1502">
      <c r="A1502">
        <f>Skills!A4</f>
        <v/>
      </c>
      <c r="B1502">
        <f>Skills!B4</f>
        <v/>
      </c>
      <c r="C1502">
        <f>Inputs!$B$3&gt;=66</f>
        <v/>
      </c>
      <c r="D1502">
        <f>IF(Skills!C4=1,60+Inputs!$B$25+Inputs!$B$29,IF(Skills!C4=2,90+Inputs!$B$26+Inputs!$B$29,IF(Skills!C4=3,120+Inputs!$B$27+Inputs!$B$29,MAX(0,(Inputs!$B$3-100)*3)+Inputs!$B$28+Inputs!$B$29)))</f>
        <v/>
      </c>
      <c r="E1502">
        <f>INDEX(FactorTable!$B$2:$Y$301, MATCH(ROUND(MIN(300,MAX(1,D1502)),0), FactorTable!$A$2:$A$301,0), Skills!M4+1)</f>
        <v/>
      </c>
      <c r="F1502">
        <f>IF(Skills!N4=TRUE,(Skills!L4/10)*(E1502/1000),Skills!L4/10)+Skills!O4</f>
        <v/>
      </c>
      <c r="G1502">
        <f>Skills!G4*IF(Skills!H4&gt;0,Skills!I4/Skills!H4,1)</f>
        <v/>
      </c>
      <c r="H1502">
        <f>1-(1-Skills!J4/100)^Skills!K4</f>
        <v/>
      </c>
      <c r="I1502" t="inlineStr">
        <is>
          <t>1</t>
        </is>
      </c>
      <c r="J1502">
        <f>((Inputs!$B$6*(1+Inputs!$B$7/100))+(((Inputs!$B$12*(1+Inputs!$B$13/100))-(Inputs!$B$12*(1+Inputs!$B$13/100)))+0.25*(Inputs!$B$14-Inputs!$B$14))*(1+Inputs!$B$7/100))*(F1502/100)</f>
        <v/>
      </c>
      <c r="K1502">
        <f>J1502*(1+((Inputs!$B$12*(1+Inputs!$B$13/100))*0.01+Inputs!$B$14*0.0025)/100)*(1+Inputs!$B$15/100)*(1+Inputs!$B$16/100)*(5000/(6000+Inputs!$B$43*(1-Inputs!$B$19/100)))*(1+(Inputs!$B$24+((C1528=TRUE)*(F1528-Calc!F30)))/100)*(1+(IF(Skills!A4="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1502)</f>
        <v/>
      </c>
      <c r="L1502">
        <f>K1502*(MIN(Inputs!$B$22+((C1522=TRUE)*(F1522-Calc!F24)),Inputs!$B$23+((C1527=TRUE)*(F1527-Calc!F29)))/100+(Inputs!$B$23+((C1527=TRUE)*(F1527-Calc!F29)))/100)/2</f>
        <v/>
      </c>
      <c r="M1502">
        <f>L1502*(1+(Inputs!$B$10+((C1524=TRUE)*(F1524-Calc!F26))+B1538)/100)</f>
        <v/>
      </c>
      <c r="N1502">
        <f>L1502*(1-MIN((Inputs!$B$9+((C1523=TRUE)*(F1523-Calc!F25))+B1531),100)/100)+M1502*(MIN((Inputs!$B$9+((C1523=TRUE)*(F1523-Calc!F25))+B1531),100)/100)</f>
        <v/>
      </c>
      <c r="O1502">
        <f>(1-Summary!$B$55)*T1502+Summary!$B$55*V1502</f>
        <v/>
      </c>
      <c r="P1502">
        <f>IF(B1543=0,0,O1502/B1543)</f>
        <v/>
      </c>
      <c r="Q1502">
        <f>IFERROR(1/IF(Inputs!$B$39="pvp",15,MAX(0.1,Skills!D4-IF(Skills!E4=TRUE,1.5,0))),0)</f>
        <v/>
      </c>
      <c r="R1502">
        <f>IF(AND(Inputs!$B$39&lt;&gt;"pvp",Inputs!$B$44&gt;0),IF(MAX(0,Inputs!$B$44-B1542)&lt;=0,0,(INT(MAX(0,Inputs!$B$44-B1542)/IF(Inputs!$B$39="pvp",15,MAX(0.1,Skills!D4-IF(Skills!E4=TRUE,1.5,0))))+1)),0)</f>
        <v/>
      </c>
      <c r="S1502">
        <f>IFERROR(O1502/N1502,0)</f>
        <v/>
      </c>
      <c r="T1502">
        <f>IF(C1502,(H1502*N1502*IF(AND(Inputs!$B$39&lt;&gt;"pvp",Inputs!$B$44&gt;0),((Skills!G4*((R1502-1)*IF(Skills!H4&gt;0,Skills!I4/Skills!H4,1)+IF(Skills!H4&gt;0,MIN(Skills!I4,MAX(0,MAX(0,Inputs!$B$44-B1542)-((R1502-1)*IF(Inputs!$B$39="pvp",15,MAX(0.1,Skills!D4-IF(Skills!E4=TRUE,1.5,0))))))/Skills!H4,1)))/Inputs!$B$44),G1502*Q1502))*IF(Inputs!$B$39="pvp",1,1+(Inputs!$B$20+0+Skills!P4+B1532)/100),0)</f>
        <v/>
      </c>
      <c r="U1502">
        <f>290*U1501/1000</f>
        <v/>
      </c>
      <c r="V1502">
        <f>IF(C1502,(H1502*N1502*IF(AND(Inputs!$B$39&lt;&gt;"pvp",Inputs!$B$44&gt;0),((Skills!G4*((R1502-1)*IF(Skills!H4&gt;0,Skills!I4/Skills!H4,1)+IF(Skills!H4&gt;0,MIN(Skills!I4,MAX(0,MAX(0,Inputs!$B$44-B1542)-((R1502-1)*IF(Inputs!$B$39="pvp",15,MAX(0.1,Skills!D4-IF(Skills!E4=TRUE,1.5,0))))))/Skills!H4,1)))/Inputs!$B$44),G1502*Q1502))*IF(Inputs!$B$39="pvp",1,(1+(Inputs!$B$21+Skills!Q4+B1532)/100)*(MIN(MIN(10,0.5*B1535*Skills!D4),Inputs!$B$37))),0)</f>
        <v/>
      </c>
    </row>
    <row r="1503">
      <c r="A1503">
        <f>Skills!A5</f>
        <v/>
      </c>
      <c r="B1503">
        <f>Skills!B5</f>
        <v/>
      </c>
      <c r="C1503">
        <f>Inputs!$B$3&gt;=63</f>
        <v/>
      </c>
      <c r="D1503">
        <f>IF(Skills!C5=1,60+Inputs!$B$25+Inputs!$B$29,IF(Skills!C5=2,90+Inputs!$B$26+Inputs!$B$29,IF(Skills!C5=3,120+Inputs!$B$27+Inputs!$B$29,MAX(0,(Inputs!$B$3-100)*3)+Inputs!$B$28+Inputs!$B$29)))</f>
        <v/>
      </c>
      <c r="E1503">
        <f>INDEX(FactorTable!$B$2:$Y$301, MATCH(ROUND(MIN(300,MAX(1,D1503)),0), FactorTable!$A$2:$A$301,0), Skills!M5+1)</f>
        <v/>
      </c>
      <c r="F1503">
        <f>IF(Skills!N5=TRUE,(Skills!L5/10)*(E1503/1000),Skills!L5/10)+Skills!O5</f>
        <v/>
      </c>
      <c r="G1503">
        <f>Skills!G5*IF(Skills!H5&gt;0,Skills!I5/Skills!H5,1)</f>
        <v/>
      </c>
      <c r="H1503">
        <f>1-(1-Skills!J5/100)^Skills!K5</f>
        <v/>
      </c>
      <c r="I1503" t="inlineStr">
        <is>
          <t>1</t>
        </is>
      </c>
      <c r="J1503">
        <f>((Inputs!$B$6*(1+Inputs!$B$7/100))+(((Inputs!$B$12*(1+Inputs!$B$13/100))-(Inputs!$B$12*(1+Inputs!$B$13/100)))+0.25*(Inputs!$B$14-Inputs!$B$14))*(1+Inputs!$B$7/100))*(F1503/100)</f>
        <v/>
      </c>
      <c r="K1503">
        <f>J1503*(1+((Inputs!$B$12*(1+Inputs!$B$13/100))*0.01+Inputs!$B$14*0.0025)/100)*(1+Inputs!$B$15/100)*(1+Inputs!$B$16/100)*(5000/(6000+Inputs!$B$43*(1-Inputs!$B$19/100)))*(1+(Inputs!$B$24+((C1528=TRUE)*(F1528-Calc!F30)))/100)*(1+2.6666666666666665*IF(C1516=TRUE,F1516,0)/100)*(1+(IF(Skills!A5="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1503)</f>
        <v/>
      </c>
      <c r="L1503">
        <f>K1503*(MIN(Inputs!$B$22+((C1522=TRUE)*(F1522-Calc!F24)),Inputs!$B$23+((C1527=TRUE)*(F1527-Calc!F29)))/100+(Inputs!$B$23+((C1527=TRUE)*(F1527-Calc!F29)))/100)/2</f>
        <v/>
      </c>
      <c r="M1503">
        <f>L1503*(1+(Inputs!$B$10+((C1524=TRUE)*(F1524-Calc!F26))+B1538)/100)</f>
        <v/>
      </c>
      <c r="N1503">
        <f>L1503*(1-MIN((Inputs!$B$9+((C1523=TRUE)*(F1523-Calc!F25))+B1531),100)/100)+M1503*(MIN((Inputs!$B$9+((C1523=TRUE)*(F1523-Calc!F25))+B1531),100)/100)</f>
        <v/>
      </c>
      <c r="O1503">
        <f>(1-Summary!$B$55)*T1503+Summary!$B$55*V1503</f>
        <v/>
      </c>
      <c r="P1503">
        <f>IF(B1543=0,0,O1503/B1543)</f>
        <v/>
      </c>
      <c r="Q1503">
        <f>IFERROR(1/IF(Inputs!$B$39="pvp",15,MAX(0.1,Skills!D5-IF(Skills!E5=TRUE,1.5,0))),0)</f>
        <v/>
      </c>
      <c r="R1503">
        <f>IF(AND(Inputs!$B$39&lt;&gt;"pvp",Inputs!$B$44&gt;0),IF(MAX(0,Inputs!$B$44-B1542)&lt;=0,0,(INT(MAX(0,Inputs!$B$44-B1542)/IF(Inputs!$B$39="pvp",15,MAX(0.1,Skills!D5-IF(Skills!E5=TRUE,1.5,0))))+1)),0)</f>
        <v/>
      </c>
      <c r="S1503">
        <f>IFERROR(O1503/N1503,0)</f>
        <v/>
      </c>
      <c r="T1503">
        <f>IF(C1503,(H1503*N1503*IF(AND(Inputs!$B$39&lt;&gt;"pvp",Inputs!$B$44&gt;0),((Skills!G5*((R1503-1)*IF(Skills!H5&gt;0,Skills!I5/Skills!H5,1)+IF(Skills!H5&gt;0,MIN(Skills!I5,MAX(0,MAX(0,Inputs!$B$44-B1542)-((R1503-1)*IF(Inputs!$B$39="pvp",15,MAX(0.1,Skills!D5-IF(Skills!E5=TRUE,1.5,0))))))/Skills!H5,1)))/Inputs!$B$44),G1503*Q1503))*IF(Inputs!$B$39="pvp",1,1+(Inputs!$B$20+0+Skills!P5+B1532)/100),0)</f>
        <v/>
      </c>
      <c r="V1503">
        <f>IF(C1503,(H1503*N1503*IF(AND(Inputs!$B$39&lt;&gt;"pvp",Inputs!$B$44&gt;0),((Skills!G5*((R1503-1)*IF(Skills!H5&gt;0,Skills!I5/Skills!H5,1)+IF(Skills!H5&gt;0,MIN(Skills!I5,MAX(0,MAX(0,Inputs!$B$44-B1542)-((R1503-1)*IF(Inputs!$B$39="pvp",15,MAX(0.1,Skills!D5-IF(Skills!E5=TRUE,1.5,0))))))/Skills!H5,1)))/Inputs!$B$44),G1503*Q1503))*IF(Inputs!$B$39="pvp",1,(1+(Inputs!$B$21+Skills!Q5+B1532)/100)*(MIN(Skills!W5,Inputs!$B$37))),0)</f>
        <v/>
      </c>
    </row>
    <row r="1504">
      <c r="A1504">
        <f>Skills!A6</f>
        <v/>
      </c>
      <c r="B1504">
        <f>Skills!B6</f>
        <v/>
      </c>
      <c r="C1504">
        <f>Inputs!$B$3&gt;=69</f>
        <v/>
      </c>
      <c r="D1504">
        <f>IF(Skills!C6=1,60+Inputs!$B$25+Inputs!$B$29,IF(Skills!C6=2,90+Inputs!$B$26+Inputs!$B$29,IF(Skills!C6=3,120+Inputs!$B$27+Inputs!$B$29,MAX(0,(Inputs!$B$3-100)*3)+Inputs!$B$28+Inputs!$B$29)))</f>
        <v/>
      </c>
      <c r="E1504">
        <f>INDEX(FactorTable!$B$2:$Y$301, MATCH(ROUND(MIN(300,MAX(1,D1504)),0), FactorTable!$A$2:$A$301,0), Skills!M6+1)</f>
        <v/>
      </c>
      <c r="F1504">
        <f>IF(Skills!N6=TRUE,(Skills!L6/10)*(E1504/1000),Skills!L6/10)+Skills!O6</f>
        <v/>
      </c>
      <c r="G1504">
        <f>Skills!G6*IF(Skills!H6&gt;0,Skills!I6/Skills!H6,1)</f>
        <v/>
      </c>
      <c r="H1504">
        <f>1-(1-Skills!J6/100)^Skills!K6</f>
        <v/>
      </c>
      <c r="I1504" t="inlineStr">
        <is>
          <t>1</t>
        </is>
      </c>
      <c r="J1504">
        <f>((Inputs!$B$6*(1+Inputs!$B$7/100))+(((Inputs!$B$12*(1+Inputs!$B$13/100))-(Inputs!$B$12*(1+Inputs!$B$13/100)))+0.25*(Inputs!$B$14-Inputs!$B$14))*(1+Inputs!$B$7/100))*(F1504/100)</f>
        <v/>
      </c>
      <c r="K1504">
        <f>J1504*(1+((Inputs!$B$12*(1+Inputs!$B$13/100))*0.01+Inputs!$B$14*0.0025)/100)*(1+Inputs!$B$15/100)*(1+Inputs!$B$16/100)*(5000/(6000+Inputs!$B$43*(1-Inputs!$B$19/100)))*(1+(Inputs!$B$24+((C1528=TRUE)*(F1528-Calc!F30)))/100)*(1+1.0*IF(C1516=TRUE,F1516,0)/100)*(1+(IF(Skills!A6="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1504)</f>
        <v/>
      </c>
      <c r="L1504">
        <f>K1504*(MIN(Inputs!$B$22+((C1522=TRUE)*(F1522-Calc!F24)),Inputs!$B$23+((C1527=TRUE)*(F1527-Calc!F29)))/100+(Inputs!$B$23+((C1527=TRUE)*(F1527-Calc!F29)))/100)/2</f>
        <v/>
      </c>
      <c r="M1504">
        <f>L1504*(1+(Inputs!$B$10+((C1524=TRUE)*(F1524-Calc!F26))+B1538)/100)</f>
        <v/>
      </c>
      <c r="N1504">
        <f>L1504*(1-MIN((Inputs!$B$9+((C1523=TRUE)*(F1523-Calc!F25))+B1531),100)/100)+M1504*(MIN((Inputs!$B$9+((C1523=TRUE)*(F1523-Calc!F25))+B1531),100)/100)</f>
        <v/>
      </c>
      <c r="O1504">
        <f>(1-Summary!$B$55)*T1504+Summary!$B$55*V1504</f>
        <v/>
      </c>
      <c r="P1504">
        <f>IF(B1543=0,0,O1504/B1543)</f>
        <v/>
      </c>
      <c r="Q1504">
        <f>IFERROR(1/IF(Inputs!$B$39="pvp",15,MAX(0.1,Skills!D6-IF(Skills!E6=TRUE,1.5,0))),0)</f>
        <v/>
      </c>
      <c r="R1504">
        <f>IF(AND(Inputs!$B$39&lt;&gt;"pvp",Inputs!$B$44&gt;0),IF(MAX(0,Inputs!$B$44-B1542)&lt;=0,0,(INT(MAX(0,Inputs!$B$44-B1542)/IF(Inputs!$B$39="pvp",15,MAX(0.1,Skills!D6-IF(Skills!E6=TRUE,1.5,0))))+1)),0)</f>
        <v/>
      </c>
      <c r="S1504">
        <f>IFERROR(O1504/N1504,0)</f>
        <v/>
      </c>
      <c r="T1504">
        <f>IF(C1504,(H1504*N1504*IF(AND(Inputs!$B$39&lt;&gt;"pvp",Inputs!$B$44&gt;0),((Skills!G6*((R1504-1)*IF(Skills!H6&gt;0,Skills!I6/Skills!H6,1)+IF(Skills!H6&gt;0,MIN(Skills!I6,MAX(0,MAX(0,Inputs!$B$44-B1542)-((R1504-1)*IF(Inputs!$B$39="pvp",15,MAX(0.1,Skills!D6-IF(Skills!E6=TRUE,1.5,0))))))/Skills!H6,1)))/Inputs!$B$44),G1504*Q1504))*IF(Inputs!$B$39="pvp",1,1+(Inputs!$B$20+0+Skills!P6+B1532)/100),0)</f>
        <v/>
      </c>
      <c r="V1504">
        <f>IF(C1504,(H1504*N1504*IF(AND(Inputs!$B$39&lt;&gt;"pvp",Inputs!$B$44&gt;0),((Skills!G6*((R1504-1)*IF(Skills!H6&gt;0,Skills!I6/Skills!H6,1)+IF(Skills!H6&gt;0,MIN(Skills!I6,MAX(0,MAX(0,Inputs!$B$44-B1542)-((R1504-1)*IF(Inputs!$B$39="pvp",15,MAX(0.1,Skills!D6-IF(Skills!E6=TRUE,1.5,0))))))/Skills!H6,1)))/Inputs!$B$44),G1504*Q1504))*IF(Inputs!$B$39="pvp",1,(1+(Inputs!$B$21+Skills!Q6+B1532)/100)*(MIN(Skills!W6,Inputs!$B$37))),0)</f>
        <v/>
      </c>
    </row>
    <row r="1505">
      <c r="A1505">
        <f>Skills!A7</f>
        <v/>
      </c>
      <c r="B1505">
        <f>Skills!B7</f>
        <v/>
      </c>
      <c r="C1505">
        <f>Inputs!$B$3&gt;=60</f>
        <v/>
      </c>
      <c r="D1505">
        <f>IF(Skills!C7=1,60+Inputs!$B$25+Inputs!$B$29,IF(Skills!C7=2,90+Inputs!$B$26+Inputs!$B$29,IF(Skills!C7=3,120+Inputs!$B$27+Inputs!$B$29,MAX(0,(Inputs!$B$3-100)*3)+Inputs!$B$28+Inputs!$B$29)))</f>
        <v/>
      </c>
      <c r="E1505">
        <f>INDEX(FactorTable!$B$2:$Y$301, MATCH(ROUND(MIN(300,MAX(1,D1505)),0), FactorTable!$A$2:$A$301,0), Skills!M7+1)</f>
        <v/>
      </c>
      <c r="F1505">
        <f>IF(Skills!N7=TRUE,(Skills!L7/10)*(E1505/1000),Skills!L7/10)+Skills!O7</f>
        <v/>
      </c>
      <c r="G1505">
        <f>Skills!G7*IF(Skills!H7&gt;0,Skills!I7/Skills!H7,1)</f>
        <v/>
      </c>
      <c r="H1505">
        <f>1-(1-Skills!J7/100)^Skills!K7</f>
        <v/>
      </c>
      <c r="I1505" t="inlineStr">
        <is>
          <t>1</t>
        </is>
      </c>
      <c r="J1505" t="inlineStr"/>
      <c r="K1505" t="inlineStr"/>
      <c r="L1505" t="inlineStr"/>
      <c r="M1505" t="inlineStr"/>
      <c r="N1505" t="inlineStr"/>
      <c r="O1505">
        <f>(1-Summary!$B$55)*T1505+Summary!$B$55*V1505</f>
        <v/>
      </c>
      <c r="P1505">
        <f>IF(B1543=0,0,O1505/B1543)</f>
        <v/>
      </c>
      <c r="Q1505" t="n">
        <v>0</v>
      </c>
      <c r="R1505" t="n">
        <v>0</v>
      </c>
      <c r="S1505">
        <f>IFERROR(O1505/N1505,0)</f>
        <v/>
      </c>
      <c r="T1505" t="n">
        <v>0</v>
      </c>
      <c r="V1505" t="n">
        <v>0</v>
      </c>
    </row>
    <row r="1506">
      <c r="A1506">
        <f>Skills!A8</f>
        <v/>
      </c>
      <c r="B1506">
        <f>Skills!B8</f>
        <v/>
      </c>
      <c r="C1506">
        <f>Inputs!$B$3&gt;=72</f>
        <v/>
      </c>
      <c r="D1506">
        <f>IF(Skills!C8=1,60+Inputs!$B$25+Inputs!$B$29,IF(Skills!C8=2,90+Inputs!$B$26+Inputs!$B$29,IF(Skills!C8=3,120+Inputs!$B$27+Inputs!$B$29,MAX(0,(Inputs!$B$3-100)*3)+Inputs!$B$28+Inputs!$B$29)))</f>
        <v/>
      </c>
      <c r="E1506">
        <f>INDEX(FactorTable!$B$2:$Y$301, MATCH(ROUND(MIN(300,MAX(1,D1506)),0), FactorTable!$A$2:$A$301,0), Skills!M8+1)</f>
        <v/>
      </c>
      <c r="F1506">
        <f>IF(Skills!N8=TRUE,(Skills!L8/10)*(E1506/1000),Skills!L8/10)+Skills!O8</f>
        <v/>
      </c>
      <c r="G1506">
        <f>Skills!G8*IF(Skills!H8&gt;0,Skills!I8/Skills!H8,1)</f>
        <v/>
      </c>
      <c r="H1506">
        <f>1-(1-Skills!J8/100)^Skills!K8</f>
        <v/>
      </c>
      <c r="I1506" t="inlineStr">
        <is>
          <t>1</t>
        </is>
      </c>
      <c r="J1506">
        <f>((Inputs!$B$6*(1+Inputs!$B$7/100))+(((Inputs!$B$12*(1+Inputs!$B$13/100))-(Inputs!$B$12*(1+Inputs!$B$13/100)))+0.25*(Inputs!$B$14-Inputs!$B$14))*(1+Inputs!$B$7/100))*(F1506/100)</f>
        <v/>
      </c>
      <c r="K1506">
        <f>J1506*(1+((Inputs!$B$12*(1+Inputs!$B$13/100))*0.01+Inputs!$B$14*0.0025)/100)*(1+Inputs!$B$15/100)*(1+Inputs!$B$16/100)*(5000/(6000+Inputs!$B$43*(1-Inputs!$B$19/100)))*(1+(Inputs!$B$24+((C1528=TRUE)*(F1528-Calc!F30)))/100)*(1+3.3333333333333335*IF(C1516=TRUE,F1516,0)/100)*(1+(IF(Skills!A8="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1506)</f>
        <v/>
      </c>
      <c r="L1506">
        <f>K1506*(MIN(Inputs!$B$22+((C1522=TRUE)*(F1522-Calc!F24)),Inputs!$B$23+((C1527=TRUE)*(F1527-Calc!F29)))/100+(Inputs!$B$23+((C1527=TRUE)*(F1527-Calc!F29)))/100)/2</f>
        <v/>
      </c>
      <c r="M1506">
        <f>L1506*(1+(Inputs!$B$10+((C1524=TRUE)*(F1524-Calc!F26))+B1538)/100)</f>
        <v/>
      </c>
      <c r="N1506">
        <f>L1506*(1-MIN((Inputs!$B$9+((C1523=TRUE)*(F1523-Calc!F25))+B1531),100)/100)+M1506*(MIN((Inputs!$B$9+((C1523=TRUE)*(F1523-Calc!F25))+B1531),100)/100)</f>
        <v/>
      </c>
      <c r="O1506">
        <f>(1-Summary!$B$55)*T1506+Summary!$B$55*V1506</f>
        <v/>
      </c>
      <c r="P1506">
        <f>IF(B1543=0,0,O1506/B1543)</f>
        <v/>
      </c>
      <c r="Q1506">
        <f>IFERROR(1/IF(Inputs!$B$39="pvp",15,MAX(0.1,Skills!D8-IF(Skills!E8=TRUE,1.5,0))),0)</f>
        <v/>
      </c>
      <c r="R1506">
        <f>IF(AND(Inputs!$B$39&lt;&gt;"pvp",Inputs!$B$44&gt;0),IF(MAX(0,Inputs!$B$44-B1542)&lt;=0,0,(INT(MAX(0,Inputs!$B$44-B1542)/IF(Inputs!$B$39="pvp",15,MAX(0.1,Skills!D8-IF(Skills!E8=TRUE,1.5,0))))+1)),0)</f>
        <v/>
      </c>
      <c r="S1506">
        <f>IFERROR(O1506/N1506,0)</f>
        <v/>
      </c>
      <c r="T1506">
        <f>IF(C1506,(H1506*N1506*IF(AND(Inputs!$B$39&lt;&gt;"pvp",Inputs!$B$44&gt;0),((Skills!G8*((R1506-1)*IF(Skills!H8&gt;0,Skills!I8/Skills!H8,1)+IF(Skills!H8&gt;0,MIN(Skills!I8,MAX(0,MAX(0,Inputs!$B$44-B1542)-((R1506-1)*IF(Inputs!$B$39="pvp",15,MAX(0.1,Skills!D8-IF(Skills!E8=TRUE,1.5,0))))))/Skills!H8,1)))/Inputs!$B$44),G1506*Q1506))*IF(Inputs!$B$39="pvp",1,1+(Inputs!$B$20+0+Skills!P8+B1532)/100),0)</f>
        <v/>
      </c>
      <c r="V1506">
        <f>IF(C1506,(H1506*N1506*IF(AND(Inputs!$B$39&lt;&gt;"pvp",Inputs!$B$44&gt;0),((Skills!G8*((R1506-1)*IF(Skills!H8&gt;0,Skills!I8/Skills!H8,1)+IF(Skills!H8&gt;0,MIN(Skills!I8,MAX(0,MAX(0,Inputs!$B$44-B1542)-((R1506-1)*IF(Inputs!$B$39="pvp",15,MAX(0.1,Skills!D8-IF(Skills!E8=TRUE,1.5,0))))))/Skills!H8,1)))/Inputs!$B$44),G1506*Q1506))*IF(Inputs!$B$39="pvp",1,(1+(Inputs!$B$21+Skills!Q8+B1532)/100)*(MIN(Skills!W8,Inputs!$B$37))),0)</f>
        <v/>
      </c>
    </row>
    <row r="1507">
      <c r="A1507">
        <f>Skills!A9</f>
        <v/>
      </c>
      <c r="B1507">
        <f>Skills!B9</f>
        <v/>
      </c>
      <c r="C1507">
        <f>Inputs!$B$3&gt;=117</f>
        <v/>
      </c>
      <c r="D1507">
        <f>IF(Skills!C9=1,60+Inputs!$B$25+Inputs!$B$29,IF(Skills!C9=2,90+Inputs!$B$26+Inputs!$B$29,IF(Skills!C9=3,120+Inputs!$B$27+Inputs!$B$29,MAX(0,(Inputs!$B$3-100)*3)+Inputs!$B$28+Inputs!$B$29)))</f>
        <v/>
      </c>
      <c r="E1507">
        <f>INDEX(FactorTable!$B$2:$Y$301, MATCH(ROUND(MIN(300,MAX(1,D1507)),0), FactorTable!$A$2:$A$301,0), Skills!M9+1)</f>
        <v/>
      </c>
      <c r="F1507">
        <f>IF(Skills!N9=TRUE,(Skills!L9/10)*(E1507/1000),Skills!L9/10)+Skills!O9</f>
        <v/>
      </c>
      <c r="G1507">
        <f>Skills!G9*IF(Skills!H9&gt;0,Skills!I9/Skills!H9,1)</f>
        <v/>
      </c>
      <c r="H1507">
        <f>1-(1-Skills!J9/100)^Skills!K9</f>
        <v/>
      </c>
      <c r="I1507" t="inlineStr">
        <is>
          <t>1</t>
        </is>
      </c>
      <c r="J1507">
        <f>((Inputs!$B$6*(1+Inputs!$B$7/100))+(((Inputs!$B$12*(1+Inputs!$B$13/100))-(Inputs!$B$12*(1+Inputs!$B$13/100)))+0.25*(Inputs!$B$14-Inputs!$B$14))*(1+Inputs!$B$7/100))*(F1507/100)</f>
        <v/>
      </c>
      <c r="K1507">
        <f>J1507*(1+((Inputs!$B$12*(1+Inputs!$B$13/100))*0.01+Inputs!$B$14*0.0025)/100)*(1+Inputs!$B$15/100)*(1+Inputs!$B$16/100)*(5000/(6000+Inputs!$B$43*(1-Inputs!$B$19/100)))*(1+(Inputs!$B$24+((C1528=TRUE)*(F1528-Calc!F30)))/100)*(1+(IF(Skills!A9="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1507)</f>
        <v/>
      </c>
      <c r="L1507">
        <f>K1507*(MIN(Inputs!$B$22+((C1522=TRUE)*(F1522-Calc!F24)),Inputs!$B$23+((C1527=TRUE)*(F1527-Calc!F29)))/100+(Inputs!$B$23+((C1527=TRUE)*(F1527-Calc!F29)))/100)/2</f>
        <v/>
      </c>
      <c r="M1507">
        <f>L1507*(1+(Inputs!$B$10+((C1524=TRUE)*(F1524-Calc!F26))+B1538)/100)</f>
        <v/>
      </c>
      <c r="N1507">
        <f>L1507*(1-MIN((Inputs!$B$9+((C1523=TRUE)*(F1523-Calc!F25))+B1531),100)/100)+M1507*(MIN((Inputs!$B$9+((C1523=TRUE)*(F1523-Calc!F25))+B1531),100)/100)</f>
        <v/>
      </c>
      <c r="O1507">
        <f>(1-Summary!$B$55)*T1507+Summary!$B$55*V1507</f>
        <v/>
      </c>
      <c r="P1507">
        <f>IF(B1543=0,0,O1507/B1543)</f>
        <v/>
      </c>
      <c r="Q1507" t="n">
        <v>0</v>
      </c>
      <c r="R1507" t="n">
        <v>0</v>
      </c>
      <c r="S1507" t="n">
        <v>0</v>
      </c>
      <c r="T1507">
        <f>IF(C1507,(0.2*SUMPRODUCT((Skills!Z2:Z30=TRUE)*(C1500:C1528=TRUE)*S1500:S1528)*N1507)*IF(Inputs!$B$39="pvp",1,1+(Inputs!$B$20+0+Skills!P9+B1532)/100),0)</f>
        <v/>
      </c>
      <c r="V1507">
        <f>IF(C1507,(0.2*SUMPRODUCT((Skills!Z2:Z30=TRUE)*(C1500:C1528=TRUE)*S1500:S1528)*N1507)*IF(Inputs!$B$39="pvp",1,(1+(Inputs!$B$21+Skills!Q9+B1532)/100)*(MIN(Skills!W9,Inputs!$B$37))),0)</f>
        <v/>
      </c>
    </row>
    <row r="1508">
      <c r="A1508">
        <f>Skills!A10</f>
        <v/>
      </c>
      <c r="B1508">
        <f>Skills!B10</f>
        <v/>
      </c>
      <c r="C1508">
        <f>Inputs!$B$3&gt;=74</f>
        <v/>
      </c>
      <c r="D1508">
        <f>IF(Skills!C10=1,60+Inputs!$B$25+Inputs!$B$29,IF(Skills!C10=2,90+Inputs!$B$26+Inputs!$B$29,IF(Skills!C10=3,120+Inputs!$B$27+Inputs!$B$29,MAX(0,(Inputs!$B$3-100)*3)+Inputs!$B$28+Inputs!$B$29)))</f>
        <v/>
      </c>
      <c r="E1508">
        <f>INDEX(FactorTable!$B$2:$Y$301, MATCH(ROUND(MIN(300,MAX(1,D1508)),0), FactorTable!$A$2:$A$301,0), Skills!M10+1)</f>
        <v/>
      </c>
      <c r="F1508">
        <f>IF(Skills!N10=TRUE,(Skills!L10/10)*(E1508/1000),Skills!L10/10)+Skills!O10</f>
        <v/>
      </c>
      <c r="G1508">
        <f>Skills!G10*IF(Skills!H10&gt;0,Skills!I10/Skills!H10,1)</f>
        <v/>
      </c>
      <c r="H1508">
        <f>1-(1-Skills!J10/100)^Skills!K10</f>
        <v/>
      </c>
      <c r="I1508" t="inlineStr">
        <is>
          <t>1</t>
        </is>
      </c>
      <c r="J1508" t="inlineStr"/>
      <c r="K1508" t="inlineStr"/>
      <c r="L1508" t="inlineStr"/>
      <c r="M1508" t="inlineStr"/>
      <c r="N1508" t="inlineStr"/>
      <c r="O1508">
        <f>(1-Summary!$B$55)*T1508+Summary!$B$55*V1508</f>
        <v/>
      </c>
      <c r="P1508">
        <f>IF(B1543=0,0,O1508/B1543)</f>
        <v/>
      </c>
      <c r="Q1508">
        <f>IFERROR(1/IF(Inputs!$B$39="pvp",15,MAX(0.1,Skills!D10-IF(Skills!E10=TRUE,1.5,0))),0)</f>
        <v/>
      </c>
      <c r="R1508">
        <f>IF(AND(Inputs!$B$39&lt;&gt;"pvp",Inputs!$B$44&gt;0),IF(Inputs!$B$44&lt;=0,0,(INT(Inputs!$B$44/IF(Inputs!$B$39="pvp",15,MAX(0.1,Skills!D10-IF(Skills!E10=TRUE,1.5,0))))+1)),0)</f>
        <v/>
      </c>
      <c r="S1508">
        <f>IFERROR(O1508/N1508,0)</f>
        <v/>
      </c>
      <c r="T1508" t="n">
        <v>0</v>
      </c>
      <c r="V1508" t="n">
        <v>0</v>
      </c>
    </row>
    <row r="1509">
      <c r="A1509">
        <f>Skills!A11</f>
        <v/>
      </c>
      <c r="B1509">
        <f>Skills!B11</f>
        <v/>
      </c>
      <c r="C1509">
        <f>Inputs!$B$3&gt;=103</f>
        <v/>
      </c>
      <c r="D1509">
        <f>IF(Skills!C11=1,60+Inputs!$B$25+Inputs!$B$29,IF(Skills!C11=2,90+Inputs!$B$26+Inputs!$B$29,IF(Skills!C11=3,120+Inputs!$B$27+Inputs!$B$29,MAX(0,(Inputs!$B$3-100)*3)+Inputs!$B$28+Inputs!$B$29)))</f>
        <v/>
      </c>
      <c r="E1509">
        <f>INDEX(FactorTable!$B$2:$Y$301, MATCH(ROUND(MIN(300,MAX(1,D1509)),0), FactorTable!$A$2:$A$301,0), Skills!M11+1)</f>
        <v/>
      </c>
      <c r="F1509">
        <f>(Skills!L11/10)*(E1509/1000)+IF(Inputs!$B$3&gt;=134,50,0)+0.5*(30000/10)*(INDEX(FactorTable!$B$2:$Y$301, MATCH(ROUND(MIN(300,MAX(1,D1509)),0), FactorTable!$A$2:$A$301,0), 13)/1000)*B1541</f>
        <v/>
      </c>
      <c r="G1509">
        <f>Skills!G11*IF(Skills!H11&gt;0,Skills!I11/Skills!H11,1)</f>
        <v/>
      </c>
      <c r="H1509">
        <f>1-(1-Skills!J11/100)^Skills!K11</f>
        <v/>
      </c>
      <c r="I1509" t="inlineStr">
        <is>
          <t>1</t>
        </is>
      </c>
      <c r="J1509">
        <f>((Inputs!$B$6*(1+Inputs!$B$7/100))+(((Inputs!$B$12*(1+Inputs!$B$13/100))-(Inputs!$B$12*(1+Inputs!$B$13/100)))+0.25*(Inputs!$B$14-Inputs!$B$14))*(1+Inputs!$B$7/100))*(F1509/100)</f>
        <v/>
      </c>
      <c r="K1509">
        <f>J1509*(1+((Inputs!$B$12*(1+Inputs!$B$13/100))*0.01+Inputs!$B$14*0.0025)/100)*(1+Inputs!$B$15/100)*(1+Inputs!$B$16/100)*(5000/(6000+Inputs!$B$43*(1-Inputs!$B$19/100)))*(1+(Inputs!$B$24+((C1528=TRUE)*(F1528-Calc!F30)))/100)*(1+(IF(Skills!A11="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1509)</f>
        <v/>
      </c>
      <c r="L1509">
        <f>K1509*(MIN(Inputs!$B$22+((C1522=TRUE)*(F1522-Calc!F24)),Inputs!$B$23+((C1527=TRUE)*(F1527-Calc!F29)))/100+(Inputs!$B$23+((C1527=TRUE)*(F1527-Calc!F29)))/100)/2</f>
        <v/>
      </c>
      <c r="M1509">
        <f>L1509*(1+(Inputs!$B$10+((C1524=TRUE)*(F1524-Calc!F26))+B1538)/100)</f>
        <v/>
      </c>
      <c r="N1509">
        <f>L1509*(1-MIN((Inputs!$B$9+((C1523=TRUE)*(F1523-Calc!F25))+B1531),100)/100)+M1509*(MIN((Inputs!$B$9+((C1523=TRUE)*(F1523-Calc!F25))+B1531),100)/100)</f>
        <v/>
      </c>
      <c r="O1509">
        <f>(1-Summary!$B$55)*T1509+Summary!$B$55*V1509</f>
        <v/>
      </c>
      <c r="P1509">
        <f>IF(B1543=0,0,O1509/B1543)</f>
        <v/>
      </c>
      <c r="Q1509">
        <f>IFERROR(1/IF(Inputs!$B$39="pvp",15,MAX(0.1,Skills!D11-IF(Skills!E11=TRUE,1.5,0))),0)</f>
        <v/>
      </c>
      <c r="R1509">
        <f>IF(AND(Inputs!$B$39&lt;&gt;"pvp",Inputs!$B$44&gt;0),IF(MAX(0,Inputs!$B$44-B1542)&lt;=0,0,(INT(MAX(0,Inputs!$B$44-B1542)/IF(Inputs!$B$39="pvp",15,MAX(0.1,Skills!D11-IF(Skills!E11=TRUE,1.5,0))))+1)),0)</f>
        <v/>
      </c>
      <c r="S1509">
        <f>IFERROR(O1509/N1509,0)</f>
        <v/>
      </c>
      <c r="T1509">
        <f>IF(C1509,(H1509*N1509*IF(AND(Inputs!$B$39&lt;&gt;"pvp",Inputs!$B$44&gt;0),((Skills!G11*((R1509-1)*IF(Skills!H11&gt;0,Skills!I11/Skills!H11,1)+IF(Skills!H11&gt;0,MIN(Skills!I11,MAX(0,MAX(0,Inputs!$B$44-B1542)-((R1509-1)*IF(Inputs!$B$39="pvp",15,MAX(0.1,Skills!D11-IF(Skills!E11=TRUE,1.5,0))))))/Skills!H11,1)))/Inputs!$B$44),G1509*Q1509))*IF(Inputs!$B$39="pvp",1,1+(Inputs!$B$20+0+Skills!P11+B1532)/100),0)</f>
        <v/>
      </c>
      <c r="V1509">
        <f>IF(C1509,(H1509*N1509*IF(AND(Inputs!$B$39&lt;&gt;"pvp",Inputs!$B$44&gt;0),((Skills!G11*((R1509-1)*IF(Skills!H11&gt;0,Skills!I11/Skills!H11,1)+IF(Skills!H11&gt;0,MIN(Skills!I11,MAX(0,MAX(0,Inputs!$B$44-B1542)-((R1509-1)*IF(Inputs!$B$39="pvp",15,MAX(0.1,Skills!D11-IF(Skills!E11=TRUE,1.5,0))))))/Skills!H11,1)))/Inputs!$B$44),G1509*Q1509))*IF(Inputs!$B$39="pvp",1,(1+(Inputs!$B$21+Skills!Q11+B1532)/100)*(MIN(Skills!W11,Inputs!$B$37))),0)</f>
        <v/>
      </c>
    </row>
    <row r="1510">
      <c r="A1510">
        <f>Skills!A12</f>
        <v/>
      </c>
      <c r="B1510">
        <f>Skills!B12</f>
        <v/>
      </c>
      <c r="C1510">
        <f>Inputs!$B$3&gt;=105</f>
        <v/>
      </c>
      <c r="D1510">
        <f>IF(Skills!C12=1,60+Inputs!$B$25+Inputs!$B$29,IF(Skills!C12=2,90+Inputs!$B$26+Inputs!$B$29,IF(Skills!C12=3,120+Inputs!$B$27+Inputs!$B$29,MAX(0,(Inputs!$B$3-100)*3)+Inputs!$B$28+Inputs!$B$29)))</f>
        <v/>
      </c>
      <c r="E1510">
        <f>INDEX(FactorTable!$B$2:$Y$301, MATCH(ROUND(MIN(300,MAX(1,D1510)),0), FactorTable!$A$2:$A$301,0), Skills!M12+1)</f>
        <v/>
      </c>
      <c r="F1510">
        <f>IF(Skills!N12=TRUE,(Skills!L12/10)*(E1510/1000),Skills!L12/10)+Skills!O12</f>
        <v/>
      </c>
      <c r="G1510">
        <f>Skills!G12*IF(Skills!H12&gt;0,Skills!I12/Skills!H12,1)</f>
        <v/>
      </c>
      <c r="H1510">
        <f>1-(1-Skills!J12/100)^Skills!K12</f>
        <v/>
      </c>
      <c r="I1510" t="inlineStr">
        <is>
          <t>1</t>
        </is>
      </c>
      <c r="J1510">
        <f>((Inputs!$B$6*(1+Inputs!$B$7/100))+(((Inputs!$B$12*(1+Inputs!$B$13/100))-(Inputs!$B$12*(1+Inputs!$B$13/100)))+0.25*(Inputs!$B$14-Inputs!$B$14))*(1+Inputs!$B$7/100))*(F1510/100)</f>
        <v/>
      </c>
      <c r="K1510">
        <f>J1510*(1+((Inputs!$B$12*(1+Inputs!$B$13/100))*0.01+Inputs!$B$14*0.0025)/100)*(1+Inputs!$B$15/100)*(1+Inputs!$B$16/100)*(5000/(6000+Inputs!$B$43*(1-Inputs!$B$19/100)))*(1+(Inputs!$B$24+((C1528=TRUE)*(F1528-Calc!F30)))/100)*(1+(IF(Skills!A12="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1510)</f>
        <v/>
      </c>
      <c r="L1510">
        <f>K1510*(MIN(Inputs!$B$22+((C1522=TRUE)*(F1522-Calc!F24)),Inputs!$B$23+((C1527=TRUE)*(F1527-Calc!F29)))/100+(Inputs!$B$23+((C1527=TRUE)*(F1527-Calc!F29)))/100)/2</f>
        <v/>
      </c>
      <c r="M1510">
        <f>L1510*(1+(Inputs!$B$10+((C1524=TRUE)*(F1524-Calc!F26))+B1538)/100)</f>
        <v/>
      </c>
      <c r="N1510">
        <f>L1510*(1-MIN((Inputs!$B$9+((C1523=TRUE)*(F1523-Calc!F25))+B1531),100)/100)+M1510*(MIN((Inputs!$B$9+((C1523=TRUE)*(F1523-Calc!F25))+B1531),100)/100)</f>
        <v/>
      </c>
      <c r="O1510">
        <f>(1-Summary!$B$55)*T1510+Summary!$B$55*V1510</f>
        <v/>
      </c>
      <c r="P1510">
        <f>IF(B1543=0,0,O1510/B1543)</f>
        <v/>
      </c>
      <c r="Q1510">
        <f>IFERROR(1/IF(Inputs!$B$39="pvp",15,MAX(0.1,Skills!D12-IF(Skills!E12=TRUE,1.5,0))),0)</f>
        <v/>
      </c>
      <c r="R1510">
        <f>IF(AND(Inputs!$B$39&lt;&gt;"pvp",Inputs!$B$44&gt;0),IF(MAX(0,Inputs!$B$44-B1542)&lt;=0,0,(INT(MAX(0,Inputs!$B$44-B1542)/IF(Inputs!$B$39="pvp",15,MAX(0.1,Skills!D12-IF(Skills!E12=TRUE,1.5,0))))+1)),0)</f>
        <v/>
      </c>
      <c r="S1510">
        <f>IFERROR(O1510/N1510,0)</f>
        <v/>
      </c>
      <c r="T1510">
        <f>IF(C1510,(H1510*N1510*IF(AND(Inputs!$B$39&lt;&gt;"pvp",Inputs!$B$44&gt;0),((Skills!G12*((R1510-1)*IF(Skills!H12&gt;0,Skills!I12/Skills!H12,1)+IF(Skills!H12&gt;0,MIN(Skills!I12,MAX(0,MAX(0,Inputs!$B$44-B1542)-((R1510-1)*IF(Inputs!$B$39="pvp",15,MAX(0.1,Skills!D12-IF(Skills!E12=TRUE,1.5,0))))))/Skills!H12,1)))/Inputs!$B$44),G1510*Q1510))*IF(Inputs!$B$39="pvp",1,1+(Inputs!$B$20+0+Skills!P12+B1532)/100),0)</f>
        <v/>
      </c>
      <c r="V1510">
        <f>IF(C1510,(H1510*N1510*IF(AND(Inputs!$B$39&lt;&gt;"pvp",Inputs!$B$44&gt;0),((Skills!G12*((R1510-1)*IF(Skills!H12&gt;0,Skills!I12/Skills!H12,1)+IF(Skills!H12&gt;0,MIN(Skills!I12,MAX(0,MAX(0,Inputs!$B$44-B1542)-((R1510-1)*IF(Inputs!$B$39="pvp",15,MAX(0.1,Skills!D12-IF(Skills!E12=TRUE,1.5,0))))))/Skills!H12,1)))/Inputs!$B$44),G1510*Q1510))*IF(Inputs!$B$39="pvp",1,(1+(Inputs!$B$21+Skills!Q12+B1532)/100)*(MIN(Skills!W12,Inputs!$B$37))),0)</f>
        <v/>
      </c>
    </row>
    <row r="1511">
      <c r="A1511">
        <f>Skills!A13</f>
        <v/>
      </c>
      <c r="B1511">
        <f>Skills!B13</f>
        <v/>
      </c>
      <c r="C1511">
        <f>Inputs!$B$3&gt;=105</f>
        <v/>
      </c>
      <c r="D1511">
        <f>IF(Skills!C13=1,60+Inputs!$B$25+Inputs!$B$29,IF(Skills!C13=2,90+Inputs!$B$26+Inputs!$B$29,IF(Skills!C13=3,120+Inputs!$B$27+Inputs!$B$29,MAX(0,(Inputs!$B$3-100)*3)+Inputs!$B$28+Inputs!$B$29)))</f>
        <v/>
      </c>
      <c r="E1511">
        <f>INDEX(FactorTable!$B$2:$Y$301, MATCH(ROUND(MIN(300,MAX(1,D1511)),0), FactorTable!$A$2:$A$301,0), Skills!M13+1)</f>
        <v/>
      </c>
      <c r="F1511">
        <f>IF(Skills!N13=TRUE,(Skills!L13/10)*(E1511/1000),Skills!L13/10)+Skills!O13</f>
        <v/>
      </c>
      <c r="G1511">
        <f>Skills!G13*IF(Skills!H13&gt;0,Skills!I13/Skills!H13,1)</f>
        <v/>
      </c>
      <c r="H1511">
        <f>1-(1-Skills!J13/100)^Skills!K13</f>
        <v/>
      </c>
      <c r="I1511" t="inlineStr">
        <is>
          <t>1</t>
        </is>
      </c>
      <c r="J1511">
        <f>((Inputs!$B$6*(1+Inputs!$B$7/100))+(((Inputs!$B$12*(1+Inputs!$B$13/100))-(Inputs!$B$12*(1+Inputs!$B$13/100)))+0.25*(Inputs!$B$14-Inputs!$B$14))*(1+Inputs!$B$7/100))*(F1511/100)</f>
        <v/>
      </c>
      <c r="K1511">
        <f>J1511*(1+((Inputs!$B$12*(1+Inputs!$B$13/100))*0.01+Inputs!$B$14*0.0025)/100)*(1+Inputs!$B$15/100)*(1+Inputs!$B$16/100)*(5000/(6000+Inputs!$B$43*(1-Inputs!$B$19/100)))*(1+(Inputs!$B$24+((C1528=TRUE)*(F1528-Calc!F30)))/100)*(1+(IF(Skills!A13="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1511)</f>
        <v/>
      </c>
      <c r="L1511">
        <f>K1511*(MIN(Inputs!$B$22+((C1522=TRUE)*(F1522-Calc!F24)),Inputs!$B$23+((C1527=TRUE)*(F1527-Calc!F29)))/100+(Inputs!$B$23+((C1527=TRUE)*(F1527-Calc!F29)))/100)/2</f>
        <v/>
      </c>
      <c r="M1511">
        <f>L1511*(1+(Inputs!$B$10+((C1524=TRUE)*(F1524-Calc!F26))+B1538)/100)</f>
        <v/>
      </c>
      <c r="N1511">
        <f>L1511*(1-MIN((Inputs!$B$9+((C1523=TRUE)*(F1523-Calc!F25))+B1531),100)/100)+M1511*(MIN((Inputs!$B$9+((C1523=TRUE)*(F1523-Calc!F25))+B1531),100)/100)</f>
        <v/>
      </c>
      <c r="O1511">
        <f>(1-Summary!$B$55)*T1511+Summary!$B$55*V1511</f>
        <v/>
      </c>
      <c r="P1511">
        <f>IF(B1543=0,0,O1511/B1543)</f>
        <v/>
      </c>
      <c r="Q1511">
        <f>IFERROR(1/IF(Inputs!$B$39="pvp",15,MAX(0.1,Skills!D13-IF(Skills!E13=TRUE,1.5,0))),0)</f>
        <v/>
      </c>
      <c r="R1511">
        <f>IF(AND(Inputs!$B$39&lt;&gt;"pvp",Inputs!$B$44&gt;0),IF(MAX(0,Inputs!$B$44-B1542)&lt;=0,0,(INT(MAX(0,Inputs!$B$44-B1542)/IF(Inputs!$B$39="pvp",15,MAX(0.1,Skills!D13-IF(Skills!E13=TRUE,1.5,0))))+1)),0)</f>
        <v/>
      </c>
      <c r="S1511">
        <f>IFERROR(O1511/N1511,0)</f>
        <v/>
      </c>
      <c r="T1511">
        <f>IF(C1511,(H1511*N1511*IF(AND(Inputs!$B$39&lt;&gt;"pvp",Inputs!$B$44&gt;0),((Skills!G13*((R1511-1)*IF(Skills!H13&gt;0,Skills!I13/Skills!H13,1)+IF(Skills!H13&gt;0,MIN(Skills!I13,MAX(0,MAX(0,Inputs!$B$44-B1542)-((R1511-1)*IF(Inputs!$B$39="pvp",15,MAX(0.1,Skills!D13-IF(Skills!E13=TRUE,1.5,0))))))/Skills!H13,1)))/Inputs!$B$44),G1511*Q1511))*IF(Inputs!$B$39="pvp",1,1+(Inputs!$B$20+0+Skills!P13+B1532)/100),0)</f>
        <v/>
      </c>
      <c r="V1511">
        <f>IF(C1511,(H1511*N1511*IF(AND(Inputs!$B$39&lt;&gt;"pvp",Inputs!$B$44&gt;0),((Skills!G13*((R1511-1)*IF(Skills!H13&gt;0,Skills!I13/Skills!H13,1)+IF(Skills!H13&gt;0,MIN(Skills!I13,MAX(0,MAX(0,Inputs!$B$44-B1542)-((R1511-1)*IF(Inputs!$B$39="pvp",15,MAX(0.1,Skills!D13-IF(Skills!E13=TRUE,1.5,0))))))/Skills!H13,1)))/Inputs!$B$44),G1511*Q1511))*IF(Inputs!$B$39="pvp",1,(1+(Inputs!$B$21+Skills!Q13+B1532)/100)*(MIN(Skills!W13,Inputs!$B$37))),0)</f>
        <v/>
      </c>
    </row>
    <row r="1512">
      <c r="A1512">
        <f>Skills!A14</f>
        <v/>
      </c>
      <c r="B1512">
        <f>Skills!B14</f>
        <v/>
      </c>
      <c r="C1512">
        <f>Inputs!$B$3&gt;=107</f>
        <v/>
      </c>
      <c r="D1512">
        <f>IF(Skills!C14=1,60+Inputs!$B$25+Inputs!$B$29,IF(Skills!C14=2,90+Inputs!$B$26+Inputs!$B$29,IF(Skills!C14=3,120+Inputs!$B$27+Inputs!$B$29,MAX(0,(Inputs!$B$3-100)*3)+Inputs!$B$28+Inputs!$B$29)))</f>
        <v/>
      </c>
      <c r="E1512">
        <f>INDEX(FactorTable!$B$2:$Y$301, MATCH(ROUND(MIN(300,MAX(1,D1512)),0), FactorTable!$A$2:$A$301,0), Skills!M14+1)</f>
        <v/>
      </c>
      <c r="F1512">
        <f>IF(Skills!N14=TRUE,(Skills!L14/10)*(E1512/1000),Skills!L14/10)+Skills!O14</f>
        <v/>
      </c>
      <c r="G1512">
        <f>Skills!G14*IF(Skills!H14&gt;0,Skills!I14/Skills!H14,1)</f>
        <v/>
      </c>
      <c r="H1512">
        <f>1-(1-Skills!J14/100)^Skills!K14</f>
        <v/>
      </c>
      <c r="I1512" t="inlineStr">
        <is>
          <t>1</t>
        </is>
      </c>
      <c r="J1512">
        <f>((Inputs!$B$6*(1+Inputs!$B$7/100))+(((Inputs!$B$12*(1+Inputs!$B$13/100))-(Inputs!$B$12*(1+Inputs!$B$13/100)))+0.25*(Inputs!$B$14-Inputs!$B$14))*(1+Inputs!$B$7/100))*(F1512/100)</f>
        <v/>
      </c>
      <c r="K1512">
        <f>J1512*(1+((Inputs!$B$12*(1+Inputs!$B$13/100))*0.01+Inputs!$B$14*0.0025)/100)*(1+Inputs!$B$15/100)*(1+Inputs!$B$16/100)*(5000/(6000+Inputs!$B$43*(1-Inputs!$B$19/100)))*(1+(Inputs!$B$24+((C1528=TRUE)*(F1528-Calc!F30)))/100)*(1+(IF(Skills!A14="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1512)</f>
        <v/>
      </c>
      <c r="L1512">
        <f>K1512*(MIN(Inputs!$B$22+((C1522=TRUE)*(F1522-Calc!F24)),Inputs!$B$23+((C1527=TRUE)*(F1527-Calc!F29)))/100+(Inputs!$B$23+((C1527=TRUE)*(F1527-Calc!F29)))/100)/2</f>
        <v/>
      </c>
      <c r="M1512">
        <f>L1512*(1+(Inputs!$B$10+((C1524=TRUE)*(F1524-Calc!F26))+B1538)/100)</f>
        <v/>
      </c>
      <c r="N1512">
        <f>L1512*(1-MIN((Inputs!$B$9+((C1523=TRUE)*(F1523-Calc!F25))+B1531),100)/100)+M1512*(MIN((Inputs!$B$9+((C1523=TRUE)*(F1523-Calc!F25))+B1531),100)/100)</f>
        <v/>
      </c>
      <c r="O1512">
        <f>(1-Summary!$B$55)*T1512+Summary!$B$55*V1512</f>
        <v/>
      </c>
      <c r="P1512">
        <f>IF(B1543=0,0,O1512/B1543)</f>
        <v/>
      </c>
      <c r="Q1512">
        <f>IFERROR(1/IF(Inputs!$B$39="pvp",15,MAX(0.1,Skills!D14-IF(Skills!E14=TRUE,1.5,0))),0)</f>
        <v/>
      </c>
      <c r="R1512">
        <f>IF(AND(Inputs!$B$39&lt;&gt;"pvp",Inputs!$B$44&gt;0),IF(MAX(0,Inputs!$B$44-B1542)&lt;=0,0,(INT(MAX(0,Inputs!$B$44-B1542)/IF(Inputs!$B$39="pvp",15,MAX(0.1,Skills!D14-IF(Skills!E14=TRUE,1.5,0))))+1)),0)</f>
        <v/>
      </c>
      <c r="S1512">
        <f>IFERROR(O1512/N1512,0)</f>
        <v/>
      </c>
      <c r="T1512">
        <f>IF(C1512,(H1512*N1512*IF(AND(Inputs!$B$39&lt;&gt;"pvp",Inputs!$B$44&gt;0),((Skills!G14*((R1512-1)*IF(Skills!H14&gt;0,Skills!I14/Skills!H14,1)+IF(Skills!H14&gt;0,MIN(Skills!I14,MAX(0,MAX(0,Inputs!$B$44-B1542)-((R1512-1)*IF(Inputs!$B$39="pvp",15,MAX(0.1,Skills!D14-IF(Skills!E14=TRUE,1.5,0))))))/Skills!H14,1)))/Inputs!$B$44),G1512*Q1512))*IF(Inputs!$B$39="pvp",1,1+(Inputs!$B$20+0+Skills!P14+B1532)/100),0)</f>
        <v/>
      </c>
      <c r="V1512">
        <f>IF(C1512,(H1512*N1512*IF(AND(Inputs!$B$39&lt;&gt;"pvp",Inputs!$B$44&gt;0),((Skills!G14*((R1512-1)*IF(Skills!H14&gt;0,Skills!I14/Skills!H14,1)+IF(Skills!H14&gt;0,MIN(Skills!I14,MAX(0,MAX(0,Inputs!$B$44-B1542)-((R1512-1)*IF(Inputs!$B$39="pvp",15,MAX(0.1,Skills!D14-IF(Skills!E14=TRUE,1.5,0))))))/Skills!H14,1)))/Inputs!$B$44),G1512*Q1512))*IF(Inputs!$B$39="pvp",1,(1+(Inputs!$B$21+Skills!Q14+B1532)/100)*(MIN(MIN(5,0.25*B1535*Skills!D4)*Skills!V14,Inputs!$B$37))),0)</f>
        <v/>
      </c>
    </row>
    <row r="1513">
      <c r="A1513">
        <f>Skills!A15</f>
        <v/>
      </c>
      <c r="B1513">
        <f>Skills!B15</f>
        <v/>
      </c>
      <c r="C1513">
        <f>Inputs!$B$3&gt;=110</f>
        <v/>
      </c>
      <c r="D1513">
        <f>IF(Skills!C15=1,60+Inputs!$B$25+Inputs!$B$29,IF(Skills!C15=2,90+Inputs!$B$26+Inputs!$B$29,IF(Skills!C15=3,120+Inputs!$B$27+Inputs!$B$29,MAX(0,(Inputs!$B$3-100)*3)+Inputs!$B$28+Inputs!$B$29)))</f>
        <v/>
      </c>
      <c r="E1513">
        <f>INDEX(FactorTable!$B$2:$Y$301, MATCH(ROUND(MIN(300,MAX(1,D1513)),0), FactorTable!$A$2:$A$301,0), Skills!M15+1)</f>
        <v/>
      </c>
      <c r="F1513">
        <f>IF(Skills!N15=TRUE,(Skills!L15/10)*(E1513/1000),Skills!L15/10)+Skills!O15</f>
        <v/>
      </c>
      <c r="G1513">
        <f>Skills!G15*IF(Skills!H15&gt;0,Skills!I15/Skills!H15,1)</f>
        <v/>
      </c>
      <c r="H1513">
        <f>1-(1-Skills!J15/100)^Skills!K15</f>
        <v/>
      </c>
      <c r="I1513" t="inlineStr">
        <is>
          <t>1</t>
        </is>
      </c>
      <c r="J1513" t="inlineStr"/>
      <c r="K1513" t="inlineStr"/>
      <c r="L1513" t="inlineStr"/>
      <c r="M1513" t="inlineStr"/>
      <c r="N1513" t="inlineStr"/>
      <c r="O1513">
        <f>(1-Summary!$B$55)*T1513+Summary!$B$55*V1513</f>
        <v/>
      </c>
      <c r="P1513">
        <f>IF(B1543=0,0,O1513/B1543)</f>
        <v/>
      </c>
      <c r="Q1513">
        <f>IFERROR(1/IF(Inputs!$B$39="pvp",15,MAX(0.1,Skills!D15-IF(Skills!E15=TRUE,1.5,0))),0)</f>
        <v/>
      </c>
      <c r="R1513">
        <f>IF(AND(Inputs!$B$39&lt;&gt;"pvp",Inputs!$B$44&gt;0),IF(Inputs!$B$44&lt;=0,0,(INT(Inputs!$B$44/IF(Inputs!$B$39="pvp",15,MAX(0.1,Skills!D15-IF(Skills!E15=TRUE,1.5,0))))+1)),0)</f>
        <v/>
      </c>
      <c r="S1513">
        <f>IFERROR(O1513/N1513,0)</f>
        <v/>
      </c>
      <c r="T1513" t="n">
        <v>0</v>
      </c>
      <c r="V1513" t="n">
        <v>0</v>
      </c>
    </row>
    <row r="1514">
      <c r="A1514">
        <f>Skills!A16</f>
        <v/>
      </c>
      <c r="B1514">
        <f>Skills!B16</f>
        <v/>
      </c>
      <c r="C1514">
        <f>Inputs!$B$3&gt;=115</f>
        <v/>
      </c>
      <c r="D1514">
        <f>IF(Skills!C16=1,60+Inputs!$B$25+Inputs!$B$29,IF(Skills!C16=2,90+Inputs!$B$26+Inputs!$B$29,IF(Skills!C16=3,120+Inputs!$B$27+Inputs!$B$29,MAX(0,(Inputs!$B$3-100)*3)+Inputs!$B$28+Inputs!$B$29)))</f>
        <v/>
      </c>
      <c r="E1514">
        <f>INDEX(FactorTable!$B$2:$Y$301, MATCH(ROUND(MIN(300,MAX(1,D1514)),0), FactorTable!$A$2:$A$301,0), Skills!M16+1)</f>
        <v/>
      </c>
      <c r="F1514">
        <f>IF(Skills!N16=TRUE,(Skills!L16/10)*(E1514/1000),Skills!L16/10)+Skills!O16</f>
        <v/>
      </c>
      <c r="G1514">
        <f>Skills!G16*IF(Skills!H16&gt;0,Skills!I16/Skills!H16,1)</f>
        <v/>
      </c>
      <c r="H1514">
        <f>1-(1-Skills!J16/100)^Skills!K16</f>
        <v/>
      </c>
      <c r="I1514" t="inlineStr">
        <is>
          <t>1</t>
        </is>
      </c>
      <c r="J1514">
        <f>((Inputs!$B$6*(1+Inputs!$B$7/100))+(((Inputs!$B$12*(1+Inputs!$B$13/100))-(Inputs!$B$12*(1+Inputs!$B$13/100)))+0.25*(Inputs!$B$14-Inputs!$B$14))*(1+Inputs!$B$7/100))*(F1514/100)</f>
        <v/>
      </c>
      <c r="K1514">
        <f>J1514*(1+((Inputs!$B$12*(1+Inputs!$B$13/100))*0.01+Inputs!$B$14*0.0025)/100)*(1+Inputs!$B$15/100)*(1+Inputs!$B$16/100)*(5000/(6000+Inputs!$B$43*(1-Inputs!$B$19/100)))*(1+(Inputs!$B$24+((C1528=TRUE)*(F1528-Calc!F30)))/100)*(1+(IF(Skills!A16="CRUEL_STAB",Inputs!$B$17+((C1525=TRUE)*(F1525-Calc!F27)),Inputs!$B$18+((C1526=TRUE)*(F1526-Calc!F28))))/100)*(((1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B1533*I1514)</f>
        <v/>
      </c>
      <c r="L1514">
        <f>K1514*(MIN(Inputs!$B$22+((C1522=TRUE)*(F1522-Calc!F24)),Inputs!$B$23+((C1527=TRUE)*(F1527-Calc!F29)))/100+(Inputs!$B$23+((C1527=TRUE)*(F1527-Calc!F29)))/100)/2</f>
        <v/>
      </c>
      <c r="M1514">
        <f>L1514*(1+(Inputs!$B$10+((C1524=TRUE)*(F1524-Calc!F26))+B1538)/100)</f>
        <v/>
      </c>
      <c r="N1514">
        <f>L1514*(1-MIN((Inputs!$B$9+((C1523=TRUE)*(F1523-Calc!F25))+B1531),100)/100)+M1514*(MIN((Inputs!$B$9+((C1523=TRUE)*(F1523-Calc!F25))+B1531),100)/100)</f>
        <v/>
      </c>
      <c r="O1514">
        <f>(1-Summary!$B$55)*T1514+Summary!$B$55*V1514</f>
        <v/>
      </c>
      <c r="P1514">
        <f>IF(B1543=0,0,O1514/B1543)</f>
        <v/>
      </c>
      <c r="Q1514" t="n">
        <v>0</v>
      </c>
      <c r="R1514" t="n">
        <v>0</v>
      </c>
      <c r="S1514">
        <f>IFERROR(O1514/N1514,0)</f>
        <v/>
      </c>
      <c r="T1514">
        <f>IF(C1514,(Inputs!$B$38*0.2*N1514)*IF(Inputs!$B$39="pvp",1,1+(Inputs!$B$20+0+Skills!P16+B1532)/100),0)</f>
        <v/>
      </c>
      <c r="V1514">
        <f>IF(C1514,(Inputs!$B$38*0.2*N1514)*IF(Inputs!$B$39="pvp",1,(1+(Inputs!$B$21+Skills!Q16+B1532)/100)*(MIN(Skills!W16,Inputs!$B$37))),0)</f>
        <v/>
      </c>
    </row>
    <row r="1515">
      <c r="A1515">
        <f>Skills!A17</f>
        <v/>
      </c>
      <c r="B1515">
        <f>Skills!B17</f>
        <v/>
      </c>
      <c r="C1515">
        <f>Inputs!$B$3&gt;=115</f>
        <v/>
      </c>
      <c r="D1515">
        <f>IF(Skills!C17=1,60+Inputs!$B$25+Inputs!$B$29,IF(Skills!C17=2,90+Inputs!$B$26+Inputs!$B$29,IF(Skills!C17=3,120+Inputs!$B$27+Inputs!$B$29,MAX(0,(Inputs!$B$3-100)*3)+Inputs!$B$28+Inputs!$B$29)))</f>
        <v/>
      </c>
      <c r="E1515">
        <f>INDEX(FactorTable!$B$2:$Y$301, MATCH(ROUND(MIN(300,MAX(1,D1515)),0), FactorTable!$A$2:$A$301,0), Skills!M17+1)</f>
        <v/>
      </c>
      <c r="F1515">
        <f>IF(Skills!N17=TRUE,(Skills!L17/10)*(E1515/1000),Skills!L17/10)+Skills!O17</f>
        <v/>
      </c>
      <c r="G1515">
        <f>Skills!G17*IF(Skills!H17&gt;0,Skills!I17/Skills!H17,1)</f>
        <v/>
      </c>
      <c r="H1515">
        <f>1-(1-Skills!J17/100)^Skills!K17</f>
        <v/>
      </c>
      <c r="I1515" t="inlineStr">
        <is>
          <t>1</t>
        </is>
      </c>
      <c r="J1515" t="inlineStr"/>
      <c r="K1515" t="inlineStr"/>
      <c r="L1515" t="inlineStr"/>
      <c r="M1515" t="inlineStr"/>
      <c r="N1515" t="inlineStr"/>
      <c r="O1515">
        <f>(1-Summary!$B$55)*T1515+Summary!$B$55*V1515</f>
        <v/>
      </c>
      <c r="P1515">
        <f>IF(B1543=0,0,O1515/B1543)</f>
        <v/>
      </c>
      <c r="Q1515" t="n">
        <v>0</v>
      </c>
      <c r="R1515" t="n">
        <v>0</v>
      </c>
      <c r="S1515">
        <f>IFERROR(O1515/N1515,0)</f>
        <v/>
      </c>
      <c r="T1515" t="n">
        <v>0</v>
      </c>
      <c r="V1515" t="n">
        <v>0</v>
      </c>
    </row>
    <row r="1516">
      <c r="A1516">
        <f>Skills!A18</f>
        <v/>
      </c>
      <c r="B1516">
        <f>Skills!B18</f>
        <v/>
      </c>
      <c r="C1516">
        <f>Inputs!$B$3&gt;=100</f>
        <v/>
      </c>
      <c r="D1516">
        <f>IF(Skills!C18=1,60+Inputs!$B$25+Inputs!$B$29,IF(Skills!C18=2,90+Inputs!$B$26+Inputs!$B$29,IF(Skills!C18=3,120+Inputs!$B$27+Inputs!$B$29,MAX(0,(Inputs!$B$3-100)*3)+Inputs!$B$28+Inputs!$B$29)))</f>
        <v/>
      </c>
      <c r="E1516">
        <f>INDEX(FactorTable!$B$2:$Y$301, MATCH(ROUND(MIN(300,MAX(1,D1516)),0), FactorTable!$A$2:$A$301,0), Skills!M18+1)</f>
        <v/>
      </c>
      <c r="F1516">
        <f>IF(Skills!N18=TRUE,(Skills!L18/10)*(E1516/1000),Skills!L18/10)+Skills!O18</f>
        <v/>
      </c>
      <c r="G1516">
        <f>Skills!G18*IF(Skills!H18&gt;0,Skills!I18/Skills!H18,1)</f>
        <v/>
      </c>
      <c r="H1516">
        <f>1-(1-Skills!J18/100)^Skills!K18</f>
        <v/>
      </c>
      <c r="I1516" t="inlineStr">
        <is>
          <t>1</t>
        </is>
      </c>
      <c r="J1516" t="inlineStr"/>
      <c r="K1516" t="inlineStr"/>
      <c r="L1516" t="inlineStr"/>
      <c r="M1516" t="inlineStr"/>
      <c r="N1516" t="inlineStr"/>
      <c r="O1516">
        <f>(1-Summary!$B$55)*T1516+Summary!$B$55*V1516</f>
        <v/>
      </c>
      <c r="P1516">
        <f>IF(B1543=0,0,O1516/B1543)</f>
        <v/>
      </c>
      <c r="Q1516" t="n">
        <v>0</v>
      </c>
      <c r="R1516" t="n">
        <v>0</v>
      </c>
      <c r="S1516">
        <f>IFERROR(O1516/N1516,0)</f>
        <v/>
      </c>
      <c r="T1516" t="n">
        <v>0</v>
      </c>
      <c r="V1516" t="n">
        <v>0</v>
      </c>
    </row>
    <row r="1517">
      <c r="A1517">
        <f>Skills!A19</f>
        <v/>
      </c>
      <c r="B1517">
        <f>Skills!B19</f>
        <v/>
      </c>
      <c r="C1517">
        <f>TRUE</f>
        <v/>
      </c>
      <c r="D1517">
        <f>IF(Skills!C19=1,60+Inputs!$B$25+Inputs!$B$29,IF(Skills!C19=2,90+Inputs!$B$26+Inputs!$B$29,IF(Skills!C19=3,120+Inputs!$B$27+Inputs!$B$29,MAX(0,(Inputs!$B$3-100)*3)+Inputs!$B$28+Inputs!$B$29)))</f>
        <v/>
      </c>
      <c r="E1517">
        <f>INDEX(FactorTable!$B$2:$Y$301, MATCH(ROUND(MIN(300,MAX(1,D1517)),0), FactorTable!$A$2:$A$301,0), Skills!M19+1)</f>
        <v/>
      </c>
      <c r="F1517">
        <f>IF(Skills!N19=TRUE,(Skills!L19/10)*(E1517/1000),Skills!L19/10)+Skills!O19</f>
        <v/>
      </c>
      <c r="G1517">
        <f>Skills!G19*IF(Skills!H19&gt;0,Skills!I19/Skills!H19,1)</f>
        <v/>
      </c>
      <c r="H1517">
        <f>1-(1-Skills!J19/100)^Skills!K19</f>
        <v/>
      </c>
      <c r="I1517" t="inlineStr">
        <is>
          <t>1</t>
        </is>
      </c>
      <c r="J1517" t="inlineStr"/>
      <c r="K1517" t="inlineStr"/>
      <c r="L1517" t="inlineStr"/>
      <c r="M1517" t="inlineStr"/>
      <c r="N1517" t="inlineStr"/>
      <c r="O1517">
        <f>(1-Summary!$B$55)*T1517+Summary!$B$55*V1517</f>
        <v/>
      </c>
      <c r="P1517">
        <f>IF(B1543=0,0,O1517/B1543)</f>
        <v/>
      </c>
      <c r="Q1517">
        <f>IFERROR(1/IF(Inputs!$B$39="pvp",15,MAX(0.1,Skills!D19-IF(Skills!E19=TRUE,1.5,0))),0)</f>
        <v/>
      </c>
      <c r="R1517">
        <f>IF(AND(Inputs!$B$39&lt;&gt;"pvp",Inputs!$B$44&gt;0),IF(Inputs!$B$44&lt;=0,0,(INT(Inputs!$B$44/IF(Inputs!$B$39="pvp",15,MAX(0.1,Skills!D19-IF(Skills!E19=TRUE,1.5,0))))+1)),0)</f>
        <v/>
      </c>
      <c r="S1517">
        <f>IFERROR(O1517/N1517,0)</f>
        <v/>
      </c>
      <c r="T1517" t="n">
        <v>0</v>
      </c>
      <c r="V1517" t="n">
        <v>0</v>
      </c>
    </row>
    <row r="1518">
      <c r="A1518">
        <f>Skills!A20</f>
        <v/>
      </c>
      <c r="B1518">
        <f>Skills!B20</f>
        <v/>
      </c>
      <c r="C1518">
        <f>Inputs!$B$3&gt;=15</f>
        <v/>
      </c>
      <c r="D1518">
        <f>IF(Skills!C20=1,60+Inputs!$B$25+Inputs!$B$29,IF(Skills!C20=2,90+Inputs!$B$26+Inputs!$B$29,IF(Skills!C20=3,120+Inputs!$B$27+Inputs!$B$29,MAX(0,(Inputs!$B$3-100)*3)+Inputs!$B$28+Inputs!$B$29)))</f>
        <v/>
      </c>
      <c r="E1518">
        <f>INDEX(FactorTable!$B$2:$Y$301, MATCH(ROUND(MIN(300,MAX(1,D1518)),0), FactorTable!$A$2:$A$301,0), Skills!M20+1)</f>
        <v/>
      </c>
      <c r="F1518">
        <f>IF(Skills!N20=TRUE,(Skills!L20/10)*(E1518/1000),Skills!L20/10)+Skills!O20</f>
        <v/>
      </c>
      <c r="G1518">
        <f>Skills!G20*IF(Skills!H20&gt;0,Skills!I20/Skills!H20,1)</f>
        <v/>
      </c>
      <c r="H1518">
        <f>1-(1-Skills!J20/100)^Skills!K20</f>
        <v/>
      </c>
      <c r="I1518" t="inlineStr">
        <is>
          <t>1</t>
        </is>
      </c>
      <c r="J1518" t="inlineStr"/>
      <c r="K1518" t="inlineStr"/>
      <c r="L1518" t="inlineStr"/>
      <c r="M1518" t="inlineStr"/>
      <c r="N1518" t="inlineStr"/>
      <c r="O1518">
        <f>(1-Summary!$B$55)*T1518+Summary!$B$55*V1518</f>
        <v/>
      </c>
      <c r="P1518">
        <f>IF(B1543=0,0,O1518/B1543)</f>
        <v/>
      </c>
      <c r="Q1518">
        <f>IFERROR(1/IF(Inputs!$B$39="pvp",15,MAX(0.1,Skills!D20-IF(Skills!E20=TRUE,1.5,0))),0)</f>
        <v/>
      </c>
      <c r="R1518">
        <f>IF(AND(Inputs!$B$39&lt;&gt;"pvp",Inputs!$B$44&gt;0),IF(Inputs!$B$44&lt;=0,0,(INT(Inputs!$B$44/IF(Inputs!$B$39="pvp",15,MAX(0.1,Skills!D20-IF(Skills!E20=TRUE,1.5,0))))+1)),0)</f>
        <v/>
      </c>
      <c r="S1518">
        <f>IFERROR(O1518/N1518,0)</f>
        <v/>
      </c>
      <c r="T1518" t="n">
        <v>0</v>
      </c>
      <c r="V1518" t="n">
        <v>0</v>
      </c>
    </row>
    <row r="1519">
      <c r="A1519">
        <f>Skills!A21</f>
        <v/>
      </c>
      <c r="B1519">
        <f>Skills!B21</f>
        <v/>
      </c>
      <c r="C1519">
        <f>Inputs!$B$3&gt;=15</f>
        <v/>
      </c>
      <c r="D1519">
        <f>IF(Skills!C21=1,60+Inputs!$B$25+Inputs!$B$29,IF(Skills!C21=2,90+Inputs!$B$26+Inputs!$B$29,IF(Skills!C21=3,120+Inputs!$B$27+Inputs!$B$29,MAX(0,(Inputs!$B$3-100)*3)+Inputs!$B$28+Inputs!$B$29)))</f>
        <v/>
      </c>
      <c r="E1519">
        <f>INDEX(FactorTable!$B$2:$Y$301, MATCH(ROUND(MIN(300,MAX(1,D1519)),0), FactorTable!$A$2:$A$301,0), Skills!M21+1)</f>
        <v/>
      </c>
      <c r="F1519">
        <f>IF(Skills!N21=TRUE,(Skills!L21/10)*(E1519/1000),Skills!L21/10)+Skills!O21</f>
        <v/>
      </c>
      <c r="G1519">
        <f>Skills!G21*IF(Skills!H21&gt;0,Skills!I21/Skills!H21,1)</f>
        <v/>
      </c>
      <c r="H1519">
        <f>1-(1-Skills!J21/100)^Skills!K21</f>
        <v/>
      </c>
      <c r="I1519" t="inlineStr">
        <is>
          <t>1</t>
        </is>
      </c>
      <c r="J1519" t="inlineStr"/>
      <c r="K1519" t="inlineStr"/>
      <c r="L1519" t="inlineStr"/>
      <c r="M1519" t="inlineStr"/>
      <c r="N1519" t="inlineStr"/>
      <c r="O1519">
        <f>(1-Summary!$B$55)*T1519+Summary!$B$55*V1519</f>
        <v/>
      </c>
      <c r="P1519">
        <f>IF(B1543=0,0,O1519/B1543)</f>
        <v/>
      </c>
      <c r="Q1519">
        <f>IFERROR(1/IF(Inputs!$B$39="pvp",15,MAX(0.1,Skills!D21-IF(Skills!E21=TRUE,1.5,0))),0)</f>
        <v/>
      </c>
      <c r="R1519">
        <f>IF(AND(Inputs!$B$39&lt;&gt;"pvp",Inputs!$B$44&gt;0),IF(Inputs!$B$44&lt;=0,0,(INT(Inputs!$B$44/IF(Inputs!$B$39="pvp",15,MAX(0.1,Skills!D21-IF(Skills!E21=TRUE,1.5,0))))+1)),0)</f>
        <v/>
      </c>
      <c r="S1519">
        <f>IFERROR(O1519/N1519,0)</f>
        <v/>
      </c>
      <c r="T1519" t="n">
        <v>0</v>
      </c>
      <c r="V1519" t="n">
        <v>0</v>
      </c>
    </row>
    <row r="1520">
      <c r="A1520">
        <f>Skills!A22</f>
        <v/>
      </c>
      <c r="B1520">
        <f>Skills!B22</f>
        <v/>
      </c>
      <c r="C1520">
        <f>Inputs!$B$3&gt;=33</f>
        <v/>
      </c>
      <c r="D1520">
        <f>IF(Skills!C22=1,60+Inputs!$B$25+Inputs!$B$29,IF(Skills!C22=2,90+Inputs!$B$26+Inputs!$B$29,IF(Skills!C22=3,120+Inputs!$B$27+Inputs!$B$29,MAX(0,(Inputs!$B$3-100)*3)+Inputs!$B$28+Inputs!$B$29)))</f>
        <v/>
      </c>
      <c r="E1520">
        <f>INDEX(FactorTable!$B$2:$Y$301, MATCH(ROUND(MIN(300,MAX(1,D1520)),0), FactorTable!$A$2:$A$301,0), Skills!M22+1)</f>
        <v/>
      </c>
      <c r="F1520">
        <f>IF(Skills!N22=TRUE,(Skills!L22/10)*(E1520/1000),Skills!L22/10)+Skills!O22</f>
        <v/>
      </c>
      <c r="G1520">
        <f>Skills!G22*IF(Skills!H22&gt;0,Skills!I22/Skills!H22,1)</f>
        <v/>
      </c>
      <c r="H1520">
        <f>1-(1-Skills!J22/100)^Skills!K22</f>
        <v/>
      </c>
      <c r="I1520" t="inlineStr">
        <is>
          <t>1</t>
        </is>
      </c>
      <c r="J1520" t="inlineStr"/>
      <c r="K1520" t="inlineStr"/>
      <c r="L1520" t="inlineStr"/>
      <c r="M1520" t="inlineStr"/>
      <c r="N1520" t="inlineStr"/>
      <c r="O1520">
        <f>(1-Summary!$B$55)*T1520+Summary!$B$55*V1520</f>
        <v/>
      </c>
      <c r="P1520">
        <f>IF(B1543=0,0,O1520/B1543)</f>
        <v/>
      </c>
      <c r="Q1520" t="n">
        <v>0</v>
      </c>
      <c r="R1520" t="n">
        <v>0</v>
      </c>
      <c r="S1520">
        <f>IFERROR(O1520/N1520,0)</f>
        <v/>
      </c>
      <c r="T1520" t="n">
        <v>0</v>
      </c>
      <c r="V1520" t="n">
        <v>0</v>
      </c>
    </row>
    <row r="1521">
      <c r="A1521">
        <f>Skills!A23</f>
        <v/>
      </c>
      <c r="B1521">
        <f>Skills!B23</f>
        <v/>
      </c>
      <c r="C1521">
        <f>Inputs!$B$3&gt;=40</f>
        <v/>
      </c>
      <c r="D1521">
        <f>IF(Skills!C23=1,60+Inputs!$B$25+Inputs!$B$29,IF(Skills!C23=2,90+Inputs!$B$26+Inputs!$B$29,IF(Skills!C23=3,120+Inputs!$B$27+Inputs!$B$29,MAX(0,(Inputs!$B$3-100)*3)+Inputs!$B$28+Inputs!$B$29)))</f>
        <v/>
      </c>
      <c r="E1521">
        <f>INDEX(FactorTable!$B$2:$Y$301, MATCH(ROUND(MIN(300,MAX(1,D1521)),0), FactorTable!$A$2:$A$301,0), Skills!M23+1)</f>
        <v/>
      </c>
      <c r="F1521">
        <f>IF(Skills!N23=TRUE,(Skills!L23/10)*(E1521/1000),Skills!L23/10)+Skills!O23</f>
        <v/>
      </c>
      <c r="G1521">
        <f>Skills!G23*IF(Skills!H23&gt;0,Skills!I23/Skills!H23,1)</f>
        <v/>
      </c>
      <c r="H1521">
        <f>1-(1-Skills!J23/100)^Skills!K23</f>
        <v/>
      </c>
      <c r="I1521" t="inlineStr">
        <is>
          <t>1</t>
        </is>
      </c>
      <c r="J1521" t="inlineStr"/>
      <c r="K1521" t="inlineStr"/>
      <c r="L1521" t="inlineStr"/>
      <c r="M1521" t="inlineStr"/>
      <c r="N1521" t="inlineStr"/>
      <c r="O1521">
        <f>(1-Summary!$B$55)*T1521+Summary!$B$55*V1521</f>
        <v/>
      </c>
      <c r="P1521">
        <f>IF(B1543=0,0,O1521/B1543)</f>
        <v/>
      </c>
      <c r="Q1521" t="n">
        <v>0</v>
      </c>
      <c r="R1521" t="n">
        <v>0</v>
      </c>
      <c r="S1521">
        <f>IFERROR(O1521/N1521,0)</f>
        <v/>
      </c>
      <c r="T1521" t="n">
        <v>0</v>
      </c>
      <c r="V1521" t="n">
        <v>0</v>
      </c>
    </row>
    <row r="1522">
      <c r="A1522">
        <f>Skills!A24</f>
        <v/>
      </c>
      <c r="B1522">
        <f>Skills!B24</f>
        <v/>
      </c>
      <c r="C1522">
        <f>Inputs!$B$3&gt;=43</f>
        <v/>
      </c>
      <c r="D1522">
        <f>IF(Skills!C24=1,60+Inputs!$B$25+Inputs!$B$29,IF(Skills!C24=2,90+Inputs!$B$26+Inputs!$B$29,IF(Skills!C24=3,120+Inputs!$B$27+Inputs!$B$29,MAX(0,(Inputs!$B$3-100)*3)+Inputs!$B$28+Inputs!$B$29)))</f>
        <v/>
      </c>
      <c r="E1522">
        <f>INDEX(FactorTable!$B$2:$Y$301, MATCH(ROUND(MIN(300,MAX(1,D1522)),0), FactorTable!$A$2:$A$301,0), Skills!M24+1)</f>
        <v/>
      </c>
      <c r="F1522">
        <f>IF(Skills!N24=TRUE,(Skills!L24/10)*(E1522/1000),Skills!L24/10)+Skills!O24</f>
        <v/>
      </c>
      <c r="G1522">
        <f>Skills!G24*IF(Skills!H24&gt;0,Skills!I24/Skills!H24,1)</f>
        <v/>
      </c>
      <c r="H1522">
        <f>1-(1-Skills!J24/100)^Skills!K24</f>
        <v/>
      </c>
      <c r="I1522" t="inlineStr">
        <is>
          <t>1</t>
        </is>
      </c>
      <c r="J1522" t="inlineStr"/>
      <c r="K1522" t="inlineStr"/>
      <c r="L1522" t="inlineStr"/>
      <c r="M1522" t="inlineStr"/>
      <c r="N1522" t="inlineStr"/>
      <c r="O1522">
        <f>(1-Summary!$B$55)*T1522+Summary!$B$55*V1522</f>
        <v/>
      </c>
      <c r="P1522">
        <f>IF(B1543=0,0,O1522/B1543)</f>
        <v/>
      </c>
      <c r="Q1522" t="n">
        <v>0</v>
      </c>
      <c r="R1522" t="n">
        <v>0</v>
      </c>
      <c r="S1522">
        <f>IFERROR(O1522/N1522,0)</f>
        <v/>
      </c>
      <c r="T1522" t="n">
        <v>0</v>
      </c>
      <c r="V1522" t="n">
        <v>0</v>
      </c>
    </row>
    <row r="1523">
      <c r="A1523">
        <f>Skills!A25</f>
        <v/>
      </c>
      <c r="B1523">
        <f>Skills!B25</f>
        <v/>
      </c>
      <c r="C1523">
        <f>Inputs!$B$3&gt;=50</f>
        <v/>
      </c>
      <c r="D1523">
        <f>IF(Skills!C25=1,60+Inputs!$B$25+Inputs!$B$29,IF(Skills!C25=2,90+Inputs!$B$26+Inputs!$B$29,IF(Skills!C25=3,120+Inputs!$B$27+Inputs!$B$29,MAX(0,(Inputs!$B$3-100)*3)+Inputs!$B$28+Inputs!$B$29)))</f>
        <v/>
      </c>
      <c r="E1523">
        <f>INDEX(FactorTable!$B$2:$Y$301, MATCH(ROUND(MIN(300,MAX(1,D1523)),0), FactorTable!$A$2:$A$301,0), Skills!M25+1)</f>
        <v/>
      </c>
      <c r="F1523">
        <f>IF(Skills!N25=TRUE,(Skills!L25/10)*(E1523/1000),Skills!L25/10)+Skills!O25</f>
        <v/>
      </c>
      <c r="G1523">
        <f>Skills!G25*IF(Skills!H25&gt;0,Skills!I25/Skills!H25,1)</f>
        <v/>
      </c>
      <c r="H1523">
        <f>1-(1-Skills!J25/100)^Skills!K25</f>
        <v/>
      </c>
      <c r="I1523" t="inlineStr">
        <is>
          <t>1</t>
        </is>
      </c>
      <c r="J1523" t="inlineStr"/>
      <c r="K1523" t="inlineStr"/>
      <c r="L1523" t="inlineStr"/>
      <c r="M1523" t="inlineStr"/>
      <c r="N1523" t="inlineStr"/>
      <c r="O1523">
        <f>(1-Summary!$B$55)*T1523+Summary!$B$55*V1523</f>
        <v/>
      </c>
      <c r="P1523">
        <f>IF(B1543=0,0,O1523/B1543)</f>
        <v/>
      </c>
      <c r="Q1523" t="n">
        <v>0</v>
      </c>
      <c r="R1523" t="n">
        <v>0</v>
      </c>
      <c r="S1523">
        <f>IFERROR(O1523/N1523,0)</f>
        <v/>
      </c>
      <c r="T1523" t="n">
        <v>0</v>
      </c>
      <c r="V1523" t="n">
        <v>0</v>
      </c>
    </row>
    <row r="1524">
      <c r="A1524">
        <f>Skills!A26</f>
        <v/>
      </c>
      <c r="B1524">
        <f>Skills!B26</f>
        <v/>
      </c>
      <c r="C1524">
        <f>Inputs!$B$3&gt;=50</f>
        <v/>
      </c>
      <c r="D1524">
        <f>IF(Skills!C26=1,60+Inputs!$B$25+Inputs!$B$29,IF(Skills!C26=2,90+Inputs!$B$26+Inputs!$B$29,IF(Skills!C26=3,120+Inputs!$B$27+Inputs!$B$29,MAX(0,(Inputs!$B$3-100)*3)+Inputs!$B$28+Inputs!$B$29)))</f>
        <v/>
      </c>
      <c r="E1524">
        <f>INDEX(FactorTable!$B$2:$Y$301, MATCH(ROUND(MIN(300,MAX(1,D1524)),0), FactorTable!$A$2:$A$301,0), Skills!M26+1)</f>
        <v/>
      </c>
      <c r="F1524">
        <f>IF(Skills!N26=TRUE,(Skills!L26/10)*(E1524/1000),Skills!L26/10)+Skills!O26</f>
        <v/>
      </c>
      <c r="G1524">
        <f>Skills!G26*IF(Skills!H26&gt;0,Skills!I26/Skills!H26,1)</f>
        <v/>
      </c>
      <c r="H1524">
        <f>1-(1-Skills!J26/100)^Skills!K26</f>
        <v/>
      </c>
      <c r="I1524" t="inlineStr">
        <is>
          <t>1</t>
        </is>
      </c>
      <c r="J1524" t="inlineStr"/>
      <c r="K1524" t="inlineStr"/>
      <c r="L1524" t="inlineStr"/>
      <c r="M1524" t="inlineStr"/>
      <c r="N1524" t="inlineStr"/>
      <c r="O1524">
        <f>(1-Summary!$B$55)*T1524+Summary!$B$55*V1524</f>
        <v/>
      </c>
      <c r="P1524">
        <f>IF(B1543=0,0,O1524/B1543)</f>
        <v/>
      </c>
      <c r="Q1524" t="n">
        <v>0</v>
      </c>
      <c r="R1524" t="n">
        <v>0</v>
      </c>
      <c r="S1524">
        <f>IFERROR(O1524/N1524,0)</f>
        <v/>
      </c>
      <c r="T1524" t="n">
        <v>0</v>
      </c>
      <c r="V1524" t="n">
        <v>0</v>
      </c>
    </row>
    <row r="1525">
      <c r="A1525">
        <f>Skills!A27</f>
        <v/>
      </c>
      <c r="B1525">
        <f>Skills!B27</f>
        <v/>
      </c>
      <c r="C1525">
        <f>Inputs!$B$3&gt;=38</f>
        <v/>
      </c>
      <c r="D1525">
        <f>IF(Skills!C27=1,60+Inputs!$B$25+Inputs!$B$29,IF(Skills!C27=2,90+Inputs!$B$26+Inputs!$B$29,IF(Skills!C27=3,120+Inputs!$B$27+Inputs!$B$29,MAX(0,(Inputs!$B$3-100)*3)+Inputs!$B$28+Inputs!$B$29)))</f>
        <v/>
      </c>
      <c r="E1525">
        <f>INDEX(FactorTable!$B$2:$Y$301, MATCH(ROUND(MIN(300,MAX(1,D1525)),0), FactorTable!$A$2:$A$301,0), Skills!M27+1)</f>
        <v/>
      </c>
      <c r="F1525">
        <f>IF(Skills!N27=TRUE,(Skills!L27/10)*(E1525/1000),Skills!L27/10)+Skills!O27</f>
        <v/>
      </c>
      <c r="G1525">
        <f>Skills!G27*IF(Skills!H27&gt;0,Skills!I27/Skills!H27,1)</f>
        <v/>
      </c>
      <c r="H1525">
        <f>1-(1-Skills!J27/100)^Skills!K27</f>
        <v/>
      </c>
      <c r="I1525" t="inlineStr">
        <is>
          <t>1</t>
        </is>
      </c>
      <c r="J1525" t="inlineStr"/>
      <c r="K1525" t="inlineStr"/>
      <c r="L1525" t="inlineStr"/>
      <c r="M1525" t="inlineStr"/>
      <c r="N1525" t="inlineStr"/>
      <c r="O1525">
        <f>(1-Summary!$B$55)*T1525+Summary!$B$55*V1525</f>
        <v/>
      </c>
      <c r="P1525">
        <f>IF(B1543=0,0,O1525/B1543)</f>
        <v/>
      </c>
      <c r="Q1525" t="n">
        <v>0</v>
      </c>
      <c r="R1525" t="n">
        <v>0</v>
      </c>
      <c r="S1525">
        <f>IFERROR(O1525/N1525,0)</f>
        <v/>
      </c>
      <c r="T1525" t="n">
        <v>0</v>
      </c>
      <c r="V1525" t="n">
        <v>0</v>
      </c>
    </row>
    <row r="1526">
      <c r="A1526">
        <f>Skills!A28</f>
        <v/>
      </c>
      <c r="B1526">
        <f>Skills!B28</f>
        <v/>
      </c>
      <c r="C1526">
        <f>Inputs!$B$3&gt;=120</f>
        <v/>
      </c>
      <c r="D1526">
        <f>IF(Skills!C28=1,60+Inputs!$B$25+Inputs!$B$29,IF(Skills!C28=2,90+Inputs!$B$26+Inputs!$B$29,IF(Skills!C28=3,120+Inputs!$B$27+Inputs!$B$29,MAX(0,(Inputs!$B$3-100)*3)+Inputs!$B$28+Inputs!$B$29)))</f>
        <v/>
      </c>
      <c r="E1526">
        <f>INDEX(FactorTable!$B$2:$Y$301, MATCH(ROUND(MIN(300,MAX(1,D1526)),0), FactorTable!$A$2:$A$301,0), Skills!M28+1)</f>
        <v/>
      </c>
      <c r="F1526">
        <f>IF(Skills!N28=TRUE,(Skills!L28/10)*(E1526/1000),Skills!L28/10)+Skills!O28</f>
        <v/>
      </c>
      <c r="G1526">
        <f>Skills!G28*IF(Skills!H28&gt;0,Skills!I28/Skills!H28,1)</f>
        <v/>
      </c>
      <c r="H1526">
        <f>1-(1-Skills!J28/100)^Skills!K28</f>
        <v/>
      </c>
      <c r="I1526" t="inlineStr">
        <is>
          <t>1</t>
        </is>
      </c>
      <c r="J1526" t="inlineStr"/>
      <c r="K1526" t="inlineStr"/>
      <c r="L1526" t="inlineStr"/>
      <c r="M1526" t="inlineStr"/>
      <c r="N1526" t="inlineStr"/>
      <c r="O1526">
        <f>(1-Summary!$B$55)*T1526+Summary!$B$55*V1526</f>
        <v/>
      </c>
      <c r="P1526">
        <f>IF(B1543=0,0,O1526/B1543)</f>
        <v/>
      </c>
      <c r="Q1526" t="n">
        <v>0</v>
      </c>
      <c r="R1526" t="n">
        <v>0</v>
      </c>
      <c r="S1526">
        <f>IFERROR(O1526/N1526,0)</f>
        <v/>
      </c>
      <c r="T1526" t="n">
        <v>0</v>
      </c>
      <c r="V1526" t="n">
        <v>0</v>
      </c>
    </row>
    <row r="1527">
      <c r="A1527">
        <f>Skills!A29</f>
        <v/>
      </c>
      <c r="B1527">
        <f>Skills!B29</f>
        <v/>
      </c>
      <c r="C1527">
        <f>Inputs!$B$3&gt;=120</f>
        <v/>
      </c>
      <c r="D1527">
        <f>IF(Skills!C29=1,60+Inputs!$B$25+Inputs!$B$29,IF(Skills!C29=2,90+Inputs!$B$26+Inputs!$B$29,IF(Skills!C29=3,120+Inputs!$B$27+Inputs!$B$29,MAX(0,(Inputs!$B$3-100)*3)+Inputs!$B$28+Inputs!$B$29)))</f>
        <v/>
      </c>
      <c r="E1527">
        <f>INDEX(FactorTable!$B$2:$Y$301, MATCH(ROUND(MIN(300,MAX(1,D1527)),0), FactorTable!$A$2:$A$301,0), Skills!M29+1)</f>
        <v/>
      </c>
      <c r="F1527">
        <f>IF(Skills!N29=TRUE,(Skills!L29/10)*(E1527/1000),Skills!L29/10)+Skills!O29</f>
        <v/>
      </c>
      <c r="G1527">
        <f>Skills!G29*IF(Skills!H29&gt;0,Skills!I29/Skills!H29,1)</f>
        <v/>
      </c>
      <c r="H1527">
        <f>1-(1-Skills!J29/100)^Skills!K29</f>
        <v/>
      </c>
      <c r="I1527" t="inlineStr">
        <is>
          <t>1</t>
        </is>
      </c>
      <c r="J1527" t="inlineStr"/>
      <c r="K1527" t="inlineStr"/>
      <c r="L1527" t="inlineStr"/>
      <c r="M1527" t="inlineStr"/>
      <c r="N1527" t="inlineStr"/>
      <c r="O1527">
        <f>(1-Summary!$B$55)*T1527+Summary!$B$55*V1527</f>
        <v/>
      </c>
      <c r="P1527">
        <f>IF(B1543=0,0,O1527/B1543)</f>
        <v/>
      </c>
      <c r="Q1527" t="n">
        <v>0</v>
      </c>
      <c r="R1527" t="n">
        <v>0</v>
      </c>
      <c r="S1527">
        <f>IFERROR(O1527/N1527,0)</f>
        <v/>
      </c>
      <c r="T1527" t="n">
        <v>0</v>
      </c>
      <c r="V1527" t="n">
        <v>0</v>
      </c>
    </row>
    <row r="1528">
      <c r="A1528">
        <f>Skills!A30</f>
        <v/>
      </c>
      <c r="B1528">
        <f>Skills!B30</f>
        <v/>
      </c>
      <c r="C1528">
        <f>Inputs!$B$3&gt;=125</f>
        <v/>
      </c>
      <c r="D1528">
        <f>IF(Skills!C30=1,60+Inputs!$B$25+Inputs!$B$29,IF(Skills!C30=2,90+Inputs!$B$26+Inputs!$B$29,IF(Skills!C30=3,120+Inputs!$B$27+Inputs!$B$29,MAX(0,(Inputs!$B$3-100)*3)+Inputs!$B$28+Inputs!$B$29)))</f>
        <v/>
      </c>
      <c r="E1528">
        <f>INDEX(FactorTable!$B$2:$Y$301, MATCH(ROUND(MIN(300,MAX(1,D1528)),0), FactorTable!$A$2:$A$301,0), Skills!M30+1)</f>
        <v/>
      </c>
      <c r="F1528">
        <f>IF(Skills!N30=TRUE,(Skills!L30/10)*(E1528/1000),Skills!L30/10)+Skills!O30</f>
        <v/>
      </c>
      <c r="G1528">
        <f>Skills!G30*IF(Skills!H30&gt;0,Skills!I30/Skills!H30,1)</f>
        <v/>
      </c>
      <c r="H1528">
        <f>1-(1-Skills!J30/100)^Skills!K30</f>
        <v/>
      </c>
      <c r="I1528" t="inlineStr">
        <is>
          <t>1</t>
        </is>
      </c>
      <c r="J1528" t="inlineStr"/>
      <c r="K1528" t="inlineStr"/>
      <c r="L1528" t="inlineStr"/>
      <c r="M1528" t="inlineStr"/>
      <c r="N1528" t="inlineStr"/>
      <c r="O1528">
        <f>(1-Summary!$B$55)*T1528+Summary!$B$55*V1528</f>
        <v/>
      </c>
      <c r="P1528">
        <f>IF(B1543=0,0,O1528/B1543)</f>
        <v/>
      </c>
      <c r="Q1528" t="n">
        <v>0</v>
      </c>
      <c r="R1528" t="n">
        <v>0</v>
      </c>
      <c r="S1528">
        <f>IFERROR(O1528/N1528,0)</f>
        <v/>
      </c>
      <c r="T1528" t="n">
        <v>0</v>
      </c>
      <c r="V1528" t="n">
        <v>0</v>
      </c>
    </row>
    <row r="1530">
      <c r="A1530" t="inlineStr">
        <is>
          <t>Average Buff Multiplier</t>
        </is>
      </c>
      <c r="B1530">
        <f>(1+(((C1519=TRUE)*F1519*IF(AND(Inputs!$B$39&lt;&gt;"pvp",Inputs!$B$44&gt;0),(((R1519-1)*(Skills!Y21*(1+Inputs!$B$34/100))+MIN((Skills!Y21*(1+Inputs!$B$34/100)),MAX(0,Inputs!$B$44-((R1519-1)*Skills!D21))))/Inputs!$B$44),IF(Inputs!$B$39="pvp",MIN((Skills!Y21*(1+Inputs!$B$34/100)),15)/15,(Skills!Y21*(1+Inputs!$B$34/100))/Skills!D21)))+((C1521=TRUE)*(F1521-Calc!F23))+((C1515=TRUE)*(F1515-Calc!F17)))/100)*(1+((C1508=TRUE)*F1508*IF(AND(Inputs!$B$39&lt;&gt;"pvp",Inputs!$B$44&gt;0),(((R1508-1)*(Skills!Y10*(1+Inputs!$B$34/100))+MIN((Skills!Y10*(1+Inputs!$B$34/100)),MAX(0,Inputs!$B$44-((R1508-1)*Skills!D10))))/Inputs!$B$44),IF(Inputs!$B$39="pvp",MIN((Skills!Y10*(1+Inputs!$B$34/100)),15)/15,(Skills!Y10*(1+Inputs!$B$34/100))/Skills!D10)))/100)*(1+((C1513=TRUE)*F1513*IF(AND(Inputs!$B$39&lt;&gt;"pvp",Inputs!$B$44&gt;0),(((R1513-1)*(Skills!Y15*(1+Inputs!$B$34/100))+MIN((Skills!Y15*(1+Inputs!$B$34/100)),MAX(0,Inputs!$B$44-((R1513-1)*Skills!D15))))/Inputs!$B$44),IF(Inputs!$B$39="pvp",MIN((Skills!Y15*(1+Inputs!$B$34/100)),15)/15,(Skills!Y15*(1+Inputs!$B$34/100))/Skills!D15)))/100)</f>
        <v/>
      </c>
    </row>
    <row r="1531">
      <c r="A1531" t="inlineStr">
        <is>
          <t>Global Crit Rate Bonus %</t>
        </is>
      </c>
      <c r="B1531">
        <f>((C1518=TRUE)*F1518*IF(AND(Inputs!$B$39&lt;&gt;"pvp",Inputs!$B$44&gt;0),(((R1518-1)*(Skills!Y20*(1+Inputs!$B$34/100))+MIN((Skills!Y20*(1+Inputs!$B$34/100)),MAX(0,Inputs!$B$44-((R1518-1)*Skills!D20))))/Inputs!$B$44),IF(Inputs!$B$39="pvp",MIN((Skills!Y20*(1+Inputs!$B$34/100)),15)/15,(Skills!Y20*(1+Inputs!$B$34/100))/Skills!D20)))</f>
        <v/>
      </c>
    </row>
    <row r="1532">
      <c r="A1532" t="inlineStr">
        <is>
          <t>Global Monster Damage-Taken Bonus %</t>
        </is>
      </c>
      <c r="B1532">
        <f>IF(Inputs!$B$3&gt;=82,15,0)</f>
        <v/>
      </c>
    </row>
    <row r="1533">
      <c r="A1533" t="inlineStr">
        <is>
          <t>Shadow Partner Average Multiplier</t>
        </is>
      </c>
      <c r="B1533">
        <f>1+((C1505=TRUE)*F1505*(1+3.3333333333333335*IF(C1516=TRUE,F1516,0)/100)*I1505*Skills!J7/100)/100</f>
        <v/>
      </c>
    </row>
    <row r="1534">
      <c r="A1534" t="inlineStr">
        <is>
          <t>Attack Speed Buff Bonus %</t>
        </is>
      </c>
      <c r="B1534">
        <f>((C1517=TRUE)*F1517*IF(AND(Inputs!$B$39&lt;&gt;"pvp",Inputs!$B$44&gt;0),(((R1517-1)*(Skills!Y19*(1+Inputs!$B$34/100))+MIN((Skills!Y19*(1+Inputs!$B$34/100)),MAX(0,Inputs!$B$44-((R1517-1)*Skills!D19))))/Inputs!$B$44),IF(Inputs!$B$39="pvp",MIN((Skills!Y19*(1+Inputs!$B$34/100)),15)/15,(Skills!Y19*(1+Inputs!$B$34/100))/Skills!D19)))+((C1501=TRUE)*F1501*3)</f>
        <v/>
      </c>
    </row>
    <row r="1535">
      <c r="A1535" t="inlineStr">
        <is>
          <t>Actions Per Second</t>
        </is>
      </c>
      <c r="B1535">
        <f>1+MIN(150,150*(1-(1-(Inputs!$B$11+((C1520=TRUE)*(F1520-Calc!F22)))/150)*(1-B1534/150)))/100</f>
        <v/>
      </c>
    </row>
    <row r="1536">
      <c r="A1536" t="inlineStr">
        <is>
          <t>Skill + Buff Cast Rate</t>
        </is>
      </c>
      <c r="B1536">
        <f>IF(AND(Inputs!$B$39&lt;&gt;"pvp",Inputs!$B$44&gt;0),SUMPRODUCT((Skills!E2:E30=TRUE)*(C1500:C1528=TRUE)*R1500:R1528*Skills!F2:F30)/Inputs!$B$44,SUMPRODUCT((Skills!E2:E30=TRUE)*(C1500:C1528=TRUE)*Q1500:Q1528*Skills!F2:F30))</f>
        <v/>
      </c>
    </row>
    <row r="1537">
      <c r="A1537" t="inlineStr">
        <is>
          <t>Cruel Stab Casts Per Second</t>
        </is>
      </c>
      <c r="B1537">
        <f>MAX(0,B1535-B1536)</f>
        <v/>
      </c>
    </row>
    <row r="1538">
      <c r="A1538" t="inlineStr">
        <is>
          <t>Global Critical Damage Bonus % (Smokescreen Mastery Lv.113)</t>
        </is>
      </c>
      <c r="B1538">
        <f>IF(Inputs!$B$3&gt;=113,30,0)*IF(AND(Inputs!$B$39&lt;&gt;"pvp",Inputs!$B$44&gt;0),(((R1513-1)*(Skills!Y15*(1+Inputs!$B$34/100))+MIN((Skills!Y15*(1+Inputs!$B$34/100)),MAX(0,Inputs!$B$44-((R1513-1)*Skills!D15))))/Inputs!$B$44),IF(Inputs!$B$39="pvp",MIN((Skills!Y15*(1+Inputs!$B$34/100)),15)/15,(Skills!Y15*(1+Inputs!$B$34/100))/Skills!D15))</f>
        <v/>
      </c>
    </row>
    <row r="1539">
      <c r="A1539" t="inlineStr">
        <is>
          <t>Meso Explosion average stack count</t>
        </is>
      </c>
      <c r="B1539">
        <f>MIN(10,0.5*B1535*Skills!D4)</f>
        <v/>
      </c>
    </row>
    <row r="1540">
      <c r="A1540" t="inlineStr">
        <is>
          <t>Blood Money average stack count</t>
        </is>
      </c>
      <c r="B1540">
        <f>MIN(5,0.25*B1535*Skills!D4)</f>
        <v/>
      </c>
    </row>
    <row r="1541">
      <c r="A1541" t="inlineStr">
        <is>
          <t>Assassinate Murderous Intent Multiplier</t>
        </is>
      </c>
      <c r="B1541">
        <f>1+IFERROR(MIN(1,Q1512*2/Q1509),0)</f>
        <v/>
      </c>
    </row>
    <row r="1542">
      <c r="A1542" t="inlineStr">
        <is>
          <t>Buff-Casting Startup Delay (s, fixed-duration only)</t>
        </is>
      </c>
      <c r="B1542">
        <f>IF(AND(Inputs!$B$39&lt;&gt;"pvp",Inputs!$B$44&gt;0),SUMPRODUCT((Skills!Y2:Y30&gt;0)*(Skills!E2:E30=TRUE)*(C1500:C1528=TRUE))/B1535,0)</f>
        <v/>
      </c>
    </row>
    <row r="1543">
      <c r="A1543" s="5" t="inlineStr">
        <is>
          <t>TOTAL DPS</t>
        </is>
      </c>
      <c r="B1543" s="5">
        <f>SUM(O1500:O1528)</f>
        <v/>
      </c>
    </row>
    <row r="1544">
      <c r="A1544" t="inlineStr">
        <is>
          <t>Boss-Only Total DPS (this block's swept value)</t>
        </is>
      </c>
      <c r="B1544">
        <f>SUM(T1500:T1528)</f>
        <v/>
      </c>
    </row>
    <row r="1545">
      <c r="A1545" t="inlineStr">
        <is>
          <t>Normal-Only Total DPS (this block's swept value)</t>
        </is>
      </c>
      <c r="B1545">
        <f>SUM(V1500:V1528)</f>
        <v/>
      </c>
    </row>
    <row r="1548">
      <c r="A1548" s="5" t="inlineStr">
        <is>
          <t>Stat: CDR = 2.0s</t>
        </is>
      </c>
    </row>
    <row r="1549">
      <c r="A1549" s="9" t="inlineStr">
        <is>
          <t>Key</t>
        </is>
      </c>
      <c r="B1549" s="9" t="inlineStr">
        <is>
          <t>Name</t>
        </is>
      </c>
      <c r="C1549" s="9" t="inlineStr">
        <is>
          <t>Unlocked</t>
        </is>
      </c>
      <c r="D1549" s="9" t="inlineStr">
        <is>
          <t>InputLevel</t>
        </is>
      </c>
      <c r="E1549" s="9" t="inlineStr">
        <is>
          <t>Factor</t>
        </is>
      </c>
      <c r="F1549" s="9" t="inlineStr">
        <is>
          <t>CoefficientPercent</t>
        </is>
      </c>
      <c r="G1549" s="9" t="inlineStr">
        <is>
          <t>EffectiveHits</t>
        </is>
      </c>
      <c r="H1549" s="9" t="inlineStr">
        <is>
          <t>ProcProbability</t>
        </is>
      </c>
      <c r="I1549" s="9" t="inlineStr">
        <is>
          <t>MapleHeroMultiplier</t>
        </is>
      </c>
      <c r="J1549" s="9" t="inlineStr">
        <is>
          <t>BaseDamage</t>
        </is>
      </c>
      <c r="K1549" s="9" t="inlineStr">
        <is>
          <t>BaseHitDamage</t>
        </is>
      </c>
      <c r="L1549" s="9" t="inlineStr">
        <is>
          <t>NonCritAvg</t>
        </is>
      </c>
      <c r="M1549" s="9" t="inlineStr">
        <is>
          <t>CritAvg</t>
        </is>
      </c>
      <c r="N1549" s="9" t="inlineStr">
        <is>
          <t>ExpectedDamage(perHit)</t>
        </is>
      </c>
      <c r="O1549" s="9" t="inlineStr">
        <is>
          <t>DPS</t>
        </is>
      </c>
      <c r="P1549" s="9" t="inlineStr">
        <is>
          <t>% of Total</t>
        </is>
      </c>
      <c r="Q1549" s="9" t="inlineStr">
        <is>
          <t>InvCooldown</t>
        </is>
      </c>
      <c r="R1549" s="9" t="inlineStr">
        <is>
          <t>CastsInFight</t>
        </is>
      </c>
      <c r="S1549" s="9" t="inlineStr">
        <is>
          <t>HitRate(perSec)</t>
        </is>
      </c>
      <c r="U1549" t="inlineStr">
        <is>
          <t>helpers</t>
        </is>
      </c>
    </row>
    <row r="1550">
      <c r="A1550">
        <f>Skills!A2</f>
        <v/>
      </c>
      <c r="B1550">
        <f>Skills!B2</f>
        <v/>
      </c>
      <c r="C1550">
        <f>Inputs!$B$3&gt;=100</f>
        <v/>
      </c>
      <c r="D1550" t="inlineStr"/>
      <c r="E1550" t="inlineStr"/>
      <c r="F1550">
        <f>U1552+Skills!O2</f>
        <v/>
      </c>
      <c r="G1550">
        <f>Skills!G2*IF(Skills!H2&gt;0,Skills!I2/Skills!H2,1)</f>
        <v/>
      </c>
      <c r="H1550">
        <f>1-(1-Skills!J2/100)^Skills!K2</f>
        <v/>
      </c>
      <c r="I1550" t="inlineStr">
        <is>
          <t>1</t>
        </is>
      </c>
      <c r="J1550">
        <f>((Inputs!$B$6*(1+Inputs!$B$7/100))+(((Inputs!$B$12*(1+Inputs!$B$13/100))-(Inputs!$B$12*(1+Inputs!$B$13/100)))+0.25*(Inputs!$B$14-Inputs!$B$14))*(1+Inputs!$B$7/100))*(F1550/100)</f>
        <v/>
      </c>
      <c r="K1550">
        <f>J1550*(1+((Inputs!$B$12*(1+Inputs!$B$13/100))*0.01+Inputs!$B$14*0.0025)/100)*(1+Inputs!$B$15/100)*(1+Inputs!$B$16/100)*(5000/(6000+Inputs!$B$43*(1-Inputs!$B$19/100)))*(1+(Inputs!$B$24+((C1578=TRUE)*(F1578-Calc!F30)))/100)*(1+(IF(Skills!A2="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1550)</f>
        <v/>
      </c>
      <c r="L1550">
        <f>K1550*(MIN(Inputs!$B$22+((C1572=TRUE)*(F1572-Calc!F24)),Inputs!$B$23+((C1577=TRUE)*(F1577-Calc!F29)))/100+(Inputs!$B$23+((C1577=TRUE)*(F1577-Calc!F29)))/100)/2</f>
        <v/>
      </c>
      <c r="M1550">
        <f>L1550*(1+(Inputs!$B$10+((C1574=TRUE)*(F1574-Calc!F26))+B1588)/100)</f>
        <v/>
      </c>
      <c r="N1550">
        <f>L1550*(1-MIN((Inputs!$B$9+((C1573=TRUE)*(F1573-Calc!F25))+B1581),100)/100)+M1550*(MIN((Inputs!$B$9+((C1573=TRUE)*(F1573-Calc!F25))+B1581),100)/100)</f>
        <v/>
      </c>
      <c r="O1550">
        <f>(1-Summary!$B$55)*T1550+Summary!$B$55*V1550</f>
        <v/>
      </c>
      <c r="P1550">
        <f>IF(B1593=0,0,O1550/B1593)</f>
        <v/>
      </c>
      <c r="Q1550" t="n">
        <v>0</v>
      </c>
      <c r="R1550" t="n">
        <v>0</v>
      </c>
      <c r="S1550">
        <f>IFERROR(O1550/N1550,0)</f>
        <v/>
      </c>
      <c r="T1550">
        <f>IF(C1550,(Skills!G2*N1550*B1587)*IF(Inputs!$B$39="pvp",1,1+(Inputs!$B$20+0+Skills!P2+B1582)/100),0)</f>
        <v/>
      </c>
      <c r="U1550">
        <f>MAX(0,(Inputs!$B$3-100)*3)+Inputs!$B$28+Inputs!$B$29</f>
        <v/>
      </c>
      <c r="V1550">
        <f>IF(C1550,(Skills!G2*N1550*B1587)*IF(Inputs!$B$39="pvp",1,(1+(Inputs!$B$21+Skills!Q2+B1582)/100)*(MIN((6+Inputs!$B$33),Inputs!$B$37))),0)</f>
        <v/>
      </c>
    </row>
    <row r="1551">
      <c r="A1551">
        <f>Skills!A3</f>
        <v/>
      </c>
      <c r="B1551">
        <f>Skills!B3</f>
        <v/>
      </c>
      <c r="C1551">
        <f>Inputs!$B$3&gt;=35</f>
        <v/>
      </c>
      <c r="D1551">
        <f>IF(Skills!C3=1,60+Inputs!$B$25+Inputs!$B$29,IF(Skills!C3=2,90+Inputs!$B$26+Inputs!$B$29,IF(Skills!C3=3,120+Inputs!$B$27+Inputs!$B$29,MAX(0,(Inputs!$B$3-100)*3)+Inputs!$B$28+Inputs!$B$29)))</f>
        <v/>
      </c>
      <c r="E1551">
        <f>INDEX(FactorTable!$B$2:$Y$301, MATCH(ROUND(MIN(300,MAX(1,D1551)),0), FactorTable!$A$2:$A$301,0), Skills!M3+1)</f>
        <v/>
      </c>
      <c r="F1551">
        <f>IF(Skills!N3=TRUE,(Skills!L3/10)*(E1551/1000),Skills!L3/10)+Skills!O3</f>
        <v/>
      </c>
      <c r="G1551">
        <f>Skills!G3*IF(Skills!H3&gt;0,Skills!I3/Skills!H3,1)</f>
        <v/>
      </c>
      <c r="H1551">
        <f>1-(1-Skills!J3/100)^Skills!K3</f>
        <v/>
      </c>
      <c r="I1551" t="inlineStr">
        <is>
          <t>1</t>
        </is>
      </c>
      <c r="J1551" t="inlineStr"/>
      <c r="K1551" t="inlineStr"/>
      <c r="L1551" t="inlineStr"/>
      <c r="M1551" t="inlineStr"/>
      <c r="N1551" t="inlineStr"/>
      <c r="O1551">
        <f>(1-Summary!$B$55)*T1551+Summary!$B$55*V1551</f>
        <v/>
      </c>
      <c r="P1551">
        <f>IF(B1593=0,0,O1551/B1593)</f>
        <v/>
      </c>
      <c r="Q1551" t="n">
        <v>0</v>
      </c>
      <c r="R1551" t="n">
        <v>0</v>
      </c>
      <c r="S1551">
        <f>IFERROR(O1551/N1551,0)</f>
        <v/>
      </c>
      <c r="T1551" t="n">
        <v>0</v>
      </c>
      <c r="U1551">
        <f>INDEX(FactorTable!$B$2:$Y$301, MATCH(ROUND(MIN(300,MAX(1,U1550)),0), FactorTable!$A$2:$A$301,0), 22)</f>
        <v/>
      </c>
      <c r="V1551" t="n">
        <v>0</v>
      </c>
    </row>
    <row r="1552">
      <c r="A1552">
        <f>Skills!A4</f>
        <v/>
      </c>
      <c r="B1552">
        <f>Skills!B4</f>
        <v/>
      </c>
      <c r="C1552">
        <f>Inputs!$B$3&gt;=66</f>
        <v/>
      </c>
      <c r="D1552">
        <f>IF(Skills!C4=1,60+Inputs!$B$25+Inputs!$B$29,IF(Skills!C4=2,90+Inputs!$B$26+Inputs!$B$29,IF(Skills!C4=3,120+Inputs!$B$27+Inputs!$B$29,MAX(0,(Inputs!$B$3-100)*3)+Inputs!$B$28+Inputs!$B$29)))</f>
        <v/>
      </c>
      <c r="E1552">
        <f>INDEX(FactorTable!$B$2:$Y$301, MATCH(ROUND(MIN(300,MAX(1,D1552)),0), FactorTable!$A$2:$A$301,0), Skills!M4+1)</f>
        <v/>
      </c>
      <c r="F1552">
        <f>IF(Skills!N4=TRUE,(Skills!L4/10)*(E1552/1000),Skills!L4/10)+Skills!O4</f>
        <v/>
      </c>
      <c r="G1552">
        <f>Skills!G4*IF(Skills!H4&gt;0,Skills!I4/Skills!H4,1)</f>
        <v/>
      </c>
      <c r="H1552">
        <f>1-(1-Skills!J4/100)^Skills!K4</f>
        <v/>
      </c>
      <c r="I1552" t="inlineStr">
        <is>
          <t>1</t>
        </is>
      </c>
      <c r="J1552">
        <f>((Inputs!$B$6*(1+Inputs!$B$7/100))+(((Inputs!$B$12*(1+Inputs!$B$13/100))-(Inputs!$B$12*(1+Inputs!$B$13/100)))+0.25*(Inputs!$B$14-Inputs!$B$14))*(1+Inputs!$B$7/100))*(F1552/100)</f>
        <v/>
      </c>
      <c r="K1552">
        <f>J1552*(1+((Inputs!$B$12*(1+Inputs!$B$13/100))*0.01+Inputs!$B$14*0.0025)/100)*(1+Inputs!$B$15/100)*(1+Inputs!$B$16/100)*(5000/(6000+Inputs!$B$43*(1-Inputs!$B$19/100)))*(1+(Inputs!$B$24+((C1578=TRUE)*(F1578-Calc!F30)))/100)*(1+(IF(Skills!A4="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1552)</f>
        <v/>
      </c>
      <c r="L1552">
        <f>K1552*(MIN(Inputs!$B$22+((C1572=TRUE)*(F1572-Calc!F24)),Inputs!$B$23+((C1577=TRUE)*(F1577-Calc!F29)))/100+(Inputs!$B$23+((C1577=TRUE)*(F1577-Calc!F29)))/100)/2</f>
        <v/>
      </c>
      <c r="M1552">
        <f>L1552*(1+(Inputs!$B$10+((C1574=TRUE)*(F1574-Calc!F26))+B1588)/100)</f>
        <v/>
      </c>
      <c r="N1552">
        <f>L1552*(1-MIN((Inputs!$B$9+((C1573=TRUE)*(F1573-Calc!F25))+B1581),100)/100)+M1552*(MIN((Inputs!$B$9+((C1573=TRUE)*(F1573-Calc!F25))+B1581),100)/100)</f>
        <v/>
      </c>
      <c r="O1552">
        <f>(1-Summary!$B$55)*T1552+Summary!$B$55*V1552</f>
        <v/>
      </c>
      <c r="P1552">
        <f>IF(B1593=0,0,O1552/B1593)</f>
        <v/>
      </c>
      <c r="Q1552">
        <f>IFERROR(1/IF(Inputs!$B$39="pvp",15,MAX(0.1,Skills!D4-IF(Skills!E4=TRUE,2.0,0))),0)</f>
        <v/>
      </c>
      <c r="R1552">
        <f>IF(AND(Inputs!$B$39&lt;&gt;"pvp",Inputs!$B$44&gt;0),IF(MAX(0,Inputs!$B$44-B1592)&lt;=0,0,(INT(MAX(0,Inputs!$B$44-B1592)/IF(Inputs!$B$39="pvp",15,MAX(0.1,Skills!D4-IF(Skills!E4=TRUE,2.0,0))))+1)),0)</f>
        <v/>
      </c>
      <c r="S1552">
        <f>IFERROR(O1552/N1552,0)</f>
        <v/>
      </c>
      <c r="T1552">
        <f>IF(C1552,(H1552*N1552*IF(AND(Inputs!$B$39&lt;&gt;"pvp",Inputs!$B$44&gt;0),((Skills!G4*((R1552-1)*IF(Skills!H4&gt;0,Skills!I4/Skills!H4,1)+IF(Skills!H4&gt;0,MIN(Skills!I4,MAX(0,MAX(0,Inputs!$B$44-B1592)-((R1552-1)*IF(Inputs!$B$39="pvp",15,MAX(0.1,Skills!D4-IF(Skills!E4=TRUE,2.0,0))))))/Skills!H4,1)))/Inputs!$B$44),G1552*Q1552))*IF(Inputs!$B$39="pvp",1,1+(Inputs!$B$20+0+Skills!P4+B1582)/100),0)</f>
        <v/>
      </c>
      <c r="U1552">
        <f>290*U1551/1000</f>
        <v/>
      </c>
      <c r="V1552">
        <f>IF(C1552,(H1552*N1552*IF(AND(Inputs!$B$39&lt;&gt;"pvp",Inputs!$B$44&gt;0),((Skills!G4*((R1552-1)*IF(Skills!H4&gt;0,Skills!I4/Skills!H4,1)+IF(Skills!H4&gt;0,MIN(Skills!I4,MAX(0,MAX(0,Inputs!$B$44-B1592)-((R1552-1)*IF(Inputs!$B$39="pvp",15,MAX(0.1,Skills!D4-IF(Skills!E4=TRUE,2.0,0))))))/Skills!H4,1)))/Inputs!$B$44),G1552*Q1552))*IF(Inputs!$B$39="pvp",1,(1+(Inputs!$B$21+Skills!Q4+B1582)/100)*(MIN(MIN(10,0.5*B1585*Skills!D4),Inputs!$B$37))),0)</f>
        <v/>
      </c>
    </row>
    <row r="1553">
      <c r="A1553">
        <f>Skills!A5</f>
        <v/>
      </c>
      <c r="B1553">
        <f>Skills!B5</f>
        <v/>
      </c>
      <c r="C1553">
        <f>Inputs!$B$3&gt;=63</f>
        <v/>
      </c>
      <c r="D1553">
        <f>IF(Skills!C5=1,60+Inputs!$B$25+Inputs!$B$29,IF(Skills!C5=2,90+Inputs!$B$26+Inputs!$B$29,IF(Skills!C5=3,120+Inputs!$B$27+Inputs!$B$29,MAX(0,(Inputs!$B$3-100)*3)+Inputs!$B$28+Inputs!$B$29)))</f>
        <v/>
      </c>
      <c r="E1553">
        <f>INDEX(FactorTable!$B$2:$Y$301, MATCH(ROUND(MIN(300,MAX(1,D1553)),0), FactorTable!$A$2:$A$301,0), Skills!M5+1)</f>
        <v/>
      </c>
      <c r="F1553">
        <f>IF(Skills!N5=TRUE,(Skills!L5/10)*(E1553/1000),Skills!L5/10)+Skills!O5</f>
        <v/>
      </c>
      <c r="G1553">
        <f>Skills!G5*IF(Skills!H5&gt;0,Skills!I5/Skills!H5,1)</f>
        <v/>
      </c>
      <c r="H1553">
        <f>1-(1-Skills!J5/100)^Skills!K5</f>
        <v/>
      </c>
      <c r="I1553" t="inlineStr">
        <is>
          <t>1</t>
        </is>
      </c>
      <c r="J1553">
        <f>((Inputs!$B$6*(1+Inputs!$B$7/100))+(((Inputs!$B$12*(1+Inputs!$B$13/100))-(Inputs!$B$12*(1+Inputs!$B$13/100)))+0.25*(Inputs!$B$14-Inputs!$B$14))*(1+Inputs!$B$7/100))*(F1553/100)</f>
        <v/>
      </c>
      <c r="K1553">
        <f>J1553*(1+((Inputs!$B$12*(1+Inputs!$B$13/100))*0.01+Inputs!$B$14*0.0025)/100)*(1+Inputs!$B$15/100)*(1+Inputs!$B$16/100)*(5000/(6000+Inputs!$B$43*(1-Inputs!$B$19/100)))*(1+(Inputs!$B$24+((C1578=TRUE)*(F1578-Calc!F30)))/100)*(1+2.6666666666666665*IF(C1566=TRUE,F1566,0)/100)*(1+(IF(Skills!A5="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1553)</f>
        <v/>
      </c>
      <c r="L1553">
        <f>K1553*(MIN(Inputs!$B$22+((C1572=TRUE)*(F1572-Calc!F24)),Inputs!$B$23+((C1577=TRUE)*(F1577-Calc!F29)))/100+(Inputs!$B$23+((C1577=TRUE)*(F1577-Calc!F29)))/100)/2</f>
        <v/>
      </c>
      <c r="M1553">
        <f>L1553*(1+(Inputs!$B$10+((C1574=TRUE)*(F1574-Calc!F26))+B1588)/100)</f>
        <v/>
      </c>
      <c r="N1553">
        <f>L1553*(1-MIN((Inputs!$B$9+((C1573=TRUE)*(F1573-Calc!F25))+B1581),100)/100)+M1553*(MIN((Inputs!$B$9+((C1573=TRUE)*(F1573-Calc!F25))+B1581),100)/100)</f>
        <v/>
      </c>
      <c r="O1553">
        <f>(1-Summary!$B$55)*T1553+Summary!$B$55*V1553</f>
        <v/>
      </c>
      <c r="P1553">
        <f>IF(B1593=0,0,O1553/B1593)</f>
        <v/>
      </c>
      <c r="Q1553">
        <f>IFERROR(1/IF(Inputs!$B$39="pvp",15,MAX(0.1,Skills!D5-IF(Skills!E5=TRUE,2.0,0))),0)</f>
        <v/>
      </c>
      <c r="R1553">
        <f>IF(AND(Inputs!$B$39&lt;&gt;"pvp",Inputs!$B$44&gt;0),IF(MAX(0,Inputs!$B$44-B1592)&lt;=0,0,(INT(MAX(0,Inputs!$B$44-B1592)/IF(Inputs!$B$39="pvp",15,MAX(0.1,Skills!D5-IF(Skills!E5=TRUE,2.0,0))))+1)),0)</f>
        <v/>
      </c>
      <c r="S1553">
        <f>IFERROR(O1553/N1553,0)</f>
        <v/>
      </c>
      <c r="T1553">
        <f>IF(C1553,(H1553*N1553*IF(AND(Inputs!$B$39&lt;&gt;"pvp",Inputs!$B$44&gt;0),((Skills!G5*((R1553-1)*IF(Skills!H5&gt;0,Skills!I5/Skills!H5,1)+IF(Skills!H5&gt;0,MIN(Skills!I5,MAX(0,MAX(0,Inputs!$B$44-B1592)-((R1553-1)*IF(Inputs!$B$39="pvp",15,MAX(0.1,Skills!D5-IF(Skills!E5=TRUE,2.0,0))))))/Skills!H5,1)))/Inputs!$B$44),G1553*Q1553))*IF(Inputs!$B$39="pvp",1,1+(Inputs!$B$20+0+Skills!P5+B1582)/100),0)</f>
        <v/>
      </c>
      <c r="V1553">
        <f>IF(C1553,(H1553*N1553*IF(AND(Inputs!$B$39&lt;&gt;"pvp",Inputs!$B$44&gt;0),((Skills!G5*((R1553-1)*IF(Skills!H5&gt;0,Skills!I5/Skills!H5,1)+IF(Skills!H5&gt;0,MIN(Skills!I5,MAX(0,MAX(0,Inputs!$B$44-B1592)-((R1553-1)*IF(Inputs!$B$39="pvp",15,MAX(0.1,Skills!D5-IF(Skills!E5=TRUE,2.0,0))))))/Skills!H5,1)))/Inputs!$B$44),G1553*Q1553))*IF(Inputs!$B$39="pvp",1,(1+(Inputs!$B$21+Skills!Q5+B1582)/100)*(MIN(Skills!W5,Inputs!$B$37))),0)</f>
        <v/>
      </c>
    </row>
    <row r="1554">
      <c r="A1554">
        <f>Skills!A6</f>
        <v/>
      </c>
      <c r="B1554">
        <f>Skills!B6</f>
        <v/>
      </c>
      <c r="C1554">
        <f>Inputs!$B$3&gt;=69</f>
        <v/>
      </c>
      <c r="D1554">
        <f>IF(Skills!C6=1,60+Inputs!$B$25+Inputs!$B$29,IF(Skills!C6=2,90+Inputs!$B$26+Inputs!$B$29,IF(Skills!C6=3,120+Inputs!$B$27+Inputs!$B$29,MAX(0,(Inputs!$B$3-100)*3)+Inputs!$B$28+Inputs!$B$29)))</f>
        <v/>
      </c>
      <c r="E1554">
        <f>INDEX(FactorTable!$B$2:$Y$301, MATCH(ROUND(MIN(300,MAX(1,D1554)),0), FactorTable!$A$2:$A$301,0), Skills!M6+1)</f>
        <v/>
      </c>
      <c r="F1554">
        <f>IF(Skills!N6=TRUE,(Skills!L6/10)*(E1554/1000),Skills!L6/10)+Skills!O6</f>
        <v/>
      </c>
      <c r="G1554">
        <f>Skills!G6*IF(Skills!H6&gt;0,Skills!I6/Skills!H6,1)</f>
        <v/>
      </c>
      <c r="H1554">
        <f>1-(1-Skills!J6/100)^Skills!K6</f>
        <v/>
      </c>
      <c r="I1554" t="inlineStr">
        <is>
          <t>1</t>
        </is>
      </c>
      <c r="J1554">
        <f>((Inputs!$B$6*(1+Inputs!$B$7/100))+(((Inputs!$B$12*(1+Inputs!$B$13/100))-(Inputs!$B$12*(1+Inputs!$B$13/100)))+0.25*(Inputs!$B$14-Inputs!$B$14))*(1+Inputs!$B$7/100))*(F1554/100)</f>
        <v/>
      </c>
      <c r="K1554">
        <f>J1554*(1+((Inputs!$B$12*(1+Inputs!$B$13/100))*0.01+Inputs!$B$14*0.0025)/100)*(1+Inputs!$B$15/100)*(1+Inputs!$B$16/100)*(5000/(6000+Inputs!$B$43*(1-Inputs!$B$19/100)))*(1+(Inputs!$B$24+((C1578=TRUE)*(F1578-Calc!F30)))/100)*(1+1.0*IF(C1566=TRUE,F1566,0)/100)*(1+(IF(Skills!A6="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1554)</f>
        <v/>
      </c>
      <c r="L1554">
        <f>K1554*(MIN(Inputs!$B$22+((C1572=TRUE)*(F1572-Calc!F24)),Inputs!$B$23+((C1577=TRUE)*(F1577-Calc!F29)))/100+(Inputs!$B$23+((C1577=TRUE)*(F1577-Calc!F29)))/100)/2</f>
        <v/>
      </c>
      <c r="M1554">
        <f>L1554*(1+(Inputs!$B$10+((C1574=TRUE)*(F1574-Calc!F26))+B1588)/100)</f>
        <v/>
      </c>
      <c r="N1554">
        <f>L1554*(1-MIN((Inputs!$B$9+((C1573=TRUE)*(F1573-Calc!F25))+B1581),100)/100)+M1554*(MIN((Inputs!$B$9+((C1573=TRUE)*(F1573-Calc!F25))+B1581),100)/100)</f>
        <v/>
      </c>
      <c r="O1554">
        <f>(1-Summary!$B$55)*T1554+Summary!$B$55*V1554</f>
        <v/>
      </c>
      <c r="P1554">
        <f>IF(B1593=0,0,O1554/B1593)</f>
        <v/>
      </c>
      <c r="Q1554">
        <f>IFERROR(1/IF(Inputs!$B$39="pvp",15,MAX(0.1,Skills!D6-IF(Skills!E6=TRUE,2.0,0))),0)</f>
        <v/>
      </c>
      <c r="R1554">
        <f>IF(AND(Inputs!$B$39&lt;&gt;"pvp",Inputs!$B$44&gt;0),IF(MAX(0,Inputs!$B$44-B1592)&lt;=0,0,(INT(MAX(0,Inputs!$B$44-B1592)/IF(Inputs!$B$39="pvp",15,MAX(0.1,Skills!D6-IF(Skills!E6=TRUE,2.0,0))))+1)),0)</f>
        <v/>
      </c>
      <c r="S1554">
        <f>IFERROR(O1554/N1554,0)</f>
        <v/>
      </c>
      <c r="T1554">
        <f>IF(C1554,(H1554*N1554*IF(AND(Inputs!$B$39&lt;&gt;"pvp",Inputs!$B$44&gt;0),((Skills!G6*((R1554-1)*IF(Skills!H6&gt;0,Skills!I6/Skills!H6,1)+IF(Skills!H6&gt;0,MIN(Skills!I6,MAX(0,MAX(0,Inputs!$B$44-B1592)-((R1554-1)*IF(Inputs!$B$39="pvp",15,MAX(0.1,Skills!D6-IF(Skills!E6=TRUE,2.0,0))))))/Skills!H6,1)))/Inputs!$B$44),G1554*Q1554))*IF(Inputs!$B$39="pvp",1,1+(Inputs!$B$20+0+Skills!P6+B1582)/100),0)</f>
        <v/>
      </c>
      <c r="V1554">
        <f>IF(C1554,(H1554*N1554*IF(AND(Inputs!$B$39&lt;&gt;"pvp",Inputs!$B$44&gt;0),((Skills!G6*((R1554-1)*IF(Skills!H6&gt;0,Skills!I6/Skills!H6,1)+IF(Skills!H6&gt;0,MIN(Skills!I6,MAX(0,MAX(0,Inputs!$B$44-B1592)-((R1554-1)*IF(Inputs!$B$39="pvp",15,MAX(0.1,Skills!D6-IF(Skills!E6=TRUE,2.0,0))))))/Skills!H6,1)))/Inputs!$B$44),G1554*Q1554))*IF(Inputs!$B$39="pvp",1,(1+(Inputs!$B$21+Skills!Q6+B1582)/100)*(MIN(Skills!W6,Inputs!$B$37))),0)</f>
        <v/>
      </c>
    </row>
    <row r="1555">
      <c r="A1555">
        <f>Skills!A7</f>
        <v/>
      </c>
      <c r="B1555">
        <f>Skills!B7</f>
        <v/>
      </c>
      <c r="C1555">
        <f>Inputs!$B$3&gt;=60</f>
        <v/>
      </c>
      <c r="D1555">
        <f>IF(Skills!C7=1,60+Inputs!$B$25+Inputs!$B$29,IF(Skills!C7=2,90+Inputs!$B$26+Inputs!$B$29,IF(Skills!C7=3,120+Inputs!$B$27+Inputs!$B$29,MAX(0,(Inputs!$B$3-100)*3)+Inputs!$B$28+Inputs!$B$29)))</f>
        <v/>
      </c>
      <c r="E1555">
        <f>INDEX(FactorTable!$B$2:$Y$301, MATCH(ROUND(MIN(300,MAX(1,D1555)),0), FactorTable!$A$2:$A$301,0), Skills!M7+1)</f>
        <v/>
      </c>
      <c r="F1555">
        <f>IF(Skills!N7=TRUE,(Skills!L7/10)*(E1555/1000),Skills!L7/10)+Skills!O7</f>
        <v/>
      </c>
      <c r="G1555">
        <f>Skills!G7*IF(Skills!H7&gt;0,Skills!I7/Skills!H7,1)</f>
        <v/>
      </c>
      <c r="H1555">
        <f>1-(1-Skills!J7/100)^Skills!K7</f>
        <v/>
      </c>
      <c r="I1555" t="inlineStr">
        <is>
          <t>1</t>
        </is>
      </c>
      <c r="J1555" t="inlineStr"/>
      <c r="K1555" t="inlineStr"/>
      <c r="L1555" t="inlineStr"/>
      <c r="M1555" t="inlineStr"/>
      <c r="N1555" t="inlineStr"/>
      <c r="O1555">
        <f>(1-Summary!$B$55)*T1555+Summary!$B$55*V1555</f>
        <v/>
      </c>
      <c r="P1555">
        <f>IF(B1593=0,0,O1555/B1593)</f>
        <v/>
      </c>
      <c r="Q1555" t="n">
        <v>0</v>
      </c>
      <c r="R1555" t="n">
        <v>0</v>
      </c>
      <c r="S1555">
        <f>IFERROR(O1555/N1555,0)</f>
        <v/>
      </c>
      <c r="T1555" t="n">
        <v>0</v>
      </c>
      <c r="V1555" t="n">
        <v>0</v>
      </c>
    </row>
    <row r="1556">
      <c r="A1556">
        <f>Skills!A8</f>
        <v/>
      </c>
      <c r="B1556">
        <f>Skills!B8</f>
        <v/>
      </c>
      <c r="C1556">
        <f>Inputs!$B$3&gt;=72</f>
        <v/>
      </c>
      <c r="D1556">
        <f>IF(Skills!C8=1,60+Inputs!$B$25+Inputs!$B$29,IF(Skills!C8=2,90+Inputs!$B$26+Inputs!$B$29,IF(Skills!C8=3,120+Inputs!$B$27+Inputs!$B$29,MAX(0,(Inputs!$B$3-100)*3)+Inputs!$B$28+Inputs!$B$29)))</f>
        <v/>
      </c>
      <c r="E1556">
        <f>INDEX(FactorTable!$B$2:$Y$301, MATCH(ROUND(MIN(300,MAX(1,D1556)),0), FactorTable!$A$2:$A$301,0), Skills!M8+1)</f>
        <v/>
      </c>
      <c r="F1556">
        <f>IF(Skills!N8=TRUE,(Skills!L8/10)*(E1556/1000),Skills!L8/10)+Skills!O8</f>
        <v/>
      </c>
      <c r="G1556">
        <f>Skills!G8*IF(Skills!H8&gt;0,Skills!I8/Skills!H8,1)</f>
        <v/>
      </c>
      <c r="H1556">
        <f>1-(1-Skills!J8/100)^Skills!K8</f>
        <v/>
      </c>
      <c r="I1556" t="inlineStr">
        <is>
          <t>1</t>
        </is>
      </c>
      <c r="J1556">
        <f>((Inputs!$B$6*(1+Inputs!$B$7/100))+(((Inputs!$B$12*(1+Inputs!$B$13/100))-(Inputs!$B$12*(1+Inputs!$B$13/100)))+0.25*(Inputs!$B$14-Inputs!$B$14))*(1+Inputs!$B$7/100))*(F1556/100)</f>
        <v/>
      </c>
      <c r="K1556">
        <f>J1556*(1+((Inputs!$B$12*(1+Inputs!$B$13/100))*0.01+Inputs!$B$14*0.0025)/100)*(1+Inputs!$B$15/100)*(1+Inputs!$B$16/100)*(5000/(6000+Inputs!$B$43*(1-Inputs!$B$19/100)))*(1+(Inputs!$B$24+((C1578=TRUE)*(F1578-Calc!F30)))/100)*(1+3.3333333333333335*IF(C1566=TRUE,F1566,0)/100)*(1+(IF(Skills!A8="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1556)</f>
        <v/>
      </c>
      <c r="L1556">
        <f>K1556*(MIN(Inputs!$B$22+((C1572=TRUE)*(F1572-Calc!F24)),Inputs!$B$23+((C1577=TRUE)*(F1577-Calc!F29)))/100+(Inputs!$B$23+((C1577=TRUE)*(F1577-Calc!F29)))/100)/2</f>
        <v/>
      </c>
      <c r="M1556">
        <f>L1556*(1+(Inputs!$B$10+((C1574=TRUE)*(F1574-Calc!F26))+B1588)/100)</f>
        <v/>
      </c>
      <c r="N1556">
        <f>L1556*(1-MIN((Inputs!$B$9+((C1573=TRUE)*(F1573-Calc!F25))+B1581),100)/100)+M1556*(MIN((Inputs!$B$9+((C1573=TRUE)*(F1573-Calc!F25))+B1581),100)/100)</f>
        <v/>
      </c>
      <c r="O1556">
        <f>(1-Summary!$B$55)*T1556+Summary!$B$55*V1556</f>
        <v/>
      </c>
      <c r="P1556">
        <f>IF(B1593=0,0,O1556/B1593)</f>
        <v/>
      </c>
      <c r="Q1556">
        <f>IFERROR(1/IF(Inputs!$B$39="pvp",15,MAX(0.1,Skills!D8-IF(Skills!E8=TRUE,2.0,0))),0)</f>
        <v/>
      </c>
      <c r="R1556">
        <f>IF(AND(Inputs!$B$39&lt;&gt;"pvp",Inputs!$B$44&gt;0),IF(MAX(0,Inputs!$B$44-B1592)&lt;=0,0,(INT(MAX(0,Inputs!$B$44-B1592)/IF(Inputs!$B$39="pvp",15,MAX(0.1,Skills!D8-IF(Skills!E8=TRUE,2.0,0))))+1)),0)</f>
        <v/>
      </c>
      <c r="S1556">
        <f>IFERROR(O1556/N1556,0)</f>
        <v/>
      </c>
      <c r="T1556">
        <f>IF(C1556,(H1556*N1556*IF(AND(Inputs!$B$39&lt;&gt;"pvp",Inputs!$B$44&gt;0),((Skills!G8*((R1556-1)*IF(Skills!H8&gt;0,Skills!I8/Skills!H8,1)+IF(Skills!H8&gt;0,MIN(Skills!I8,MAX(0,MAX(0,Inputs!$B$44-B1592)-((R1556-1)*IF(Inputs!$B$39="pvp",15,MAX(0.1,Skills!D8-IF(Skills!E8=TRUE,2.0,0))))))/Skills!H8,1)))/Inputs!$B$44),G1556*Q1556))*IF(Inputs!$B$39="pvp",1,1+(Inputs!$B$20+0+Skills!P8+B1582)/100),0)</f>
        <v/>
      </c>
      <c r="V1556">
        <f>IF(C1556,(H1556*N1556*IF(AND(Inputs!$B$39&lt;&gt;"pvp",Inputs!$B$44&gt;0),((Skills!G8*((R1556-1)*IF(Skills!H8&gt;0,Skills!I8/Skills!H8,1)+IF(Skills!H8&gt;0,MIN(Skills!I8,MAX(0,MAX(0,Inputs!$B$44-B1592)-((R1556-1)*IF(Inputs!$B$39="pvp",15,MAX(0.1,Skills!D8-IF(Skills!E8=TRUE,2.0,0))))))/Skills!H8,1)))/Inputs!$B$44),G1556*Q1556))*IF(Inputs!$B$39="pvp",1,(1+(Inputs!$B$21+Skills!Q8+B1582)/100)*(MIN(Skills!W8,Inputs!$B$37))),0)</f>
        <v/>
      </c>
    </row>
    <row r="1557">
      <c r="A1557">
        <f>Skills!A9</f>
        <v/>
      </c>
      <c r="B1557">
        <f>Skills!B9</f>
        <v/>
      </c>
      <c r="C1557">
        <f>Inputs!$B$3&gt;=117</f>
        <v/>
      </c>
      <c r="D1557">
        <f>IF(Skills!C9=1,60+Inputs!$B$25+Inputs!$B$29,IF(Skills!C9=2,90+Inputs!$B$26+Inputs!$B$29,IF(Skills!C9=3,120+Inputs!$B$27+Inputs!$B$29,MAX(0,(Inputs!$B$3-100)*3)+Inputs!$B$28+Inputs!$B$29)))</f>
        <v/>
      </c>
      <c r="E1557">
        <f>INDEX(FactorTable!$B$2:$Y$301, MATCH(ROUND(MIN(300,MAX(1,D1557)),0), FactorTable!$A$2:$A$301,0), Skills!M9+1)</f>
        <v/>
      </c>
      <c r="F1557">
        <f>IF(Skills!N9=TRUE,(Skills!L9/10)*(E1557/1000),Skills!L9/10)+Skills!O9</f>
        <v/>
      </c>
      <c r="G1557">
        <f>Skills!G9*IF(Skills!H9&gt;0,Skills!I9/Skills!H9,1)</f>
        <v/>
      </c>
      <c r="H1557">
        <f>1-(1-Skills!J9/100)^Skills!K9</f>
        <v/>
      </c>
      <c r="I1557" t="inlineStr">
        <is>
          <t>1</t>
        </is>
      </c>
      <c r="J1557">
        <f>((Inputs!$B$6*(1+Inputs!$B$7/100))+(((Inputs!$B$12*(1+Inputs!$B$13/100))-(Inputs!$B$12*(1+Inputs!$B$13/100)))+0.25*(Inputs!$B$14-Inputs!$B$14))*(1+Inputs!$B$7/100))*(F1557/100)</f>
        <v/>
      </c>
      <c r="K1557">
        <f>J1557*(1+((Inputs!$B$12*(1+Inputs!$B$13/100))*0.01+Inputs!$B$14*0.0025)/100)*(1+Inputs!$B$15/100)*(1+Inputs!$B$16/100)*(5000/(6000+Inputs!$B$43*(1-Inputs!$B$19/100)))*(1+(Inputs!$B$24+((C1578=TRUE)*(F1578-Calc!F30)))/100)*(1+(IF(Skills!A9="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1557)</f>
        <v/>
      </c>
      <c r="L1557">
        <f>K1557*(MIN(Inputs!$B$22+((C1572=TRUE)*(F1572-Calc!F24)),Inputs!$B$23+((C1577=TRUE)*(F1577-Calc!F29)))/100+(Inputs!$B$23+((C1577=TRUE)*(F1577-Calc!F29)))/100)/2</f>
        <v/>
      </c>
      <c r="M1557">
        <f>L1557*(1+(Inputs!$B$10+((C1574=TRUE)*(F1574-Calc!F26))+B1588)/100)</f>
        <v/>
      </c>
      <c r="N1557">
        <f>L1557*(1-MIN((Inputs!$B$9+((C1573=TRUE)*(F1573-Calc!F25))+B1581),100)/100)+M1557*(MIN((Inputs!$B$9+((C1573=TRUE)*(F1573-Calc!F25))+B1581),100)/100)</f>
        <v/>
      </c>
      <c r="O1557">
        <f>(1-Summary!$B$55)*T1557+Summary!$B$55*V1557</f>
        <v/>
      </c>
      <c r="P1557">
        <f>IF(B1593=0,0,O1557/B1593)</f>
        <v/>
      </c>
      <c r="Q1557" t="n">
        <v>0</v>
      </c>
      <c r="R1557" t="n">
        <v>0</v>
      </c>
      <c r="S1557" t="n">
        <v>0</v>
      </c>
      <c r="T1557">
        <f>IF(C1557,(0.2*SUMPRODUCT((Skills!Z2:Z30=TRUE)*(C1550:C1578=TRUE)*S1550:S1578)*N1557)*IF(Inputs!$B$39="pvp",1,1+(Inputs!$B$20+0+Skills!P9+B1582)/100),0)</f>
        <v/>
      </c>
      <c r="V1557">
        <f>IF(C1557,(0.2*SUMPRODUCT((Skills!Z2:Z30=TRUE)*(C1550:C1578=TRUE)*S1550:S1578)*N1557)*IF(Inputs!$B$39="pvp",1,(1+(Inputs!$B$21+Skills!Q9+B1582)/100)*(MIN(Skills!W9,Inputs!$B$37))),0)</f>
        <v/>
      </c>
    </row>
    <row r="1558">
      <c r="A1558">
        <f>Skills!A10</f>
        <v/>
      </c>
      <c r="B1558">
        <f>Skills!B10</f>
        <v/>
      </c>
      <c r="C1558">
        <f>Inputs!$B$3&gt;=74</f>
        <v/>
      </c>
      <c r="D1558">
        <f>IF(Skills!C10=1,60+Inputs!$B$25+Inputs!$B$29,IF(Skills!C10=2,90+Inputs!$B$26+Inputs!$B$29,IF(Skills!C10=3,120+Inputs!$B$27+Inputs!$B$29,MAX(0,(Inputs!$B$3-100)*3)+Inputs!$B$28+Inputs!$B$29)))</f>
        <v/>
      </c>
      <c r="E1558">
        <f>INDEX(FactorTable!$B$2:$Y$301, MATCH(ROUND(MIN(300,MAX(1,D1558)),0), FactorTable!$A$2:$A$301,0), Skills!M10+1)</f>
        <v/>
      </c>
      <c r="F1558">
        <f>IF(Skills!N10=TRUE,(Skills!L10/10)*(E1558/1000),Skills!L10/10)+Skills!O10</f>
        <v/>
      </c>
      <c r="G1558">
        <f>Skills!G10*IF(Skills!H10&gt;0,Skills!I10/Skills!H10,1)</f>
        <v/>
      </c>
      <c r="H1558">
        <f>1-(1-Skills!J10/100)^Skills!K10</f>
        <v/>
      </c>
      <c r="I1558" t="inlineStr">
        <is>
          <t>1</t>
        </is>
      </c>
      <c r="J1558" t="inlineStr"/>
      <c r="K1558" t="inlineStr"/>
      <c r="L1558" t="inlineStr"/>
      <c r="M1558" t="inlineStr"/>
      <c r="N1558" t="inlineStr"/>
      <c r="O1558">
        <f>(1-Summary!$B$55)*T1558+Summary!$B$55*V1558</f>
        <v/>
      </c>
      <c r="P1558">
        <f>IF(B1593=0,0,O1558/B1593)</f>
        <v/>
      </c>
      <c r="Q1558">
        <f>IFERROR(1/IF(Inputs!$B$39="pvp",15,MAX(0.1,Skills!D10-IF(Skills!E10=TRUE,2.0,0))),0)</f>
        <v/>
      </c>
      <c r="R1558">
        <f>IF(AND(Inputs!$B$39&lt;&gt;"pvp",Inputs!$B$44&gt;0),IF(Inputs!$B$44&lt;=0,0,(INT(Inputs!$B$44/IF(Inputs!$B$39="pvp",15,MAX(0.1,Skills!D10-IF(Skills!E10=TRUE,2.0,0))))+1)),0)</f>
        <v/>
      </c>
      <c r="S1558">
        <f>IFERROR(O1558/N1558,0)</f>
        <v/>
      </c>
      <c r="T1558" t="n">
        <v>0</v>
      </c>
      <c r="V1558" t="n">
        <v>0</v>
      </c>
    </row>
    <row r="1559">
      <c r="A1559">
        <f>Skills!A11</f>
        <v/>
      </c>
      <c r="B1559">
        <f>Skills!B11</f>
        <v/>
      </c>
      <c r="C1559">
        <f>Inputs!$B$3&gt;=103</f>
        <v/>
      </c>
      <c r="D1559">
        <f>IF(Skills!C11=1,60+Inputs!$B$25+Inputs!$B$29,IF(Skills!C11=2,90+Inputs!$B$26+Inputs!$B$29,IF(Skills!C11=3,120+Inputs!$B$27+Inputs!$B$29,MAX(0,(Inputs!$B$3-100)*3)+Inputs!$B$28+Inputs!$B$29)))</f>
        <v/>
      </c>
      <c r="E1559">
        <f>INDEX(FactorTable!$B$2:$Y$301, MATCH(ROUND(MIN(300,MAX(1,D1559)),0), FactorTable!$A$2:$A$301,0), Skills!M11+1)</f>
        <v/>
      </c>
      <c r="F1559">
        <f>(Skills!L11/10)*(E1559/1000)+IF(Inputs!$B$3&gt;=134,50,0)+0.5*(30000/10)*(INDEX(FactorTable!$B$2:$Y$301, MATCH(ROUND(MIN(300,MAX(1,D1559)),0), FactorTable!$A$2:$A$301,0), 13)/1000)*B1591</f>
        <v/>
      </c>
      <c r="G1559">
        <f>Skills!G11*IF(Skills!H11&gt;0,Skills!I11/Skills!H11,1)</f>
        <v/>
      </c>
      <c r="H1559">
        <f>1-(1-Skills!J11/100)^Skills!K11</f>
        <v/>
      </c>
      <c r="I1559" t="inlineStr">
        <is>
          <t>1</t>
        </is>
      </c>
      <c r="J1559">
        <f>((Inputs!$B$6*(1+Inputs!$B$7/100))+(((Inputs!$B$12*(1+Inputs!$B$13/100))-(Inputs!$B$12*(1+Inputs!$B$13/100)))+0.25*(Inputs!$B$14-Inputs!$B$14))*(1+Inputs!$B$7/100))*(F1559/100)</f>
        <v/>
      </c>
      <c r="K1559">
        <f>J1559*(1+((Inputs!$B$12*(1+Inputs!$B$13/100))*0.01+Inputs!$B$14*0.0025)/100)*(1+Inputs!$B$15/100)*(1+Inputs!$B$16/100)*(5000/(6000+Inputs!$B$43*(1-Inputs!$B$19/100)))*(1+(Inputs!$B$24+((C1578=TRUE)*(F1578-Calc!F30)))/100)*(1+(IF(Skills!A11="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1559)</f>
        <v/>
      </c>
      <c r="L1559">
        <f>K1559*(MIN(Inputs!$B$22+((C1572=TRUE)*(F1572-Calc!F24)),Inputs!$B$23+((C1577=TRUE)*(F1577-Calc!F29)))/100+(Inputs!$B$23+((C1577=TRUE)*(F1577-Calc!F29)))/100)/2</f>
        <v/>
      </c>
      <c r="M1559">
        <f>L1559*(1+(Inputs!$B$10+((C1574=TRUE)*(F1574-Calc!F26))+B1588)/100)</f>
        <v/>
      </c>
      <c r="N1559">
        <f>L1559*(1-MIN((Inputs!$B$9+((C1573=TRUE)*(F1573-Calc!F25))+B1581),100)/100)+M1559*(MIN((Inputs!$B$9+((C1573=TRUE)*(F1573-Calc!F25))+B1581),100)/100)</f>
        <v/>
      </c>
      <c r="O1559">
        <f>(1-Summary!$B$55)*T1559+Summary!$B$55*V1559</f>
        <v/>
      </c>
      <c r="P1559">
        <f>IF(B1593=0,0,O1559/B1593)</f>
        <v/>
      </c>
      <c r="Q1559">
        <f>IFERROR(1/IF(Inputs!$B$39="pvp",15,MAX(0.1,Skills!D11-IF(Skills!E11=TRUE,2.0,0))),0)</f>
        <v/>
      </c>
      <c r="R1559">
        <f>IF(AND(Inputs!$B$39&lt;&gt;"pvp",Inputs!$B$44&gt;0),IF(MAX(0,Inputs!$B$44-B1592)&lt;=0,0,(INT(MAX(0,Inputs!$B$44-B1592)/IF(Inputs!$B$39="pvp",15,MAX(0.1,Skills!D11-IF(Skills!E11=TRUE,2.0,0))))+1)),0)</f>
        <v/>
      </c>
      <c r="S1559">
        <f>IFERROR(O1559/N1559,0)</f>
        <v/>
      </c>
      <c r="T1559">
        <f>IF(C1559,(H1559*N1559*IF(AND(Inputs!$B$39&lt;&gt;"pvp",Inputs!$B$44&gt;0),((Skills!G11*((R1559-1)*IF(Skills!H11&gt;0,Skills!I11/Skills!H11,1)+IF(Skills!H11&gt;0,MIN(Skills!I11,MAX(0,MAX(0,Inputs!$B$44-B1592)-((R1559-1)*IF(Inputs!$B$39="pvp",15,MAX(0.1,Skills!D11-IF(Skills!E11=TRUE,2.0,0))))))/Skills!H11,1)))/Inputs!$B$44),G1559*Q1559))*IF(Inputs!$B$39="pvp",1,1+(Inputs!$B$20+0+Skills!P11+B1582)/100),0)</f>
        <v/>
      </c>
      <c r="V1559">
        <f>IF(C1559,(H1559*N1559*IF(AND(Inputs!$B$39&lt;&gt;"pvp",Inputs!$B$44&gt;0),((Skills!G11*((R1559-1)*IF(Skills!H11&gt;0,Skills!I11/Skills!H11,1)+IF(Skills!H11&gt;0,MIN(Skills!I11,MAX(0,MAX(0,Inputs!$B$44-B1592)-((R1559-1)*IF(Inputs!$B$39="pvp",15,MAX(0.1,Skills!D11-IF(Skills!E11=TRUE,2.0,0))))))/Skills!H11,1)))/Inputs!$B$44),G1559*Q1559))*IF(Inputs!$B$39="pvp",1,(1+(Inputs!$B$21+Skills!Q11+B1582)/100)*(MIN(Skills!W11,Inputs!$B$37))),0)</f>
        <v/>
      </c>
    </row>
    <row r="1560">
      <c r="A1560">
        <f>Skills!A12</f>
        <v/>
      </c>
      <c r="B1560">
        <f>Skills!B12</f>
        <v/>
      </c>
      <c r="C1560">
        <f>Inputs!$B$3&gt;=105</f>
        <v/>
      </c>
      <c r="D1560">
        <f>IF(Skills!C12=1,60+Inputs!$B$25+Inputs!$B$29,IF(Skills!C12=2,90+Inputs!$B$26+Inputs!$B$29,IF(Skills!C12=3,120+Inputs!$B$27+Inputs!$B$29,MAX(0,(Inputs!$B$3-100)*3)+Inputs!$B$28+Inputs!$B$29)))</f>
        <v/>
      </c>
      <c r="E1560">
        <f>INDEX(FactorTable!$B$2:$Y$301, MATCH(ROUND(MIN(300,MAX(1,D1560)),0), FactorTable!$A$2:$A$301,0), Skills!M12+1)</f>
        <v/>
      </c>
      <c r="F1560">
        <f>IF(Skills!N12=TRUE,(Skills!L12/10)*(E1560/1000),Skills!L12/10)+Skills!O12</f>
        <v/>
      </c>
      <c r="G1560">
        <f>Skills!G12*IF(Skills!H12&gt;0,Skills!I12/Skills!H12,1)</f>
        <v/>
      </c>
      <c r="H1560">
        <f>1-(1-Skills!J12/100)^Skills!K12</f>
        <v/>
      </c>
      <c r="I1560" t="inlineStr">
        <is>
          <t>1</t>
        </is>
      </c>
      <c r="J1560">
        <f>((Inputs!$B$6*(1+Inputs!$B$7/100))+(((Inputs!$B$12*(1+Inputs!$B$13/100))-(Inputs!$B$12*(1+Inputs!$B$13/100)))+0.25*(Inputs!$B$14-Inputs!$B$14))*(1+Inputs!$B$7/100))*(F1560/100)</f>
        <v/>
      </c>
      <c r="K1560">
        <f>J1560*(1+((Inputs!$B$12*(1+Inputs!$B$13/100))*0.01+Inputs!$B$14*0.0025)/100)*(1+Inputs!$B$15/100)*(1+Inputs!$B$16/100)*(5000/(6000+Inputs!$B$43*(1-Inputs!$B$19/100)))*(1+(Inputs!$B$24+((C1578=TRUE)*(F1578-Calc!F30)))/100)*(1+(IF(Skills!A12="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1560)</f>
        <v/>
      </c>
      <c r="L1560">
        <f>K1560*(MIN(Inputs!$B$22+((C1572=TRUE)*(F1572-Calc!F24)),Inputs!$B$23+((C1577=TRUE)*(F1577-Calc!F29)))/100+(Inputs!$B$23+((C1577=TRUE)*(F1577-Calc!F29)))/100)/2</f>
        <v/>
      </c>
      <c r="M1560">
        <f>L1560*(1+(Inputs!$B$10+((C1574=TRUE)*(F1574-Calc!F26))+B1588)/100)</f>
        <v/>
      </c>
      <c r="N1560">
        <f>L1560*(1-MIN((Inputs!$B$9+((C1573=TRUE)*(F1573-Calc!F25))+B1581),100)/100)+M1560*(MIN((Inputs!$B$9+((C1573=TRUE)*(F1573-Calc!F25))+B1581),100)/100)</f>
        <v/>
      </c>
      <c r="O1560">
        <f>(1-Summary!$B$55)*T1560+Summary!$B$55*V1560</f>
        <v/>
      </c>
      <c r="P1560">
        <f>IF(B1593=0,0,O1560/B1593)</f>
        <v/>
      </c>
      <c r="Q1560">
        <f>IFERROR(1/IF(Inputs!$B$39="pvp",15,MAX(0.1,Skills!D12-IF(Skills!E12=TRUE,2.0,0))),0)</f>
        <v/>
      </c>
      <c r="R1560">
        <f>IF(AND(Inputs!$B$39&lt;&gt;"pvp",Inputs!$B$44&gt;0),IF(MAX(0,Inputs!$B$44-B1592)&lt;=0,0,(INT(MAX(0,Inputs!$B$44-B1592)/IF(Inputs!$B$39="pvp",15,MAX(0.1,Skills!D12-IF(Skills!E12=TRUE,2.0,0))))+1)),0)</f>
        <v/>
      </c>
      <c r="S1560">
        <f>IFERROR(O1560/N1560,0)</f>
        <v/>
      </c>
      <c r="T1560">
        <f>IF(C1560,(H1560*N1560*IF(AND(Inputs!$B$39&lt;&gt;"pvp",Inputs!$B$44&gt;0),((Skills!G12*((R1560-1)*IF(Skills!H12&gt;0,Skills!I12/Skills!H12,1)+IF(Skills!H12&gt;0,MIN(Skills!I12,MAX(0,MAX(0,Inputs!$B$44-B1592)-((R1560-1)*IF(Inputs!$B$39="pvp",15,MAX(0.1,Skills!D12-IF(Skills!E12=TRUE,2.0,0))))))/Skills!H12,1)))/Inputs!$B$44),G1560*Q1560))*IF(Inputs!$B$39="pvp",1,1+(Inputs!$B$20+0+Skills!P12+B1582)/100),0)</f>
        <v/>
      </c>
      <c r="V1560">
        <f>IF(C1560,(H1560*N1560*IF(AND(Inputs!$B$39&lt;&gt;"pvp",Inputs!$B$44&gt;0),((Skills!G12*((R1560-1)*IF(Skills!H12&gt;0,Skills!I12/Skills!H12,1)+IF(Skills!H12&gt;0,MIN(Skills!I12,MAX(0,MAX(0,Inputs!$B$44-B1592)-((R1560-1)*IF(Inputs!$B$39="pvp",15,MAX(0.1,Skills!D12-IF(Skills!E12=TRUE,2.0,0))))))/Skills!H12,1)))/Inputs!$B$44),G1560*Q1560))*IF(Inputs!$B$39="pvp",1,(1+(Inputs!$B$21+Skills!Q12+B1582)/100)*(MIN(Skills!W12,Inputs!$B$37))),0)</f>
        <v/>
      </c>
    </row>
    <row r="1561">
      <c r="A1561">
        <f>Skills!A13</f>
        <v/>
      </c>
      <c r="B1561">
        <f>Skills!B13</f>
        <v/>
      </c>
      <c r="C1561">
        <f>Inputs!$B$3&gt;=105</f>
        <v/>
      </c>
      <c r="D1561">
        <f>IF(Skills!C13=1,60+Inputs!$B$25+Inputs!$B$29,IF(Skills!C13=2,90+Inputs!$B$26+Inputs!$B$29,IF(Skills!C13=3,120+Inputs!$B$27+Inputs!$B$29,MAX(0,(Inputs!$B$3-100)*3)+Inputs!$B$28+Inputs!$B$29)))</f>
        <v/>
      </c>
      <c r="E1561">
        <f>INDEX(FactorTable!$B$2:$Y$301, MATCH(ROUND(MIN(300,MAX(1,D1561)),0), FactorTable!$A$2:$A$301,0), Skills!M13+1)</f>
        <v/>
      </c>
      <c r="F1561">
        <f>IF(Skills!N13=TRUE,(Skills!L13/10)*(E1561/1000),Skills!L13/10)+Skills!O13</f>
        <v/>
      </c>
      <c r="G1561">
        <f>Skills!G13*IF(Skills!H13&gt;0,Skills!I13/Skills!H13,1)</f>
        <v/>
      </c>
      <c r="H1561">
        <f>1-(1-Skills!J13/100)^Skills!K13</f>
        <v/>
      </c>
      <c r="I1561" t="inlineStr">
        <is>
          <t>1</t>
        </is>
      </c>
      <c r="J1561">
        <f>((Inputs!$B$6*(1+Inputs!$B$7/100))+(((Inputs!$B$12*(1+Inputs!$B$13/100))-(Inputs!$B$12*(1+Inputs!$B$13/100)))+0.25*(Inputs!$B$14-Inputs!$B$14))*(1+Inputs!$B$7/100))*(F1561/100)</f>
        <v/>
      </c>
      <c r="K1561">
        <f>J1561*(1+((Inputs!$B$12*(1+Inputs!$B$13/100))*0.01+Inputs!$B$14*0.0025)/100)*(1+Inputs!$B$15/100)*(1+Inputs!$B$16/100)*(5000/(6000+Inputs!$B$43*(1-Inputs!$B$19/100)))*(1+(Inputs!$B$24+((C1578=TRUE)*(F1578-Calc!F30)))/100)*(1+(IF(Skills!A13="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1561)</f>
        <v/>
      </c>
      <c r="L1561">
        <f>K1561*(MIN(Inputs!$B$22+((C1572=TRUE)*(F1572-Calc!F24)),Inputs!$B$23+((C1577=TRUE)*(F1577-Calc!F29)))/100+(Inputs!$B$23+((C1577=TRUE)*(F1577-Calc!F29)))/100)/2</f>
        <v/>
      </c>
      <c r="M1561">
        <f>L1561*(1+(Inputs!$B$10+((C1574=TRUE)*(F1574-Calc!F26))+B1588)/100)</f>
        <v/>
      </c>
      <c r="N1561">
        <f>L1561*(1-MIN((Inputs!$B$9+((C1573=TRUE)*(F1573-Calc!F25))+B1581),100)/100)+M1561*(MIN((Inputs!$B$9+((C1573=TRUE)*(F1573-Calc!F25))+B1581),100)/100)</f>
        <v/>
      </c>
      <c r="O1561">
        <f>(1-Summary!$B$55)*T1561+Summary!$B$55*V1561</f>
        <v/>
      </c>
      <c r="P1561">
        <f>IF(B1593=0,0,O1561/B1593)</f>
        <v/>
      </c>
      <c r="Q1561">
        <f>IFERROR(1/IF(Inputs!$B$39="pvp",15,MAX(0.1,Skills!D13-IF(Skills!E13=TRUE,2.0,0))),0)</f>
        <v/>
      </c>
      <c r="R1561">
        <f>IF(AND(Inputs!$B$39&lt;&gt;"pvp",Inputs!$B$44&gt;0),IF(MAX(0,Inputs!$B$44-B1592)&lt;=0,0,(INT(MAX(0,Inputs!$B$44-B1592)/IF(Inputs!$B$39="pvp",15,MAX(0.1,Skills!D13-IF(Skills!E13=TRUE,2.0,0))))+1)),0)</f>
        <v/>
      </c>
      <c r="S1561">
        <f>IFERROR(O1561/N1561,0)</f>
        <v/>
      </c>
      <c r="T1561">
        <f>IF(C1561,(H1561*N1561*IF(AND(Inputs!$B$39&lt;&gt;"pvp",Inputs!$B$44&gt;0),((Skills!G13*((R1561-1)*IF(Skills!H13&gt;0,Skills!I13/Skills!H13,1)+IF(Skills!H13&gt;0,MIN(Skills!I13,MAX(0,MAX(0,Inputs!$B$44-B1592)-((R1561-1)*IF(Inputs!$B$39="pvp",15,MAX(0.1,Skills!D13-IF(Skills!E13=TRUE,2.0,0))))))/Skills!H13,1)))/Inputs!$B$44),G1561*Q1561))*IF(Inputs!$B$39="pvp",1,1+(Inputs!$B$20+0+Skills!P13+B1582)/100),0)</f>
        <v/>
      </c>
      <c r="V1561">
        <f>IF(C1561,(H1561*N1561*IF(AND(Inputs!$B$39&lt;&gt;"pvp",Inputs!$B$44&gt;0),((Skills!G13*((R1561-1)*IF(Skills!H13&gt;0,Skills!I13/Skills!H13,1)+IF(Skills!H13&gt;0,MIN(Skills!I13,MAX(0,MAX(0,Inputs!$B$44-B1592)-((R1561-1)*IF(Inputs!$B$39="pvp",15,MAX(0.1,Skills!D13-IF(Skills!E13=TRUE,2.0,0))))))/Skills!H13,1)))/Inputs!$B$44),G1561*Q1561))*IF(Inputs!$B$39="pvp",1,(1+(Inputs!$B$21+Skills!Q13+B1582)/100)*(MIN(Skills!W13,Inputs!$B$37))),0)</f>
        <v/>
      </c>
    </row>
    <row r="1562">
      <c r="A1562">
        <f>Skills!A14</f>
        <v/>
      </c>
      <c r="B1562">
        <f>Skills!B14</f>
        <v/>
      </c>
      <c r="C1562">
        <f>Inputs!$B$3&gt;=107</f>
        <v/>
      </c>
      <c r="D1562">
        <f>IF(Skills!C14=1,60+Inputs!$B$25+Inputs!$B$29,IF(Skills!C14=2,90+Inputs!$B$26+Inputs!$B$29,IF(Skills!C14=3,120+Inputs!$B$27+Inputs!$B$29,MAX(0,(Inputs!$B$3-100)*3)+Inputs!$B$28+Inputs!$B$29)))</f>
        <v/>
      </c>
      <c r="E1562">
        <f>INDEX(FactorTable!$B$2:$Y$301, MATCH(ROUND(MIN(300,MAX(1,D1562)),0), FactorTable!$A$2:$A$301,0), Skills!M14+1)</f>
        <v/>
      </c>
      <c r="F1562">
        <f>IF(Skills!N14=TRUE,(Skills!L14/10)*(E1562/1000),Skills!L14/10)+Skills!O14</f>
        <v/>
      </c>
      <c r="G1562">
        <f>Skills!G14*IF(Skills!H14&gt;0,Skills!I14/Skills!H14,1)</f>
        <v/>
      </c>
      <c r="H1562">
        <f>1-(1-Skills!J14/100)^Skills!K14</f>
        <v/>
      </c>
      <c r="I1562" t="inlineStr">
        <is>
          <t>1</t>
        </is>
      </c>
      <c r="J1562">
        <f>((Inputs!$B$6*(1+Inputs!$B$7/100))+(((Inputs!$B$12*(1+Inputs!$B$13/100))-(Inputs!$B$12*(1+Inputs!$B$13/100)))+0.25*(Inputs!$B$14-Inputs!$B$14))*(1+Inputs!$B$7/100))*(F1562/100)</f>
        <v/>
      </c>
      <c r="K1562">
        <f>J1562*(1+((Inputs!$B$12*(1+Inputs!$B$13/100))*0.01+Inputs!$B$14*0.0025)/100)*(1+Inputs!$B$15/100)*(1+Inputs!$B$16/100)*(5000/(6000+Inputs!$B$43*(1-Inputs!$B$19/100)))*(1+(Inputs!$B$24+((C1578=TRUE)*(F1578-Calc!F30)))/100)*(1+(IF(Skills!A14="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1562)</f>
        <v/>
      </c>
      <c r="L1562">
        <f>K1562*(MIN(Inputs!$B$22+((C1572=TRUE)*(F1572-Calc!F24)),Inputs!$B$23+((C1577=TRUE)*(F1577-Calc!F29)))/100+(Inputs!$B$23+((C1577=TRUE)*(F1577-Calc!F29)))/100)/2</f>
        <v/>
      </c>
      <c r="M1562">
        <f>L1562*(1+(Inputs!$B$10+((C1574=TRUE)*(F1574-Calc!F26))+B1588)/100)</f>
        <v/>
      </c>
      <c r="N1562">
        <f>L1562*(1-MIN((Inputs!$B$9+((C1573=TRUE)*(F1573-Calc!F25))+B1581),100)/100)+M1562*(MIN((Inputs!$B$9+((C1573=TRUE)*(F1573-Calc!F25))+B1581),100)/100)</f>
        <v/>
      </c>
      <c r="O1562">
        <f>(1-Summary!$B$55)*T1562+Summary!$B$55*V1562</f>
        <v/>
      </c>
      <c r="P1562">
        <f>IF(B1593=0,0,O1562/B1593)</f>
        <v/>
      </c>
      <c r="Q1562">
        <f>IFERROR(1/IF(Inputs!$B$39="pvp",15,MAX(0.1,Skills!D14-IF(Skills!E14=TRUE,2.0,0))),0)</f>
        <v/>
      </c>
      <c r="R1562">
        <f>IF(AND(Inputs!$B$39&lt;&gt;"pvp",Inputs!$B$44&gt;0),IF(MAX(0,Inputs!$B$44-B1592)&lt;=0,0,(INT(MAX(0,Inputs!$B$44-B1592)/IF(Inputs!$B$39="pvp",15,MAX(0.1,Skills!D14-IF(Skills!E14=TRUE,2.0,0))))+1)),0)</f>
        <v/>
      </c>
      <c r="S1562">
        <f>IFERROR(O1562/N1562,0)</f>
        <v/>
      </c>
      <c r="T1562">
        <f>IF(C1562,(H1562*N1562*IF(AND(Inputs!$B$39&lt;&gt;"pvp",Inputs!$B$44&gt;0),((Skills!G14*((R1562-1)*IF(Skills!H14&gt;0,Skills!I14/Skills!H14,1)+IF(Skills!H14&gt;0,MIN(Skills!I14,MAX(0,MAX(0,Inputs!$B$44-B1592)-((R1562-1)*IF(Inputs!$B$39="pvp",15,MAX(0.1,Skills!D14-IF(Skills!E14=TRUE,2.0,0))))))/Skills!H14,1)))/Inputs!$B$44),G1562*Q1562))*IF(Inputs!$B$39="pvp",1,1+(Inputs!$B$20+0+Skills!P14+B1582)/100),0)</f>
        <v/>
      </c>
      <c r="V1562">
        <f>IF(C1562,(H1562*N1562*IF(AND(Inputs!$B$39&lt;&gt;"pvp",Inputs!$B$44&gt;0),((Skills!G14*((R1562-1)*IF(Skills!H14&gt;0,Skills!I14/Skills!H14,1)+IF(Skills!H14&gt;0,MIN(Skills!I14,MAX(0,MAX(0,Inputs!$B$44-B1592)-((R1562-1)*IF(Inputs!$B$39="pvp",15,MAX(0.1,Skills!D14-IF(Skills!E14=TRUE,2.0,0))))))/Skills!H14,1)))/Inputs!$B$44),G1562*Q1562))*IF(Inputs!$B$39="pvp",1,(1+(Inputs!$B$21+Skills!Q14+B1582)/100)*(MIN(MIN(5,0.25*B1585*Skills!D4)*Skills!V14,Inputs!$B$37))),0)</f>
        <v/>
      </c>
    </row>
    <row r="1563">
      <c r="A1563">
        <f>Skills!A15</f>
        <v/>
      </c>
      <c r="B1563">
        <f>Skills!B15</f>
        <v/>
      </c>
      <c r="C1563">
        <f>Inputs!$B$3&gt;=110</f>
        <v/>
      </c>
      <c r="D1563">
        <f>IF(Skills!C15=1,60+Inputs!$B$25+Inputs!$B$29,IF(Skills!C15=2,90+Inputs!$B$26+Inputs!$B$29,IF(Skills!C15=3,120+Inputs!$B$27+Inputs!$B$29,MAX(0,(Inputs!$B$3-100)*3)+Inputs!$B$28+Inputs!$B$29)))</f>
        <v/>
      </c>
      <c r="E1563">
        <f>INDEX(FactorTable!$B$2:$Y$301, MATCH(ROUND(MIN(300,MAX(1,D1563)),0), FactorTable!$A$2:$A$301,0), Skills!M15+1)</f>
        <v/>
      </c>
      <c r="F1563">
        <f>IF(Skills!N15=TRUE,(Skills!L15/10)*(E1563/1000),Skills!L15/10)+Skills!O15</f>
        <v/>
      </c>
      <c r="G1563">
        <f>Skills!G15*IF(Skills!H15&gt;0,Skills!I15/Skills!H15,1)</f>
        <v/>
      </c>
      <c r="H1563">
        <f>1-(1-Skills!J15/100)^Skills!K15</f>
        <v/>
      </c>
      <c r="I1563" t="inlineStr">
        <is>
          <t>1</t>
        </is>
      </c>
      <c r="J1563" t="inlineStr"/>
      <c r="K1563" t="inlineStr"/>
      <c r="L1563" t="inlineStr"/>
      <c r="M1563" t="inlineStr"/>
      <c r="N1563" t="inlineStr"/>
      <c r="O1563">
        <f>(1-Summary!$B$55)*T1563+Summary!$B$55*V1563</f>
        <v/>
      </c>
      <c r="P1563">
        <f>IF(B1593=0,0,O1563/B1593)</f>
        <v/>
      </c>
      <c r="Q1563">
        <f>IFERROR(1/IF(Inputs!$B$39="pvp",15,MAX(0.1,Skills!D15-IF(Skills!E15=TRUE,2.0,0))),0)</f>
        <v/>
      </c>
      <c r="R1563">
        <f>IF(AND(Inputs!$B$39&lt;&gt;"pvp",Inputs!$B$44&gt;0),IF(Inputs!$B$44&lt;=0,0,(INT(Inputs!$B$44/IF(Inputs!$B$39="pvp",15,MAX(0.1,Skills!D15-IF(Skills!E15=TRUE,2.0,0))))+1)),0)</f>
        <v/>
      </c>
      <c r="S1563">
        <f>IFERROR(O1563/N1563,0)</f>
        <v/>
      </c>
      <c r="T1563" t="n">
        <v>0</v>
      </c>
      <c r="V1563" t="n">
        <v>0</v>
      </c>
    </row>
    <row r="1564">
      <c r="A1564">
        <f>Skills!A16</f>
        <v/>
      </c>
      <c r="B1564">
        <f>Skills!B16</f>
        <v/>
      </c>
      <c r="C1564">
        <f>Inputs!$B$3&gt;=115</f>
        <v/>
      </c>
      <c r="D1564">
        <f>IF(Skills!C16=1,60+Inputs!$B$25+Inputs!$B$29,IF(Skills!C16=2,90+Inputs!$B$26+Inputs!$B$29,IF(Skills!C16=3,120+Inputs!$B$27+Inputs!$B$29,MAX(0,(Inputs!$B$3-100)*3)+Inputs!$B$28+Inputs!$B$29)))</f>
        <v/>
      </c>
      <c r="E1564">
        <f>INDEX(FactorTable!$B$2:$Y$301, MATCH(ROUND(MIN(300,MAX(1,D1564)),0), FactorTable!$A$2:$A$301,0), Skills!M16+1)</f>
        <v/>
      </c>
      <c r="F1564">
        <f>IF(Skills!N16=TRUE,(Skills!L16/10)*(E1564/1000),Skills!L16/10)+Skills!O16</f>
        <v/>
      </c>
      <c r="G1564">
        <f>Skills!G16*IF(Skills!H16&gt;0,Skills!I16/Skills!H16,1)</f>
        <v/>
      </c>
      <c r="H1564">
        <f>1-(1-Skills!J16/100)^Skills!K16</f>
        <v/>
      </c>
      <c r="I1564" t="inlineStr">
        <is>
          <t>1</t>
        </is>
      </c>
      <c r="J1564">
        <f>((Inputs!$B$6*(1+Inputs!$B$7/100))+(((Inputs!$B$12*(1+Inputs!$B$13/100))-(Inputs!$B$12*(1+Inputs!$B$13/100)))+0.25*(Inputs!$B$14-Inputs!$B$14))*(1+Inputs!$B$7/100))*(F1564/100)</f>
        <v/>
      </c>
      <c r="K1564">
        <f>J1564*(1+((Inputs!$B$12*(1+Inputs!$B$13/100))*0.01+Inputs!$B$14*0.0025)/100)*(1+Inputs!$B$15/100)*(1+Inputs!$B$16/100)*(5000/(6000+Inputs!$B$43*(1-Inputs!$B$19/100)))*(1+(Inputs!$B$24+((C1578=TRUE)*(F1578-Calc!F30)))/100)*(1+(IF(Skills!A16="CRUEL_STAB",Inputs!$B$17+((C1575=TRUE)*(F1575-Calc!F27)),Inputs!$B$18+((C1576=TRUE)*(F1576-Calc!F28))))/100)*(((1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B1583*I1564)</f>
        <v/>
      </c>
      <c r="L1564">
        <f>K1564*(MIN(Inputs!$B$22+((C1572=TRUE)*(F1572-Calc!F24)),Inputs!$B$23+((C1577=TRUE)*(F1577-Calc!F29)))/100+(Inputs!$B$23+((C1577=TRUE)*(F1577-Calc!F29)))/100)/2</f>
        <v/>
      </c>
      <c r="M1564">
        <f>L1564*(1+(Inputs!$B$10+((C1574=TRUE)*(F1574-Calc!F26))+B1588)/100)</f>
        <v/>
      </c>
      <c r="N1564">
        <f>L1564*(1-MIN((Inputs!$B$9+((C1573=TRUE)*(F1573-Calc!F25))+B1581),100)/100)+M1564*(MIN((Inputs!$B$9+((C1573=TRUE)*(F1573-Calc!F25))+B1581),100)/100)</f>
        <v/>
      </c>
      <c r="O1564">
        <f>(1-Summary!$B$55)*T1564+Summary!$B$55*V1564</f>
        <v/>
      </c>
      <c r="P1564">
        <f>IF(B1593=0,0,O1564/B1593)</f>
        <v/>
      </c>
      <c r="Q1564" t="n">
        <v>0</v>
      </c>
      <c r="R1564" t="n">
        <v>0</v>
      </c>
      <c r="S1564">
        <f>IFERROR(O1564/N1564,0)</f>
        <v/>
      </c>
      <c r="T1564">
        <f>IF(C1564,(Inputs!$B$38*0.2*N1564)*IF(Inputs!$B$39="pvp",1,1+(Inputs!$B$20+0+Skills!P16+B1582)/100),0)</f>
        <v/>
      </c>
      <c r="V1564">
        <f>IF(C1564,(Inputs!$B$38*0.2*N1564)*IF(Inputs!$B$39="pvp",1,(1+(Inputs!$B$21+Skills!Q16+B1582)/100)*(MIN(Skills!W16,Inputs!$B$37))),0)</f>
        <v/>
      </c>
    </row>
    <row r="1565">
      <c r="A1565">
        <f>Skills!A17</f>
        <v/>
      </c>
      <c r="B1565">
        <f>Skills!B17</f>
        <v/>
      </c>
      <c r="C1565">
        <f>Inputs!$B$3&gt;=115</f>
        <v/>
      </c>
      <c r="D1565">
        <f>IF(Skills!C17=1,60+Inputs!$B$25+Inputs!$B$29,IF(Skills!C17=2,90+Inputs!$B$26+Inputs!$B$29,IF(Skills!C17=3,120+Inputs!$B$27+Inputs!$B$29,MAX(0,(Inputs!$B$3-100)*3)+Inputs!$B$28+Inputs!$B$29)))</f>
        <v/>
      </c>
      <c r="E1565">
        <f>INDEX(FactorTable!$B$2:$Y$301, MATCH(ROUND(MIN(300,MAX(1,D1565)),0), FactorTable!$A$2:$A$301,0), Skills!M17+1)</f>
        <v/>
      </c>
      <c r="F1565">
        <f>IF(Skills!N17=TRUE,(Skills!L17/10)*(E1565/1000),Skills!L17/10)+Skills!O17</f>
        <v/>
      </c>
      <c r="G1565">
        <f>Skills!G17*IF(Skills!H17&gt;0,Skills!I17/Skills!H17,1)</f>
        <v/>
      </c>
      <c r="H1565">
        <f>1-(1-Skills!J17/100)^Skills!K17</f>
        <v/>
      </c>
      <c r="I1565" t="inlineStr">
        <is>
          <t>1</t>
        </is>
      </c>
      <c r="J1565" t="inlineStr"/>
      <c r="K1565" t="inlineStr"/>
      <c r="L1565" t="inlineStr"/>
      <c r="M1565" t="inlineStr"/>
      <c r="N1565" t="inlineStr"/>
      <c r="O1565">
        <f>(1-Summary!$B$55)*T1565+Summary!$B$55*V1565</f>
        <v/>
      </c>
      <c r="P1565">
        <f>IF(B1593=0,0,O1565/B1593)</f>
        <v/>
      </c>
      <c r="Q1565" t="n">
        <v>0</v>
      </c>
      <c r="R1565" t="n">
        <v>0</v>
      </c>
      <c r="S1565">
        <f>IFERROR(O1565/N1565,0)</f>
        <v/>
      </c>
      <c r="T1565" t="n">
        <v>0</v>
      </c>
      <c r="V1565" t="n">
        <v>0</v>
      </c>
    </row>
    <row r="1566">
      <c r="A1566">
        <f>Skills!A18</f>
        <v/>
      </c>
      <c r="B1566">
        <f>Skills!B18</f>
        <v/>
      </c>
      <c r="C1566">
        <f>Inputs!$B$3&gt;=100</f>
        <v/>
      </c>
      <c r="D1566">
        <f>IF(Skills!C18=1,60+Inputs!$B$25+Inputs!$B$29,IF(Skills!C18=2,90+Inputs!$B$26+Inputs!$B$29,IF(Skills!C18=3,120+Inputs!$B$27+Inputs!$B$29,MAX(0,(Inputs!$B$3-100)*3)+Inputs!$B$28+Inputs!$B$29)))</f>
        <v/>
      </c>
      <c r="E1566">
        <f>INDEX(FactorTable!$B$2:$Y$301, MATCH(ROUND(MIN(300,MAX(1,D1566)),0), FactorTable!$A$2:$A$301,0), Skills!M18+1)</f>
        <v/>
      </c>
      <c r="F1566">
        <f>IF(Skills!N18=TRUE,(Skills!L18/10)*(E1566/1000),Skills!L18/10)+Skills!O18</f>
        <v/>
      </c>
      <c r="G1566">
        <f>Skills!G18*IF(Skills!H18&gt;0,Skills!I18/Skills!H18,1)</f>
        <v/>
      </c>
      <c r="H1566">
        <f>1-(1-Skills!J18/100)^Skills!K18</f>
        <v/>
      </c>
      <c r="I1566" t="inlineStr">
        <is>
          <t>1</t>
        </is>
      </c>
      <c r="J1566" t="inlineStr"/>
      <c r="K1566" t="inlineStr"/>
      <c r="L1566" t="inlineStr"/>
      <c r="M1566" t="inlineStr"/>
      <c r="N1566" t="inlineStr"/>
      <c r="O1566">
        <f>(1-Summary!$B$55)*T1566+Summary!$B$55*V1566</f>
        <v/>
      </c>
      <c r="P1566">
        <f>IF(B1593=0,0,O1566/B1593)</f>
        <v/>
      </c>
      <c r="Q1566" t="n">
        <v>0</v>
      </c>
      <c r="R1566" t="n">
        <v>0</v>
      </c>
      <c r="S1566">
        <f>IFERROR(O1566/N1566,0)</f>
        <v/>
      </c>
      <c r="T1566" t="n">
        <v>0</v>
      </c>
      <c r="V1566" t="n">
        <v>0</v>
      </c>
    </row>
    <row r="1567">
      <c r="A1567">
        <f>Skills!A19</f>
        <v/>
      </c>
      <c r="B1567">
        <f>Skills!B19</f>
        <v/>
      </c>
      <c r="C1567">
        <f>TRUE</f>
        <v/>
      </c>
      <c r="D1567">
        <f>IF(Skills!C19=1,60+Inputs!$B$25+Inputs!$B$29,IF(Skills!C19=2,90+Inputs!$B$26+Inputs!$B$29,IF(Skills!C19=3,120+Inputs!$B$27+Inputs!$B$29,MAX(0,(Inputs!$B$3-100)*3)+Inputs!$B$28+Inputs!$B$29)))</f>
        <v/>
      </c>
      <c r="E1567">
        <f>INDEX(FactorTable!$B$2:$Y$301, MATCH(ROUND(MIN(300,MAX(1,D1567)),0), FactorTable!$A$2:$A$301,0), Skills!M19+1)</f>
        <v/>
      </c>
      <c r="F1567">
        <f>IF(Skills!N19=TRUE,(Skills!L19/10)*(E1567/1000),Skills!L19/10)+Skills!O19</f>
        <v/>
      </c>
      <c r="G1567">
        <f>Skills!G19*IF(Skills!H19&gt;0,Skills!I19/Skills!H19,1)</f>
        <v/>
      </c>
      <c r="H1567">
        <f>1-(1-Skills!J19/100)^Skills!K19</f>
        <v/>
      </c>
      <c r="I1567" t="inlineStr">
        <is>
          <t>1</t>
        </is>
      </c>
      <c r="J1567" t="inlineStr"/>
      <c r="K1567" t="inlineStr"/>
      <c r="L1567" t="inlineStr"/>
      <c r="M1567" t="inlineStr"/>
      <c r="N1567" t="inlineStr"/>
      <c r="O1567">
        <f>(1-Summary!$B$55)*T1567+Summary!$B$55*V1567</f>
        <v/>
      </c>
      <c r="P1567">
        <f>IF(B1593=0,0,O1567/B1593)</f>
        <v/>
      </c>
      <c r="Q1567">
        <f>IFERROR(1/IF(Inputs!$B$39="pvp",15,MAX(0.1,Skills!D19-IF(Skills!E19=TRUE,2.0,0))),0)</f>
        <v/>
      </c>
      <c r="R1567">
        <f>IF(AND(Inputs!$B$39&lt;&gt;"pvp",Inputs!$B$44&gt;0),IF(Inputs!$B$44&lt;=0,0,(INT(Inputs!$B$44/IF(Inputs!$B$39="pvp",15,MAX(0.1,Skills!D19-IF(Skills!E19=TRUE,2.0,0))))+1)),0)</f>
        <v/>
      </c>
      <c r="S1567">
        <f>IFERROR(O1567/N1567,0)</f>
        <v/>
      </c>
      <c r="T1567" t="n">
        <v>0</v>
      </c>
      <c r="V1567" t="n">
        <v>0</v>
      </c>
    </row>
    <row r="1568">
      <c r="A1568">
        <f>Skills!A20</f>
        <v/>
      </c>
      <c r="B1568">
        <f>Skills!B20</f>
        <v/>
      </c>
      <c r="C1568">
        <f>Inputs!$B$3&gt;=15</f>
        <v/>
      </c>
      <c r="D1568">
        <f>IF(Skills!C20=1,60+Inputs!$B$25+Inputs!$B$29,IF(Skills!C20=2,90+Inputs!$B$26+Inputs!$B$29,IF(Skills!C20=3,120+Inputs!$B$27+Inputs!$B$29,MAX(0,(Inputs!$B$3-100)*3)+Inputs!$B$28+Inputs!$B$29)))</f>
        <v/>
      </c>
      <c r="E1568">
        <f>INDEX(FactorTable!$B$2:$Y$301, MATCH(ROUND(MIN(300,MAX(1,D1568)),0), FactorTable!$A$2:$A$301,0), Skills!M20+1)</f>
        <v/>
      </c>
      <c r="F1568">
        <f>IF(Skills!N20=TRUE,(Skills!L20/10)*(E1568/1000),Skills!L20/10)+Skills!O20</f>
        <v/>
      </c>
      <c r="G1568">
        <f>Skills!G20*IF(Skills!H20&gt;0,Skills!I20/Skills!H20,1)</f>
        <v/>
      </c>
      <c r="H1568">
        <f>1-(1-Skills!J20/100)^Skills!K20</f>
        <v/>
      </c>
      <c r="I1568" t="inlineStr">
        <is>
          <t>1</t>
        </is>
      </c>
      <c r="J1568" t="inlineStr"/>
      <c r="K1568" t="inlineStr"/>
      <c r="L1568" t="inlineStr"/>
      <c r="M1568" t="inlineStr"/>
      <c r="N1568" t="inlineStr"/>
      <c r="O1568">
        <f>(1-Summary!$B$55)*T1568+Summary!$B$55*V1568</f>
        <v/>
      </c>
      <c r="P1568">
        <f>IF(B1593=0,0,O1568/B1593)</f>
        <v/>
      </c>
      <c r="Q1568">
        <f>IFERROR(1/IF(Inputs!$B$39="pvp",15,MAX(0.1,Skills!D20-IF(Skills!E20=TRUE,2.0,0))),0)</f>
        <v/>
      </c>
      <c r="R1568">
        <f>IF(AND(Inputs!$B$39&lt;&gt;"pvp",Inputs!$B$44&gt;0),IF(Inputs!$B$44&lt;=0,0,(INT(Inputs!$B$44/IF(Inputs!$B$39="pvp",15,MAX(0.1,Skills!D20-IF(Skills!E20=TRUE,2.0,0))))+1)),0)</f>
        <v/>
      </c>
      <c r="S1568">
        <f>IFERROR(O1568/N1568,0)</f>
        <v/>
      </c>
      <c r="T1568" t="n">
        <v>0</v>
      </c>
      <c r="V1568" t="n">
        <v>0</v>
      </c>
    </row>
    <row r="1569">
      <c r="A1569">
        <f>Skills!A21</f>
        <v/>
      </c>
      <c r="B1569">
        <f>Skills!B21</f>
        <v/>
      </c>
      <c r="C1569">
        <f>Inputs!$B$3&gt;=15</f>
        <v/>
      </c>
      <c r="D1569">
        <f>IF(Skills!C21=1,60+Inputs!$B$25+Inputs!$B$29,IF(Skills!C21=2,90+Inputs!$B$26+Inputs!$B$29,IF(Skills!C21=3,120+Inputs!$B$27+Inputs!$B$29,MAX(0,(Inputs!$B$3-100)*3)+Inputs!$B$28+Inputs!$B$29)))</f>
        <v/>
      </c>
      <c r="E1569">
        <f>INDEX(FactorTable!$B$2:$Y$301, MATCH(ROUND(MIN(300,MAX(1,D1569)),0), FactorTable!$A$2:$A$301,0), Skills!M21+1)</f>
        <v/>
      </c>
      <c r="F1569">
        <f>IF(Skills!N21=TRUE,(Skills!L21/10)*(E1569/1000),Skills!L21/10)+Skills!O21</f>
        <v/>
      </c>
      <c r="G1569">
        <f>Skills!G21*IF(Skills!H21&gt;0,Skills!I21/Skills!H21,1)</f>
        <v/>
      </c>
      <c r="H1569">
        <f>1-(1-Skills!J21/100)^Skills!K21</f>
        <v/>
      </c>
      <c r="I1569" t="inlineStr">
        <is>
          <t>1</t>
        </is>
      </c>
      <c r="J1569" t="inlineStr"/>
      <c r="K1569" t="inlineStr"/>
      <c r="L1569" t="inlineStr"/>
      <c r="M1569" t="inlineStr"/>
      <c r="N1569" t="inlineStr"/>
      <c r="O1569">
        <f>(1-Summary!$B$55)*T1569+Summary!$B$55*V1569</f>
        <v/>
      </c>
      <c r="P1569">
        <f>IF(B1593=0,0,O1569/B1593)</f>
        <v/>
      </c>
      <c r="Q1569">
        <f>IFERROR(1/IF(Inputs!$B$39="pvp",15,MAX(0.1,Skills!D21-IF(Skills!E21=TRUE,2.0,0))),0)</f>
        <v/>
      </c>
      <c r="R1569">
        <f>IF(AND(Inputs!$B$39&lt;&gt;"pvp",Inputs!$B$44&gt;0),IF(Inputs!$B$44&lt;=0,0,(INT(Inputs!$B$44/IF(Inputs!$B$39="pvp",15,MAX(0.1,Skills!D21-IF(Skills!E21=TRUE,2.0,0))))+1)),0)</f>
        <v/>
      </c>
      <c r="S1569">
        <f>IFERROR(O1569/N1569,0)</f>
        <v/>
      </c>
      <c r="T1569" t="n">
        <v>0</v>
      </c>
      <c r="V1569" t="n">
        <v>0</v>
      </c>
    </row>
    <row r="1570">
      <c r="A1570">
        <f>Skills!A22</f>
        <v/>
      </c>
      <c r="B1570">
        <f>Skills!B22</f>
        <v/>
      </c>
      <c r="C1570">
        <f>Inputs!$B$3&gt;=33</f>
        <v/>
      </c>
      <c r="D1570">
        <f>IF(Skills!C22=1,60+Inputs!$B$25+Inputs!$B$29,IF(Skills!C22=2,90+Inputs!$B$26+Inputs!$B$29,IF(Skills!C22=3,120+Inputs!$B$27+Inputs!$B$29,MAX(0,(Inputs!$B$3-100)*3)+Inputs!$B$28+Inputs!$B$29)))</f>
        <v/>
      </c>
      <c r="E1570">
        <f>INDEX(FactorTable!$B$2:$Y$301, MATCH(ROUND(MIN(300,MAX(1,D1570)),0), FactorTable!$A$2:$A$301,0), Skills!M22+1)</f>
        <v/>
      </c>
      <c r="F1570">
        <f>IF(Skills!N22=TRUE,(Skills!L22/10)*(E1570/1000),Skills!L22/10)+Skills!O22</f>
        <v/>
      </c>
      <c r="G1570">
        <f>Skills!G22*IF(Skills!H22&gt;0,Skills!I22/Skills!H22,1)</f>
        <v/>
      </c>
      <c r="H1570">
        <f>1-(1-Skills!J22/100)^Skills!K22</f>
        <v/>
      </c>
      <c r="I1570" t="inlineStr">
        <is>
          <t>1</t>
        </is>
      </c>
      <c r="J1570" t="inlineStr"/>
      <c r="K1570" t="inlineStr"/>
      <c r="L1570" t="inlineStr"/>
      <c r="M1570" t="inlineStr"/>
      <c r="N1570" t="inlineStr"/>
      <c r="O1570">
        <f>(1-Summary!$B$55)*T1570+Summary!$B$55*V1570</f>
        <v/>
      </c>
      <c r="P1570">
        <f>IF(B1593=0,0,O1570/B1593)</f>
        <v/>
      </c>
      <c r="Q1570" t="n">
        <v>0</v>
      </c>
      <c r="R1570" t="n">
        <v>0</v>
      </c>
      <c r="S1570">
        <f>IFERROR(O1570/N1570,0)</f>
        <v/>
      </c>
      <c r="T1570" t="n">
        <v>0</v>
      </c>
      <c r="V1570" t="n">
        <v>0</v>
      </c>
    </row>
    <row r="1571">
      <c r="A1571">
        <f>Skills!A23</f>
        <v/>
      </c>
      <c r="B1571">
        <f>Skills!B23</f>
        <v/>
      </c>
      <c r="C1571">
        <f>Inputs!$B$3&gt;=40</f>
        <v/>
      </c>
      <c r="D1571">
        <f>IF(Skills!C23=1,60+Inputs!$B$25+Inputs!$B$29,IF(Skills!C23=2,90+Inputs!$B$26+Inputs!$B$29,IF(Skills!C23=3,120+Inputs!$B$27+Inputs!$B$29,MAX(0,(Inputs!$B$3-100)*3)+Inputs!$B$28+Inputs!$B$29)))</f>
        <v/>
      </c>
      <c r="E1571">
        <f>INDEX(FactorTable!$B$2:$Y$301, MATCH(ROUND(MIN(300,MAX(1,D1571)),0), FactorTable!$A$2:$A$301,0), Skills!M23+1)</f>
        <v/>
      </c>
      <c r="F1571">
        <f>IF(Skills!N23=TRUE,(Skills!L23/10)*(E1571/1000),Skills!L23/10)+Skills!O23</f>
        <v/>
      </c>
      <c r="G1571">
        <f>Skills!G23*IF(Skills!H23&gt;0,Skills!I23/Skills!H23,1)</f>
        <v/>
      </c>
      <c r="H1571">
        <f>1-(1-Skills!J23/100)^Skills!K23</f>
        <v/>
      </c>
      <c r="I1571" t="inlineStr">
        <is>
          <t>1</t>
        </is>
      </c>
      <c r="J1571" t="inlineStr"/>
      <c r="K1571" t="inlineStr"/>
      <c r="L1571" t="inlineStr"/>
      <c r="M1571" t="inlineStr"/>
      <c r="N1571" t="inlineStr"/>
      <c r="O1571">
        <f>(1-Summary!$B$55)*T1571+Summary!$B$55*V1571</f>
        <v/>
      </c>
      <c r="P1571">
        <f>IF(B1593=0,0,O1571/B1593)</f>
        <v/>
      </c>
      <c r="Q1571" t="n">
        <v>0</v>
      </c>
      <c r="R1571" t="n">
        <v>0</v>
      </c>
      <c r="S1571">
        <f>IFERROR(O1571/N1571,0)</f>
        <v/>
      </c>
      <c r="T1571" t="n">
        <v>0</v>
      </c>
      <c r="V1571" t="n">
        <v>0</v>
      </c>
    </row>
    <row r="1572">
      <c r="A1572">
        <f>Skills!A24</f>
        <v/>
      </c>
      <c r="B1572">
        <f>Skills!B24</f>
        <v/>
      </c>
      <c r="C1572">
        <f>Inputs!$B$3&gt;=43</f>
        <v/>
      </c>
      <c r="D1572">
        <f>IF(Skills!C24=1,60+Inputs!$B$25+Inputs!$B$29,IF(Skills!C24=2,90+Inputs!$B$26+Inputs!$B$29,IF(Skills!C24=3,120+Inputs!$B$27+Inputs!$B$29,MAX(0,(Inputs!$B$3-100)*3)+Inputs!$B$28+Inputs!$B$29)))</f>
        <v/>
      </c>
      <c r="E1572">
        <f>INDEX(FactorTable!$B$2:$Y$301, MATCH(ROUND(MIN(300,MAX(1,D1572)),0), FactorTable!$A$2:$A$301,0), Skills!M24+1)</f>
        <v/>
      </c>
      <c r="F1572">
        <f>IF(Skills!N24=TRUE,(Skills!L24/10)*(E1572/1000),Skills!L24/10)+Skills!O24</f>
        <v/>
      </c>
      <c r="G1572">
        <f>Skills!G24*IF(Skills!H24&gt;0,Skills!I24/Skills!H24,1)</f>
        <v/>
      </c>
      <c r="H1572">
        <f>1-(1-Skills!J24/100)^Skills!K24</f>
        <v/>
      </c>
      <c r="I1572" t="inlineStr">
        <is>
          <t>1</t>
        </is>
      </c>
      <c r="J1572" t="inlineStr"/>
      <c r="K1572" t="inlineStr"/>
      <c r="L1572" t="inlineStr"/>
      <c r="M1572" t="inlineStr"/>
      <c r="N1572" t="inlineStr"/>
      <c r="O1572">
        <f>(1-Summary!$B$55)*T1572+Summary!$B$55*V1572</f>
        <v/>
      </c>
      <c r="P1572">
        <f>IF(B1593=0,0,O1572/B1593)</f>
        <v/>
      </c>
      <c r="Q1572" t="n">
        <v>0</v>
      </c>
      <c r="R1572" t="n">
        <v>0</v>
      </c>
      <c r="S1572">
        <f>IFERROR(O1572/N1572,0)</f>
        <v/>
      </c>
      <c r="T1572" t="n">
        <v>0</v>
      </c>
      <c r="V1572" t="n">
        <v>0</v>
      </c>
    </row>
    <row r="1573">
      <c r="A1573">
        <f>Skills!A25</f>
        <v/>
      </c>
      <c r="B1573">
        <f>Skills!B25</f>
        <v/>
      </c>
      <c r="C1573">
        <f>Inputs!$B$3&gt;=50</f>
        <v/>
      </c>
      <c r="D1573">
        <f>IF(Skills!C25=1,60+Inputs!$B$25+Inputs!$B$29,IF(Skills!C25=2,90+Inputs!$B$26+Inputs!$B$29,IF(Skills!C25=3,120+Inputs!$B$27+Inputs!$B$29,MAX(0,(Inputs!$B$3-100)*3)+Inputs!$B$28+Inputs!$B$29)))</f>
        <v/>
      </c>
      <c r="E1573">
        <f>INDEX(FactorTable!$B$2:$Y$301, MATCH(ROUND(MIN(300,MAX(1,D1573)),0), FactorTable!$A$2:$A$301,0), Skills!M25+1)</f>
        <v/>
      </c>
      <c r="F1573">
        <f>IF(Skills!N25=TRUE,(Skills!L25/10)*(E1573/1000),Skills!L25/10)+Skills!O25</f>
        <v/>
      </c>
      <c r="G1573">
        <f>Skills!G25*IF(Skills!H25&gt;0,Skills!I25/Skills!H25,1)</f>
        <v/>
      </c>
      <c r="H1573">
        <f>1-(1-Skills!J25/100)^Skills!K25</f>
        <v/>
      </c>
      <c r="I1573" t="inlineStr">
        <is>
          <t>1</t>
        </is>
      </c>
      <c r="J1573" t="inlineStr"/>
      <c r="K1573" t="inlineStr"/>
      <c r="L1573" t="inlineStr"/>
      <c r="M1573" t="inlineStr"/>
      <c r="N1573" t="inlineStr"/>
      <c r="O1573">
        <f>(1-Summary!$B$55)*T1573+Summary!$B$55*V1573</f>
        <v/>
      </c>
      <c r="P1573">
        <f>IF(B1593=0,0,O1573/B1593)</f>
        <v/>
      </c>
      <c r="Q1573" t="n">
        <v>0</v>
      </c>
      <c r="R1573" t="n">
        <v>0</v>
      </c>
      <c r="S1573">
        <f>IFERROR(O1573/N1573,0)</f>
        <v/>
      </c>
      <c r="T1573" t="n">
        <v>0</v>
      </c>
      <c r="V1573" t="n">
        <v>0</v>
      </c>
    </row>
    <row r="1574">
      <c r="A1574">
        <f>Skills!A26</f>
        <v/>
      </c>
      <c r="B1574">
        <f>Skills!B26</f>
        <v/>
      </c>
      <c r="C1574">
        <f>Inputs!$B$3&gt;=50</f>
        <v/>
      </c>
      <c r="D1574">
        <f>IF(Skills!C26=1,60+Inputs!$B$25+Inputs!$B$29,IF(Skills!C26=2,90+Inputs!$B$26+Inputs!$B$29,IF(Skills!C26=3,120+Inputs!$B$27+Inputs!$B$29,MAX(0,(Inputs!$B$3-100)*3)+Inputs!$B$28+Inputs!$B$29)))</f>
        <v/>
      </c>
      <c r="E1574">
        <f>INDEX(FactorTable!$B$2:$Y$301, MATCH(ROUND(MIN(300,MAX(1,D1574)),0), FactorTable!$A$2:$A$301,0), Skills!M26+1)</f>
        <v/>
      </c>
      <c r="F1574">
        <f>IF(Skills!N26=TRUE,(Skills!L26/10)*(E1574/1000),Skills!L26/10)+Skills!O26</f>
        <v/>
      </c>
      <c r="G1574">
        <f>Skills!G26*IF(Skills!H26&gt;0,Skills!I26/Skills!H26,1)</f>
        <v/>
      </c>
      <c r="H1574">
        <f>1-(1-Skills!J26/100)^Skills!K26</f>
        <v/>
      </c>
      <c r="I1574" t="inlineStr">
        <is>
          <t>1</t>
        </is>
      </c>
      <c r="J1574" t="inlineStr"/>
      <c r="K1574" t="inlineStr"/>
      <c r="L1574" t="inlineStr"/>
      <c r="M1574" t="inlineStr"/>
      <c r="N1574" t="inlineStr"/>
      <c r="O1574">
        <f>(1-Summary!$B$55)*T1574+Summary!$B$55*V1574</f>
        <v/>
      </c>
      <c r="P1574">
        <f>IF(B1593=0,0,O1574/B1593)</f>
        <v/>
      </c>
      <c r="Q1574" t="n">
        <v>0</v>
      </c>
      <c r="R1574" t="n">
        <v>0</v>
      </c>
      <c r="S1574">
        <f>IFERROR(O1574/N1574,0)</f>
        <v/>
      </c>
      <c r="T1574" t="n">
        <v>0</v>
      </c>
      <c r="V1574" t="n">
        <v>0</v>
      </c>
    </row>
    <row r="1575">
      <c r="A1575">
        <f>Skills!A27</f>
        <v/>
      </c>
      <c r="B1575">
        <f>Skills!B27</f>
        <v/>
      </c>
      <c r="C1575">
        <f>Inputs!$B$3&gt;=38</f>
        <v/>
      </c>
      <c r="D1575">
        <f>IF(Skills!C27=1,60+Inputs!$B$25+Inputs!$B$29,IF(Skills!C27=2,90+Inputs!$B$26+Inputs!$B$29,IF(Skills!C27=3,120+Inputs!$B$27+Inputs!$B$29,MAX(0,(Inputs!$B$3-100)*3)+Inputs!$B$28+Inputs!$B$29)))</f>
        <v/>
      </c>
      <c r="E1575">
        <f>INDEX(FactorTable!$B$2:$Y$301, MATCH(ROUND(MIN(300,MAX(1,D1575)),0), FactorTable!$A$2:$A$301,0), Skills!M27+1)</f>
        <v/>
      </c>
      <c r="F1575">
        <f>IF(Skills!N27=TRUE,(Skills!L27/10)*(E1575/1000),Skills!L27/10)+Skills!O27</f>
        <v/>
      </c>
      <c r="G1575">
        <f>Skills!G27*IF(Skills!H27&gt;0,Skills!I27/Skills!H27,1)</f>
        <v/>
      </c>
      <c r="H1575">
        <f>1-(1-Skills!J27/100)^Skills!K27</f>
        <v/>
      </c>
      <c r="I1575" t="inlineStr">
        <is>
          <t>1</t>
        </is>
      </c>
      <c r="J1575" t="inlineStr"/>
      <c r="K1575" t="inlineStr"/>
      <c r="L1575" t="inlineStr"/>
      <c r="M1575" t="inlineStr"/>
      <c r="N1575" t="inlineStr"/>
      <c r="O1575">
        <f>(1-Summary!$B$55)*T1575+Summary!$B$55*V1575</f>
        <v/>
      </c>
      <c r="P1575">
        <f>IF(B1593=0,0,O1575/B1593)</f>
        <v/>
      </c>
      <c r="Q1575" t="n">
        <v>0</v>
      </c>
      <c r="R1575" t="n">
        <v>0</v>
      </c>
      <c r="S1575">
        <f>IFERROR(O1575/N1575,0)</f>
        <v/>
      </c>
      <c r="T1575" t="n">
        <v>0</v>
      </c>
      <c r="V1575" t="n">
        <v>0</v>
      </c>
    </row>
    <row r="1576">
      <c r="A1576">
        <f>Skills!A28</f>
        <v/>
      </c>
      <c r="B1576">
        <f>Skills!B28</f>
        <v/>
      </c>
      <c r="C1576">
        <f>Inputs!$B$3&gt;=120</f>
        <v/>
      </c>
      <c r="D1576">
        <f>IF(Skills!C28=1,60+Inputs!$B$25+Inputs!$B$29,IF(Skills!C28=2,90+Inputs!$B$26+Inputs!$B$29,IF(Skills!C28=3,120+Inputs!$B$27+Inputs!$B$29,MAX(0,(Inputs!$B$3-100)*3)+Inputs!$B$28+Inputs!$B$29)))</f>
        <v/>
      </c>
      <c r="E1576">
        <f>INDEX(FactorTable!$B$2:$Y$301, MATCH(ROUND(MIN(300,MAX(1,D1576)),0), FactorTable!$A$2:$A$301,0), Skills!M28+1)</f>
        <v/>
      </c>
      <c r="F1576">
        <f>IF(Skills!N28=TRUE,(Skills!L28/10)*(E1576/1000),Skills!L28/10)+Skills!O28</f>
        <v/>
      </c>
      <c r="G1576">
        <f>Skills!G28*IF(Skills!H28&gt;0,Skills!I28/Skills!H28,1)</f>
        <v/>
      </c>
      <c r="H1576">
        <f>1-(1-Skills!J28/100)^Skills!K28</f>
        <v/>
      </c>
      <c r="I1576" t="inlineStr">
        <is>
          <t>1</t>
        </is>
      </c>
      <c r="J1576" t="inlineStr"/>
      <c r="K1576" t="inlineStr"/>
      <c r="L1576" t="inlineStr"/>
      <c r="M1576" t="inlineStr"/>
      <c r="N1576" t="inlineStr"/>
      <c r="O1576">
        <f>(1-Summary!$B$55)*T1576+Summary!$B$55*V1576</f>
        <v/>
      </c>
      <c r="P1576">
        <f>IF(B1593=0,0,O1576/B1593)</f>
        <v/>
      </c>
      <c r="Q1576" t="n">
        <v>0</v>
      </c>
      <c r="R1576" t="n">
        <v>0</v>
      </c>
      <c r="S1576">
        <f>IFERROR(O1576/N1576,0)</f>
        <v/>
      </c>
      <c r="T1576" t="n">
        <v>0</v>
      </c>
      <c r="V1576" t="n">
        <v>0</v>
      </c>
    </row>
    <row r="1577">
      <c r="A1577">
        <f>Skills!A29</f>
        <v/>
      </c>
      <c r="B1577">
        <f>Skills!B29</f>
        <v/>
      </c>
      <c r="C1577">
        <f>Inputs!$B$3&gt;=120</f>
        <v/>
      </c>
      <c r="D1577">
        <f>IF(Skills!C29=1,60+Inputs!$B$25+Inputs!$B$29,IF(Skills!C29=2,90+Inputs!$B$26+Inputs!$B$29,IF(Skills!C29=3,120+Inputs!$B$27+Inputs!$B$29,MAX(0,(Inputs!$B$3-100)*3)+Inputs!$B$28+Inputs!$B$29)))</f>
        <v/>
      </c>
      <c r="E1577">
        <f>INDEX(FactorTable!$B$2:$Y$301, MATCH(ROUND(MIN(300,MAX(1,D1577)),0), FactorTable!$A$2:$A$301,0), Skills!M29+1)</f>
        <v/>
      </c>
      <c r="F1577">
        <f>IF(Skills!N29=TRUE,(Skills!L29/10)*(E1577/1000),Skills!L29/10)+Skills!O29</f>
        <v/>
      </c>
      <c r="G1577">
        <f>Skills!G29*IF(Skills!H29&gt;0,Skills!I29/Skills!H29,1)</f>
        <v/>
      </c>
      <c r="H1577">
        <f>1-(1-Skills!J29/100)^Skills!K29</f>
        <v/>
      </c>
      <c r="I1577" t="inlineStr">
        <is>
          <t>1</t>
        </is>
      </c>
      <c r="J1577" t="inlineStr"/>
      <c r="K1577" t="inlineStr"/>
      <c r="L1577" t="inlineStr"/>
      <c r="M1577" t="inlineStr"/>
      <c r="N1577" t="inlineStr"/>
      <c r="O1577">
        <f>(1-Summary!$B$55)*T1577+Summary!$B$55*V1577</f>
        <v/>
      </c>
      <c r="P1577">
        <f>IF(B1593=0,0,O1577/B1593)</f>
        <v/>
      </c>
      <c r="Q1577" t="n">
        <v>0</v>
      </c>
      <c r="R1577" t="n">
        <v>0</v>
      </c>
      <c r="S1577">
        <f>IFERROR(O1577/N1577,0)</f>
        <v/>
      </c>
      <c r="T1577" t="n">
        <v>0</v>
      </c>
      <c r="V1577" t="n">
        <v>0</v>
      </c>
    </row>
    <row r="1578">
      <c r="A1578">
        <f>Skills!A30</f>
        <v/>
      </c>
      <c r="B1578">
        <f>Skills!B30</f>
        <v/>
      </c>
      <c r="C1578">
        <f>Inputs!$B$3&gt;=125</f>
        <v/>
      </c>
      <c r="D1578">
        <f>IF(Skills!C30=1,60+Inputs!$B$25+Inputs!$B$29,IF(Skills!C30=2,90+Inputs!$B$26+Inputs!$B$29,IF(Skills!C30=3,120+Inputs!$B$27+Inputs!$B$29,MAX(0,(Inputs!$B$3-100)*3)+Inputs!$B$28+Inputs!$B$29)))</f>
        <v/>
      </c>
      <c r="E1578">
        <f>INDEX(FactorTable!$B$2:$Y$301, MATCH(ROUND(MIN(300,MAX(1,D1578)),0), FactorTable!$A$2:$A$301,0), Skills!M30+1)</f>
        <v/>
      </c>
      <c r="F1578">
        <f>IF(Skills!N30=TRUE,(Skills!L30/10)*(E1578/1000),Skills!L30/10)+Skills!O30</f>
        <v/>
      </c>
      <c r="G1578">
        <f>Skills!G30*IF(Skills!H30&gt;0,Skills!I30/Skills!H30,1)</f>
        <v/>
      </c>
      <c r="H1578">
        <f>1-(1-Skills!J30/100)^Skills!K30</f>
        <v/>
      </c>
      <c r="I1578" t="inlineStr">
        <is>
          <t>1</t>
        </is>
      </c>
      <c r="J1578" t="inlineStr"/>
      <c r="K1578" t="inlineStr"/>
      <c r="L1578" t="inlineStr"/>
      <c r="M1578" t="inlineStr"/>
      <c r="N1578" t="inlineStr"/>
      <c r="O1578">
        <f>(1-Summary!$B$55)*T1578+Summary!$B$55*V1578</f>
        <v/>
      </c>
      <c r="P1578">
        <f>IF(B1593=0,0,O1578/B1593)</f>
        <v/>
      </c>
      <c r="Q1578" t="n">
        <v>0</v>
      </c>
      <c r="R1578" t="n">
        <v>0</v>
      </c>
      <c r="S1578">
        <f>IFERROR(O1578/N1578,0)</f>
        <v/>
      </c>
      <c r="T1578" t="n">
        <v>0</v>
      </c>
      <c r="V1578" t="n">
        <v>0</v>
      </c>
    </row>
    <row r="1580">
      <c r="A1580" t="inlineStr">
        <is>
          <t>Average Buff Multiplier</t>
        </is>
      </c>
      <c r="B1580">
        <f>(1+(((C1569=TRUE)*F1569*IF(AND(Inputs!$B$39&lt;&gt;"pvp",Inputs!$B$44&gt;0),(((R1569-1)*(Skills!Y21*(1+Inputs!$B$34/100))+MIN((Skills!Y21*(1+Inputs!$B$34/100)),MAX(0,Inputs!$B$44-((R1569-1)*Skills!D21))))/Inputs!$B$44),IF(Inputs!$B$39="pvp",MIN((Skills!Y21*(1+Inputs!$B$34/100)),15)/15,(Skills!Y21*(1+Inputs!$B$34/100))/Skills!D21)))+((C1571=TRUE)*(F1571-Calc!F23))+((C1565=TRUE)*(F1565-Calc!F17)))/100)*(1+((C1558=TRUE)*F1558*IF(AND(Inputs!$B$39&lt;&gt;"pvp",Inputs!$B$44&gt;0),(((R1558-1)*(Skills!Y10*(1+Inputs!$B$34/100))+MIN((Skills!Y10*(1+Inputs!$B$34/100)),MAX(0,Inputs!$B$44-((R1558-1)*Skills!D10))))/Inputs!$B$44),IF(Inputs!$B$39="pvp",MIN((Skills!Y10*(1+Inputs!$B$34/100)),15)/15,(Skills!Y10*(1+Inputs!$B$34/100))/Skills!D10)))/100)*(1+((C1563=TRUE)*F1563*IF(AND(Inputs!$B$39&lt;&gt;"pvp",Inputs!$B$44&gt;0),(((R1563-1)*(Skills!Y15*(1+Inputs!$B$34/100))+MIN((Skills!Y15*(1+Inputs!$B$34/100)),MAX(0,Inputs!$B$44-((R1563-1)*Skills!D15))))/Inputs!$B$44),IF(Inputs!$B$39="pvp",MIN((Skills!Y15*(1+Inputs!$B$34/100)),15)/15,(Skills!Y15*(1+Inputs!$B$34/100))/Skills!D15)))/100)</f>
        <v/>
      </c>
    </row>
    <row r="1581">
      <c r="A1581" t="inlineStr">
        <is>
          <t>Global Crit Rate Bonus %</t>
        </is>
      </c>
      <c r="B1581">
        <f>((C1568=TRUE)*F1568*IF(AND(Inputs!$B$39&lt;&gt;"pvp",Inputs!$B$44&gt;0),(((R1568-1)*(Skills!Y20*(1+Inputs!$B$34/100))+MIN((Skills!Y20*(1+Inputs!$B$34/100)),MAX(0,Inputs!$B$44-((R1568-1)*Skills!D20))))/Inputs!$B$44),IF(Inputs!$B$39="pvp",MIN((Skills!Y20*(1+Inputs!$B$34/100)),15)/15,(Skills!Y20*(1+Inputs!$B$34/100))/Skills!D20)))</f>
        <v/>
      </c>
    </row>
    <row r="1582">
      <c r="A1582" t="inlineStr">
        <is>
          <t>Global Monster Damage-Taken Bonus %</t>
        </is>
      </c>
      <c r="B1582">
        <f>IF(Inputs!$B$3&gt;=82,15,0)</f>
        <v/>
      </c>
    </row>
    <row r="1583">
      <c r="A1583" t="inlineStr">
        <is>
          <t>Shadow Partner Average Multiplier</t>
        </is>
      </c>
      <c r="B1583">
        <f>1+((C1555=TRUE)*F1555*(1+3.3333333333333335*IF(C1566=TRUE,F1566,0)/100)*I1555*Skills!J7/100)/100</f>
        <v/>
      </c>
    </row>
    <row r="1584">
      <c r="A1584" t="inlineStr">
        <is>
          <t>Attack Speed Buff Bonus %</t>
        </is>
      </c>
      <c r="B1584">
        <f>((C1567=TRUE)*F1567*IF(AND(Inputs!$B$39&lt;&gt;"pvp",Inputs!$B$44&gt;0),(((R1567-1)*(Skills!Y19*(1+Inputs!$B$34/100))+MIN((Skills!Y19*(1+Inputs!$B$34/100)),MAX(0,Inputs!$B$44-((R1567-1)*Skills!D19))))/Inputs!$B$44),IF(Inputs!$B$39="pvp",MIN((Skills!Y19*(1+Inputs!$B$34/100)),15)/15,(Skills!Y19*(1+Inputs!$B$34/100))/Skills!D19)))+((C1551=TRUE)*F1551*3)</f>
        <v/>
      </c>
    </row>
    <row r="1585">
      <c r="A1585" t="inlineStr">
        <is>
          <t>Actions Per Second</t>
        </is>
      </c>
      <c r="B1585">
        <f>1+MIN(150,150*(1-(1-(Inputs!$B$11+((C1570=TRUE)*(F1570-Calc!F22)))/150)*(1-B1584/150)))/100</f>
        <v/>
      </c>
    </row>
    <row r="1586">
      <c r="A1586" t="inlineStr">
        <is>
          <t>Skill + Buff Cast Rate</t>
        </is>
      </c>
      <c r="B1586">
        <f>IF(AND(Inputs!$B$39&lt;&gt;"pvp",Inputs!$B$44&gt;0),SUMPRODUCT((Skills!E2:E30=TRUE)*(C1550:C1578=TRUE)*R1550:R1578*Skills!F2:F30)/Inputs!$B$44,SUMPRODUCT((Skills!E2:E30=TRUE)*(C1550:C1578=TRUE)*Q1550:Q1578*Skills!F2:F30))</f>
        <v/>
      </c>
    </row>
    <row r="1587">
      <c r="A1587" t="inlineStr">
        <is>
          <t>Cruel Stab Casts Per Second</t>
        </is>
      </c>
      <c r="B1587">
        <f>MAX(0,B1585-B1586)</f>
        <v/>
      </c>
    </row>
    <row r="1588">
      <c r="A1588" t="inlineStr">
        <is>
          <t>Global Critical Damage Bonus % (Smokescreen Mastery Lv.113)</t>
        </is>
      </c>
      <c r="B1588">
        <f>IF(Inputs!$B$3&gt;=113,30,0)*IF(AND(Inputs!$B$39&lt;&gt;"pvp",Inputs!$B$44&gt;0),(((R1563-1)*(Skills!Y15*(1+Inputs!$B$34/100))+MIN((Skills!Y15*(1+Inputs!$B$34/100)),MAX(0,Inputs!$B$44-((R1563-1)*Skills!D15))))/Inputs!$B$44),IF(Inputs!$B$39="pvp",MIN((Skills!Y15*(1+Inputs!$B$34/100)),15)/15,(Skills!Y15*(1+Inputs!$B$34/100))/Skills!D15))</f>
        <v/>
      </c>
    </row>
    <row r="1589">
      <c r="A1589" t="inlineStr">
        <is>
          <t>Meso Explosion average stack count</t>
        </is>
      </c>
      <c r="B1589">
        <f>MIN(10,0.5*B1585*Skills!D4)</f>
        <v/>
      </c>
    </row>
    <row r="1590">
      <c r="A1590" t="inlineStr">
        <is>
          <t>Blood Money average stack count</t>
        </is>
      </c>
      <c r="B1590">
        <f>MIN(5,0.25*B1585*Skills!D4)</f>
        <v/>
      </c>
    </row>
    <row r="1591">
      <c r="A1591" t="inlineStr">
        <is>
          <t>Assassinate Murderous Intent Multiplier</t>
        </is>
      </c>
      <c r="B1591">
        <f>1+IFERROR(MIN(1,Q1562*2/Q1559),0)</f>
        <v/>
      </c>
    </row>
    <row r="1592">
      <c r="A1592" t="inlineStr">
        <is>
          <t>Buff-Casting Startup Delay (s, fixed-duration only)</t>
        </is>
      </c>
      <c r="B1592">
        <f>IF(AND(Inputs!$B$39&lt;&gt;"pvp",Inputs!$B$44&gt;0),SUMPRODUCT((Skills!Y2:Y30&gt;0)*(Skills!E2:E30=TRUE)*(C1550:C1578=TRUE))/B1585,0)</f>
        <v/>
      </c>
    </row>
    <row r="1593">
      <c r="A1593" s="5" t="inlineStr">
        <is>
          <t>TOTAL DPS</t>
        </is>
      </c>
      <c r="B1593" s="5">
        <f>SUM(O1550:O1578)</f>
        <v/>
      </c>
    </row>
    <row r="1594">
      <c r="A1594" t="inlineStr">
        <is>
          <t>Boss-Only Total DPS (this block's swept value)</t>
        </is>
      </c>
      <c r="B1594">
        <f>SUM(T1550:T1578)</f>
        <v/>
      </c>
    </row>
    <row r="1595">
      <c r="A1595" t="inlineStr">
        <is>
          <t>Normal-Only Total DPS (this block's swept value)</t>
        </is>
      </c>
      <c r="B1595">
        <f>SUM(V1550:V1578)</f>
        <v/>
      </c>
    </row>
    <row r="1598">
      <c r="A1598" s="5" t="inlineStr">
        <is>
          <t>Stat: CDR = 2.5s</t>
        </is>
      </c>
    </row>
    <row r="1599">
      <c r="A1599" s="9" t="inlineStr">
        <is>
          <t>Key</t>
        </is>
      </c>
      <c r="B1599" s="9" t="inlineStr">
        <is>
          <t>Name</t>
        </is>
      </c>
      <c r="C1599" s="9" t="inlineStr">
        <is>
          <t>Unlocked</t>
        </is>
      </c>
      <c r="D1599" s="9" t="inlineStr">
        <is>
          <t>InputLevel</t>
        </is>
      </c>
      <c r="E1599" s="9" t="inlineStr">
        <is>
          <t>Factor</t>
        </is>
      </c>
      <c r="F1599" s="9" t="inlineStr">
        <is>
          <t>CoefficientPercent</t>
        </is>
      </c>
      <c r="G1599" s="9" t="inlineStr">
        <is>
          <t>EffectiveHits</t>
        </is>
      </c>
      <c r="H1599" s="9" t="inlineStr">
        <is>
          <t>ProcProbability</t>
        </is>
      </c>
      <c r="I1599" s="9" t="inlineStr">
        <is>
          <t>MapleHeroMultiplier</t>
        </is>
      </c>
      <c r="J1599" s="9" t="inlineStr">
        <is>
          <t>BaseDamage</t>
        </is>
      </c>
      <c r="K1599" s="9" t="inlineStr">
        <is>
          <t>BaseHitDamage</t>
        </is>
      </c>
      <c r="L1599" s="9" t="inlineStr">
        <is>
          <t>NonCritAvg</t>
        </is>
      </c>
      <c r="M1599" s="9" t="inlineStr">
        <is>
          <t>CritAvg</t>
        </is>
      </c>
      <c r="N1599" s="9" t="inlineStr">
        <is>
          <t>ExpectedDamage(perHit)</t>
        </is>
      </c>
      <c r="O1599" s="9" t="inlineStr">
        <is>
          <t>DPS</t>
        </is>
      </c>
      <c r="P1599" s="9" t="inlineStr">
        <is>
          <t>% of Total</t>
        </is>
      </c>
      <c r="Q1599" s="9" t="inlineStr">
        <is>
          <t>InvCooldown</t>
        </is>
      </c>
      <c r="R1599" s="9" t="inlineStr">
        <is>
          <t>CastsInFight</t>
        </is>
      </c>
      <c r="S1599" s="9" t="inlineStr">
        <is>
          <t>HitRate(perSec)</t>
        </is>
      </c>
      <c r="U1599" t="inlineStr">
        <is>
          <t>helpers</t>
        </is>
      </c>
    </row>
    <row r="1600">
      <c r="A1600">
        <f>Skills!A2</f>
        <v/>
      </c>
      <c r="B1600">
        <f>Skills!B2</f>
        <v/>
      </c>
      <c r="C1600">
        <f>Inputs!$B$3&gt;=100</f>
        <v/>
      </c>
      <c r="D1600" t="inlineStr"/>
      <c r="E1600" t="inlineStr"/>
      <c r="F1600">
        <f>U1602+Skills!O2</f>
        <v/>
      </c>
      <c r="G1600">
        <f>Skills!G2*IF(Skills!H2&gt;0,Skills!I2/Skills!H2,1)</f>
        <v/>
      </c>
      <c r="H1600">
        <f>1-(1-Skills!J2/100)^Skills!K2</f>
        <v/>
      </c>
      <c r="I1600" t="inlineStr">
        <is>
          <t>1</t>
        </is>
      </c>
      <c r="J1600">
        <f>((Inputs!$B$6*(1+Inputs!$B$7/100))+(((Inputs!$B$12*(1+Inputs!$B$13/100))-(Inputs!$B$12*(1+Inputs!$B$13/100)))+0.25*(Inputs!$B$14-Inputs!$B$14))*(1+Inputs!$B$7/100))*(F1600/100)</f>
        <v/>
      </c>
      <c r="K1600">
        <f>J1600*(1+((Inputs!$B$12*(1+Inputs!$B$13/100))*0.01+Inputs!$B$14*0.0025)/100)*(1+Inputs!$B$15/100)*(1+Inputs!$B$16/100)*(5000/(6000+Inputs!$B$43*(1-Inputs!$B$19/100)))*(1+(Inputs!$B$24+((C1628=TRUE)*(F1628-Calc!F30)))/100)*(1+(IF(Skills!A2="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1600)</f>
        <v/>
      </c>
      <c r="L1600">
        <f>K1600*(MIN(Inputs!$B$22+((C1622=TRUE)*(F1622-Calc!F24)),Inputs!$B$23+((C1627=TRUE)*(F1627-Calc!F29)))/100+(Inputs!$B$23+((C1627=TRUE)*(F1627-Calc!F29)))/100)/2</f>
        <v/>
      </c>
      <c r="M1600">
        <f>L1600*(1+(Inputs!$B$10+((C1624=TRUE)*(F1624-Calc!F26))+B1638)/100)</f>
        <v/>
      </c>
      <c r="N1600">
        <f>L1600*(1-MIN((Inputs!$B$9+((C1623=TRUE)*(F1623-Calc!F25))+B1631),100)/100)+M1600*(MIN((Inputs!$B$9+((C1623=TRUE)*(F1623-Calc!F25))+B1631),100)/100)</f>
        <v/>
      </c>
      <c r="O1600">
        <f>(1-Summary!$B$55)*T1600+Summary!$B$55*V1600</f>
        <v/>
      </c>
      <c r="P1600">
        <f>IF(B1643=0,0,O1600/B1643)</f>
        <v/>
      </c>
      <c r="Q1600" t="n">
        <v>0</v>
      </c>
      <c r="R1600" t="n">
        <v>0</v>
      </c>
      <c r="S1600">
        <f>IFERROR(O1600/N1600,0)</f>
        <v/>
      </c>
      <c r="T1600">
        <f>IF(C1600,(Skills!G2*N1600*B1637)*IF(Inputs!$B$39="pvp",1,1+(Inputs!$B$20+0+Skills!P2+B1632)/100),0)</f>
        <v/>
      </c>
      <c r="U1600">
        <f>MAX(0,(Inputs!$B$3-100)*3)+Inputs!$B$28+Inputs!$B$29</f>
        <v/>
      </c>
      <c r="V1600">
        <f>IF(C1600,(Skills!G2*N1600*B1637)*IF(Inputs!$B$39="pvp",1,(1+(Inputs!$B$21+Skills!Q2+B1632)/100)*(MIN((6+Inputs!$B$33),Inputs!$B$37))),0)</f>
        <v/>
      </c>
    </row>
    <row r="1601">
      <c r="A1601">
        <f>Skills!A3</f>
        <v/>
      </c>
      <c r="B1601">
        <f>Skills!B3</f>
        <v/>
      </c>
      <c r="C1601">
        <f>Inputs!$B$3&gt;=35</f>
        <v/>
      </c>
      <c r="D1601">
        <f>IF(Skills!C3=1,60+Inputs!$B$25+Inputs!$B$29,IF(Skills!C3=2,90+Inputs!$B$26+Inputs!$B$29,IF(Skills!C3=3,120+Inputs!$B$27+Inputs!$B$29,MAX(0,(Inputs!$B$3-100)*3)+Inputs!$B$28+Inputs!$B$29)))</f>
        <v/>
      </c>
      <c r="E1601">
        <f>INDEX(FactorTable!$B$2:$Y$301, MATCH(ROUND(MIN(300,MAX(1,D1601)),0), FactorTable!$A$2:$A$301,0), Skills!M3+1)</f>
        <v/>
      </c>
      <c r="F1601">
        <f>IF(Skills!N3=TRUE,(Skills!L3/10)*(E1601/1000),Skills!L3/10)+Skills!O3</f>
        <v/>
      </c>
      <c r="G1601">
        <f>Skills!G3*IF(Skills!H3&gt;0,Skills!I3/Skills!H3,1)</f>
        <v/>
      </c>
      <c r="H1601">
        <f>1-(1-Skills!J3/100)^Skills!K3</f>
        <v/>
      </c>
      <c r="I1601" t="inlineStr">
        <is>
          <t>1</t>
        </is>
      </c>
      <c r="J1601" t="inlineStr"/>
      <c r="K1601" t="inlineStr"/>
      <c r="L1601" t="inlineStr"/>
      <c r="M1601" t="inlineStr"/>
      <c r="N1601" t="inlineStr"/>
      <c r="O1601">
        <f>(1-Summary!$B$55)*T1601+Summary!$B$55*V1601</f>
        <v/>
      </c>
      <c r="P1601">
        <f>IF(B1643=0,0,O1601/B1643)</f>
        <v/>
      </c>
      <c r="Q1601" t="n">
        <v>0</v>
      </c>
      <c r="R1601" t="n">
        <v>0</v>
      </c>
      <c r="S1601">
        <f>IFERROR(O1601/N1601,0)</f>
        <v/>
      </c>
      <c r="T1601" t="n">
        <v>0</v>
      </c>
      <c r="U1601">
        <f>INDEX(FactorTable!$B$2:$Y$301, MATCH(ROUND(MIN(300,MAX(1,U1600)),0), FactorTable!$A$2:$A$301,0), 22)</f>
        <v/>
      </c>
      <c r="V1601" t="n">
        <v>0</v>
      </c>
    </row>
    <row r="1602">
      <c r="A1602">
        <f>Skills!A4</f>
        <v/>
      </c>
      <c r="B1602">
        <f>Skills!B4</f>
        <v/>
      </c>
      <c r="C1602">
        <f>Inputs!$B$3&gt;=66</f>
        <v/>
      </c>
      <c r="D1602">
        <f>IF(Skills!C4=1,60+Inputs!$B$25+Inputs!$B$29,IF(Skills!C4=2,90+Inputs!$B$26+Inputs!$B$29,IF(Skills!C4=3,120+Inputs!$B$27+Inputs!$B$29,MAX(0,(Inputs!$B$3-100)*3)+Inputs!$B$28+Inputs!$B$29)))</f>
        <v/>
      </c>
      <c r="E1602">
        <f>INDEX(FactorTable!$B$2:$Y$301, MATCH(ROUND(MIN(300,MAX(1,D1602)),0), FactorTable!$A$2:$A$301,0), Skills!M4+1)</f>
        <v/>
      </c>
      <c r="F1602">
        <f>IF(Skills!N4=TRUE,(Skills!L4/10)*(E1602/1000),Skills!L4/10)+Skills!O4</f>
        <v/>
      </c>
      <c r="G1602">
        <f>Skills!G4*IF(Skills!H4&gt;0,Skills!I4/Skills!H4,1)</f>
        <v/>
      </c>
      <c r="H1602">
        <f>1-(1-Skills!J4/100)^Skills!K4</f>
        <v/>
      </c>
      <c r="I1602" t="inlineStr">
        <is>
          <t>1</t>
        </is>
      </c>
      <c r="J1602">
        <f>((Inputs!$B$6*(1+Inputs!$B$7/100))+(((Inputs!$B$12*(1+Inputs!$B$13/100))-(Inputs!$B$12*(1+Inputs!$B$13/100)))+0.25*(Inputs!$B$14-Inputs!$B$14))*(1+Inputs!$B$7/100))*(F1602/100)</f>
        <v/>
      </c>
      <c r="K1602">
        <f>J1602*(1+((Inputs!$B$12*(1+Inputs!$B$13/100))*0.01+Inputs!$B$14*0.0025)/100)*(1+Inputs!$B$15/100)*(1+Inputs!$B$16/100)*(5000/(6000+Inputs!$B$43*(1-Inputs!$B$19/100)))*(1+(Inputs!$B$24+((C1628=TRUE)*(F1628-Calc!F30)))/100)*(1+(IF(Skills!A4="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1602)</f>
        <v/>
      </c>
      <c r="L1602">
        <f>K1602*(MIN(Inputs!$B$22+((C1622=TRUE)*(F1622-Calc!F24)),Inputs!$B$23+((C1627=TRUE)*(F1627-Calc!F29)))/100+(Inputs!$B$23+((C1627=TRUE)*(F1627-Calc!F29)))/100)/2</f>
        <v/>
      </c>
      <c r="M1602">
        <f>L1602*(1+(Inputs!$B$10+((C1624=TRUE)*(F1624-Calc!F26))+B1638)/100)</f>
        <v/>
      </c>
      <c r="N1602">
        <f>L1602*(1-MIN((Inputs!$B$9+((C1623=TRUE)*(F1623-Calc!F25))+B1631),100)/100)+M1602*(MIN((Inputs!$B$9+((C1623=TRUE)*(F1623-Calc!F25))+B1631),100)/100)</f>
        <v/>
      </c>
      <c r="O1602">
        <f>(1-Summary!$B$55)*T1602+Summary!$B$55*V1602</f>
        <v/>
      </c>
      <c r="P1602">
        <f>IF(B1643=0,0,O1602/B1643)</f>
        <v/>
      </c>
      <c r="Q1602">
        <f>IFERROR(1/IF(Inputs!$B$39="pvp",15,MAX(0.1,Skills!D4-IF(Skills!E4=TRUE,2.5,0))),0)</f>
        <v/>
      </c>
      <c r="R1602">
        <f>IF(AND(Inputs!$B$39&lt;&gt;"pvp",Inputs!$B$44&gt;0),IF(MAX(0,Inputs!$B$44-B1642)&lt;=0,0,(INT(MAX(0,Inputs!$B$44-B1642)/IF(Inputs!$B$39="pvp",15,MAX(0.1,Skills!D4-IF(Skills!E4=TRUE,2.5,0))))+1)),0)</f>
        <v/>
      </c>
      <c r="S1602">
        <f>IFERROR(O1602/N1602,0)</f>
        <v/>
      </c>
      <c r="T1602">
        <f>IF(C1602,(H1602*N1602*IF(AND(Inputs!$B$39&lt;&gt;"pvp",Inputs!$B$44&gt;0),((Skills!G4*((R1602-1)*IF(Skills!H4&gt;0,Skills!I4/Skills!H4,1)+IF(Skills!H4&gt;0,MIN(Skills!I4,MAX(0,MAX(0,Inputs!$B$44-B1642)-((R1602-1)*IF(Inputs!$B$39="pvp",15,MAX(0.1,Skills!D4-IF(Skills!E4=TRUE,2.5,0))))))/Skills!H4,1)))/Inputs!$B$44),G1602*Q1602))*IF(Inputs!$B$39="pvp",1,1+(Inputs!$B$20+0+Skills!P4+B1632)/100),0)</f>
        <v/>
      </c>
      <c r="U1602">
        <f>290*U1601/1000</f>
        <v/>
      </c>
      <c r="V1602">
        <f>IF(C1602,(H1602*N1602*IF(AND(Inputs!$B$39&lt;&gt;"pvp",Inputs!$B$44&gt;0),((Skills!G4*((R1602-1)*IF(Skills!H4&gt;0,Skills!I4/Skills!H4,1)+IF(Skills!H4&gt;0,MIN(Skills!I4,MAX(0,MAX(0,Inputs!$B$44-B1642)-((R1602-1)*IF(Inputs!$B$39="pvp",15,MAX(0.1,Skills!D4-IF(Skills!E4=TRUE,2.5,0))))))/Skills!H4,1)))/Inputs!$B$44),G1602*Q1602))*IF(Inputs!$B$39="pvp",1,(1+(Inputs!$B$21+Skills!Q4+B1632)/100)*(MIN(MIN(10,0.5*B1635*Skills!D4),Inputs!$B$37))),0)</f>
        <v/>
      </c>
    </row>
    <row r="1603">
      <c r="A1603">
        <f>Skills!A5</f>
        <v/>
      </c>
      <c r="B1603">
        <f>Skills!B5</f>
        <v/>
      </c>
      <c r="C1603">
        <f>Inputs!$B$3&gt;=63</f>
        <v/>
      </c>
      <c r="D1603">
        <f>IF(Skills!C5=1,60+Inputs!$B$25+Inputs!$B$29,IF(Skills!C5=2,90+Inputs!$B$26+Inputs!$B$29,IF(Skills!C5=3,120+Inputs!$B$27+Inputs!$B$29,MAX(0,(Inputs!$B$3-100)*3)+Inputs!$B$28+Inputs!$B$29)))</f>
        <v/>
      </c>
      <c r="E1603">
        <f>INDEX(FactorTable!$B$2:$Y$301, MATCH(ROUND(MIN(300,MAX(1,D1603)),0), FactorTable!$A$2:$A$301,0), Skills!M5+1)</f>
        <v/>
      </c>
      <c r="F1603">
        <f>IF(Skills!N5=TRUE,(Skills!L5/10)*(E1603/1000),Skills!L5/10)+Skills!O5</f>
        <v/>
      </c>
      <c r="G1603">
        <f>Skills!G5*IF(Skills!H5&gt;0,Skills!I5/Skills!H5,1)</f>
        <v/>
      </c>
      <c r="H1603">
        <f>1-(1-Skills!J5/100)^Skills!K5</f>
        <v/>
      </c>
      <c r="I1603" t="inlineStr">
        <is>
          <t>1</t>
        </is>
      </c>
      <c r="J1603">
        <f>((Inputs!$B$6*(1+Inputs!$B$7/100))+(((Inputs!$B$12*(1+Inputs!$B$13/100))-(Inputs!$B$12*(1+Inputs!$B$13/100)))+0.25*(Inputs!$B$14-Inputs!$B$14))*(1+Inputs!$B$7/100))*(F1603/100)</f>
        <v/>
      </c>
      <c r="K1603">
        <f>J1603*(1+((Inputs!$B$12*(1+Inputs!$B$13/100))*0.01+Inputs!$B$14*0.0025)/100)*(1+Inputs!$B$15/100)*(1+Inputs!$B$16/100)*(5000/(6000+Inputs!$B$43*(1-Inputs!$B$19/100)))*(1+(Inputs!$B$24+((C1628=TRUE)*(F1628-Calc!F30)))/100)*(1+2.6666666666666665*IF(C1616=TRUE,F1616,0)/100)*(1+(IF(Skills!A5="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1603)</f>
        <v/>
      </c>
      <c r="L1603">
        <f>K1603*(MIN(Inputs!$B$22+((C1622=TRUE)*(F1622-Calc!F24)),Inputs!$B$23+((C1627=TRUE)*(F1627-Calc!F29)))/100+(Inputs!$B$23+((C1627=TRUE)*(F1627-Calc!F29)))/100)/2</f>
        <v/>
      </c>
      <c r="M1603">
        <f>L1603*(1+(Inputs!$B$10+((C1624=TRUE)*(F1624-Calc!F26))+B1638)/100)</f>
        <v/>
      </c>
      <c r="N1603">
        <f>L1603*(1-MIN((Inputs!$B$9+((C1623=TRUE)*(F1623-Calc!F25))+B1631),100)/100)+M1603*(MIN((Inputs!$B$9+((C1623=TRUE)*(F1623-Calc!F25))+B1631),100)/100)</f>
        <v/>
      </c>
      <c r="O1603">
        <f>(1-Summary!$B$55)*T1603+Summary!$B$55*V1603</f>
        <v/>
      </c>
      <c r="P1603">
        <f>IF(B1643=0,0,O1603/B1643)</f>
        <v/>
      </c>
      <c r="Q1603">
        <f>IFERROR(1/IF(Inputs!$B$39="pvp",15,MAX(0.1,Skills!D5-IF(Skills!E5=TRUE,2.5,0))),0)</f>
        <v/>
      </c>
      <c r="R1603">
        <f>IF(AND(Inputs!$B$39&lt;&gt;"pvp",Inputs!$B$44&gt;0),IF(MAX(0,Inputs!$B$44-B1642)&lt;=0,0,(INT(MAX(0,Inputs!$B$44-B1642)/IF(Inputs!$B$39="pvp",15,MAX(0.1,Skills!D5-IF(Skills!E5=TRUE,2.5,0))))+1)),0)</f>
        <v/>
      </c>
      <c r="S1603">
        <f>IFERROR(O1603/N1603,0)</f>
        <v/>
      </c>
      <c r="T1603">
        <f>IF(C1603,(H1603*N1603*IF(AND(Inputs!$B$39&lt;&gt;"pvp",Inputs!$B$44&gt;0),((Skills!G5*((R1603-1)*IF(Skills!H5&gt;0,Skills!I5/Skills!H5,1)+IF(Skills!H5&gt;0,MIN(Skills!I5,MAX(0,MAX(0,Inputs!$B$44-B1642)-((R1603-1)*IF(Inputs!$B$39="pvp",15,MAX(0.1,Skills!D5-IF(Skills!E5=TRUE,2.5,0))))))/Skills!H5,1)))/Inputs!$B$44),G1603*Q1603))*IF(Inputs!$B$39="pvp",1,1+(Inputs!$B$20+0+Skills!P5+B1632)/100),0)</f>
        <v/>
      </c>
      <c r="V1603">
        <f>IF(C1603,(H1603*N1603*IF(AND(Inputs!$B$39&lt;&gt;"pvp",Inputs!$B$44&gt;0),((Skills!G5*((R1603-1)*IF(Skills!H5&gt;0,Skills!I5/Skills!H5,1)+IF(Skills!H5&gt;0,MIN(Skills!I5,MAX(0,MAX(0,Inputs!$B$44-B1642)-((R1603-1)*IF(Inputs!$B$39="pvp",15,MAX(0.1,Skills!D5-IF(Skills!E5=TRUE,2.5,0))))))/Skills!H5,1)))/Inputs!$B$44),G1603*Q1603))*IF(Inputs!$B$39="pvp",1,(1+(Inputs!$B$21+Skills!Q5+B1632)/100)*(MIN(Skills!W5,Inputs!$B$37))),0)</f>
        <v/>
      </c>
    </row>
    <row r="1604">
      <c r="A1604">
        <f>Skills!A6</f>
        <v/>
      </c>
      <c r="B1604">
        <f>Skills!B6</f>
        <v/>
      </c>
      <c r="C1604">
        <f>Inputs!$B$3&gt;=69</f>
        <v/>
      </c>
      <c r="D1604">
        <f>IF(Skills!C6=1,60+Inputs!$B$25+Inputs!$B$29,IF(Skills!C6=2,90+Inputs!$B$26+Inputs!$B$29,IF(Skills!C6=3,120+Inputs!$B$27+Inputs!$B$29,MAX(0,(Inputs!$B$3-100)*3)+Inputs!$B$28+Inputs!$B$29)))</f>
        <v/>
      </c>
      <c r="E1604">
        <f>INDEX(FactorTable!$B$2:$Y$301, MATCH(ROUND(MIN(300,MAX(1,D1604)),0), FactorTable!$A$2:$A$301,0), Skills!M6+1)</f>
        <v/>
      </c>
      <c r="F1604">
        <f>IF(Skills!N6=TRUE,(Skills!L6/10)*(E1604/1000),Skills!L6/10)+Skills!O6</f>
        <v/>
      </c>
      <c r="G1604">
        <f>Skills!G6*IF(Skills!H6&gt;0,Skills!I6/Skills!H6,1)</f>
        <v/>
      </c>
      <c r="H1604">
        <f>1-(1-Skills!J6/100)^Skills!K6</f>
        <v/>
      </c>
      <c r="I1604" t="inlineStr">
        <is>
          <t>1</t>
        </is>
      </c>
      <c r="J1604">
        <f>((Inputs!$B$6*(1+Inputs!$B$7/100))+(((Inputs!$B$12*(1+Inputs!$B$13/100))-(Inputs!$B$12*(1+Inputs!$B$13/100)))+0.25*(Inputs!$B$14-Inputs!$B$14))*(1+Inputs!$B$7/100))*(F1604/100)</f>
        <v/>
      </c>
      <c r="K1604">
        <f>J1604*(1+((Inputs!$B$12*(1+Inputs!$B$13/100))*0.01+Inputs!$B$14*0.0025)/100)*(1+Inputs!$B$15/100)*(1+Inputs!$B$16/100)*(5000/(6000+Inputs!$B$43*(1-Inputs!$B$19/100)))*(1+(Inputs!$B$24+((C1628=TRUE)*(F1628-Calc!F30)))/100)*(1+1.0*IF(C1616=TRUE,F1616,0)/100)*(1+(IF(Skills!A6="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1604)</f>
        <v/>
      </c>
      <c r="L1604">
        <f>K1604*(MIN(Inputs!$B$22+((C1622=TRUE)*(F1622-Calc!F24)),Inputs!$B$23+((C1627=TRUE)*(F1627-Calc!F29)))/100+(Inputs!$B$23+((C1627=TRUE)*(F1627-Calc!F29)))/100)/2</f>
        <v/>
      </c>
      <c r="M1604">
        <f>L1604*(1+(Inputs!$B$10+((C1624=TRUE)*(F1624-Calc!F26))+B1638)/100)</f>
        <v/>
      </c>
      <c r="N1604">
        <f>L1604*(1-MIN((Inputs!$B$9+((C1623=TRUE)*(F1623-Calc!F25))+B1631),100)/100)+M1604*(MIN((Inputs!$B$9+((C1623=TRUE)*(F1623-Calc!F25))+B1631),100)/100)</f>
        <v/>
      </c>
      <c r="O1604">
        <f>(1-Summary!$B$55)*T1604+Summary!$B$55*V1604</f>
        <v/>
      </c>
      <c r="P1604">
        <f>IF(B1643=0,0,O1604/B1643)</f>
        <v/>
      </c>
      <c r="Q1604">
        <f>IFERROR(1/IF(Inputs!$B$39="pvp",15,MAX(0.1,Skills!D6-IF(Skills!E6=TRUE,2.5,0))),0)</f>
        <v/>
      </c>
      <c r="R1604">
        <f>IF(AND(Inputs!$B$39&lt;&gt;"pvp",Inputs!$B$44&gt;0),IF(MAX(0,Inputs!$B$44-B1642)&lt;=0,0,(INT(MAX(0,Inputs!$B$44-B1642)/IF(Inputs!$B$39="pvp",15,MAX(0.1,Skills!D6-IF(Skills!E6=TRUE,2.5,0))))+1)),0)</f>
        <v/>
      </c>
      <c r="S1604">
        <f>IFERROR(O1604/N1604,0)</f>
        <v/>
      </c>
      <c r="T1604">
        <f>IF(C1604,(H1604*N1604*IF(AND(Inputs!$B$39&lt;&gt;"pvp",Inputs!$B$44&gt;0),((Skills!G6*((R1604-1)*IF(Skills!H6&gt;0,Skills!I6/Skills!H6,1)+IF(Skills!H6&gt;0,MIN(Skills!I6,MAX(0,MAX(0,Inputs!$B$44-B1642)-((R1604-1)*IF(Inputs!$B$39="pvp",15,MAX(0.1,Skills!D6-IF(Skills!E6=TRUE,2.5,0))))))/Skills!H6,1)))/Inputs!$B$44),G1604*Q1604))*IF(Inputs!$B$39="pvp",1,1+(Inputs!$B$20+0+Skills!P6+B1632)/100),0)</f>
        <v/>
      </c>
      <c r="V1604">
        <f>IF(C1604,(H1604*N1604*IF(AND(Inputs!$B$39&lt;&gt;"pvp",Inputs!$B$44&gt;0),((Skills!G6*((R1604-1)*IF(Skills!H6&gt;0,Skills!I6/Skills!H6,1)+IF(Skills!H6&gt;0,MIN(Skills!I6,MAX(0,MAX(0,Inputs!$B$44-B1642)-((R1604-1)*IF(Inputs!$B$39="pvp",15,MAX(0.1,Skills!D6-IF(Skills!E6=TRUE,2.5,0))))))/Skills!H6,1)))/Inputs!$B$44),G1604*Q1604))*IF(Inputs!$B$39="pvp",1,(1+(Inputs!$B$21+Skills!Q6+B1632)/100)*(MIN(Skills!W6,Inputs!$B$37))),0)</f>
        <v/>
      </c>
    </row>
    <row r="1605">
      <c r="A1605">
        <f>Skills!A7</f>
        <v/>
      </c>
      <c r="B1605">
        <f>Skills!B7</f>
        <v/>
      </c>
      <c r="C1605">
        <f>Inputs!$B$3&gt;=60</f>
        <v/>
      </c>
      <c r="D1605">
        <f>IF(Skills!C7=1,60+Inputs!$B$25+Inputs!$B$29,IF(Skills!C7=2,90+Inputs!$B$26+Inputs!$B$29,IF(Skills!C7=3,120+Inputs!$B$27+Inputs!$B$29,MAX(0,(Inputs!$B$3-100)*3)+Inputs!$B$28+Inputs!$B$29)))</f>
        <v/>
      </c>
      <c r="E1605">
        <f>INDEX(FactorTable!$B$2:$Y$301, MATCH(ROUND(MIN(300,MAX(1,D1605)),0), FactorTable!$A$2:$A$301,0), Skills!M7+1)</f>
        <v/>
      </c>
      <c r="F1605">
        <f>IF(Skills!N7=TRUE,(Skills!L7/10)*(E1605/1000),Skills!L7/10)+Skills!O7</f>
        <v/>
      </c>
      <c r="G1605">
        <f>Skills!G7*IF(Skills!H7&gt;0,Skills!I7/Skills!H7,1)</f>
        <v/>
      </c>
      <c r="H1605">
        <f>1-(1-Skills!J7/100)^Skills!K7</f>
        <v/>
      </c>
      <c r="I1605" t="inlineStr">
        <is>
          <t>1</t>
        </is>
      </c>
      <c r="J1605" t="inlineStr"/>
      <c r="K1605" t="inlineStr"/>
      <c r="L1605" t="inlineStr"/>
      <c r="M1605" t="inlineStr"/>
      <c r="N1605" t="inlineStr"/>
      <c r="O1605">
        <f>(1-Summary!$B$55)*T1605+Summary!$B$55*V1605</f>
        <v/>
      </c>
      <c r="P1605">
        <f>IF(B1643=0,0,O1605/B1643)</f>
        <v/>
      </c>
      <c r="Q1605" t="n">
        <v>0</v>
      </c>
      <c r="R1605" t="n">
        <v>0</v>
      </c>
      <c r="S1605">
        <f>IFERROR(O1605/N1605,0)</f>
        <v/>
      </c>
      <c r="T1605" t="n">
        <v>0</v>
      </c>
      <c r="V1605" t="n">
        <v>0</v>
      </c>
    </row>
    <row r="1606">
      <c r="A1606">
        <f>Skills!A8</f>
        <v/>
      </c>
      <c r="B1606">
        <f>Skills!B8</f>
        <v/>
      </c>
      <c r="C1606">
        <f>Inputs!$B$3&gt;=72</f>
        <v/>
      </c>
      <c r="D1606">
        <f>IF(Skills!C8=1,60+Inputs!$B$25+Inputs!$B$29,IF(Skills!C8=2,90+Inputs!$B$26+Inputs!$B$29,IF(Skills!C8=3,120+Inputs!$B$27+Inputs!$B$29,MAX(0,(Inputs!$B$3-100)*3)+Inputs!$B$28+Inputs!$B$29)))</f>
        <v/>
      </c>
      <c r="E1606">
        <f>INDEX(FactorTable!$B$2:$Y$301, MATCH(ROUND(MIN(300,MAX(1,D1606)),0), FactorTable!$A$2:$A$301,0), Skills!M8+1)</f>
        <v/>
      </c>
      <c r="F1606">
        <f>IF(Skills!N8=TRUE,(Skills!L8/10)*(E1606/1000),Skills!L8/10)+Skills!O8</f>
        <v/>
      </c>
      <c r="G1606">
        <f>Skills!G8*IF(Skills!H8&gt;0,Skills!I8/Skills!H8,1)</f>
        <v/>
      </c>
      <c r="H1606">
        <f>1-(1-Skills!J8/100)^Skills!K8</f>
        <v/>
      </c>
      <c r="I1606" t="inlineStr">
        <is>
          <t>1</t>
        </is>
      </c>
      <c r="J1606">
        <f>((Inputs!$B$6*(1+Inputs!$B$7/100))+(((Inputs!$B$12*(1+Inputs!$B$13/100))-(Inputs!$B$12*(1+Inputs!$B$13/100)))+0.25*(Inputs!$B$14-Inputs!$B$14))*(1+Inputs!$B$7/100))*(F1606/100)</f>
        <v/>
      </c>
      <c r="K1606">
        <f>J1606*(1+((Inputs!$B$12*(1+Inputs!$B$13/100))*0.01+Inputs!$B$14*0.0025)/100)*(1+Inputs!$B$15/100)*(1+Inputs!$B$16/100)*(5000/(6000+Inputs!$B$43*(1-Inputs!$B$19/100)))*(1+(Inputs!$B$24+((C1628=TRUE)*(F1628-Calc!F30)))/100)*(1+3.3333333333333335*IF(C1616=TRUE,F1616,0)/100)*(1+(IF(Skills!A8="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1606)</f>
        <v/>
      </c>
      <c r="L1606">
        <f>K1606*(MIN(Inputs!$B$22+((C1622=TRUE)*(F1622-Calc!F24)),Inputs!$B$23+((C1627=TRUE)*(F1627-Calc!F29)))/100+(Inputs!$B$23+((C1627=TRUE)*(F1627-Calc!F29)))/100)/2</f>
        <v/>
      </c>
      <c r="M1606">
        <f>L1606*(1+(Inputs!$B$10+((C1624=TRUE)*(F1624-Calc!F26))+B1638)/100)</f>
        <v/>
      </c>
      <c r="N1606">
        <f>L1606*(1-MIN((Inputs!$B$9+((C1623=TRUE)*(F1623-Calc!F25))+B1631),100)/100)+M1606*(MIN((Inputs!$B$9+((C1623=TRUE)*(F1623-Calc!F25))+B1631),100)/100)</f>
        <v/>
      </c>
      <c r="O1606">
        <f>(1-Summary!$B$55)*T1606+Summary!$B$55*V1606</f>
        <v/>
      </c>
      <c r="P1606">
        <f>IF(B1643=0,0,O1606/B1643)</f>
        <v/>
      </c>
      <c r="Q1606">
        <f>IFERROR(1/IF(Inputs!$B$39="pvp",15,MAX(0.1,Skills!D8-IF(Skills!E8=TRUE,2.5,0))),0)</f>
        <v/>
      </c>
      <c r="R1606">
        <f>IF(AND(Inputs!$B$39&lt;&gt;"pvp",Inputs!$B$44&gt;0),IF(MAX(0,Inputs!$B$44-B1642)&lt;=0,0,(INT(MAX(0,Inputs!$B$44-B1642)/IF(Inputs!$B$39="pvp",15,MAX(0.1,Skills!D8-IF(Skills!E8=TRUE,2.5,0))))+1)),0)</f>
        <v/>
      </c>
      <c r="S1606">
        <f>IFERROR(O1606/N1606,0)</f>
        <v/>
      </c>
      <c r="T1606">
        <f>IF(C1606,(H1606*N1606*IF(AND(Inputs!$B$39&lt;&gt;"pvp",Inputs!$B$44&gt;0),((Skills!G8*((R1606-1)*IF(Skills!H8&gt;0,Skills!I8/Skills!H8,1)+IF(Skills!H8&gt;0,MIN(Skills!I8,MAX(0,MAX(0,Inputs!$B$44-B1642)-((R1606-1)*IF(Inputs!$B$39="pvp",15,MAX(0.1,Skills!D8-IF(Skills!E8=TRUE,2.5,0))))))/Skills!H8,1)))/Inputs!$B$44),G1606*Q1606))*IF(Inputs!$B$39="pvp",1,1+(Inputs!$B$20+0+Skills!P8+B1632)/100),0)</f>
        <v/>
      </c>
      <c r="V1606">
        <f>IF(C1606,(H1606*N1606*IF(AND(Inputs!$B$39&lt;&gt;"pvp",Inputs!$B$44&gt;0),((Skills!G8*((R1606-1)*IF(Skills!H8&gt;0,Skills!I8/Skills!H8,1)+IF(Skills!H8&gt;0,MIN(Skills!I8,MAX(0,MAX(0,Inputs!$B$44-B1642)-((R1606-1)*IF(Inputs!$B$39="pvp",15,MAX(0.1,Skills!D8-IF(Skills!E8=TRUE,2.5,0))))))/Skills!H8,1)))/Inputs!$B$44),G1606*Q1606))*IF(Inputs!$B$39="pvp",1,(1+(Inputs!$B$21+Skills!Q8+B1632)/100)*(MIN(Skills!W8,Inputs!$B$37))),0)</f>
        <v/>
      </c>
    </row>
    <row r="1607">
      <c r="A1607">
        <f>Skills!A9</f>
        <v/>
      </c>
      <c r="B1607">
        <f>Skills!B9</f>
        <v/>
      </c>
      <c r="C1607">
        <f>Inputs!$B$3&gt;=117</f>
        <v/>
      </c>
      <c r="D1607">
        <f>IF(Skills!C9=1,60+Inputs!$B$25+Inputs!$B$29,IF(Skills!C9=2,90+Inputs!$B$26+Inputs!$B$29,IF(Skills!C9=3,120+Inputs!$B$27+Inputs!$B$29,MAX(0,(Inputs!$B$3-100)*3)+Inputs!$B$28+Inputs!$B$29)))</f>
        <v/>
      </c>
      <c r="E1607">
        <f>INDEX(FactorTable!$B$2:$Y$301, MATCH(ROUND(MIN(300,MAX(1,D1607)),0), FactorTable!$A$2:$A$301,0), Skills!M9+1)</f>
        <v/>
      </c>
      <c r="F1607">
        <f>IF(Skills!N9=TRUE,(Skills!L9/10)*(E1607/1000),Skills!L9/10)+Skills!O9</f>
        <v/>
      </c>
      <c r="G1607">
        <f>Skills!G9*IF(Skills!H9&gt;0,Skills!I9/Skills!H9,1)</f>
        <v/>
      </c>
      <c r="H1607">
        <f>1-(1-Skills!J9/100)^Skills!K9</f>
        <v/>
      </c>
      <c r="I1607" t="inlineStr">
        <is>
          <t>1</t>
        </is>
      </c>
      <c r="J1607">
        <f>((Inputs!$B$6*(1+Inputs!$B$7/100))+(((Inputs!$B$12*(1+Inputs!$B$13/100))-(Inputs!$B$12*(1+Inputs!$B$13/100)))+0.25*(Inputs!$B$14-Inputs!$B$14))*(1+Inputs!$B$7/100))*(F1607/100)</f>
        <v/>
      </c>
      <c r="K1607">
        <f>J1607*(1+((Inputs!$B$12*(1+Inputs!$B$13/100))*0.01+Inputs!$B$14*0.0025)/100)*(1+Inputs!$B$15/100)*(1+Inputs!$B$16/100)*(5000/(6000+Inputs!$B$43*(1-Inputs!$B$19/100)))*(1+(Inputs!$B$24+((C1628=TRUE)*(F1628-Calc!F30)))/100)*(1+(IF(Skills!A9="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1607)</f>
        <v/>
      </c>
      <c r="L1607">
        <f>K1607*(MIN(Inputs!$B$22+((C1622=TRUE)*(F1622-Calc!F24)),Inputs!$B$23+((C1627=TRUE)*(F1627-Calc!F29)))/100+(Inputs!$B$23+((C1627=TRUE)*(F1627-Calc!F29)))/100)/2</f>
        <v/>
      </c>
      <c r="M1607">
        <f>L1607*(1+(Inputs!$B$10+((C1624=TRUE)*(F1624-Calc!F26))+B1638)/100)</f>
        <v/>
      </c>
      <c r="N1607">
        <f>L1607*(1-MIN((Inputs!$B$9+((C1623=TRUE)*(F1623-Calc!F25))+B1631),100)/100)+M1607*(MIN((Inputs!$B$9+((C1623=TRUE)*(F1623-Calc!F25))+B1631),100)/100)</f>
        <v/>
      </c>
      <c r="O1607">
        <f>(1-Summary!$B$55)*T1607+Summary!$B$55*V1607</f>
        <v/>
      </c>
      <c r="P1607">
        <f>IF(B1643=0,0,O1607/B1643)</f>
        <v/>
      </c>
      <c r="Q1607" t="n">
        <v>0</v>
      </c>
      <c r="R1607" t="n">
        <v>0</v>
      </c>
      <c r="S1607" t="n">
        <v>0</v>
      </c>
      <c r="T1607">
        <f>IF(C1607,(0.2*SUMPRODUCT((Skills!Z2:Z30=TRUE)*(C1600:C1628=TRUE)*S1600:S1628)*N1607)*IF(Inputs!$B$39="pvp",1,1+(Inputs!$B$20+0+Skills!P9+B1632)/100),0)</f>
        <v/>
      </c>
      <c r="V1607">
        <f>IF(C1607,(0.2*SUMPRODUCT((Skills!Z2:Z30=TRUE)*(C1600:C1628=TRUE)*S1600:S1628)*N1607)*IF(Inputs!$B$39="pvp",1,(1+(Inputs!$B$21+Skills!Q9+B1632)/100)*(MIN(Skills!W9,Inputs!$B$37))),0)</f>
        <v/>
      </c>
    </row>
    <row r="1608">
      <c r="A1608">
        <f>Skills!A10</f>
        <v/>
      </c>
      <c r="B1608">
        <f>Skills!B10</f>
        <v/>
      </c>
      <c r="C1608">
        <f>Inputs!$B$3&gt;=74</f>
        <v/>
      </c>
      <c r="D1608">
        <f>IF(Skills!C10=1,60+Inputs!$B$25+Inputs!$B$29,IF(Skills!C10=2,90+Inputs!$B$26+Inputs!$B$29,IF(Skills!C10=3,120+Inputs!$B$27+Inputs!$B$29,MAX(0,(Inputs!$B$3-100)*3)+Inputs!$B$28+Inputs!$B$29)))</f>
        <v/>
      </c>
      <c r="E1608">
        <f>INDEX(FactorTable!$B$2:$Y$301, MATCH(ROUND(MIN(300,MAX(1,D1608)),0), FactorTable!$A$2:$A$301,0), Skills!M10+1)</f>
        <v/>
      </c>
      <c r="F1608">
        <f>IF(Skills!N10=TRUE,(Skills!L10/10)*(E1608/1000),Skills!L10/10)+Skills!O10</f>
        <v/>
      </c>
      <c r="G1608">
        <f>Skills!G10*IF(Skills!H10&gt;0,Skills!I10/Skills!H10,1)</f>
        <v/>
      </c>
      <c r="H1608">
        <f>1-(1-Skills!J10/100)^Skills!K10</f>
        <v/>
      </c>
      <c r="I1608" t="inlineStr">
        <is>
          <t>1</t>
        </is>
      </c>
      <c r="J1608" t="inlineStr"/>
      <c r="K1608" t="inlineStr"/>
      <c r="L1608" t="inlineStr"/>
      <c r="M1608" t="inlineStr"/>
      <c r="N1608" t="inlineStr"/>
      <c r="O1608">
        <f>(1-Summary!$B$55)*T1608+Summary!$B$55*V1608</f>
        <v/>
      </c>
      <c r="P1608">
        <f>IF(B1643=0,0,O1608/B1643)</f>
        <v/>
      </c>
      <c r="Q1608">
        <f>IFERROR(1/IF(Inputs!$B$39="pvp",15,MAX(0.1,Skills!D10-IF(Skills!E10=TRUE,2.5,0))),0)</f>
        <v/>
      </c>
      <c r="R1608">
        <f>IF(AND(Inputs!$B$39&lt;&gt;"pvp",Inputs!$B$44&gt;0),IF(Inputs!$B$44&lt;=0,0,(INT(Inputs!$B$44/IF(Inputs!$B$39="pvp",15,MAX(0.1,Skills!D10-IF(Skills!E10=TRUE,2.5,0))))+1)),0)</f>
        <v/>
      </c>
      <c r="S1608">
        <f>IFERROR(O1608/N1608,0)</f>
        <v/>
      </c>
      <c r="T1608" t="n">
        <v>0</v>
      </c>
      <c r="V1608" t="n">
        <v>0</v>
      </c>
    </row>
    <row r="1609">
      <c r="A1609">
        <f>Skills!A11</f>
        <v/>
      </c>
      <c r="B1609">
        <f>Skills!B11</f>
        <v/>
      </c>
      <c r="C1609">
        <f>Inputs!$B$3&gt;=103</f>
        <v/>
      </c>
      <c r="D1609">
        <f>IF(Skills!C11=1,60+Inputs!$B$25+Inputs!$B$29,IF(Skills!C11=2,90+Inputs!$B$26+Inputs!$B$29,IF(Skills!C11=3,120+Inputs!$B$27+Inputs!$B$29,MAX(0,(Inputs!$B$3-100)*3)+Inputs!$B$28+Inputs!$B$29)))</f>
        <v/>
      </c>
      <c r="E1609">
        <f>INDEX(FactorTable!$B$2:$Y$301, MATCH(ROUND(MIN(300,MAX(1,D1609)),0), FactorTable!$A$2:$A$301,0), Skills!M11+1)</f>
        <v/>
      </c>
      <c r="F1609">
        <f>(Skills!L11/10)*(E1609/1000)+IF(Inputs!$B$3&gt;=134,50,0)+0.5*(30000/10)*(INDEX(FactorTable!$B$2:$Y$301, MATCH(ROUND(MIN(300,MAX(1,D1609)),0), FactorTable!$A$2:$A$301,0), 13)/1000)*B1641</f>
        <v/>
      </c>
      <c r="G1609">
        <f>Skills!G11*IF(Skills!H11&gt;0,Skills!I11/Skills!H11,1)</f>
        <v/>
      </c>
      <c r="H1609">
        <f>1-(1-Skills!J11/100)^Skills!K11</f>
        <v/>
      </c>
      <c r="I1609" t="inlineStr">
        <is>
          <t>1</t>
        </is>
      </c>
      <c r="J1609">
        <f>((Inputs!$B$6*(1+Inputs!$B$7/100))+(((Inputs!$B$12*(1+Inputs!$B$13/100))-(Inputs!$B$12*(1+Inputs!$B$13/100)))+0.25*(Inputs!$B$14-Inputs!$B$14))*(1+Inputs!$B$7/100))*(F1609/100)</f>
        <v/>
      </c>
      <c r="K1609">
        <f>J1609*(1+((Inputs!$B$12*(1+Inputs!$B$13/100))*0.01+Inputs!$B$14*0.0025)/100)*(1+Inputs!$B$15/100)*(1+Inputs!$B$16/100)*(5000/(6000+Inputs!$B$43*(1-Inputs!$B$19/100)))*(1+(Inputs!$B$24+((C1628=TRUE)*(F1628-Calc!F30)))/100)*(1+(IF(Skills!A11="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1609)</f>
        <v/>
      </c>
      <c r="L1609">
        <f>K1609*(MIN(Inputs!$B$22+((C1622=TRUE)*(F1622-Calc!F24)),Inputs!$B$23+((C1627=TRUE)*(F1627-Calc!F29)))/100+(Inputs!$B$23+((C1627=TRUE)*(F1627-Calc!F29)))/100)/2</f>
        <v/>
      </c>
      <c r="M1609">
        <f>L1609*(1+(Inputs!$B$10+((C1624=TRUE)*(F1624-Calc!F26))+B1638)/100)</f>
        <v/>
      </c>
      <c r="N1609">
        <f>L1609*(1-MIN((Inputs!$B$9+((C1623=TRUE)*(F1623-Calc!F25))+B1631),100)/100)+M1609*(MIN((Inputs!$B$9+((C1623=TRUE)*(F1623-Calc!F25))+B1631),100)/100)</f>
        <v/>
      </c>
      <c r="O1609">
        <f>(1-Summary!$B$55)*T1609+Summary!$B$55*V1609</f>
        <v/>
      </c>
      <c r="P1609">
        <f>IF(B1643=0,0,O1609/B1643)</f>
        <v/>
      </c>
      <c r="Q1609">
        <f>IFERROR(1/IF(Inputs!$B$39="pvp",15,MAX(0.1,Skills!D11-IF(Skills!E11=TRUE,2.5,0))),0)</f>
        <v/>
      </c>
      <c r="R1609">
        <f>IF(AND(Inputs!$B$39&lt;&gt;"pvp",Inputs!$B$44&gt;0),IF(MAX(0,Inputs!$B$44-B1642)&lt;=0,0,(INT(MAX(0,Inputs!$B$44-B1642)/IF(Inputs!$B$39="pvp",15,MAX(0.1,Skills!D11-IF(Skills!E11=TRUE,2.5,0))))+1)),0)</f>
        <v/>
      </c>
      <c r="S1609">
        <f>IFERROR(O1609/N1609,0)</f>
        <v/>
      </c>
      <c r="T1609">
        <f>IF(C1609,(H1609*N1609*IF(AND(Inputs!$B$39&lt;&gt;"pvp",Inputs!$B$44&gt;0),((Skills!G11*((R1609-1)*IF(Skills!H11&gt;0,Skills!I11/Skills!H11,1)+IF(Skills!H11&gt;0,MIN(Skills!I11,MAX(0,MAX(0,Inputs!$B$44-B1642)-((R1609-1)*IF(Inputs!$B$39="pvp",15,MAX(0.1,Skills!D11-IF(Skills!E11=TRUE,2.5,0))))))/Skills!H11,1)))/Inputs!$B$44),G1609*Q1609))*IF(Inputs!$B$39="pvp",1,1+(Inputs!$B$20+0+Skills!P11+B1632)/100),0)</f>
        <v/>
      </c>
      <c r="V1609">
        <f>IF(C1609,(H1609*N1609*IF(AND(Inputs!$B$39&lt;&gt;"pvp",Inputs!$B$44&gt;0),((Skills!G11*((R1609-1)*IF(Skills!H11&gt;0,Skills!I11/Skills!H11,1)+IF(Skills!H11&gt;0,MIN(Skills!I11,MAX(0,MAX(0,Inputs!$B$44-B1642)-((R1609-1)*IF(Inputs!$B$39="pvp",15,MAX(0.1,Skills!D11-IF(Skills!E11=TRUE,2.5,0))))))/Skills!H11,1)))/Inputs!$B$44),G1609*Q1609))*IF(Inputs!$B$39="pvp",1,(1+(Inputs!$B$21+Skills!Q11+B1632)/100)*(MIN(Skills!W11,Inputs!$B$37))),0)</f>
        <v/>
      </c>
    </row>
    <row r="1610">
      <c r="A1610">
        <f>Skills!A12</f>
        <v/>
      </c>
      <c r="B1610">
        <f>Skills!B12</f>
        <v/>
      </c>
      <c r="C1610">
        <f>Inputs!$B$3&gt;=105</f>
        <v/>
      </c>
      <c r="D1610">
        <f>IF(Skills!C12=1,60+Inputs!$B$25+Inputs!$B$29,IF(Skills!C12=2,90+Inputs!$B$26+Inputs!$B$29,IF(Skills!C12=3,120+Inputs!$B$27+Inputs!$B$29,MAX(0,(Inputs!$B$3-100)*3)+Inputs!$B$28+Inputs!$B$29)))</f>
        <v/>
      </c>
      <c r="E1610">
        <f>INDEX(FactorTable!$B$2:$Y$301, MATCH(ROUND(MIN(300,MAX(1,D1610)),0), FactorTable!$A$2:$A$301,0), Skills!M12+1)</f>
        <v/>
      </c>
      <c r="F1610">
        <f>IF(Skills!N12=TRUE,(Skills!L12/10)*(E1610/1000),Skills!L12/10)+Skills!O12</f>
        <v/>
      </c>
      <c r="G1610">
        <f>Skills!G12*IF(Skills!H12&gt;0,Skills!I12/Skills!H12,1)</f>
        <v/>
      </c>
      <c r="H1610">
        <f>1-(1-Skills!J12/100)^Skills!K12</f>
        <v/>
      </c>
      <c r="I1610" t="inlineStr">
        <is>
          <t>1</t>
        </is>
      </c>
      <c r="J1610">
        <f>((Inputs!$B$6*(1+Inputs!$B$7/100))+(((Inputs!$B$12*(1+Inputs!$B$13/100))-(Inputs!$B$12*(1+Inputs!$B$13/100)))+0.25*(Inputs!$B$14-Inputs!$B$14))*(1+Inputs!$B$7/100))*(F1610/100)</f>
        <v/>
      </c>
      <c r="K1610">
        <f>J1610*(1+((Inputs!$B$12*(1+Inputs!$B$13/100))*0.01+Inputs!$B$14*0.0025)/100)*(1+Inputs!$B$15/100)*(1+Inputs!$B$16/100)*(5000/(6000+Inputs!$B$43*(1-Inputs!$B$19/100)))*(1+(Inputs!$B$24+((C1628=TRUE)*(F1628-Calc!F30)))/100)*(1+(IF(Skills!A12="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1610)</f>
        <v/>
      </c>
      <c r="L1610">
        <f>K1610*(MIN(Inputs!$B$22+((C1622=TRUE)*(F1622-Calc!F24)),Inputs!$B$23+((C1627=TRUE)*(F1627-Calc!F29)))/100+(Inputs!$B$23+((C1627=TRUE)*(F1627-Calc!F29)))/100)/2</f>
        <v/>
      </c>
      <c r="M1610">
        <f>L1610*(1+(Inputs!$B$10+((C1624=TRUE)*(F1624-Calc!F26))+B1638)/100)</f>
        <v/>
      </c>
      <c r="N1610">
        <f>L1610*(1-MIN((Inputs!$B$9+((C1623=TRUE)*(F1623-Calc!F25))+B1631),100)/100)+M1610*(MIN((Inputs!$B$9+((C1623=TRUE)*(F1623-Calc!F25))+B1631),100)/100)</f>
        <v/>
      </c>
      <c r="O1610">
        <f>(1-Summary!$B$55)*T1610+Summary!$B$55*V1610</f>
        <v/>
      </c>
      <c r="P1610">
        <f>IF(B1643=0,0,O1610/B1643)</f>
        <v/>
      </c>
      <c r="Q1610">
        <f>IFERROR(1/IF(Inputs!$B$39="pvp",15,MAX(0.1,Skills!D12-IF(Skills!E12=TRUE,2.5,0))),0)</f>
        <v/>
      </c>
      <c r="R1610">
        <f>IF(AND(Inputs!$B$39&lt;&gt;"pvp",Inputs!$B$44&gt;0),IF(MAX(0,Inputs!$B$44-B1642)&lt;=0,0,(INT(MAX(0,Inputs!$B$44-B1642)/IF(Inputs!$B$39="pvp",15,MAX(0.1,Skills!D12-IF(Skills!E12=TRUE,2.5,0))))+1)),0)</f>
        <v/>
      </c>
      <c r="S1610">
        <f>IFERROR(O1610/N1610,0)</f>
        <v/>
      </c>
      <c r="T1610">
        <f>IF(C1610,(H1610*N1610*IF(AND(Inputs!$B$39&lt;&gt;"pvp",Inputs!$B$44&gt;0),((Skills!G12*((R1610-1)*IF(Skills!H12&gt;0,Skills!I12/Skills!H12,1)+IF(Skills!H12&gt;0,MIN(Skills!I12,MAX(0,MAX(0,Inputs!$B$44-B1642)-((R1610-1)*IF(Inputs!$B$39="pvp",15,MAX(0.1,Skills!D12-IF(Skills!E12=TRUE,2.5,0))))))/Skills!H12,1)))/Inputs!$B$44),G1610*Q1610))*IF(Inputs!$B$39="pvp",1,1+(Inputs!$B$20+0+Skills!P12+B1632)/100),0)</f>
        <v/>
      </c>
      <c r="V1610">
        <f>IF(C1610,(H1610*N1610*IF(AND(Inputs!$B$39&lt;&gt;"pvp",Inputs!$B$44&gt;0),((Skills!G12*((R1610-1)*IF(Skills!H12&gt;0,Skills!I12/Skills!H12,1)+IF(Skills!H12&gt;0,MIN(Skills!I12,MAX(0,MAX(0,Inputs!$B$44-B1642)-((R1610-1)*IF(Inputs!$B$39="pvp",15,MAX(0.1,Skills!D12-IF(Skills!E12=TRUE,2.5,0))))))/Skills!H12,1)))/Inputs!$B$44),G1610*Q1610))*IF(Inputs!$B$39="pvp",1,(1+(Inputs!$B$21+Skills!Q12+B1632)/100)*(MIN(Skills!W12,Inputs!$B$37))),0)</f>
        <v/>
      </c>
    </row>
    <row r="1611">
      <c r="A1611">
        <f>Skills!A13</f>
        <v/>
      </c>
      <c r="B1611">
        <f>Skills!B13</f>
        <v/>
      </c>
      <c r="C1611">
        <f>Inputs!$B$3&gt;=105</f>
        <v/>
      </c>
      <c r="D1611">
        <f>IF(Skills!C13=1,60+Inputs!$B$25+Inputs!$B$29,IF(Skills!C13=2,90+Inputs!$B$26+Inputs!$B$29,IF(Skills!C13=3,120+Inputs!$B$27+Inputs!$B$29,MAX(0,(Inputs!$B$3-100)*3)+Inputs!$B$28+Inputs!$B$29)))</f>
        <v/>
      </c>
      <c r="E1611">
        <f>INDEX(FactorTable!$B$2:$Y$301, MATCH(ROUND(MIN(300,MAX(1,D1611)),0), FactorTable!$A$2:$A$301,0), Skills!M13+1)</f>
        <v/>
      </c>
      <c r="F1611">
        <f>IF(Skills!N13=TRUE,(Skills!L13/10)*(E1611/1000),Skills!L13/10)+Skills!O13</f>
        <v/>
      </c>
      <c r="G1611">
        <f>Skills!G13*IF(Skills!H13&gt;0,Skills!I13/Skills!H13,1)</f>
        <v/>
      </c>
      <c r="H1611">
        <f>1-(1-Skills!J13/100)^Skills!K13</f>
        <v/>
      </c>
      <c r="I1611" t="inlineStr">
        <is>
          <t>1</t>
        </is>
      </c>
      <c r="J1611">
        <f>((Inputs!$B$6*(1+Inputs!$B$7/100))+(((Inputs!$B$12*(1+Inputs!$B$13/100))-(Inputs!$B$12*(1+Inputs!$B$13/100)))+0.25*(Inputs!$B$14-Inputs!$B$14))*(1+Inputs!$B$7/100))*(F1611/100)</f>
        <v/>
      </c>
      <c r="K1611">
        <f>J1611*(1+((Inputs!$B$12*(1+Inputs!$B$13/100))*0.01+Inputs!$B$14*0.0025)/100)*(1+Inputs!$B$15/100)*(1+Inputs!$B$16/100)*(5000/(6000+Inputs!$B$43*(1-Inputs!$B$19/100)))*(1+(Inputs!$B$24+((C1628=TRUE)*(F1628-Calc!F30)))/100)*(1+(IF(Skills!A13="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1611)</f>
        <v/>
      </c>
      <c r="L1611">
        <f>K1611*(MIN(Inputs!$B$22+((C1622=TRUE)*(F1622-Calc!F24)),Inputs!$B$23+((C1627=TRUE)*(F1627-Calc!F29)))/100+(Inputs!$B$23+((C1627=TRUE)*(F1627-Calc!F29)))/100)/2</f>
        <v/>
      </c>
      <c r="M1611">
        <f>L1611*(1+(Inputs!$B$10+((C1624=TRUE)*(F1624-Calc!F26))+B1638)/100)</f>
        <v/>
      </c>
      <c r="N1611">
        <f>L1611*(1-MIN((Inputs!$B$9+((C1623=TRUE)*(F1623-Calc!F25))+B1631),100)/100)+M1611*(MIN((Inputs!$B$9+((C1623=TRUE)*(F1623-Calc!F25))+B1631),100)/100)</f>
        <v/>
      </c>
      <c r="O1611">
        <f>(1-Summary!$B$55)*T1611+Summary!$B$55*V1611</f>
        <v/>
      </c>
      <c r="P1611">
        <f>IF(B1643=0,0,O1611/B1643)</f>
        <v/>
      </c>
      <c r="Q1611">
        <f>IFERROR(1/IF(Inputs!$B$39="pvp",15,MAX(0.1,Skills!D13-IF(Skills!E13=TRUE,2.5,0))),0)</f>
        <v/>
      </c>
      <c r="R1611">
        <f>IF(AND(Inputs!$B$39&lt;&gt;"pvp",Inputs!$B$44&gt;0),IF(MAX(0,Inputs!$B$44-B1642)&lt;=0,0,(INT(MAX(0,Inputs!$B$44-B1642)/IF(Inputs!$B$39="pvp",15,MAX(0.1,Skills!D13-IF(Skills!E13=TRUE,2.5,0))))+1)),0)</f>
        <v/>
      </c>
      <c r="S1611">
        <f>IFERROR(O1611/N1611,0)</f>
        <v/>
      </c>
      <c r="T1611">
        <f>IF(C1611,(H1611*N1611*IF(AND(Inputs!$B$39&lt;&gt;"pvp",Inputs!$B$44&gt;0),((Skills!G13*((R1611-1)*IF(Skills!H13&gt;0,Skills!I13/Skills!H13,1)+IF(Skills!H13&gt;0,MIN(Skills!I13,MAX(0,MAX(0,Inputs!$B$44-B1642)-((R1611-1)*IF(Inputs!$B$39="pvp",15,MAX(0.1,Skills!D13-IF(Skills!E13=TRUE,2.5,0))))))/Skills!H13,1)))/Inputs!$B$44),G1611*Q1611))*IF(Inputs!$B$39="pvp",1,1+(Inputs!$B$20+0+Skills!P13+B1632)/100),0)</f>
        <v/>
      </c>
      <c r="V1611">
        <f>IF(C1611,(H1611*N1611*IF(AND(Inputs!$B$39&lt;&gt;"pvp",Inputs!$B$44&gt;0),((Skills!G13*((R1611-1)*IF(Skills!H13&gt;0,Skills!I13/Skills!H13,1)+IF(Skills!H13&gt;0,MIN(Skills!I13,MAX(0,MAX(0,Inputs!$B$44-B1642)-((R1611-1)*IF(Inputs!$B$39="pvp",15,MAX(0.1,Skills!D13-IF(Skills!E13=TRUE,2.5,0))))))/Skills!H13,1)))/Inputs!$B$44),G1611*Q1611))*IF(Inputs!$B$39="pvp",1,(1+(Inputs!$B$21+Skills!Q13+B1632)/100)*(MIN(Skills!W13,Inputs!$B$37))),0)</f>
        <v/>
      </c>
    </row>
    <row r="1612">
      <c r="A1612">
        <f>Skills!A14</f>
        <v/>
      </c>
      <c r="B1612">
        <f>Skills!B14</f>
        <v/>
      </c>
      <c r="C1612">
        <f>Inputs!$B$3&gt;=107</f>
        <v/>
      </c>
      <c r="D1612">
        <f>IF(Skills!C14=1,60+Inputs!$B$25+Inputs!$B$29,IF(Skills!C14=2,90+Inputs!$B$26+Inputs!$B$29,IF(Skills!C14=3,120+Inputs!$B$27+Inputs!$B$29,MAX(0,(Inputs!$B$3-100)*3)+Inputs!$B$28+Inputs!$B$29)))</f>
        <v/>
      </c>
      <c r="E1612">
        <f>INDEX(FactorTable!$B$2:$Y$301, MATCH(ROUND(MIN(300,MAX(1,D1612)),0), FactorTable!$A$2:$A$301,0), Skills!M14+1)</f>
        <v/>
      </c>
      <c r="F1612">
        <f>IF(Skills!N14=TRUE,(Skills!L14/10)*(E1612/1000),Skills!L14/10)+Skills!O14</f>
        <v/>
      </c>
      <c r="G1612">
        <f>Skills!G14*IF(Skills!H14&gt;0,Skills!I14/Skills!H14,1)</f>
        <v/>
      </c>
      <c r="H1612">
        <f>1-(1-Skills!J14/100)^Skills!K14</f>
        <v/>
      </c>
      <c r="I1612" t="inlineStr">
        <is>
          <t>1</t>
        </is>
      </c>
      <c r="J1612">
        <f>((Inputs!$B$6*(1+Inputs!$B$7/100))+(((Inputs!$B$12*(1+Inputs!$B$13/100))-(Inputs!$B$12*(1+Inputs!$B$13/100)))+0.25*(Inputs!$B$14-Inputs!$B$14))*(1+Inputs!$B$7/100))*(F1612/100)</f>
        <v/>
      </c>
      <c r="K1612">
        <f>J1612*(1+((Inputs!$B$12*(1+Inputs!$B$13/100))*0.01+Inputs!$B$14*0.0025)/100)*(1+Inputs!$B$15/100)*(1+Inputs!$B$16/100)*(5000/(6000+Inputs!$B$43*(1-Inputs!$B$19/100)))*(1+(Inputs!$B$24+((C1628=TRUE)*(F1628-Calc!F30)))/100)*(1+(IF(Skills!A14="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1612)</f>
        <v/>
      </c>
      <c r="L1612">
        <f>K1612*(MIN(Inputs!$B$22+((C1622=TRUE)*(F1622-Calc!F24)),Inputs!$B$23+((C1627=TRUE)*(F1627-Calc!F29)))/100+(Inputs!$B$23+((C1627=TRUE)*(F1627-Calc!F29)))/100)/2</f>
        <v/>
      </c>
      <c r="M1612">
        <f>L1612*(1+(Inputs!$B$10+((C1624=TRUE)*(F1624-Calc!F26))+B1638)/100)</f>
        <v/>
      </c>
      <c r="N1612">
        <f>L1612*(1-MIN((Inputs!$B$9+((C1623=TRUE)*(F1623-Calc!F25))+B1631),100)/100)+M1612*(MIN((Inputs!$B$9+((C1623=TRUE)*(F1623-Calc!F25))+B1631),100)/100)</f>
        <v/>
      </c>
      <c r="O1612">
        <f>(1-Summary!$B$55)*T1612+Summary!$B$55*V1612</f>
        <v/>
      </c>
      <c r="P1612">
        <f>IF(B1643=0,0,O1612/B1643)</f>
        <v/>
      </c>
      <c r="Q1612">
        <f>IFERROR(1/IF(Inputs!$B$39="pvp",15,MAX(0.1,Skills!D14-IF(Skills!E14=TRUE,2.5,0))),0)</f>
        <v/>
      </c>
      <c r="R1612">
        <f>IF(AND(Inputs!$B$39&lt;&gt;"pvp",Inputs!$B$44&gt;0),IF(MAX(0,Inputs!$B$44-B1642)&lt;=0,0,(INT(MAX(0,Inputs!$B$44-B1642)/IF(Inputs!$B$39="pvp",15,MAX(0.1,Skills!D14-IF(Skills!E14=TRUE,2.5,0))))+1)),0)</f>
        <v/>
      </c>
      <c r="S1612">
        <f>IFERROR(O1612/N1612,0)</f>
        <v/>
      </c>
      <c r="T1612">
        <f>IF(C1612,(H1612*N1612*IF(AND(Inputs!$B$39&lt;&gt;"pvp",Inputs!$B$44&gt;0),((Skills!G14*((R1612-1)*IF(Skills!H14&gt;0,Skills!I14/Skills!H14,1)+IF(Skills!H14&gt;0,MIN(Skills!I14,MAX(0,MAX(0,Inputs!$B$44-B1642)-((R1612-1)*IF(Inputs!$B$39="pvp",15,MAX(0.1,Skills!D14-IF(Skills!E14=TRUE,2.5,0))))))/Skills!H14,1)))/Inputs!$B$44),G1612*Q1612))*IF(Inputs!$B$39="pvp",1,1+(Inputs!$B$20+0+Skills!P14+B1632)/100),0)</f>
        <v/>
      </c>
      <c r="V1612">
        <f>IF(C1612,(H1612*N1612*IF(AND(Inputs!$B$39&lt;&gt;"pvp",Inputs!$B$44&gt;0),((Skills!G14*((R1612-1)*IF(Skills!H14&gt;0,Skills!I14/Skills!H14,1)+IF(Skills!H14&gt;0,MIN(Skills!I14,MAX(0,MAX(0,Inputs!$B$44-B1642)-((R1612-1)*IF(Inputs!$B$39="pvp",15,MAX(0.1,Skills!D14-IF(Skills!E14=TRUE,2.5,0))))))/Skills!H14,1)))/Inputs!$B$44),G1612*Q1612))*IF(Inputs!$B$39="pvp",1,(1+(Inputs!$B$21+Skills!Q14+B1632)/100)*(MIN(MIN(5,0.25*B1635*Skills!D4)*Skills!V14,Inputs!$B$37))),0)</f>
        <v/>
      </c>
    </row>
    <row r="1613">
      <c r="A1613">
        <f>Skills!A15</f>
        <v/>
      </c>
      <c r="B1613">
        <f>Skills!B15</f>
        <v/>
      </c>
      <c r="C1613">
        <f>Inputs!$B$3&gt;=110</f>
        <v/>
      </c>
      <c r="D1613">
        <f>IF(Skills!C15=1,60+Inputs!$B$25+Inputs!$B$29,IF(Skills!C15=2,90+Inputs!$B$26+Inputs!$B$29,IF(Skills!C15=3,120+Inputs!$B$27+Inputs!$B$29,MAX(0,(Inputs!$B$3-100)*3)+Inputs!$B$28+Inputs!$B$29)))</f>
        <v/>
      </c>
      <c r="E1613">
        <f>INDEX(FactorTable!$B$2:$Y$301, MATCH(ROUND(MIN(300,MAX(1,D1613)),0), FactorTable!$A$2:$A$301,0), Skills!M15+1)</f>
        <v/>
      </c>
      <c r="F1613">
        <f>IF(Skills!N15=TRUE,(Skills!L15/10)*(E1613/1000),Skills!L15/10)+Skills!O15</f>
        <v/>
      </c>
      <c r="G1613">
        <f>Skills!G15*IF(Skills!H15&gt;0,Skills!I15/Skills!H15,1)</f>
        <v/>
      </c>
      <c r="H1613">
        <f>1-(1-Skills!J15/100)^Skills!K15</f>
        <v/>
      </c>
      <c r="I1613" t="inlineStr">
        <is>
          <t>1</t>
        </is>
      </c>
      <c r="J1613" t="inlineStr"/>
      <c r="K1613" t="inlineStr"/>
      <c r="L1613" t="inlineStr"/>
      <c r="M1613" t="inlineStr"/>
      <c r="N1613" t="inlineStr"/>
      <c r="O1613">
        <f>(1-Summary!$B$55)*T1613+Summary!$B$55*V1613</f>
        <v/>
      </c>
      <c r="P1613">
        <f>IF(B1643=0,0,O1613/B1643)</f>
        <v/>
      </c>
      <c r="Q1613">
        <f>IFERROR(1/IF(Inputs!$B$39="pvp",15,MAX(0.1,Skills!D15-IF(Skills!E15=TRUE,2.5,0))),0)</f>
        <v/>
      </c>
      <c r="R1613">
        <f>IF(AND(Inputs!$B$39&lt;&gt;"pvp",Inputs!$B$44&gt;0),IF(Inputs!$B$44&lt;=0,0,(INT(Inputs!$B$44/IF(Inputs!$B$39="pvp",15,MAX(0.1,Skills!D15-IF(Skills!E15=TRUE,2.5,0))))+1)),0)</f>
        <v/>
      </c>
      <c r="S1613">
        <f>IFERROR(O1613/N1613,0)</f>
        <v/>
      </c>
      <c r="T1613" t="n">
        <v>0</v>
      </c>
      <c r="V1613" t="n">
        <v>0</v>
      </c>
    </row>
    <row r="1614">
      <c r="A1614">
        <f>Skills!A16</f>
        <v/>
      </c>
      <c r="B1614">
        <f>Skills!B16</f>
        <v/>
      </c>
      <c r="C1614">
        <f>Inputs!$B$3&gt;=115</f>
        <v/>
      </c>
      <c r="D1614">
        <f>IF(Skills!C16=1,60+Inputs!$B$25+Inputs!$B$29,IF(Skills!C16=2,90+Inputs!$B$26+Inputs!$B$29,IF(Skills!C16=3,120+Inputs!$B$27+Inputs!$B$29,MAX(0,(Inputs!$B$3-100)*3)+Inputs!$B$28+Inputs!$B$29)))</f>
        <v/>
      </c>
      <c r="E1614">
        <f>INDEX(FactorTable!$B$2:$Y$301, MATCH(ROUND(MIN(300,MAX(1,D1614)),0), FactorTable!$A$2:$A$301,0), Skills!M16+1)</f>
        <v/>
      </c>
      <c r="F1614">
        <f>IF(Skills!N16=TRUE,(Skills!L16/10)*(E1614/1000),Skills!L16/10)+Skills!O16</f>
        <v/>
      </c>
      <c r="G1614">
        <f>Skills!G16*IF(Skills!H16&gt;0,Skills!I16/Skills!H16,1)</f>
        <v/>
      </c>
      <c r="H1614">
        <f>1-(1-Skills!J16/100)^Skills!K16</f>
        <v/>
      </c>
      <c r="I1614" t="inlineStr">
        <is>
          <t>1</t>
        </is>
      </c>
      <c r="J1614">
        <f>((Inputs!$B$6*(1+Inputs!$B$7/100))+(((Inputs!$B$12*(1+Inputs!$B$13/100))-(Inputs!$B$12*(1+Inputs!$B$13/100)))+0.25*(Inputs!$B$14-Inputs!$B$14))*(1+Inputs!$B$7/100))*(F1614/100)</f>
        <v/>
      </c>
      <c r="K1614">
        <f>J1614*(1+((Inputs!$B$12*(1+Inputs!$B$13/100))*0.01+Inputs!$B$14*0.0025)/100)*(1+Inputs!$B$15/100)*(1+Inputs!$B$16/100)*(5000/(6000+Inputs!$B$43*(1-Inputs!$B$19/100)))*(1+(Inputs!$B$24+((C1628=TRUE)*(F1628-Calc!F30)))/100)*(1+(IF(Skills!A16="CRUEL_STAB",Inputs!$B$17+((C1625=TRUE)*(F1625-Calc!F27)),Inputs!$B$18+((C1626=TRUE)*(F1626-Calc!F28))))/100)*(((1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B1633*I1614)</f>
        <v/>
      </c>
      <c r="L1614">
        <f>K1614*(MIN(Inputs!$B$22+((C1622=TRUE)*(F1622-Calc!F24)),Inputs!$B$23+((C1627=TRUE)*(F1627-Calc!F29)))/100+(Inputs!$B$23+((C1627=TRUE)*(F1627-Calc!F29)))/100)/2</f>
        <v/>
      </c>
      <c r="M1614">
        <f>L1614*(1+(Inputs!$B$10+((C1624=TRUE)*(F1624-Calc!F26))+B1638)/100)</f>
        <v/>
      </c>
      <c r="N1614">
        <f>L1614*(1-MIN((Inputs!$B$9+((C1623=TRUE)*(F1623-Calc!F25))+B1631),100)/100)+M1614*(MIN((Inputs!$B$9+((C1623=TRUE)*(F1623-Calc!F25))+B1631),100)/100)</f>
        <v/>
      </c>
      <c r="O1614">
        <f>(1-Summary!$B$55)*T1614+Summary!$B$55*V1614</f>
        <v/>
      </c>
      <c r="P1614">
        <f>IF(B1643=0,0,O1614/B1643)</f>
        <v/>
      </c>
      <c r="Q1614" t="n">
        <v>0</v>
      </c>
      <c r="R1614" t="n">
        <v>0</v>
      </c>
      <c r="S1614">
        <f>IFERROR(O1614/N1614,0)</f>
        <v/>
      </c>
      <c r="T1614">
        <f>IF(C1614,(Inputs!$B$38*0.2*N1614)*IF(Inputs!$B$39="pvp",1,1+(Inputs!$B$20+0+Skills!P16+B1632)/100),0)</f>
        <v/>
      </c>
      <c r="V1614">
        <f>IF(C1614,(Inputs!$B$38*0.2*N1614)*IF(Inputs!$B$39="pvp",1,(1+(Inputs!$B$21+Skills!Q16+B1632)/100)*(MIN(Skills!W16,Inputs!$B$37))),0)</f>
        <v/>
      </c>
    </row>
    <row r="1615">
      <c r="A1615">
        <f>Skills!A17</f>
        <v/>
      </c>
      <c r="B1615">
        <f>Skills!B17</f>
        <v/>
      </c>
      <c r="C1615">
        <f>Inputs!$B$3&gt;=115</f>
        <v/>
      </c>
      <c r="D1615">
        <f>IF(Skills!C17=1,60+Inputs!$B$25+Inputs!$B$29,IF(Skills!C17=2,90+Inputs!$B$26+Inputs!$B$29,IF(Skills!C17=3,120+Inputs!$B$27+Inputs!$B$29,MAX(0,(Inputs!$B$3-100)*3)+Inputs!$B$28+Inputs!$B$29)))</f>
        <v/>
      </c>
      <c r="E1615">
        <f>INDEX(FactorTable!$B$2:$Y$301, MATCH(ROUND(MIN(300,MAX(1,D1615)),0), FactorTable!$A$2:$A$301,0), Skills!M17+1)</f>
        <v/>
      </c>
      <c r="F1615">
        <f>IF(Skills!N17=TRUE,(Skills!L17/10)*(E1615/1000),Skills!L17/10)+Skills!O17</f>
        <v/>
      </c>
      <c r="G1615">
        <f>Skills!G17*IF(Skills!H17&gt;0,Skills!I17/Skills!H17,1)</f>
        <v/>
      </c>
      <c r="H1615">
        <f>1-(1-Skills!J17/100)^Skills!K17</f>
        <v/>
      </c>
      <c r="I1615" t="inlineStr">
        <is>
          <t>1</t>
        </is>
      </c>
      <c r="J1615" t="inlineStr"/>
      <c r="K1615" t="inlineStr"/>
      <c r="L1615" t="inlineStr"/>
      <c r="M1615" t="inlineStr"/>
      <c r="N1615" t="inlineStr"/>
      <c r="O1615">
        <f>(1-Summary!$B$55)*T1615+Summary!$B$55*V1615</f>
        <v/>
      </c>
      <c r="P1615">
        <f>IF(B1643=0,0,O1615/B1643)</f>
        <v/>
      </c>
      <c r="Q1615" t="n">
        <v>0</v>
      </c>
      <c r="R1615" t="n">
        <v>0</v>
      </c>
      <c r="S1615">
        <f>IFERROR(O1615/N1615,0)</f>
        <v/>
      </c>
      <c r="T1615" t="n">
        <v>0</v>
      </c>
      <c r="V1615" t="n">
        <v>0</v>
      </c>
    </row>
    <row r="1616">
      <c r="A1616">
        <f>Skills!A18</f>
        <v/>
      </c>
      <c r="B1616">
        <f>Skills!B18</f>
        <v/>
      </c>
      <c r="C1616">
        <f>Inputs!$B$3&gt;=100</f>
        <v/>
      </c>
      <c r="D1616">
        <f>IF(Skills!C18=1,60+Inputs!$B$25+Inputs!$B$29,IF(Skills!C18=2,90+Inputs!$B$26+Inputs!$B$29,IF(Skills!C18=3,120+Inputs!$B$27+Inputs!$B$29,MAX(0,(Inputs!$B$3-100)*3)+Inputs!$B$28+Inputs!$B$29)))</f>
        <v/>
      </c>
      <c r="E1616">
        <f>INDEX(FactorTable!$B$2:$Y$301, MATCH(ROUND(MIN(300,MAX(1,D1616)),0), FactorTable!$A$2:$A$301,0), Skills!M18+1)</f>
        <v/>
      </c>
      <c r="F1616">
        <f>IF(Skills!N18=TRUE,(Skills!L18/10)*(E1616/1000),Skills!L18/10)+Skills!O18</f>
        <v/>
      </c>
      <c r="G1616">
        <f>Skills!G18*IF(Skills!H18&gt;0,Skills!I18/Skills!H18,1)</f>
        <v/>
      </c>
      <c r="H1616">
        <f>1-(1-Skills!J18/100)^Skills!K18</f>
        <v/>
      </c>
      <c r="I1616" t="inlineStr">
        <is>
          <t>1</t>
        </is>
      </c>
      <c r="J1616" t="inlineStr"/>
      <c r="K1616" t="inlineStr"/>
      <c r="L1616" t="inlineStr"/>
      <c r="M1616" t="inlineStr"/>
      <c r="N1616" t="inlineStr"/>
      <c r="O1616">
        <f>(1-Summary!$B$55)*T1616+Summary!$B$55*V1616</f>
        <v/>
      </c>
      <c r="P1616">
        <f>IF(B1643=0,0,O1616/B1643)</f>
        <v/>
      </c>
      <c r="Q1616" t="n">
        <v>0</v>
      </c>
      <c r="R1616" t="n">
        <v>0</v>
      </c>
      <c r="S1616">
        <f>IFERROR(O1616/N1616,0)</f>
        <v/>
      </c>
      <c r="T1616" t="n">
        <v>0</v>
      </c>
      <c r="V1616" t="n">
        <v>0</v>
      </c>
    </row>
    <row r="1617">
      <c r="A1617">
        <f>Skills!A19</f>
        <v/>
      </c>
      <c r="B1617">
        <f>Skills!B19</f>
        <v/>
      </c>
      <c r="C1617">
        <f>TRUE</f>
        <v/>
      </c>
      <c r="D1617">
        <f>IF(Skills!C19=1,60+Inputs!$B$25+Inputs!$B$29,IF(Skills!C19=2,90+Inputs!$B$26+Inputs!$B$29,IF(Skills!C19=3,120+Inputs!$B$27+Inputs!$B$29,MAX(0,(Inputs!$B$3-100)*3)+Inputs!$B$28+Inputs!$B$29)))</f>
        <v/>
      </c>
      <c r="E1617">
        <f>INDEX(FactorTable!$B$2:$Y$301, MATCH(ROUND(MIN(300,MAX(1,D1617)),0), FactorTable!$A$2:$A$301,0), Skills!M19+1)</f>
        <v/>
      </c>
      <c r="F1617">
        <f>IF(Skills!N19=TRUE,(Skills!L19/10)*(E1617/1000),Skills!L19/10)+Skills!O19</f>
        <v/>
      </c>
      <c r="G1617">
        <f>Skills!G19*IF(Skills!H19&gt;0,Skills!I19/Skills!H19,1)</f>
        <v/>
      </c>
      <c r="H1617">
        <f>1-(1-Skills!J19/100)^Skills!K19</f>
        <v/>
      </c>
      <c r="I1617" t="inlineStr">
        <is>
          <t>1</t>
        </is>
      </c>
      <c r="J1617" t="inlineStr"/>
      <c r="K1617" t="inlineStr"/>
      <c r="L1617" t="inlineStr"/>
      <c r="M1617" t="inlineStr"/>
      <c r="N1617" t="inlineStr"/>
      <c r="O1617">
        <f>(1-Summary!$B$55)*T1617+Summary!$B$55*V1617</f>
        <v/>
      </c>
      <c r="P1617">
        <f>IF(B1643=0,0,O1617/B1643)</f>
        <v/>
      </c>
      <c r="Q1617">
        <f>IFERROR(1/IF(Inputs!$B$39="pvp",15,MAX(0.1,Skills!D19-IF(Skills!E19=TRUE,2.5,0))),0)</f>
        <v/>
      </c>
      <c r="R1617">
        <f>IF(AND(Inputs!$B$39&lt;&gt;"pvp",Inputs!$B$44&gt;0),IF(Inputs!$B$44&lt;=0,0,(INT(Inputs!$B$44/IF(Inputs!$B$39="pvp",15,MAX(0.1,Skills!D19-IF(Skills!E19=TRUE,2.5,0))))+1)),0)</f>
        <v/>
      </c>
      <c r="S1617">
        <f>IFERROR(O1617/N1617,0)</f>
        <v/>
      </c>
      <c r="T1617" t="n">
        <v>0</v>
      </c>
      <c r="V1617" t="n">
        <v>0</v>
      </c>
    </row>
    <row r="1618">
      <c r="A1618">
        <f>Skills!A20</f>
        <v/>
      </c>
      <c r="B1618">
        <f>Skills!B20</f>
        <v/>
      </c>
      <c r="C1618">
        <f>Inputs!$B$3&gt;=15</f>
        <v/>
      </c>
      <c r="D1618">
        <f>IF(Skills!C20=1,60+Inputs!$B$25+Inputs!$B$29,IF(Skills!C20=2,90+Inputs!$B$26+Inputs!$B$29,IF(Skills!C20=3,120+Inputs!$B$27+Inputs!$B$29,MAX(0,(Inputs!$B$3-100)*3)+Inputs!$B$28+Inputs!$B$29)))</f>
        <v/>
      </c>
      <c r="E1618">
        <f>INDEX(FactorTable!$B$2:$Y$301, MATCH(ROUND(MIN(300,MAX(1,D1618)),0), FactorTable!$A$2:$A$301,0), Skills!M20+1)</f>
        <v/>
      </c>
      <c r="F1618">
        <f>IF(Skills!N20=TRUE,(Skills!L20/10)*(E1618/1000),Skills!L20/10)+Skills!O20</f>
        <v/>
      </c>
      <c r="G1618">
        <f>Skills!G20*IF(Skills!H20&gt;0,Skills!I20/Skills!H20,1)</f>
        <v/>
      </c>
      <c r="H1618">
        <f>1-(1-Skills!J20/100)^Skills!K20</f>
        <v/>
      </c>
      <c r="I1618" t="inlineStr">
        <is>
          <t>1</t>
        </is>
      </c>
      <c r="J1618" t="inlineStr"/>
      <c r="K1618" t="inlineStr"/>
      <c r="L1618" t="inlineStr"/>
      <c r="M1618" t="inlineStr"/>
      <c r="N1618" t="inlineStr"/>
      <c r="O1618">
        <f>(1-Summary!$B$55)*T1618+Summary!$B$55*V1618</f>
        <v/>
      </c>
      <c r="P1618">
        <f>IF(B1643=0,0,O1618/B1643)</f>
        <v/>
      </c>
      <c r="Q1618">
        <f>IFERROR(1/IF(Inputs!$B$39="pvp",15,MAX(0.1,Skills!D20-IF(Skills!E20=TRUE,2.5,0))),0)</f>
        <v/>
      </c>
      <c r="R1618">
        <f>IF(AND(Inputs!$B$39&lt;&gt;"pvp",Inputs!$B$44&gt;0),IF(Inputs!$B$44&lt;=0,0,(INT(Inputs!$B$44/IF(Inputs!$B$39="pvp",15,MAX(0.1,Skills!D20-IF(Skills!E20=TRUE,2.5,0))))+1)),0)</f>
        <v/>
      </c>
      <c r="S1618">
        <f>IFERROR(O1618/N1618,0)</f>
        <v/>
      </c>
      <c r="T1618" t="n">
        <v>0</v>
      </c>
      <c r="V1618" t="n">
        <v>0</v>
      </c>
    </row>
    <row r="1619">
      <c r="A1619">
        <f>Skills!A21</f>
        <v/>
      </c>
      <c r="B1619">
        <f>Skills!B21</f>
        <v/>
      </c>
      <c r="C1619">
        <f>Inputs!$B$3&gt;=15</f>
        <v/>
      </c>
      <c r="D1619">
        <f>IF(Skills!C21=1,60+Inputs!$B$25+Inputs!$B$29,IF(Skills!C21=2,90+Inputs!$B$26+Inputs!$B$29,IF(Skills!C21=3,120+Inputs!$B$27+Inputs!$B$29,MAX(0,(Inputs!$B$3-100)*3)+Inputs!$B$28+Inputs!$B$29)))</f>
        <v/>
      </c>
      <c r="E1619">
        <f>INDEX(FactorTable!$B$2:$Y$301, MATCH(ROUND(MIN(300,MAX(1,D1619)),0), FactorTable!$A$2:$A$301,0), Skills!M21+1)</f>
        <v/>
      </c>
      <c r="F1619">
        <f>IF(Skills!N21=TRUE,(Skills!L21/10)*(E1619/1000),Skills!L21/10)+Skills!O21</f>
        <v/>
      </c>
      <c r="G1619">
        <f>Skills!G21*IF(Skills!H21&gt;0,Skills!I21/Skills!H21,1)</f>
        <v/>
      </c>
      <c r="H1619">
        <f>1-(1-Skills!J21/100)^Skills!K21</f>
        <v/>
      </c>
      <c r="I1619" t="inlineStr">
        <is>
          <t>1</t>
        </is>
      </c>
      <c r="J1619" t="inlineStr"/>
      <c r="K1619" t="inlineStr"/>
      <c r="L1619" t="inlineStr"/>
      <c r="M1619" t="inlineStr"/>
      <c r="N1619" t="inlineStr"/>
      <c r="O1619">
        <f>(1-Summary!$B$55)*T1619+Summary!$B$55*V1619</f>
        <v/>
      </c>
      <c r="P1619">
        <f>IF(B1643=0,0,O1619/B1643)</f>
        <v/>
      </c>
      <c r="Q1619">
        <f>IFERROR(1/IF(Inputs!$B$39="pvp",15,MAX(0.1,Skills!D21-IF(Skills!E21=TRUE,2.5,0))),0)</f>
        <v/>
      </c>
      <c r="R1619">
        <f>IF(AND(Inputs!$B$39&lt;&gt;"pvp",Inputs!$B$44&gt;0),IF(Inputs!$B$44&lt;=0,0,(INT(Inputs!$B$44/IF(Inputs!$B$39="pvp",15,MAX(0.1,Skills!D21-IF(Skills!E21=TRUE,2.5,0))))+1)),0)</f>
        <v/>
      </c>
      <c r="S1619">
        <f>IFERROR(O1619/N1619,0)</f>
        <v/>
      </c>
      <c r="T1619" t="n">
        <v>0</v>
      </c>
      <c r="V1619" t="n">
        <v>0</v>
      </c>
    </row>
    <row r="1620">
      <c r="A1620">
        <f>Skills!A22</f>
        <v/>
      </c>
      <c r="B1620">
        <f>Skills!B22</f>
        <v/>
      </c>
      <c r="C1620">
        <f>Inputs!$B$3&gt;=33</f>
        <v/>
      </c>
      <c r="D1620">
        <f>IF(Skills!C22=1,60+Inputs!$B$25+Inputs!$B$29,IF(Skills!C22=2,90+Inputs!$B$26+Inputs!$B$29,IF(Skills!C22=3,120+Inputs!$B$27+Inputs!$B$29,MAX(0,(Inputs!$B$3-100)*3)+Inputs!$B$28+Inputs!$B$29)))</f>
        <v/>
      </c>
      <c r="E1620">
        <f>INDEX(FactorTable!$B$2:$Y$301, MATCH(ROUND(MIN(300,MAX(1,D1620)),0), FactorTable!$A$2:$A$301,0), Skills!M22+1)</f>
        <v/>
      </c>
      <c r="F1620">
        <f>IF(Skills!N22=TRUE,(Skills!L22/10)*(E1620/1000),Skills!L22/10)+Skills!O22</f>
        <v/>
      </c>
      <c r="G1620">
        <f>Skills!G22*IF(Skills!H22&gt;0,Skills!I22/Skills!H22,1)</f>
        <v/>
      </c>
      <c r="H1620">
        <f>1-(1-Skills!J22/100)^Skills!K22</f>
        <v/>
      </c>
      <c r="I1620" t="inlineStr">
        <is>
          <t>1</t>
        </is>
      </c>
      <c r="J1620" t="inlineStr"/>
      <c r="K1620" t="inlineStr"/>
      <c r="L1620" t="inlineStr"/>
      <c r="M1620" t="inlineStr"/>
      <c r="N1620" t="inlineStr"/>
      <c r="O1620">
        <f>(1-Summary!$B$55)*T1620+Summary!$B$55*V1620</f>
        <v/>
      </c>
      <c r="P1620">
        <f>IF(B1643=0,0,O1620/B1643)</f>
        <v/>
      </c>
      <c r="Q1620" t="n">
        <v>0</v>
      </c>
      <c r="R1620" t="n">
        <v>0</v>
      </c>
      <c r="S1620">
        <f>IFERROR(O1620/N1620,0)</f>
        <v/>
      </c>
      <c r="T1620" t="n">
        <v>0</v>
      </c>
      <c r="V1620" t="n">
        <v>0</v>
      </c>
    </row>
    <row r="1621">
      <c r="A1621">
        <f>Skills!A23</f>
        <v/>
      </c>
      <c r="B1621">
        <f>Skills!B23</f>
        <v/>
      </c>
      <c r="C1621">
        <f>Inputs!$B$3&gt;=40</f>
        <v/>
      </c>
      <c r="D1621">
        <f>IF(Skills!C23=1,60+Inputs!$B$25+Inputs!$B$29,IF(Skills!C23=2,90+Inputs!$B$26+Inputs!$B$29,IF(Skills!C23=3,120+Inputs!$B$27+Inputs!$B$29,MAX(0,(Inputs!$B$3-100)*3)+Inputs!$B$28+Inputs!$B$29)))</f>
        <v/>
      </c>
      <c r="E1621">
        <f>INDEX(FactorTable!$B$2:$Y$301, MATCH(ROUND(MIN(300,MAX(1,D1621)),0), FactorTable!$A$2:$A$301,0), Skills!M23+1)</f>
        <v/>
      </c>
      <c r="F1621">
        <f>IF(Skills!N23=TRUE,(Skills!L23/10)*(E1621/1000),Skills!L23/10)+Skills!O23</f>
        <v/>
      </c>
      <c r="G1621">
        <f>Skills!G23*IF(Skills!H23&gt;0,Skills!I23/Skills!H23,1)</f>
        <v/>
      </c>
      <c r="H1621">
        <f>1-(1-Skills!J23/100)^Skills!K23</f>
        <v/>
      </c>
      <c r="I1621" t="inlineStr">
        <is>
          <t>1</t>
        </is>
      </c>
      <c r="J1621" t="inlineStr"/>
      <c r="K1621" t="inlineStr"/>
      <c r="L1621" t="inlineStr"/>
      <c r="M1621" t="inlineStr"/>
      <c r="N1621" t="inlineStr"/>
      <c r="O1621">
        <f>(1-Summary!$B$55)*T1621+Summary!$B$55*V1621</f>
        <v/>
      </c>
      <c r="P1621">
        <f>IF(B1643=0,0,O1621/B1643)</f>
        <v/>
      </c>
      <c r="Q1621" t="n">
        <v>0</v>
      </c>
      <c r="R1621" t="n">
        <v>0</v>
      </c>
      <c r="S1621">
        <f>IFERROR(O1621/N1621,0)</f>
        <v/>
      </c>
      <c r="T1621" t="n">
        <v>0</v>
      </c>
      <c r="V1621" t="n">
        <v>0</v>
      </c>
    </row>
    <row r="1622">
      <c r="A1622">
        <f>Skills!A24</f>
        <v/>
      </c>
      <c r="B1622">
        <f>Skills!B24</f>
        <v/>
      </c>
      <c r="C1622">
        <f>Inputs!$B$3&gt;=43</f>
        <v/>
      </c>
      <c r="D1622">
        <f>IF(Skills!C24=1,60+Inputs!$B$25+Inputs!$B$29,IF(Skills!C24=2,90+Inputs!$B$26+Inputs!$B$29,IF(Skills!C24=3,120+Inputs!$B$27+Inputs!$B$29,MAX(0,(Inputs!$B$3-100)*3)+Inputs!$B$28+Inputs!$B$29)))</f>
        <v/>
      </c>
      <c r="E1622">
        <f>INDEX(FactorTable!$B$2:$Y$301, MATCH(ROUND(MIN(300,MAX(1,D1622)),0), FactorTable!$A$2:$A$301,0), Skills!M24+1)</f>
        <v/>
      </c>
      <c r="F1622">
        <f>IF(Skills!N24=TRUE,(Skills!L24/10)*(E1622/1000),Skills!L24/10)+Skills!O24</f>
        <v/>
      </c>
      <c r="G1622">
        <f>Skills!G24*IF(Skills!H24&gt;0,Skills!I24/Skills!H24,1)</f>
        <v/>
      </c>
      <c r="H1622">
        <f>1-(1-Skills!J24/100)^Skills!K24</f>
        <v/>
      </c>
      <c r="I1622" t="inlineStr">
        <is>
          <t>1</t>
        </is>
      </c>
      <c r="J1622" t="inlineStr"/>
      <c r="K1622" t="inlineStr"/>
      <c r="L1622" t="inlineStr"/>
      <c r="M1622" t="inlineStr"/>
      <c r="N1622" t="inlineStr"/>
      <c r="O1622">
        <f>(1-Summary!$B$55)*T1622+Summary!$B$55*V1622</f>
        <v/>
      </c>
      <c r="P1622">
        <f>IF(B1643=0,0,O1622/B1643)</f>
        <v/>
      </c>
      <c r="Q1622" t="n">
        <v>0</v>
      </c>
      <c r="R1622" t="n">
        <v>0</v>
      </c>
      <c r="S1622">
        <f>IFERROR(O1622/N1622,0)</f>
        <v/>
      </c>
      <c r="T1622" t="n">
        <v>0</v>
      </c>
      <c r="V1622" t="n">
        <v>0</v>
      </c>
    </row>
    <row r="1623">
      <c r="A1623">
        <f>Skills!A25</f>
        <v/>
      </c>
      <c r="B1623">
        <f>Skills!B25</f>
        <v/>
      </c>
      <c r="C1623">
        <f>Inputs!$B$3&gt;=50</f>
        <v/>
      </c>
      <c r="D1623">
        <f>IF(Skills!C25=1,60+Inputs!$B$25+Inputs!$B$29,IF(Skills!C25=2,90+Inputs!$B$26+Inputs!$B$29,IF(Skills!C25=3,120+Inputs!$B$27+Inputs!$B$29,MAX(0,(Inputs!$B$3-100)*3)+Inputs!$B$28+Inputs!$B$29)))</f>
        <v/>
      </c>
      <c r="E1623">
        <f>INDEX(FactorTable!$B$2:$Y$301, MATCH(ROUND(MIN(300,MAX(1,D1623)),0), FactorTable!$A$2:$A$301,0), Skills!M25+1)</f>
        <v/>
      </c>
      <c r="F1623">
        <f>IF(Skills!N25=TRUE,(Skills!L25/10)*(E1623/1000),Skills!L25/10)+Skills!O25</f>
        <v/>
      </c>
      <c r="G1623">
        <f>Skills!G25*IF(Skills!H25&gt;0,Skills!I25/Skills!H25,1)</f>
        <v/>
      </c>
      <c r="H1623">
        <f>1-(1-Skills!J25/100)^Skills!K25</f>
        <v/>
      </c>
      <c r="I1623" t="inlineStr">
        <is>
          <t>1</t>
        </is>
      </c>
      <c r="J1623" t="inlineStr"/>
      <c r="K1623" t="inlineStr"/>
      <c r="L1623" t="inlineStr"/>
      <c r="M1623" t="inlineStr"/>
      <c r="N1623" t="inlineStr"/>
      <c r="O1623">
        <f>(1-Summary!$B$55)*T1623+Summary!$B$55*V1623</f>
        <v/>
      </c>
      <c r="P1623">
        <f>IF(B1643=0,0,O1623/B1643)</f>
        <v/>
      </c>
      <c r="Q1623" t="n">
        <v>0</v>
      </c>
      <c r="R1623" t="n">
        <v>0</v>
      </c>
      <c r="S1623">
        <f>IFERROR(O1623/N1623,0)</f>
        <v/>
      </c>
      <c r="T1623" t="n">
        <v>0</v>
      </c>
      <c r="V1623" t="n">
        <v>0</v>
      </c>
    </row>
    <row r="1624">
      <c r="A1624">
        <f>Skills!A26</f>
        <v/>
      </c>
      <c r="B1624">
        <f>Skills!B26</f>
        <v/>
      </c>
      <c r="C1624">
        <f>Inputs!$B$3&gt;=50</f>
        <v/>
      </c>
      <c r="D1624">
        <f>IF(Skills!C26=1,60+Inputs!$B$25+Inputs!$B$29,IF(Skills!C26=2,90+Inputs!$B$26+Inputs!$B$29,IF(Skills!C26=3,120+Inputs!$B$27+Inputs!$B$29,MAX(0,(Inputs!$B$3-100)*3)+Inputs!$B$28+Inputs!$B$29)))</f>
        <v/>
      </c>
      <c r="E1624">
        <f>INDEX(FactorTable!$B$2:$Y$301, MATCH(ROUND(MIN(300,MAX(1,D1624)),0), FactorTable!$A$2:$A$301,0), Skills!M26+1)</f>
        <v/>
      </c>
      <c r="F1624">
        <f>IF(Skills!N26=TRUE,(Skills!L26/10)*(E1624/1000),Skills!L26/10)+Skills!O26</f>
        <v/>
      </c>
      <c r="G1624">
        <f>Skills!G26*IF(Skills!H26&gt;0,Skills!I26/Skills!H26,1)</f>
        <v/>
      </c>
      <c r="H1624">
        <f>1-(1-Skills!J26/100)^Skills!K26</f>
        <v/>
      </c>
      <c r="I1624" t="inlineStr">
        <is>
          <t>1</t>
        </is>
      </c>
      <c r="J1624" t="inlineStr"/>
      <c r="K1624" t="inlineStr"/>
      <c r="L1624" t="inlineStr"/>
      <c r="M1624" t="inlineStr"/>
      <c r="N1624" t="inlineStr"/>
      <c r="O1624">
        <f>(1-Summary!$B$55)*T1624+Summary!$B$55*V1624</f>
        <v/>
      </c>
      <c r="P1624">
        <f>IF(B1643=0,0,O1624/B1643)</f>
        <v/>
      </c>
      <c r="Q1624" t="n">
        <v>0</v>
      </c>
      <c r="R1624" t="n">
        <v>0</v>
      </c>
      <c r="S1624">
        <f>IFERROR(O1624/N1624,0)</f>
        <v/>
      </c>
      <c r="T1624" t="n">
        <v>0</v>
      </c>
      <c r="V1624" t="n">
        <v>0</v>
      </c>
    </row>
    <row r="1625">
      <c r="A1625">
        <f>Skills!A27</f>
        <v/>
      </c>
      <c r="B1625">
        <f>Skills!B27</f>
        <v/>
      </c>
      <c r="C1625">
        <f>Inputs!$B$3&gt;=38</f>
        <v/>
      </c>
      <c r="D1625">
        <f>IF(Skills!C27=1,60+Inputs!$B$25+Inputs!$B$29,IF(Skills!C27=2,90+Inputs!$B$26+Inputs!$B$29,IF(Skills!C27=3,120+Inputs!$B$27+Inputs!$B$29,MAX(0,(Inputs!$B$3-100)*3)+Inputs!$B$28+Inputs!$B$29)))</f>
        <v/>
      </c>
      <c r="E1625">
        <f>INDEX(FactorTable!$B$2:$Y$301, MATCH(ROUND(MIN(300,MAX(1,D1625)),0), FactorTable!$A$2:$A$301,0), Skills!M27+1)</f>
        <v/>
      </c>
      <c r="F1625">
        <f>IF(Skills!N27=TRUE,(Skills!L27/10)*(E1625/1000),Skills!L27/10)+Skills!O27</f>
        <v/>
      </c>
      <c r="G1625">
        <f>Skills!G27*IF(Skills!H27&gt;0,Skills!I27/Skills!H27,1)</f>
        <v/>
      </c>
      <c r="H1625">
        <f>1-(1-Skills!J27/100)^Skills!K27</f>
        <v/>
      </c>
      <c r="I1625" t="inlineStr">
        <is>
          <t>1</t>
        </is>
      </c>
      <c r="J1625" t="inlineStr"/>
      <c r="K1625" t="inlineStr"/>
      <c r="L1625" t="inlineStr"/>
      <c r="M1625" t="inlineStr"/>
      <c r="N1625" t="inlineStr"/>
      <c r="O1625">
        <f>(1-Summary!$B$55)*T1625+Summary!$B$55*V1625</f>
        <v/>
      </c>
      <c r="P1625">
        <f>IF(B1643=0,0,O1625/B1643)</f>
        <v/>
      </c>
      <c r="Q1625" t="n">
        <v>0</v>
      </c>
      <c r="R1625" t="n">
        <v>0</v>
      </c>
      <c r="S1625">
        <f>IFERROR(O1625/N1625,0)</f>
        <v/>
      </c>
      <c r="T1625" t="n">
        <v>0</v>
      </c>
      <c r="V1625" t="n">
        <v>0</v>
      </c>
    </row>
    <row r="1626">
      <c r="A1626">
        <f>Skills!A28</f>
        <v/>
      </c>
      <c r="B1626">
        <f>Skills!B28</f>
        <v/>
      </c>
      <c r="C1626">
        <f>Inputs!$B$3&gt;=120</f>
        <v/>
      </c>
      <c r="D1626">
        <f>IF(Skills!C28=1,60+Inputs!$B$25+Inputs!$B$29,IF(Skills!C28=2,90+Inputs!$B$26+Inputs!$B$29,IF(Skills!C28=3,120+Inputs!$B$27+Inputs!$B$29,MAX(0,(Inputs!$B$3-100)*3)+Inputs!$B$28+Inputs!$B$29)))</f>
        <v/>
      </c>
      <c r="E1626">
        <f>INDEX(FactorTable!$B$2:$Y$301, MATCH(ROUND(MIN(300,MAX(1,D1626)),0), FactorTable!$A$2:$A$301,0), Skills!M28+1)</f>
        <v/>
      </c>
      <c r="F1626">
        <f>IF(Skills!N28=TRUE,(Skills!L28/10)*(E1626/1000),Skills!L28/10)+Skills!O28</f>
        <v/>
      </c>
      <c r="G1626">
        <f>Skills!G28*IF(Skills!H28&gt;0,Skills!I28/Skills!H28,1)</f>
        <v/>
      </c>
      <c r="H1626">
        <f>1-(1-Skills!J28/100)^Skills!K28</f>
        <v/>
      </c>
      <c r="I1626" t="inlineStr">
        <is>
          <t>1</t>
        </is>
      </c>
      <c r="J1626" t="inlineStr"/>
      <c r="K1626" t="inlineStr"/>
      <c r="L1626" t="inlineStr"/>
      <c r="M1626" t="inlineStr"/>
      <c r="N1626" t="inlineStr"/>
      <c r="O1626">
        <f>(1-Summary!$B$55)*T1626+Summary!$B$55*V1626</f>
        <v/>
      </c>
      <c r="P1626">
        <f>IF(B1643=0,0,O1626/B1643)</f>
        <v/>
      </c>
      <c r="Q1626" t="n">
        <v>0</v>
      </c>
      <c r="R1626" t="n">
        <v>0</v>
      </c>
      <c r="S1626">
        <f>IFERROR(O1626/N1626,0)</f>
        <v/>
      </c>
      <c r="T1626" t="n">
        <v>0</v>
      </c>
      <c r="V1626" t="n">
        <v>0</v>
      </c>
    </row>
    <row r="1627">
      <c r="A1627">
        <f>Skills!A29</f>
        <v/>
      </c>
      <c r="B1627">
        <f>Skills!B29</f>
        <v/>
      </c>
      <c r="C1627">
        <f>Inputs!$B$3&gt;=120</f>
        <v/>
      </c>
      <c r="D1627">
        <f>IF(Skills!C29=1,60+Inputs!$B$25+Inputs!$B$29,IF(Skills!C29=2,90+Inputs!$B$26+Inputs!$B$29,IF(Skills!C29=3,120+Inputs!$B$27+Inputs!$B$29,MAX(0,(Inputs!$B$3-100)*3)+Inputs!$B$28+Inputs!$B$29)))</f>
        <v/>
      </c>
      <c r="E1627">
        <f>INDEX(FactorTable!$B$2:$Y$301, MATCH(ROUND(MIN(300,MAX(1,D1627)),0), FactorTable!$A$2:$A$301,0), Skills!M29+1)</f>
        <v/>
      </c>
      <c r="F1627">
        <f>IF(Skills!N29=TRUE,(Skills!L29/10)*(E1627/1000),Skills!L29/10)+Skills!O29</f>
        <v/>
      </c>
      <c r="G1627">
        <f>Skills!G29*IF(Skills!H29&gt;0,Skills!I29/Skills!H29,1)</f>
        <v/>
      </c>
      <c r="H1627">
        <f>1-(1-Skills!J29/100)^Skills!K29</f>
        <v/>
      </c>
      <c r="I1627" t="inlineStr">
        <is>
          <t>1</t>
        </is>
      </c>
      <c r="J1627" t="inlineStr"/>
      <c r="K1627" t="inlineStr"/>
      <c r="L1627" t="inlineStr"/>
      <c r="M1627" t="inlineStr"/>
      <c r="N1627" t="inlineStr"/>
      <c r="O1627">
        <f>(1-Summary!$B$55)*T1627+Summary!$B$55*V1627</f>
        <v/>
      </c>
      <c r="P1627">
        <f>IF(B1643=0,0,O1627/B1643)</f>
        <v/>
      </c>
      <c r="Q1627" t="n">
        <v>0</v>
      </c>
      <c r="R1627" t="n">
        <v>0</v>
      </c>
      <c r="S1627">
        <f>IFERROR(O1627/N1627,0)</f>
        <v/>
      </c>
      <c r="T1627" t="n">
        <v>0</v>
      </c>
      <c r="V1627" t="n">
        <v>0</v>
      </c>
    </row>
    <row r="1628">
      <c r="A1628">
        <f>Skills!A30</f>
        <v/>
      </c>
      <c r="B1628">
        <f>Skills!B30</f>
        <v/>
      </c>
      <c r="C1628">
        <f>Inputs!$B$3&gt;=125</f>
        <v/>
      </c>
      <c r="D1628">
        <f>IF(Skills!C30=1,60+Inputs!$B$25+Inputs!$B$29,IF(Skills!C30=2,90+Inputs!$B$26+Inputs!$B$29,IF(Skills!C30=3,120+Inputs!$B$27+Inputs!$B$29,MAX(0,(Inputs!$B$3-100)*3)+Inputs!$B$28+Inputs!$B$29)))</f>
        <v/>
      </c>
      <c r="E1628">
        <f>INDEX(FactorTable!$B$2:$Y$301, MATCH(ROUND(MIN(300,MAX(1,D1628)),0), FactorTable!$A$2:$A$301,0), Skills!M30+1)</f>
        <v/>
      </c>
      <c r="F1628">
        <f>IF(Skills!N30=TRUE,(Skills!L30/10)*(E1628/1000),Skills!L30/10)+Skills!O30</f>
        <v/>
      </c>
      <c r="G1628">
        <f>Skills!G30*IF(Skills!H30&gt;0,Skills!I30/Skills!H30,1)</f>
        <v/>
      </c>
      <c r="H1628">
        <f>1-(1-Skills!J30/100)^Skills!K30</f>
        <v/>
      </c>
      <c r="I1628" t="inlineStr">
        <is>
          <t>1</t>
        </is>
      </c>
      <c r="J1628" t="inlineStr"/>
      <c r="K1628" t="inlineStr"/>
      <c r="L1628" t="inlineStr"/>
      <c r="M1628" t="inlineStr"/>
      <c r="N1628" t="inlineStr"/>
      <c r="O1628">
        <f>(1-Summary!$B$55)*T1628+Summary!$B$55*V1628</f>
        <v/>
      </c>
      <c r="P1628">
        <f>IF(B1643=0,0,O1628/B1643)</f>
        <v/>
      </c>
      <c r="Q1628" t="n">
        <v>0</v>
      </c>
      <c r="R1628" t="n">
        <v>0</v>
      </c>
      <c r="S1628">
        <f>IFERROR(O1628/N1628,0)</f>
        <v/>
      </c>
      <c r="T1628" t="n">
        <v>0</v>
      </c>
      <c r="V1628" t="n">
        <v>0</v>
      </c>
    </row>
    <row r="1630">
      <c r="A1630" t="inlineStr">
        <is>
          <t>Average Buff Multiplier</t>
        </is>
      </c>
      <c r="B1630">
        <f>(1+(((C1619=TRUE)*F1619*IF(AND(Inputs!$B$39&lt;&gt;"pvp",Inputs!$B$44&gt;0),(((R1619-1)*(Skills!Y21*(1+Inputs!$B$34/100))+MIN((Skills!Y21*(1+Inputs!$B$34/100)),MAX(0,Inputs!$B$44-((R1619-1)*Skills!D21))))/Inputs!$B$44),IF(Inputs!$B$39="pvp",MIN((Skills!Y21*(1+Inputs!$B$34/100)),15)/15,(Skills!Y21*(1+Inputs!$B$34/100))/Skills!D21)))+((C1621=TRUE)*(F1621-Calc!F23))+((C1615=TRUE)*(F1615-Calc!F17)))/100)*(1+((C1608=TRUE)*F1608*IF(AND(Inputs!$B$39&lt;&gt;"pvp",Inputs!$B$44&gt;0),(((R1608-1)*(Skills!Y10*(1+Inputs!$B$34/100))+MIN((Skills!Y10*(1+Inputs!$B$34/100)),MAX(0,Inputs!$B$44-((R1608-1)*Skills!D10))))/Inputs!$B$44),IF(Inputs!$B$39="pvp",MIN((Skills!Y10*(1+Inputs!$B$34/100)),15)/15,(Skills!Y10*(1+Inputs!$B$34/100))/Skills!D10)))/100)*(1+((C1613=TRUE)*F1613*IF(AND(Inputs!$B$39&lt;&gt;"pvp",Inputs!$B$44&gt;0),(((R1613-1)*(Skills!Y15*(1+Inputs!$B$34/100))+MIN((Skills!Y15*(1+Inputs!$B$34/100)),MAX(0,Inputs!$B$44-((R1613-1)*Skills!D15))))/Inputs!$B$44),IF(Inputs!$B$39="pvp",MIN((Skills!Y15*(1+Inputs!$B$34/100)),15)/15,(Skills!Y15*(1+Inputs!$B$34/100))/Skills!D15)))/100)</f>
        <v/>
      </c>
    </row>
    <row r="1631">
      <c r="A1631" t="inlineStr">
        <is>
          <t>Global Crit Rate Bonus %</t>
        </is>
      </c>
      <c r="B1631">
        <f>((C1618=TRUE)*F1618*IF(AND(Inputs!$B$39&lt;&gt;"pvp",Inputs!$B$44&gt;0),(((R1618-1)*(Skills!Y20*(1+Inputs!$B$34/100))+MIN((Skills!Y20*(1+Inputs!$B$34/100)),MAX(0,Inputs!$B$44-((R1618-1)*Skills!D20))))/Inputs!$B$44),IF(Inputs!$B$39="pvp",MIN((Skills!Y20*(1+Inputs!$B$34/100)),15)/15,(Skills!Y20*(1+Inputs!$B$34/100))/Skills!D20)))</f>
        <v/>
      </c>
    </row>
    <row r="1632">
      <c r="A1632" t="inlineStr">
        <is>
          <t>Global Monster Damage-Taken Bonus %</t>
        </is>
      </c>
      <c r="B1632">
        <f>IF(Inputs!$B$3&gt;=82,15,0)</f>
        <v/>
      </c>
    </row>
    <row r="1633">
      <c r="A1633" t="inlineStr">
        <is>
          <t>Shadow Partner Average Multiplier</t>
        </is>
      </c>
      <c r="B1633">
        <f>1+((C1605=TRUE)*F1605*(1+3.3333333333333335*IF(C1616=TRUE,F1616,0)/100)*I1605*Skills!J7/100)/100</f>
        <v/>
      </c>
    </row>
    <row r="1634">
      <c r="A1634" t="inlineStr">
        <is>
          <t>Attack Speed Buff Bonus %</t>
        </is>
      </c>
      <c r="B1634">
        <f>((C1617=TRUE)*F1617*IF(AND(Inputs!$B$39&lt;&gt;"pvp",Inputs!$B$44&gt;0),(((R1617-1)*(Skills!Y19*(1+Inputs!$B$34/100))+MIN((Skills!Y19*(1+Inputs!$B$34/100)),MAX(0,Inputs!$B$44-((R1617-1)*Skills!D19))))/Inputs!$B$44),IF(Inputs!$B$39="pvp",MIN((Skills!Y19*(1+Inputs!$B$34/100)),15)/15,(Skills!Y19*(1+Inputs!$B$34/100))/Skills!D19)))+((C1601=TRUE)*F1601*3)</f>
        <v/>
      </c>
    </row>
    <row r="1635">
      <c r="A1635" t="inlineStr">
        <is>
          <t>Actions Per Second</t>
        </is>
      </c>
      <c r="B1635">
        <f>1+MIN(150,150*(1-(1-(Inputs!$B$11+((C1620=TRUE)*(F1620-Calc!F22)))/150)*(1-B1634/150)))/100</f>
        <v/>
      </c>
    </row>
    <row r="1636">
      <c r="A1636" t="inlineStr">
        <is>
          <t>Skill + Buff Cast Rate</t>
        </is>
      </c>
      <c r="B1636">
        <f>IF(AND(Inputs!$B$39&lt;&gt;"pvp",Inputs!$B$44&gt;0),SUMPRODUCT((Skills!E2:E30=TRUE)*(C1600:C1628=TRUE)*R1600:R1628*Skills!F2:F30)/Inputs!$B$44,SUMPRODUCT((Skills!E2:E30=TRUE)*(C1600:C1628=TRUE)*Q1600:Q1628*Skills!F2:F30))</f>
        <v/>
      </c>
    </row>
    <row r="1637">
      <c r="A1637" t="inlineStr">
        <is>
          <t>Cruel Stab Casts Per Second</t>
        </is>
      </c>
      <c r="B1637">
        <f>MAX(0,B1635-B1636)</f>
        <v/>
      </c>
    </row>
    <row r="1638">
      <c r="A1638" t="inlineStr">
        <is>
          <t>Global Critical Damage Bonus % (Smokescreen Mastery Lv.113)</t>
        </is>
      </c>
      <c r="B1638">
        <f>IF(Inputs!$B$3&gt;=113,30,0)*IF(AND(Inputs!$B$39&lt;&gt;"pvp",Inputs!$B$44&gt;0),(((R1613-1)*(Skills!Y15*(1+Inputs!$B$34/100))+MIN((Skills!Y15*(1+Inputs!$B$34/100)),MAX(0,Inputs!$B$44-((R1613-1)*Skills!D15))))/Inputs!$B$44),IF(Inputs!$B$39="pvp",MIN((Skills!Y15*(1+Inputs!$B$34/100)),15)/15,(Skills!Y15*(1+Inputs!$B$34/100))/Skills!D15))</f>
        <v/>
      </c>
    </row>
    <row r="1639">
      <c r="A1639" t="inlineStr">
        <is>
          <t>Meso Explosion average stack count</t>
        </is>
      </c>
      <c r="B1639">
        <f>MIN(10,0.5*B1635*Skills!D4)</f>
        <v/>
      </c>
    </row>
    <row r="1640">
      <c r="A1640" t="inlineStr">
        <is>
          <t>Blood Money average stack count</t>
        </is>
      </c>
      <c r="B1640">
        <f>MIN(5,0.25*B1635*Skills!D4)</f>
        <v/>
      </c>
    </row>
    <row r="1641">
      <c r="A1641" t="inlineStr">
        <is>
          <t>Assassinate Murderous Intent Multiplier</t>
        </is>
      </c>
      <c r="B1641">
        <f>1+IFERROR(MIN(1,Q1612*2/Q1609),0)</f>
        <v/>
      </c>
    </row>
    <row r="1642">
      <c r="A1642" t="inlineStr">
        <is>
          <t>Buff-Casting Startup Delay (s, fixed-duration only)</t>
        </is>
      </c>
      <c r="B1642">
        <f>IF(AND(Inputs!$B$39&lt;&gt;"pvp",Inputs!$B$44&gt;0),SUMPRODUCT((Skills!Y2:Y30&gt;0)*(Skills!E2:E30=TRUE)*(C1600:C1628=TRUE))/B1635,0)</f>
        <v/>
      </c>
    </row>
    <row r="1643">
      <c r="A1643" s="5" t="inlineStr">
        <is>
          <t>TOTAL DPS</t>
        </is>
      </c>
      <c r="B1643" s="5">
        <f>SUM(O1600:O1628)</f>
        <v/>
      </c>
    </row>
    <row r="1644">
      <c r="A1644" t="inlineStr">
        <is>
          <t>Boss-Only Total DPS (this block's swept value)</t>
        </is>
      </c>
      <c r="B1644">
        <f>SUM(T1600:T1628)</f>
        <v/>
      </c>
    </row>
    <row r="1645">
      <c r="A1645" t="inlineStr">
        <is>
          <t>Normal-Only Total DPS (this block's swept value)</t>
        </is>
      </c>
      <c r="B1645">
        <f>SUM(V1600:V1628)</f>
        <v/>
      </c>
    </row>
    <row r="1648">
      <c r="A1648" s="5" t="inlineStr">
        <is>
          <t>Stat: CDR = 3.0s</t>
        </is>
      </c>
    </row>
    <row r="1649">
      <c r="A1649" s="9" t="inlineStr">
        <is>
          <t>Key</t>
        </is>
      </c>
      <c r="B1649" s="9" t="inlineStr">
        <is>
          <t>Name</t>
        </is>
      </c>
      <c r="C1649" s="9" t="inlineStr">
        <is>
          <t>Unlocked</t>
        </is>
      </c>
      <c r="D1649" s="9" t="inlineStr">
        <is>
          <t>InputLevel</t>
        </is>
      </c>
      <c r="E1649" s="9" t="inlineStr">
        <is>
          <t>Factor</t>
        </is>
      </c>
      <c r="F1649" s="9" t="inlineStr">
        <is>
          <t>CoefficientPercent</t>
        </is>
      </c>
      <c r="G1649" s="9" t="inlineStr">
        <is>
          <t>EffectiveHits</t>
        </is>
      </c>
      <c r="H1649" s="9" t="inlineStr">
        <is>
          <t>ProcProbability</t>
        </is>
      </c>
      <c r="I1649" s="9" t="inlineStr">
        <is>
          <t>MapleHeroMultiplier</t>
        </is>
      </c>
      <c r="J1649" s="9" t="inlineStr">
        <is>
          <t>BaseDamage</t>
        </is>
      </c>
      <c r="K1649" s="9" t="inlineStr">
        <is>
          <t>BaseHitDamage</t>
        </is>
      </c>
      <c r="L1649" s="9" t="inlineStr">
        <is>
          <t>NonCritAvg</t>
        </is>
      </c>
      <c r="M1649" s="9" t="inlineStr">
        <is>
          <t>CritAvg</t>
        </is>
      </c>
      <c r="N1649" s="9" t="inlineStr">
        <is>
          <t>ExpectedDamage(perHit)</t>
        </is>
      </c>
      <c r="O1649" s="9" t="inlineStr">
        <is>
          <t>DPS</t>
        </is>
      </c>
      <c r="P1649" s="9" t="inlineStr">
        <is>
          <t>% of Total</t>
        </is>
      </c>
      <c r="Q1649" s="9" t="inlineStr">
        <is>
          <t>InvCooldown</t>
        </is>
      </c>
      <c r="R1649" s="9" t="inlineStr">
        <is>
          <t>CastsInFight</t>
        </is>
      </c>
      <c r="S1649" s="9" t="inlineStr">
        <is>
          <t>HitRate(perSec)</t>
        </is>
      </c>
      <c r="U1649" t="inlineStr">
        <is>
          <t>helpers</t>
        </is>
      </c>
    </row>
    <row r="1650">
      <c r="A1650">
        <f>Skills!A2</f>
        <v/>
      </c>
      <c r="B1650">
        <f>Skills!B2</f>
        <v/>
      </c>
      <c r="C1650">
        <f>Inputs!$B$3&gt;=100</f>
        <v/>
      </c>
      <c r="D1650" t="inlineStr"/>
      <c r="E1650" t="inlineStr"/>
      <c r="F1650">
        <f>U1652+Skills!O2</f>
        <v/>
      </c>
      <c r="G1650">
        <f>Skills!G2*IF(Skills!H2&gt;0,Skills!I2/Skills!H2,1)</f>
        <v/>
      </c>
      <c r="H1650">
        <f>1-(1-Skills!J2/100)^Skills!K2</f>
        <v/>
      </c>
      <c r="I1650" t="inlineStr">
        <is>
          <t>1</t>
        </is>
      </c>
      <c r="J1650">
        <f>((Inputs!$B$6*(1+Inputs!$B$7/100))+(((Inputs!$B$12*(1+Inputs!$B$13/100))-(Inputs!$B$12*(1+Inputs!$B$13/100)))+0.25*(Inputs!$B$14-Inputs!$B$14))*(1+Inputs!$B$7/100))*(F1650/100)</f>
        <v/>
      </c>
      <c r="K1650">
        <f>J1650*(1+((Inputs!$B$12*(1+Inputs!$B$13/100))*0.01+Inputs!$B$14*0.0025)/100)*(1+Inputs!$B$15/100)*(1+Inputs!$B$16/100)*(5000/(6000+Inputs!$B$43*(1-Inputs!$B$19/100)))*(1+(Inputs!$B$24+((C1678=TRUE)*(F1678-Calc!F30)))/100)*(1+(IF(Skills!A2="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1650)</f>
        <v/>
      </c>
      <c r="L1650">
        <f>K1650*(MIN(Inputs!$B$22+((C1672=TRUE)*(F1672-Calc!F24)),Inputs!$B$23+((C1677=TRUE)*(F1677-Calc!F29)))/100+(Inputs!$B$23+((C1677=TRUE)*(F1677-Calc!F29)))/100)/2</f>
        <v/>
      </c>
      <c r="M1650">
        <f>L1650*(1+(Inputs!$B$10+((C1674=TRUE)*(F1674-Calc!F26))+B1688)/100)</f>
        <v/>
      </c>
      <c r="N1650">
        <f>L1650*(1-MIN((Inputs!$B$9+((C1673=TRUE)*(F1673-Calc!F25))+B1681),100)/100)+M1650*(MIN((Inputs!$B$9+((C1673=TRUE)*(F1673-Calc!F25))+B1681),100)/100)</f>
        <v/>
      </c>
      <c r="O1650">
        <f>(1-Summary!$B$55)*T1650+Summary!$B$55*V1650</f>
        <v/>
      </c>
      <c r="P1650">
        <f>IF(B1693=0,0,O1650/B1693)</f>
        <v/>
      </c>
      <c r="Q1650" t="n">
        <v>0</v>
      </c>
      <c r="R1650" t="n">
        <v>0</v>
      </c>
      <c r="S1650">
        <f>IFERROR(O1650/N1650,0)</f>
        <v/>
      </c>
      <c r="T1650">
        <f>IF(C1650,(Skills!G2*N1650*B1687)*IF(Inputs!$B$39="pvp",1,1+(Inputs!$B$20+0+Skills!P2+B1682)/100),0)</f>
        <v/>
      </c>
      <c r="U1650">
        <f>MAX(0,(Inputs!$B$3-100)*3)+Inputs!$B$28+Inputs!$B$29</f>
        <v/>
      </c>
      <c r="V1650">
        <f>IF(C1650,(Skills!G2*N1650*B1687)*IF(Inputs!$B$39="pvp",1,(1+(Inputs!$B$21+Skills!Q2+B1682)/100)*(MIN((6+Inputs!$B$33),Inputs!$B$37))),0)</f>
        <v/>
      </c>
    </row>
    <row r="1651">
      <c r="A1651">
        <f>Skills!A3</f>
        <v/>
      </c>
      <c r="B1651">
        <f>Skills!B3</f>
        <v/>
      </c>
      <c r="C1651">
        <f>Inputs!$B$3&gt;=35</f>
        <v/>
      </c>
      <c r="D1651">
        <f>IF(Skills!C3=1,60+Inputs!$B$25+Inputs!$B$29,IF(Skills!C3=2,90+Inputs!$B$26+Inputs!$B$29,IF(Skills!C3=3,120+Inputs!$B$27+Inputs!$B$29,MAX(0,(Inputs!$B$3-100)*3)+Inputs!$B$28+Inputs!$B$29)))</f>
        <v/>
      </c>
      <c r="E1651">
        <f>INDEX(FactorTable!$B$2:$Y$301, MATCH(ROUND(MIN(300,MAX(1,D1651)),0), FactorTable!$A$2:$A$301,0), Skills!M3+1)</f>
        <v/>
      </c>
      <c r="F1651">
        <f>IF(Skills!N3=TRUE,(Skills!L3/10)*(E1651/1000),Skills!L3/10)+Skills!O3</f>
        <v/>
      </c>
      <c r="G1651">
        <f>Skills!G3*IF(Skills!H3&gt;0,Skills!I3/Skills!H3,1)</f>
        <v/>
      </c>
      <c r="H1651">
        <f>1-(1-Skills!J3/100)^Skills!K3</f>
        <v/>
      </c>
      <c r="I1651" t="inlineStr">
        <is>
          <t>1</t>
        </is>
      </c>
      <c r="J1651" t="inlineStr"/>
      <c r="K1651" t="inlineStr"/>
      <c r="L1651" t="inlineStr"/>
      <c r="M1651" t="inlineStr"/>
      <c r="N1651" t="inlineStr"/>
      <c r="O1651">
        <f>(1-Summary!$B$55)*T1651+Summary!$B$55*V1651</f>
        <v/>
      </c>
      <c r="P1651">
        <f>IF(B1693=0,0,O1651/B1693)</f>
        <v/>
      </c>
      <c r="Q1651" t="n">
        <v>0</v>
      </c>
      <c r="R1651" t="n">
        <v>0</v>
      </c>
      <c r="S1651">
        <f>IFERROR(O1651/N1651,0)</f>
        <v/>
      </c>
      <c r="T1651" t="n">
        <v>0</v>
      </c>
      <c r="U1651">
        <f>INDEX(FactorTable!$B$2:$Y$301, MATCH(ROUND(MIN(300,MAX(1,U1650)),0), FactorTable!$A$2:$A$301,0), 22)</f>
        <v/>
      </c>
      <c r="V1651" t="n">
        <v>0</v>
      </c>
    </row>
    <row r="1652">
      <c r="A1652">
        <f>Skills!A4</f>
        <v/>
      </c>
      <c r="B1652">
        <f>Skills!B4</f>
        <v/>
      </c>
      <c r="C1652">
        <f>Inputs!$B$3&gt;=66</f>
        <v/>
      </c>
      <c r="D1652">
        <f>IF(Skills!C4=1,60+Inputs!$B$25+Inputs!$B$29,IF(Skills!C4=2,90+Inputs!$B$26+Inputs!$B$29,IF(Skills!C4=3,120+Inputs!$B$27+Inputs!$B$29,MAX(0,(Inputs!$B$3-100)*3)+Inputs!$B$28+Inputs!$B$29)))</f>
        <v/>
      </c>
      <c r="E1652">
        <f>INDEX(FactorTable!$B$2:$Y$301, MATCH(ROUND(MIN(300,MAX(1,D1652)),0), FactorTable!$A$2:$A$301,0), Skills!M4+1)</f>
        <v/>
      </c>
      <c r="F1652">
        <f>IF(Skills!N4=TRUE,(Skills!L4/10)*(E1652/1000),Skills!L4/10)+Skills!O4</f>
        <v/>
      </c>
      <c r="G1652">
        <f>Skills!G4*IF(Skills!H4&gt;0,Skills!I4/Skills!H4,1)</f>
        <v/>
      </c>
      <c r="H1652">
        <f>1-(1-Skills!J4/100)^Skills!K4</f>
        <v/>
      </c>
      <c r="I1652" t="inlineStr">
        <is>
          <t>1</t>
        </is>
      </c>
      <c r="J1652">
        <f>((Inputs!$B$6*(1+Inputs!$B$7/100))+(((Inputs!$B$12*(1+Inputs!$B$13/100))-(Inputs!$B$12*(1+Inputs!$B$13/100)))+0.25*(Inputs!$B$14-Inputs!$B$14))*(1+Inputs!$B$7/100))*(F1652/100)</f>
        <v/>
      </c>
      <c r="K1652">
        <f>J1652*(1+((Inputs!$B$12*(1+Inputs!$B$13/100))*0.01+Inputs!$B$14*0.0025)/100)*(1+Inputs!$B$15/100)*(1+Inputs!$B$16/100)*(5000/(6000+Inputs!$B$43*(1-Inputs!$B$19/100)))*(1+(Inputs!$B$24+((C1678=TRUE)*(F1678-Calc!F30)))/100)*(1+(IF(Skills!A4="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1652)</f>
        <v/>
      </c>
      <c r="L1652">
        <f>K1652*(MIN(Inputs!$B$22+((C1672=TRUE)*(F1672-Calc!F24)),Inputs!$B$23+((C1677=TRUE)*(F1677-Calc!F29)))/100+(Inputs!$B$23+((C1677=TRUE)*(F1677-Calc!F29)))/100)/2</f>
        <v/>
      </c>
      <c r="M1652">
        <f>L1652*(1+(Inputs!$B$10+((C1674=TRUE)*(F1674-Calc!F26))+B1688)/100)</f>
        <v/>
      </c>
      <c r="N1652">
        <f>L1652*(1-MIN((Inputs!$B$9+((C1673=TRUE)*(F1673-Calc!F25))+B1681),100)/100)+M1652*(MIN((Inputs!$B$9+((C1673=TRUE)*(F1673-Calc!F25))+B1681),100)/100)</f>
        <v/>
      </c>
      <c r="O1652">
        <f>(1-Summary!$B$55)*T1652+Summary!$B$55*V1652</f>
        <v/>
      </c>
      <c r="P1652">
        <f>IF(B1693=0,0,O1652/B1693)</f>
        <v/>
      </c>
      <c r="Q1652">
        <f>IFERROR(1/IF(Inputs!$B$39="pvp",15,MAX(0.1,Skills!D4-IF(Skills!E4=TRUE,3.0,0))),0)</f>
        <v/>
      </c>
      <c r="R1652">
        <f>IF(AND(Inputs!$B$39&lt;&gt;"pvp",Inputs!$B$44&gt;0),IF(MAX(0,Inputs!$B$44-B1692)&lt;=0,0,(INT(MAX(0,Inputs!$B$44-B1692)/IF(Inputs!$B$39="pvp",15,MAX(0.1,Skills!D4-IF(Skills!E4=TRUE,3.0,0))))+1)),0)</f>
        <v/>
      </c>
      <c r="S1652">
        <f>IFERROR(O1652/N1652,0)</f>
        <v/>
      </c>
      <c r="T1652">
        <f>IF(C1652,(H1652*N1652*IF(AND(Inputs!$B$39&lt;&gt;"pvp",Inputs!$B$44&gt;0),((Skills!G4*((R1652-1)*IF(Skills!H4&gt;0,Skills!I4/Skills!H4,1)+IF(Skills!H4&gt;0,MIN(Skills!I4,MAX(0,MAX(0,Inputs!$B$44-B1692)-((R1652-1)*IF(Inputs!$B$39="pvp",15,MAX(0.1,Skills!D4-IF(Skills!E4=TRUE,3.0,0))))))/Skills!H4,1)))/Inputs!$B$44),G1652*Q1652))*IF(Inputs!$B$39="pvp",1,1+(Inputs!$B$20+0+Skills!P4+B1682)/100),0)</f>
        <v/>
      </c>
      <c r="U1652">
        <f>290*U1651/1000</f>
        <v/>
      </c>
      <c r="V1652">
        <f>IF(C1652,(H1652*N1652*IF(AND(Inputs!$B$39&lt;&gt;"pvp",Inputs!$B$44&gt;0),((Skills!G4*((R1652-1)*IF(Skills!H4&gt;0,Skills!I4/Skills!H4,1)+IF(Skills!H4&gt;0,MIN(Skills!I4,MAX(0,MAX(0,Inputs!$B$44-B1692)-((R1652-1)*IF(Inputs!$B$39="pvp",15,MAX(0.1,Skills!D4-IF(Skills!E4=TRUE,3.0,0))))))/Skills!H4,1)))/Inputs!$B$44),G1652*Q1652))*IF(Inputs!$B$39="pvp",1,(1+(Inputs!$B$21+Skills!Q4+B1682)/100)*(MIN(MIN(10,0.5*B1685*Skills!D4),Inputs!$B$37))),0)</f>
        <v/>
      </c>
    </row>
    <row r="1653">
      <c r="A1653">
        <f>Skills!A5</f>
        <v/>
      </c>
      <c r="B1653">
        <f>Skills!B5</f>
        <v/>
      </c>
      <c r="C1653">
        <f>Inputs!$B$3&gt;=63</f>
        <v/>
      </c>
      <c r="D1653">
        <f>IF(Skills!C5=1,60+Inputs!$B$25+Inputs!$B$29,IF(Skills!C5=2,90+Inputs!$B$26+Inputs!$B$29,IF(Skills!C5=3,120+Inputs!$B$27+Inputs!$B$29,MAX(0,(Inputs!$B$3-100)*3)+Inputs!$B$28+Inputs!$B$29)))</f>
        <v/>
      </c>
      <c r="E1653">
        <f>INDEX(FactorTable!$B$2:$Y$301, MATCH(ROUND(MIN(300,MAX(1,D1653)),0), FactorTable!$A$2:$A$301,0), Skills!M5+1)</f>
        <v/>
      </c>
      <c r="F1653">
        <f>IF(Skills!N5=TRUE,(Skills!L5/10)*(E1653/1000),Skills!L5/10)+Skills!O5</f>
        <v/>
      </c>
      <c r="G1653">
        <f>Skills!G5*IF(Skills!H5&gt;0,Skills!I5/Skills!H5,1)</f>
        <v/>
      </c>
      <c r="H1653">
        <f>1-(1-Skills!J5/100)^Skills!K5</f>
        <v/>
      </c>
      <c r="I1653" t="inlineStr">
        <is>
          <t>1</t>
        </is>
      </c>
      <c r="J1653">
        <f>((Inputs!$B$6*(1+Inputs!$B$7/100))+(((Inputs!$B$12*(1+Inputs!$B$13/100))-(Inputs!$B$12*(1+Inputs!$B$13/100)))+0.25*(Inputs!$B$14-Inputs!$B$14))*(1+Inputs!$B$7/100))*(F1653/100)</f>
        <v/>
      </c>
      <c r="K1653">
        <f>J1653*(1+((Inputs!$B$12*(1+Inputs!$B$13/100))*0.01+Inputs!$B$14*0.0025)/100)*(1+Inputs!$B$15/100)*(1+Inputs!$B$16/100)*(5000/(6000+Inputs!$B$43*(1-Inputs!$B$19/100)))*(1+(Inputs!$B$24+((C1678=TRUE)*(F1678-Calc!F30)))/100)*(1+2.6666666666666665*IF(C1666=TRUE,F1666,0)/100)*(1+(IF(Skills!A5="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1653)</f>
        <v/>
      </c>
      <c r="L1653">
        <f>K1653*(MIN(Inputs!$B$22+((C1672=TRUE)*(F1672-Calc!F24)),Inputs!$B$23+((C1677=TRUE)*(F1677-Calc!F29)))/100+(Inputs!$B$23+((C1677=TRUE)*(F1677-Calc!F29)))/100)/2</f>
        <v/>
      </c>
      <c r="M1653">
        <f>L1653*(1+(Inputs!$B$10+((C1674=TRUE)*(F1674-Calc!F26))+B1688)/100)</f>
        <v/>
      </c>
      <c r="N1653">
        <f>L1653*(1-MIN((Inputs!$B$9+((C1673=TRUE)*(F1673-Calc!F25))+B1681),100)/100)+M1653*(MIN((Inputs!$B$9+((C1673=TRUE)*(F1673-Calc!F25))+B1681),100)/100)</f>
        <v/>
      </c>
      <c r="O1653">
        <f>(1-Summary!$B$55)*T1653+Summary!$B$55*V1653</f>
        <v/>
      </c>
      <c r="P1653">
        <f>IF(B1693=0,0,O1653/B1693)</f>
        <v/>
      </c>
      <c r="Q1653">
        <f>IFERROR(1/IF(Inputs!$B$39="pvp",15,MAX(0.1,Skills!D5-IF(Skills!E5=TRUE,3.0,0))),0)</f>
        <v/>
      </c>
      <c r="R1653">
        <f>IF(AND(Inputs!$B$39&lt;&gt;"pvp",Inputs!$B$44&gt;0),IF(MAX(0,Inputs!$B$44-B1692)&lt;=0,0,(INT(MAX(0,Inputs!$B$44-B1692)/IF(Inputs!$B$39="pvp",15,MAX(0.1,Skills!D5-IF(Skills!E5=TRUE,3.0,0))))+1)),0)</f>
        <v/>
      </c>
      <c r="S1653">
        <f>IFERROR(O1653/N1653,0)</f>
        <v/>
      </c>
      <c r="T1653">
        <f>IF(C1653,(H1653*N1653*IF(AND(Inputs!$B$39&lt;&gt;"pvp",Inputs!$B$44&gt;0),((Skills!G5*((R1653-1)*IF(Skills!H5&gt;0,Skills!I5/Skills!H5,1)+IF(Skills!H5&gt;0,MIN(Skills!I5,MAX(0,MAX(0,Inputs!$B$44-B1692)-((R1653-1)*IF(Inputs!$B$39="pvp",15,MAX(0.1,Skills!D5-IF(Skills!E5=TRUE,3.0,0))))))/Skills!H5,1)))/Inputs!$B$44),G1653*Q1653))*IF(Inputs!$B$39="pvp",1,1+(Inputs!$B$20+0+Skills!P5+B1682)/100),0)</f>
        <v/>
      </c>
      <c r="V1653">
        <f>IF(C1653,(H1653*N1653*IF(AND(Inputs!$B$39&lt;&gt;"pvp",Inputs!$B$44&gt;0),((Skills!G5*((R1653-1)*IF(Skills!H5&gt;0,Skills!I5/Skills!H5,1)+IF(Skills!H5&gt;0,MIN(Skills!I5,MAX(0,MAX(0,Inputs!$B$44-B1692)-((R1653-1)*IF(Inputs!$B$39="pvp",15,MAX(0.1,Skills!D5-IF(Skills!E5=TRUE,3.0,0))))))/Skills!H5,1)))/Inputs!$B$44),G1653*Q1653))*IF(Inputs!$B$39="pvp",1,(1+(Inputs!$B$21+Skills!Q5+B1682)/100)*(MIN(Skills!W5,Inputs!$B$37))),0)</f>
        <v/>
      </c>
    </row>
    <row r="1654">
      <c r="A1654">
        <f>Skills!A6</f>
        <v/>
      </c>
      <c r="B1654">
        <f>Skills!B6</f>
        <v/>
      </c>
      <c r="C1654">
        <f>Inputs!$B$3&gt;=69</f>
        <v/>
      </c>
      <c r="D1654">
        <f>IF(Skills!C6=1,60+Inputs!$B$25+Inputs!$B$29,IF(Skills!C6=2,90+Inputs!$B$26+Inputs!$B$29,IF(Skills!C6=3,120+Inputs!$B$27+Inputs!$B$29,MAX(0,(Inputs!$B$3-100)*3)+Inputs!$B$28+Inputs!$B$29)))</f>
        <v/>
      </c>
      <c r="E1654">
        <f>INDEX(FactorTable!$B$2:$Y$301, MATCH(ROUND(MIN(300,MAX(1,D1654)),0), FactorTable!$A$2:$A$301,0), Skills!M6+1)</f>
        <v/>
      </c>
      <c r="F1654">
        <f>IF(Skills!N6=TRUE,(Skills!L6/10)*(E1654/1000),Skills!L6/10)+Skills!O6</f>
        <v/>
      </c>
      <c r="G1654">
        <f>Skills!G6*IF(Skills!H6&gt;0,Skills!I6/Skills!H6,1)</f>
        <v/>
      </c>
      <c r="H1654">
        <f>1-(1-Skills!J6/100)^Skills!K6</f>
        <v/>
      </c>
      <c r="I1654" t="inlineStr">
        <is>
          <t>1</t>
        </is>
      </c>
      <c r="J1654">
        <f>((Inputs!$B$6*(1+Inputs!$B$7/100))+(((Inputs!$B$12*(1+Inputs!$B$13/100))-(Inputs!$B$12*(1+Inputs!$B$13/100)))+0.25*(Inputs!$B$14-Inputs!$B$14))*(1+Inputs!$B$7/100))*(F1654/100)</f>
        <v/>
      </c>
      <c r="K1654">
        <f>J1654*(1+((Inputs!$B$12*(1+Inputs!$B$13/100))*0.01+Inputs!$B$14*0.0025)/100)*(1+Inputs!$B$15/100)*(1+Inputs!$B$16/100)*(5000/(6000+Inputs!$B$43*(1-Inputs!$B$19/100)))*(1+(Inputs!$B$24+((C1678=TRUE)*(F1678-Calc!F30)))/100)*(1+1.0*IF(C1666=TRUE,F1666,0)/100)*(1+(IF(Skills!A6="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1654)</f>
        <v/>
      </c>
      <c r="L1654">
        <f>K1654*(MIN(Inputs!$B$22+((C1672=TRUE)*(F1672-Calc!F24)),Inputs!$B$23+((C1677=TRUE)*(F1677-Calc!F29)))/100+(Inputs!$B$23+((C1677=TRUE)*(F1677-Calc!F29)))/100)/2</f>
        <v/>
      </c>
      <c r="M1654">
        <f>L1654*(1+(Inputs!$B$10+((C1674=TRUE)*(F1674-Calc!F26))+B1688)/100)</f>
        <v/>
      </c>
      <c r="N1654">
        <f>L1654*(1-MIN((Inputs!$B$9+((C1673=TRUE)*(F1673-Calc!F25))+B1681),100)/100)+M1654*(MIN((Inputs!$B$9+((C1673=TRUE)*(F1673-Calc!F25))+B1681),100)/100)</f>
        <v/>
      </c>
      <c r="O1654">
        <f>(1-Summary!$B$55)*T1654+Summary!$B$55*V1654</f>
        <v/>
      </c>
      <c r="P1654">
        <f>IF(B1693=0,0,O1654/B1693)</f>
        <v/>
      </c>
      <c r="Q1654">
        <f>IFERROR(1/IF(Inputs!$B$39="pvp",15,MAX(0.1,Skills!D6-IF(Skills!E6=TRUE,3.0,0))),0)</f>
        <v/>
      </c>
      <c r="R1654">
        <f>IF(AND(Inputs!$B$39&lt;&gt;"pvp",Inputs!$B$44&gt;0),IF(MAX(0,Inputs!$B$44-B1692)&lt;=0,0,(INT(MAX(0,Inputs!$B$44-B1692)/IF(Inputs!$B$39="pvp",15,MAX(0.1,Skills!D6-IF(Skills!E6=TRUE,3.0,0))))+1)),0)</f>
        <v/>
      </c>
      <c r="S1654">
        <f>IFERROR(O1654/N1654,0)</f>
        <v/>
      </c>
      <c r="T1654">
        <f>IF(C1654,(H1654*N1654*IF(AND(Inputs!$B$39&lt;&gt;"pvp",Inputs!$B$44&gt;0),((Skills!G6*((R1654-1)*IF(Skills!H6&gt;0,Skills!I6/Skills!H6,1)+IF(Skills!H6&gt;0,MIN(Skills!I6,MAX(0,MAX(0,Inputs!$B$44-B1692)-((R1654-1)*IF(Inputs!$B$39="pvp",15,MAX(0.1,Skills!D6-IF(Skills!E6=TRUE,3.0,0))))))/Skills!H6,1)))/Inputs!$B$44),G1654*Q1654))*IF(Inputs!$B$39="pvp",1,1+(Inputs!$B$20+0+Skills!P6+B1682)/100),0)</f>
        <v/>
      </c>
      <c r="V1654">
        <f>IF(C1654,(H1654*N1654*IF(AND(Inputs!$B$39&lt;&gt;"pvp",Inputs!$B$44&gt;0),((Skills!G6*((R1654-1)*IF(Skills!H6&gt;0,Skills!I6/Skills!H6,1)+IF(Skills!H6&gt;0,MIN(Skills!I6,MAX(0,MAX(0,Inputs!$B$44-B1692)-((R1654-1)*IF(Inputs!$B$39="pvp",15,MAX(0.1,Skills!D6-IF(Skills!E6=TRUE,3.0,0))))))/Skills!H6,1)))/Inputs!$B$44),G1654*Q1654))*IF(Inputs!$B$39="pvp",1,(1+(Inputs!$B$21+Skills!Q6+B1682)/100)*(MIN(Skills!W6,Inputs!$B$37))),0)</f>
        <v/>
      </c>
    </row>
    <row r="1655">
      <c r="A1655">
        <f>Skills!A7</f>
        <v/>
      </c>
      <c r="B1655">
        <f>Skills!B7</f>
        <v/>
      </c>
      <c r="C1655">
        <f>Inputs!$B$3&gt;=60</f>
        <v/>
      </c>
      <c r="D1655">
        <f>IF(Skills!C7=1,60+Inputs!$B$25+Inputs!$B$29,IF(Skills!C7=2,90+Inputs!$B$26+Inputs!$B$29,IF(Skills!C7=3,120+Inputs!$B$27+Inputs!$B$29,MAX(0,(Inputs!$B$3-100)*3)+Inputs!$B$28+Inputs!$B$29)))</f>
        <v/>
      </c>
      <c r="E1655">
        <f>INDEX(FactorTable!$B$2:$Y$301, MATCH(ROUND(MIN(300,MAX(1,D1655)),0), FactorTable!$A$2:$A$301,0), Skills!M7+1)</f>
        <v/>
      </c>
      <c r="F1655">
        <f>IF(Skills!N7=TRUE,(Skills!L7/10)*(E1655/1000),Skills!L7/10)+Skills!O7</f>
        <v/>
      </c>
      <c r="G1655">
        <f>Skills!G7*IF(Skills!H7&gt;0,Skills!I7/Skills!H7,1)</f>
        <v/>
      </c>
      <c r="H1655">
        <f>1-(1-Skills!J7/100)^Skills!K7</f>
        <v/>
      </c>
      <c r="I1655" t="inlineStr">
        <is>
          <t>1</t>
        </is>
      </c>
      <c r="J1655" t="inlineStr"/>
      <c r="K1655" t="inlineStr"/>
      <c r="L1655" t="inlineStr"/>
      <c r="M1655" t="inlineStr"/>
      <c r="N1655" t="inlineStr"/>
      <c r="O1655">
        <f>(1-Summary!$B$55)*T1655+Summary!$B$55*V1655</f>
        <v/>
      </c>
      <c r="P1655">
        <f>IF(B1693=0,0,O1655/B1693)</f>
        <v/>
      </c>
      <c r="Q1655" t="n">
        <v>0</v>
      </c>
      <c r="R1655" t="n">
        <v>0</v>
      </c>
      <c r="S1655">
        <f>IFERROR(O1655/N1655,0)</f>
        <v/>
      </c>
      <c r="T1655" t="n">
        <v>0</v>
      </c>
      <c r="V1655" t="n">
        <v>0</v>
      </c>
    </row>
    <row r="1656">
      <c r="A1656">
        <f>Skills!A8</f>
        <v/>
      </c>
      <c r="B1656">
        <f>Skills!B8</f>
        <v/>
      </c>
      <c r="C1656">
        <f>Inputs!$B$3&gt;=72</f>
        <v/>
      </c>
      <c r="D1656">
        <f>IF(Skills!C8=1,60+Inputs!$B$25+Inputs!$B$29,IF(Skills!C8=2,90+Inputs!$B$26+Inputs!$B$29,IF(Skills!C8=3,120+Inputs!$B$27+Inputs!$B$29,MAX(0,(Inputs!$B$3-100)*3)+Inputs!$B$28+Inputs!$B$29)))</f>
        <v/>
      </c>
      <c r="E1656">
        <f>INDEX(FactorTable!$B$2:$Y$301, MATCH(ROUND(MIN(300,MAX(1,D1656)),0), FactorTable!$A$2:$A$301,0), Skills!M8+1)</f>
        <v/>
      </c>
      <c r="F1656">
        <f>IF(Skills!N8=TRUE,(Skills!L8/10)*(E1656/1000),Skills!L8/10)+Skills!O8</f>
        <v/>
      </c>
      <c r="G1656">
        <f>Skills!G8*IF(Skills!H8&gt;0,Skills!I8/Skills!H8,1)</f>
        <v/>
      </c>
      <c r="H1656">
        <f>1-(1-Skills!J8/100)^Skills!K8</f>
        <v/>
      </c>
      <c r="I1656" t="inlineStr">
        <is>
          <t>1</t>
        </is>
      </c>
      <c r="J1656">
        <f>((Inputs!$B$6*(1+Inputs!$B$7/100))+(((Inputs!$B$12*(1+Inputs!$B$13/100))-(Inputs!$B$12*(1+Inputs!$B$13/100)))+0.25*(Inputs!$B$14-Inputs!$B$14))*(1+Inputs!$B$7/100))*(F1656/100)</f>
        <v/>
      </c>
      <c r="K1656">
        <f>J1656*(1+((Inputs!$B$12*(1+Inputs!$B$13/100))*0.01+Inputs!$B$14*0.0025)/100)*(1+Inputs!$B$15/100)*(1+Inputs!$B$16/100)*(5000/(6000+Inputs!$B$43*(1-Inputs!$B$19/100)))*(1+(Inputs!$B$24+((C1678=TRUE)*(F1678-Calc!F30)))/100)*(1+3.3333333333333335*IF(C1666=TRUE,F1666,0)/100)*(1+(IF(Skills!A8="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1656)</f>
        <v/>
      </c>
      <c r="L1656">
        <f>K1656*(MIN(Inputs!$B$22+((C1672=TRUE)*(F1672-Calc!F24)),Inputs!$B$23+((C1677=TRUE)*(F1677-Calc!F29)))/100+(Inputs!$B$23+((C1677=TRUE)*(F1677-Calc!F29)))/100)/2</f>
        <v/>
      </c>
      <c r="M1656">
        <f>L1656*(1+(Inputs!$B$10+((C1674=TRUE)*(F1674-Calc!F26))+B1688)/100)</f>
        <v/>
      </c>
      <c r="N1656">
        <f>L1656*(1-MIN((Inputs!$B$9+((C1673=TRUE)*(F1673-Calc!F25))+B1681),100)/100)+M1656*(MIN((Inputs!$B$9+((C1673=TRUE)*(F1673-Calc!F25))+B1681),100)/100)</f>
        <v/>
      </c>
      <c r="O1656">
        <f>(1-Summary!$B$55)*T1656+Summary!$B$55*V1656</f>
        <v/>
      </c>
      <c r="P1656">
        <f>IF(B1693=0,0,O1656/B1693)</f>
        <v/>
      </c>
      <c r="Q1656">
        <f>IFERROR(1/IF(Inputs!$B$39="pvp",15,MAX(0.1,Skills!D8-IF(Skills!E8=TRUE,3.0,0))),0)</f>
        <v/>
      </c>
      <c r="R1656">
        <f>IF(AND(Inputs!$B$39&lt;&gt;"pvp",Inputs!$B$44&gt;0),IF(MAX(0,Inputs!$B$44-B1692)&lt;=0,0,(INT(MAX(0,Inputs!$B$44-B1692)/IF(Inputs!$B$39="pvp",15,MAX(0.1,Skills!D8-IF(Skills!E8=TRUE,3.0,0))))+1)),0)</f>
        <v/>
      </c>
      <c r="S1656">
        <f>IFERROR(O1656/N1656,0)</f>
        <v/>
      </c>
      <c r="T1656">
        <f>IF(C1656,(H1656*N1656*IF(AND(Inputs!$B$39&lt;&gt;"pvp",Inputs!$B$44&gt;0),((Skills!G8*((R1656-1)*IF(Skills!H8&gt;0,Skills!I8/Skills!H8,1)+IF(Skills!H8&gt;0,MIN(Skills!I8,MAX(0,MAX(0,Inputs!$B$44-B1692)-((R1656-1)*IF(Inputs!$B$39="pvp",15,MAX(0.1,Skills!D8-IF(Skills!E8=TRUE,3.0,0))))))/Skills!H8,1)))/Inputs!$B$44),G1656*Q1656))*IF(Inputs!$B$39="pvp",1,1+(Inputs!$B$20+0+Skills!P8+B1682)/100),0)</f>
        <v/>
      </c>
      <c r="V1656">
        <f>IF(C1656,(H1656*N1656*IF(AND(Inputs!$B$39&lt;&gt;"pvp",Inputs!$B$44&gt;0),((Skills!G8*((R1656-1)*IF(Skills!H8&gt;0,Skills!I8/Skills!H8,1)+IF(Skills!H8&gt;0,MIN(Skills!I8,MAX(0,MAX(0,Inputs!$B$44-B1692)-((R1656-1)*IF(Inputs!$B$39="pvp",15,MAX(0.1,Skills!D8-IF(Skills!E8=TRUE,3.0,0))))))/Skills!H8,1)))/Inputs!$B$44),G1656*Q1656))*IF(Inputs!$B$39="pvp",1,(1+(Inputs!$B$21+Skills!Q8+B1682)/100)*(MIN(Skills!W8,Inputs!$B$37))),0)</f>
        <v/>
      </c>
    </row>
    <row r="1657">
      <c r="A1657">
        <f>Skills!A9</f>
        <v/>
      </c>
      <c r="B1657">
        <f>Skills!B9</f>
        <v/>
      </c>
      <c r="C1657">
        <f>Inputs!$B$3&gt;=117</f>
        <v/>
      </c>
      <c r="D1657">
        <f>IF(Skills!C9=1,60+Inputs!$B$25+Inputs!$B$29,IF(Skills!C9=2,90+Inputs!$B$26+Inputs!$B$29,IF(Skills!C9=3,120+Inputs!$B$27+Inputs!$B$29,MAX(0,(Inputs!$B$3-100)*3)+Inputs!$B$28+Inputs!$B$29)))</f>
        <v/>
      </c>
      <c r="E1657">
        <f>INDEX(FactorTable!$B$2:$Y$301, MATCH(ROUND(MIN(300,MAX(1,D1657)),0), FactorTable!$A$2:$A$301,0), Skills!M9+1)</f>
        <v/>
      </c>
      <c r="F1657">
        <f>IF(Skills!N9=TRUE,(Skills!L9/10)*(E1657/1000),Skills!L9/10)+Skills!O9</f>
        <v/>
      </c>
      <c r="G1657">
        <f>Skills!G9*IF(Skills!H9&gt;0,Skills!I9/Skills!H9,1)</f>
        <v/>
      </c>
      <c r="H1657">
        <f>1-(1-Skills!J9/100)^Skills!K9</f>
        <v/>
      </c>
      <c r="I1657" t="inlineStr">
        <is>
          <t>1</t>
        </is>
      </c>
      <c r="J1657">
        <f>((Inputs!$B$6*(1+Inputs!$B$7/100))+(((Inputs!$B$12*(1+Inputs!$B$13/100))-(Inputs!$B$12*(1+Inputs!$B$13/100)))+0.25*(Inputs!$B$14-Inputs!$B$14))*(1+Inputs!$B$7/100))*(F1657/100)</f>
        <v/>
      </c>
      <c r="K1657">
        <f>J1657*(1+((Inputs!$B$12*(1+Inputs!$B$13/100))*0.01+Inputs!$B$14*0.0025)/100)*(1+Inputs!$B$15/100)*(1+Inputs!$B$16/100)*(5000/(6000+Inputs!$B$43*(1-Inputs!$B$19/100)))*(1+(Inputs!$B$24+((C1678=TRUE)*(F1678-Calc!F30)))/100)*(1+(IF(Skills!A9="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1657)</f>
        <v/>
      </c>
      <c r="L1657">
        <f>K1657*(MIN(Inputs!$B$22+((C1672=TRUE)*(F1672-Calc!F24)),Inputs!$B$23+((C1677=TRUE)*(F1677-Calc!F29)))/100+(Inputs!$B$23+((C1677=TRUE)*(F1677-Calc!F29)))/100)/2</f>
        <v/>
      </c>
      <c r="M1657">
        <f>L1657*(1+(Inputs!$B$10+((C1674=TRUE)*(F1674-Calc!F26))+B1688)/100)</f>
        <v/>
      </c>
      <c r="N1657">
        <f>L1657*(1-MIN((Inputs!$B$9+((C1673=TRUE)*(F1673-Calc!F25))+B1681),100)/100)+M1657*(MIN((Inputs!$B$9+((C1673=TRUE)*(F1673-Calc!F25))+B1681),100)/100)</f>
        <v/>
      </c>
      <c r="O1657">
        <f>(1-Summary!$B$55)*T1657+Summary!$B$55*V1657</f>
        <v/>
      </c>
      <c r="P1657">
        <f>IF(B1693=0,0,O1657/B1693)</f>
        <v/>
      </c>
      <c r="Q1657" t="n">
        <v>0</v>
      </c>
      <c r="R1657" t="n">
        <v>0</v>
      </c>
      <c r="S1657" t="n">
        <v>0</v>
      </c>
      <c r="T1657">
        <f>IF(C1657,(0.2*SUMPRODUCT((Skills!Z2:Z30=TRUE)*(C1650:C1678=TRUE)*S1650:S1678)*N1657)*IF(Inputs!$B$39="pvp",1,1+(Inputs!$B$20+0+Skills!P9+B1682)/100),0)</f>
        <v/>
      </c>
      <c r="V1657">
        <f>IF(C1657,(0.2*SUMPRODUCT((Skills!Z2:Z30=TRUE)*(C1650:C1678=TRUE)*S1650:S1678)*N1657)*IF(Inputs!$B$39="pvp",1,(1+(Inputs!$B$21+Skills!Q9+B1682)/100)*(MIN(Skills!W9,Inputs!$B$37))),0)</f>
        <v/>
      </c>
    </row>
    <row r="1658">
      <c r="A1658">
        <f>Skills!A10</f>
        <v/>
      </c>
      <c r="B1658">
        <f>Skills!B10</f>
        <v/>
      </c>
      <c r="C1658">
        <f>Inputs!$B$3&gt;=74</f>
        <v/>
      </c>
      <c r="D1658">
        <f>IF(Skills!C10=1,60+Inputs!$B$25+Inputs!$B$29,IF(Skills!C10=2,90+Inputs!$B$26+Inputs!$B$29,IF(Skills!C10=3,120+Inputs!$B$27+Inputs!$B$29,MAX(0,(Inputs!$B$3-100)*3)+Inputs!$B$28+Inputs!$B$29)))</f>
        <v/>
      </c>
      <c r="E1658">
        <f>INDEX(FactorTable!$B$2:$Y$301, MATCH(ROUND(MIN(300,MAX(1,D1658)),0), FactorTable!$A$2:$A$301,0), Skills!M10+1)</f>
        <v/>
      </c>
      <c r="F1658">
        <f>IF(Skills!N10=TRUE,(Skills!L10/10)*(E1658/1000),Skills!L10/10)+Skills!O10</f>
        <v/>
      </c>
      <c r="G1658">
        <f>Skills!G10*IF(Skills!H10&gt;0,Skills!I10/Skills!H10,1)</f>
        <v/>
      </c>
      <c r="H1658">
        <f>1-(1-Skills!J10/100)^Skills!K10</f>
        <v/>
      </c>
      <c r="I1658" t="inlineStr">
        <is>
          <t>1</t>
        </is>
      </c>
      <c r="J1658" t="inlineStr"/>
      <c r="K1658" t="inlineStr"/>
      <c r="L1658" t="inlineStr"/>
      <c r="M1658" t="inlineStr"/>
      <c r="N1658" t="inlineStr"/>
      <c r="O1658">
        <f>(1-Summary!$B$55)*T1658+Summary!$B$55*V1658</f>
        <v/>
      </c>
      <c r="P1658">
        <f>IF(B1693=0,0,O1658/B1693)</f>
        <v/>
      </c>
      <c r="Q1658">
        <f>IFERROR(1/IF(Inputs!$B$39="pvp",15,MAX(0.1,Skills!D10-IF(Skills!E10=TRUE,3.0,0))),0)</f>
        <v/>
      </c>
      <c r="R1658">
        <f>IF(AND(Inputs!$B$39&lt;&gt;"pvp",Inputs!$B$44&gt;0),IF(Inputs!$B$44&lt;=0,0,(INT(Inputs!$B$44/IF(Inputs!$B$39="pvp",15,MAX(0.1,Skills!D10-IF(Skills!E10=TRUE,3.0,0))))+1)),0)</f>
        <v/>
      </c>
      <c r="S1658">
        <f>IFERROR(O1658/N1658,0)</f>
        <v/>
      </c>
      <c r="T1658" t="n">
        <v>0</v>
      </c>
      <c r="V1658" t="n">
        <v>0</v>
      </c>
    </row>
    <row r="1659">
      <c r="A1659">
        <f>Skills!A11</f>
        <v/>
      </c>
      <c r="B1659">
        <f>Skills!B11</f>
        <v/>
      </c>
      <c r="C1659">
        <f>Inputs!$B$3&gt;=103</f>
        <v/>
      </c>
      <c r="D1659">
        <f>IF(Skills!C11=1,60+Inputs!$B$25+Inputs!$B$29,IF(Skills!C11=2,90+Inputs!$B$26+Inputs!$B$29,IF(Skills!C11=3,120+Inputs!$B$27+Inputs!$B$29,MAX(0,(Inputs!$B$3-100)*3)+Inputs!$B$28+Inputs!$B$29)))</f>
        <v/>
      </c>
      <c r="E1659">
        <f>INDEX(FactorTable!$B$2:$Y$301, MATCH(ROUND(MIN(300,MAX(1,D1659)),0), FactorTable!$A$2:$A$301,0), Skills!M11+1)</f>
        <v/>
      </c>
      <c r="F1659">
        <f>(Skills!L11/10)*(E1659/1000)+IF(Inputs!$B$3&gt;=134,50,0)+0.5*(30000/10)*(INDEX(FactorTable!$B$2:$Y$301, MATCH(ROUND(MIN(300,MAX(1,D1659)),0), FactorTable!$A$2:$A$301,0), 13)/1000)*B1691</f>
        <v/>
      </c>
      <c r="G1659">
        <f>Skills!G11*IF(Skills!H11&gt;0,Skills!I11/Skills!H11,1)</f>
        <v/>
      </c>
      <c r="H1659">
        <f>1-(1-Skills!J11/100)^Skills!K11</f>
        <v/>
      </c>
      <c r="I1659" t="inlineStr">
        <is>
          <t>1</t>
        </is>
      </c>
      <c r="J1659">
        <f>((Inputs!$B$6*(1+Inputs!$B$7/100))+(((Inputs!$B$12*(1+Inputs!$B$13/100))-(Inputs!$B$12*(1+Inputs!$B$13/100)))+0.25*(Inputs!$B$14-Inputs!$B$14))*(1+Inputs!$B$7/100))*(F1659/100)</f>
        <v/>
      </c>
      <c r="K1659">
        <f>J1659*(1+((Inputs!$B$12*(1+Inputs!$B$13/100))*0.01+Inputs!$B$14*0.0025)/100)*(1+Inputs!$B$15/100)*(1+Inputs!$B$16/100)*(5000/(6000+Inputs!$B$43*(1-Inputs!$B$19/100)))*(1+(Inputs!$B$24+((C1678=TRUE)*(F1678-Calc!F30)))/100)*(1+(IF(Skills!A11="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1659)</f>
        <v/>
      </c>
      <c r="L1659">
        <f>K1659*(MIN(Inputs!$B$22+((C1672=TRUE)*(F1672-Calc!F24)),Inputs!$B$23+((C1677=TRUE)*(F1677-Calc!F29)))/100+(Inputs!$B$23+((C1677=TRUE)*(F1677-Calc!F29)))/100)/2</f>
        <v/>
      </c>
      <c r="M1659">
        <f>L1659*(1+(Inputs!$B$10+((C1674=TRUE)*(F1674-Calc!F26))+B1688)/100)</f>
        <v/>
      </c>
      <c r="N1659">
        <f>L1659*(1-MIN((Inputs!$B$9+((C1673=TRUE)*(F1673-Calc!F25))+B1681),100)/100)+M1659*(MIN((Inputs!$B$9+((C1673=TRUE)*(F1673-Calc!F25))+B1681),100)/100)</f>
        <v/>
      </c>
      <c r="O1659">
        <f>(1-Summary!$B$55)*T1659+Summary!$B$55*V1659</f>
        <v/>
      </c>
      <c r="P1659">
        <f>IF(B1693=0,0,O1659/B1693)</f>
        <v/>
      </c>
      <c r="Q1659">
        <f>IFERROR(1/IF(Inputs!$B$39="pvp",15,MAX(0.1,Skills!D11-IF(Skills!E11=TRUE,3.0,0))),0)</f>
        <v/>
      </c>
      <c r="R1659">
        <f>IF(AND(Inputs!$B$39&lt;&gt;"pvp",Inputs!$B$44&gt;0),IF(MAX(0,Inputs!$B$44-B1692)&lt;=0,0,(INT(MAX(0,Inputs!$B$44-B1692)/IF(Inputs!$B$39="pvp",15,MAX(0.1,Skills!D11-IF(Skills!E11=TRUE,3.0,0))))+1)),0)</f>
        <v/>
      </c>
      <c r="S1659">
        <f>IFERROR(O1659/N1659,0)</f>
        <v/>
      </c>
      <c r="T1659">
        <f>IF(C1659,(H1659*N1659*IF(AND(Inputs!$B$39&lt;&gt;"pvp",Inputs!$B$44&gt;0),((Skills!G11*((R1659-1)*IF(Skills!H11&gt;0,Skills!I11/Skills!H11,1)+IF(Skills!H11&gt;0,MIN(Skills!I11,MAX(0,MAX(0,Inputs!$B$44-B1692)-((R1659-1)*IF(Inputs!$B$39="pvp",15,MAX(0.1,Skills!D11-IF(Skills!E11=TRUE,3.0,0))))))/Skills!H11,1)))/Inputs!$B$44),G1659*Q1659))*IF(Inputs!$B$39="pvp",1,1+(Inputs!$B$20+0+Skills!P11+B1682)/100),0)</f>
        <v/>
      </c>
      <c r="V1659">
        <f>IF(C1659,(H1659*N1659*IF(AND(Inputs!$B$39&lt;&gt;"pvp",Inputs!$B$44&gt;0),((Skills!G11*((R1659-1)*IF(Skills!H11&gt;0,Skills!I11/Skills!H11,1)+IF(Skills!H11&gt;0,MIN(Skills!I11,MAX(0,MAX(0,Inputs!$B$44-B1692)-((R1659-1)*IF(Inputs!$B$39="pvp",15,MAX(0.1,Skills!D11-IF(Skills!E11=TRUE,3.0,0))))))/Skills!H11,1)))/Inputs!$B$44),G1659*Q1659))*IF(Inputs!$B$39="pvp",1,(1+(Inputs!$B$21+Skills!Q11+B1682)/100)*(MIN(Skills!W11,Inputs!$B$37))),0)</f>
        <v/>
      </c>
    </row>
    <row r="1660">
      <c r="A1660">
        <f>Skills!A12</f>
        <v/>
      </c>
      <c r="B1660">
        <f>Skills!B12</f>
        <v/>
      </c>
      <c r="C1660">
        <f>Inputs!$B$3&gt;=105</f>
        <v/>
      </c>
      <c r="D1660">
        <f>IF(Skills!C12=1,60+Inputs!$B$25+Inputs!$B$29,IF(Skills!C12=2,90+Inputs!$B$26+Inputs!$B$29,IF(Skills!C12=3,120+Inputs!$B$27+Inputs!$B$29,MAX(0,(Inputs!$B$3-100)*3)+Inputs!$B$28+Inputs!$B$29)))</f>
        <v/>
      </c>
      <c r="E1660">
        <f>INDEX(FactorTable!$B$2:$Y$301, MATCH(ROUND(MIN(300,MAX(1,D1660)),0), FactorTable!$A$2:$A$301,0), Skills!M12+1)</f>
        <v/>
      </c>
      <c r="F1660">
        <f>IF(Skills!N12=TRUE,(Skills!L12/10)*(E1660/1000),Skills!L12/10)+Skills!O12</f>
        <v/>
      </c>
      <c r="G1660">
        <f>Skills!G12*IF(Skills!H12&gt;0,Skills!I12/Skills!H12,1)</f>
        <v/>
      </c>
      <c r="H1660">
        <f>1-(1-Skills!J12/100)^Skills!K12</f>
        <v/>
      </c>
      <c r="I1660" t="inlineStr">
        <is>
          <t>1</t>
        </is>
      </c>
      <c r="J1660">
        <f>((Inputs!$B$6*(1+Inputs!$B$7/100))+(((Inputs!$B$12*(1+Inputs!$B$13/100))-(Inputs!$B$12*(1+Inputs!$B$13/100)))+0.25*(Inputs!$B$14-Inputs!$B$14))*(1+Inputs!$B$7/100))*(F1660/100)</f>
        <v/>
      </c>
      <c r="K1660">
        <f>J1660*(1+((Inputs!$B$12*(1+Inputs!$B$13/100))*0.01+Inputs!$B$14*0.0025)/100)*(1+Inputs!$B$15/100)*(1+Inputs!$B$16/100)*(5000/(6000+Inputs!$B$43*(1-Inputs!$B$19/100)))*(1+(Inputs!$B$24+((C1678=TRUE)*(F1678-Calc!F30)))/100)*(1+(IF(Skills!A12="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1660)</f>
        <v/>
      </c>
      <c r="L1660">
        <f>K1660*(MIN(Inputs!$B$22+((C1672=TRUE)*(F1672-Calc!F24)),Inputs!$B$23+((C1677=TRUE)*(F1677-Calc!F29)))/100+(Inputs!$B$23+((C1677=TRUE)*(F1677-Calc!F29)))/100)/2</f>
        <v/>
      </c>
      <c r="M1660">
        <f>L1660*(1+(Inputs!$B$10+((C1674=TRUE)*(F1674-Calc!F26))+B1688)/100)</f>
        <v/>
      </c>
      <c r="N1660">
        <f>L1660*(1-MIN((Inputs!$B$9+((C1673=TRUE)*(F1673-Calc!F25))+B1681),100)/100)+M1660*(MIN((Inputs!$B$9+((C1673=TRUE)*(F1673-Calc!F25))+B1681),100)/100)</f>
        <v/>
      </c>
      <c r="O1660">
        <f>(1-Summary!$B$55)*T1660+Summary!$B$55*V1660</f>
        <v/>
      </c>
      <c r="P1660">
        <f>IF(B1693=0,0,O1660/B1693)</f>
        <v/>
      </c>
      <c r="Q1660">
        <f>IFERROR(1/IF(Inputs!$B$39="pvp",15,MAX(0.1,Skills!D12-IF(Skills!E12=TRUE,3.0,0))),0)</f>
        <v/>
      </c>
      <c r="R1660">
        <f>IF(AND(Inputs!$B$39&lt;&gt;"pvp",Inputs!$B$44&gt;0),IF(MAX(0,Inputs!$B$44-B1692)&lt;=0,0,(INT(MAX(0,Inputs!$B$44-B1692)/IF(Inputs!$B$39="pvp",15,MAX(0.1,Skills!D12-IF(Skills!E12=TRUE,3.0,0))))+1)),0)</f>
        <v/>
      </c>
      <c r="S1660">
        <f>IFERROR(O1660/N1660,0)</f>
        <v/>
      </c>
      <c r="T1660">
        <f>IF(C1660,(H1660*N1660*IF(AND(Inputs!$B$39&lt;&gt;"pvp",Inputs!$B$44&gt;0),((Skills!G12*((R1660-1)*IF(Skills!H12&gt;0,Skills!I12/Skills!H12,1)+IF(Skills!H12&gt;0,MIN(Skills!I12,MAX(0,MAX(0,Inputs!$B$44-B1692)-((R1660-1)*IF(Inputs!$B$39="pvp",15,MAX(0.1,Skills!D12-IF(Skills!E12=TRUE,3.0,0))))))/Skills!H12,1)))/Inputs!$B$44),G1660*Q1660))*IF(Inputs!$B$39="pvp",1,1+(Inputs!$B$20+0+Skills!P12+B1682)/100),0)</f>
        <v/>
      </c>
      <c r="V1660">
        <f>IF(C1660,(H1660*N1660*IF(AND(Inputs!$B$39&lt;&gt;"pvp",Inputs!$B$44&gt;0),((Skills!G12*((R1660-1)*IF(Skills!H12&gt;0,Skills!I12/Skills!H12,1)+IF(Skills!H12&gt;0,MIN(Skills!I12,MAX(0,MAX(0,Inputs!$B$44-B1692)-((R1660-1)*IF(Inputs!$B$39="pvp",15,MAX(0.1,Skills!D12-IF(Skills!E12=TRUE,3.0,0))))))/Skills!H12,1)))/Inputs!$B$44),G1660*Q1660))*IF(Inputs!$B$39="pvp",1,(1+(Inputs!$B$21+Skills!Q12+B1682)/100)*(MIN(Skills!W12,Inputs!$B$37))),0)</f>
        <v/>
      </c>
    </row>
    <row r="1661">
      <c r="A1661">
        <f>Skills!A13</f>
        <v/>
      </c>
      <c r="B1661">
        <f>Skills!B13</f>
        <v/>
      </c>
      <c r="C1661">
        <f>Inputs!$B$3&gt;=105</f>
        <v/>
      </c>
      <c r="D1661">
        <f>IF(Skills!C13=1,60+Inputs!$B$25+Inputs!$B$29,IF(Skills!C13=2,90+Inputs!$B$26+Inputs!$B$29,IF(Skills!C13=3,120+Inputs!$B$27+Inputs!$B$29,MAX(0,(Inputs!$B$3-100)*3)+Inputs!$B$28+Inputs!$B$29)))</f>
        <v/>
      </c>
      <c r="E1661">
        <f>INDEX(FactorTable!$B$2:$Y$301, MATCH(ROUND(MIN(300,MAX(1,D1661)),0), FactorTable!$A$2:$A$301,0), Skills!M13+1)</f>
        <v/>
      </c>
      <c r="F1661">
        <f>IF(Skills!N13=TRUE,(Skills!L13/10)*(E1661/1000),Skills!L13/10)+Skills!O13</f>
        <v/>
      </c>
      <c r="G1661">
        <f>Skills!G13*IF(Skills!H13&gt;0,Skills!I13/Skills!H13,1)</f>
        <v/>
      </c>
      <c r="H1661">
        <f>1-(1-Skills!J13/100)^Skills!K13</f>
        <v/>
      </c>
      <c r="I1661" t="inlineStr">
        <is>
          <t>1</t>
        </is>
      </c>
      <c r="J1661">
        <f>((Inputs!$B$6*(1+Inputs!$B$7/100))+(((Inputs!$B$12*(1+Inputs!$B$13/100))-(Inputs!$B$12*(1+Inputs!$B$13/100)))+0.25*(Inputs!$B$14-Inputs!$B$14))*(1+Inputs!$B$7/100))*(F1661/100)</f>
        <v/>
      </c>
      <c r="K1661">
        <f>J1661*(1+((Inputs!$B$12*(1+Inputs!$B$13/100))*0.01+Inputs!$B$14*0.0025)/100)*(1+Inputs!$B$15/100)*(1+Inputs!$B$16/100)*(5000/(6000+Inputs!$B$43*(1-Inputs!$B$19/100)))*(1+(Inputs!$B$24+((C1678=TRUE)*(F1678-Calc!F30)))/100)*(1+(IF(Skills!A13="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1661)</f>
        <v/>
      </c>
      <c r="L1661">
        <f>K1661*(MIN(Inputs!$B$22+((C1672=TRUE)*(F1672-Calc!F24)),Inputs!$B$23+((C1677=TRUE)*(F1677-Calc!F29)))/100+(Inputs!$B$23+((C1677=TRUE)*(F1677-Calc!F29)))/100)/2</f>
        <v/>
      </c>
      <c r="M1661">
        <f>L1661*(1+(Inputs!$B$10+((C1674=TRUE)*(F1674-Calc!F26))+B1688)/100)</f>
        <v/>
      </c>
      <c r="N1661">
        <f>L1661*(1-MIN((Inputs!$B$9+((C1673=TRUE)*(F1673-Calc!F25))+B1681),100)/100)+M1661*(MIN((Inputs!$B$9+((C1673=TRUE)*(F1673-Calc!F25))+B1681),100)/100)</f>
        <v/>
      </c>
      <c r="O1661">
        <f>(1-Summary!$B$55)*T1661+Summary!$B$55*V1661</f>
        <v/>
      </c>
      <c r="P1661">
        <f>IF(B1693=0,0,O1661/B1693)</f>
        <v/>
      </c>
      <c r="Q1661">
        <f>IFERROR(1/IF(Inputs!$B$39="pvp",15,MAX(0.1,Skills!D13-IF(Skills!E13=TRUE,3.0,0))),0)</f>
        <v/>
      </c>
      <c r="R1661">
        <f>IF(AND(Inputs!$B$39&lt;&gt;"pvp",Inputs!$B$44&gt;0),IF(MAX(0,Inputs!$B$44-B1692)&lt;=0,0,(INT(MAX(0,Inputs!$B$44-B1692)/IF(Inputs!$B$39="pvp",15,MAX(0.1,Skills!D13-IF(Skills!E13=TRUE,3.0,0))))+1)),0)</f>
        <v/>
      </c>
      <c r="S1661">
        <f>IFERROR(O1661/N1661,0)</f>
        <v/>
      </c>
      <c r="T1661">
        <f>IF(C1661,(H1661*N1661*IF(AND(Inputs!$B$39&lt;&gt;"pvp",Inputs!$B$44&gt;0),((Skills!G13*((R1661-1)*IF(Skills!H13&gt;0,Skills!I13/Skills!H13,1)+IF(Skills!H13&gt;0,MIN(Skills!I13,MAX(0,MAX(0,Inputs!$B$44-B1692)-((R1661-1)*IF(Inputs!$B$39="pvp",15,MAX(0.1,Skills!D13-IF(Skills!E13=TRUE,3.0,0))))))/Skills!H13,1)))/Inputs!$B$44),G1661*Q1661))*IF(Inputs!$B$39="pvp",1,1+(Inputs!$B$20+0+Skills!P13+B1682)/100),0)</f>
        <v/>
      </c>
      <c r="V1661">
        <f>IF(C1661,(H1661*N1661*IF(AND(Inputs!$B$39&lt;&gt;"pvp",Inputs!$B$44&gt;0),((Skills!G13*((R1661-1)*IF(Skills!H13&gt;0,Skills!I13/Skills!H13,1)+IF(Skills!H13&gt;0,MIN(Skills!I13,MAX(0,MAX(0,Inputs!$B$44-B1692)-((R1661-1)*IF(Inputs!$B$39="pvp",15,MAX(0.1,Skills!D13-IF(Skills!E13=TRUE,3.0,0))))))/Skills!H13,1)))/Inputs!$B$44),G1661*Q1661))*IF(Inputs!$B$39="pvp",1,(1+(Inputs!$B$21+Skills!Q13+B1682)/100)*(MIN(Skills!W13,Inputs!$B$37))),0)</f>
        <v/>
      </c>
    </row>
    <row r="1662">
      <c r="A1662">
        <f>Skills!A14</f>
        <v/>
      </c>
      <c r="B1662">
        <f>Skills!B14</f>
        <v/>
      </c>
      <c r="C1662">
        <f>Inputs!$B$3&gt;=107</f>
        <v/>
      </c>
      <c r="D1662">
        <f>IF(Skills!C14=1,60+Inputs!$B$25+Inputs!$B$29,IF(Skills!C14=2,90+Inputs!$B$26+Inputs!$B$29,IF(Skills!C14=3,120+Inputs!$B$27+Inputs!$B$29,MAX(0,(Inputs!$B$3-100)*3)+Inputs!$B$28+Inputs!$B$29)))</f>
        <v/>
      </c>
      <c r="E1662">
        <f>INDEX(FactorTable!$B$2:$Y$301, MATCH(ROUND(MIN(300,MAX(1,D1662)),0), FactorTable!$A$2:$A$301,0), Skills!M14+1)</f>
        <v/>
      </c>
      <c r="F1662">
        <f>IF(Skills!N14=TRUE,(Skills!L14/10)*(E1662/1000),Skills!L14/10)+Skills!O14</f>
        <v/>
      </c>
      <c r="G1662">
        <f>Skills!G14*IF(Skills!H14&gt;0,Skills!I14/Skills!H14,1)</f>
        <v/>
      </c>
      <c r="H1662">
        <f>1-(1-Skills!J14/100)^Skills!K14</f>
        <v/>
      </c>
      <c r="I1662" t="inlineStr">
        <is>
          <t>1</t>
        </is>
      </c>
      <c r="J1662">
        <f>((Inputs!$B$6*(1+Inputs!$B$7/100))+(((Inputs!$B$12*(1+Inputs!$B$13/100))-(Inputs!$B$12*(1+Inputs!$B$13/100)))+0.25*(Inputs!$B$14-Inputs!$B$14))*(1+Inputs!$B$7/100))*(F1662/100)</f>
        <v/>
      </c>
      <c r="K1662">
        <f>J1662*(1+((Inputs!$B$12*(1+Inputs!$B$13/100))*0.01+Inputs!$B$14*0.0025)/100)*(1+Inputs!$B$15/100)*(1+Inputs!$B$16/100)*(5000/(6000+Inputs!$B$43*(1-Inputs!$B$19/100)))*(1+(Inputs!$B$24+((C1678=TRUE)*(F1678-Calc!F30)))/100)*(1+(IF(Skills!A14="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1662)</f>
        <v/>
      </c>
      <c r="L1662">
        <f>K1662*(MIN(Inputs!$B$22+((C1672=TRUE)*(F1672-Calc!F24)),Inputs!$B$23+((C1677=TRUE)*(F1677-Calc!F29)))/100+(Inputs!$B$23+((C1677=TRUE)*(F1677-Calc!F29)))/100)/2</f>
        <v/>
      </c>
      <c r="M1662">
        <f>L1662*(1+(Inputs!$B$10+((C1674=TRUE)*(F1674-Calc!F26))+B1688)/100)</f>
        <v/>
      </c>
      <c r="N1662">
        <f>L1662*(1-MIN((Inputs!$B$9+((C1673=TRUE)*(F1673-Calc!F25))+B1681),100)/100)+M1662*(MIN((Inputs!$B$9+((C1673=TRUE)*(F1673-Calc!F25))+B1681),100)/100)</f>
        <v/>
      </c>
      <c r="O1662">
        <f>(1-Summary!$B$55)*T1662+Summary!$B$55*V1662</f>
        <v/>
      </c>
      <c r="P1662">
        <f>IF(B1693=0,0,O1662/B1693)</f>
        <v/>
      </c>
      <c r="Q1662">
        <f>IFERROR(1/IF(Inputs!$B$39="pvp",15,MAX(0.1,Skills!D14-IF(Skills!E14=TRUE,3.0,0))),0)</f>
        <v/>
      </c>
      <c r="R1662">
        <f>IF(AND(Inputs!$B$39&lt;&gt;"pvp",Inputs!$B$44&gt;0),IF(MAX(0,Inputs!$B$44-B1692)&lt;=0,0,(INT(MAX(0,Inputs!$B$44-B1692)/IF(Inputs!$B$39="pvp",15,MAX(0.1,Skills!D14-IF(Skills!E14=TRUE,3.0,0))))+1)),0)</f>
        <v/>
      </c>
      <c r="S1662">
        <f>IFERROR(O1662/N1662,0)</f>
        <v/>
      </c>
      <c r="T1662">
        <f>IF(C1662,(H1662*N1662*IF(AND(Inputs!$B$39&lt;&gt;"pvp",Inputs!$B$44&gt;0),((Skills!G14*((R1662-1)*IF(Skills!H14&gt;0,Skills!I14/Skills!H14,1)+IF(Skills!H14&gt;0,MIN(Skills!I14,MAX(0,MAX(0,Inputs!$B$44-B1692)-((R1662-1)*IF(Inputs!$B$39="pvp",15,MAX(0.1,Skills!D14-IF(Skills!E14=TRUE,3.0,0))))))/Skills!H14,1)))/Inputs!$B$44),G1662*Q1662))*IF(Inputs!$B$39="pvp",1,1+(Inputs!$B$20+0+Skills!P14+B1682)/100),0)</f>
        <v/>
      </c>
      <c r="V1662">
        <f>IF(C1662,(H1662*N1662*IF(AND(Inputs!$B$39&lt;&gt;"pvp",Inputs!$B$44&gt;0),((Skills!G14*((R1662-1)*IF(Skills!H14&gt;0,Skills!I14/Skills!H14,1)+IF(Skills!H14&gt;0,MIN(Skills!I14,MAX(0,MAX(0,Inputs!$B$44-B1692)-((R1662-1)*IF(Inputs!$B$39="pvp",15,MAX(0.1,Skills!D14-IF(Skills!E14=TRUE,3.0,0))))))/Skills!H14,1)))/Inputs!$B$44),G1662*Q1662))*IF(Inputs!$B$39="pvp",1,(1+(Inputs!$B$21+Skills!Q14+B1682)/100)*(MIN(MIN(5,0.25*B1685*Skills!D4)*Skills!V14,Inputs!$B$37))),0)</f>
        <v/>
      </c>
    </row>
    <row r="1663">
      <c r="A1663">
        <f>Skills!A15</f>
        <v/>
      </c>
      <c r="B1663">
        <f>Skills!B15</f>
        <v/>
      </c>
      <c r="C1663">
        <f>Inputs!$B$3&gt;=110</f>
        <v/>
      </c>
      <c r="D1663">
        <f>IF(Skills!C15=1,60+Inputs!$B$25+Inputs!$B$29,IF(Skills!C15=2,90+Inputs!$B$26+Inputs!$B$29,IF(Skills!C15=3,120+Inputs!$B$27+Inputs!$B$29,MAX(0,(Inputs!$B$3-100)*3)+Inputs!$B$28+Inputs!$B$29)))</f>
        <v/>
      </c>
      <c r="E1663">
        <f>INDEX(FactorTable!$B$2:$Y$301, MATCH(ROUND(MIN(300,MAX(1,D1663)),0), FactorTable!$A$2:$A$301,0), Skills!M15+1)</f>
        <v/>
      </c>
      <c r="F1663">
        <f>IF(Skills!N15=TRUE,(Skills!L15/10)*(E1663/1000),Skills!L15/10)+Skills!O15</f>
        <v/>
      </c>
      <c r="G1663">
        <f>Skills!G15*IF(Skills!H15&gt;0,Skills!I15/Skills!H15,1)</f>
        <v/>
      </c>
      <c r="H1663">
        <f>1-(1-Skills!J15/100)^Skills!K15</f>
        <v/>
      </c>
      <c r="I1663" t="inlineStr">
        <is>
          <t>1</t>
        </is>
      </c>
      <c r="J1663" t="inlineStr"/>
      <c r="K1663" t="inlineStr"/>
      <c r="L1663" t="inlineStr"/>
      <c r="M1663" t="inlineStr"/>
      <c r="N1663" t="inlineStr"/>
      <c r="O1663">
        <f>(1-Summary!$B$55)*T1663+Summary!$B$55*V1663</f>
        <v/>
      </c>
      <c r="P1663">
        <f>IF(B1693=0,0,O1663/B1693)</f>
        <v/>
      </c>
      <c r="Q1663">
        <f>IFERROR(1/IF(Inputs!$B$39="pvp",15,MAX(0.1,Skills!D15-IF(Skills!E15=TRUE,3.0,0))),0)</f>
        <v/>
      </c>
      <c r="R1663">
        <f>IF(AND(Inputs!$B$39&lt;&gt;"pvp",Inputs!$B$44&gt;0),IF(Inputs!$B$44&lt;=0,0,(INT(Inputs!$B$44/IF(Inputs!$B$39="pvp",15,MAX(0.1,Skills!D15-IF(Skills!E15=TRUE,3.0,0))))+1)),0)</f>
        <v/>
      </c>
      <c r="S1663">
        <f>IFERROR(O1663/N1663,0)</f>
        <v/>
      </c>
      <c r="T1663" t="n">
        <v>0</v>
      </c>
      <c r="V1663" t="n">
        <v>0</v>
      </c>
    </row>
    <row r="1664">
      <c r="A1664">
        <f>Skills!A16</f>
        <v/>
      </c>
      <c r="B1664">
        <f>Skills!B16</f>
        <v/>
      </c>
      <c r="C1664">
        <f>Inputs!$B$3&gt;=115</f>
        <v/>
      </c>
      <c r="D1664">
        <f>IF(Skills!C16=1,60+Inputs!$B$25+Inputs!$B$29,IF(Skills!C16=2,90+Inputs!$B$26+Inputs!$B$29,IF(Skills!C16=3,120+Inputs!$B$27+Inputs!$B$29,MAX(0,(Inputs!$B$3-100)*3)+Inputs!$B$28+Inputs!$B$29)))</f>
        <v/>
      </c>
      <c r="E1664">
        <f>INDEX(FactorTable!$B$2:$Y$301, MATCH(ROUND(MIN(300,MAX(1,D1664)),0), FactorTable!$A$2:$A$301,0), Skills!M16+1)</f>
        <v/>
      </c>
      <c r="F1664">
        <f>IF(Skills!N16=TRUE,(Skills!L16/10)*(E1664/1000),Skills!L16/10)+Skills!O16</f>
        <v/>
      </c>
      <c r="G1664">
        <f>Skills!G16*IF(Skills!H16&gt;0,Skills!I16/Skills!H16,1)</f>
        <v/>
      </c>
      <c r="H1664">
        <f>1-(1-Skills!J16/100)^Skills!K16</f>
        <v/>
      </c>
      <c r="I1664" t="inlineStr">
        <is>
          <t>1</t>
        </is>
      </c>
      <c r="J1664">
        <f>((Inputs!$B$6*(1+Inputs!$B$7/100))+(((Inputs!$B$12*(1+Inputs!$B$13/100))-(Inputs!$B$12*(1+Inputs!$B$13/100)))+0.25*(Inputs!$B$14-Inputs!$B$14))*(1+Inputs!$B$7/100))*(F1664/100)</f>
        <v/>
      </c>
      <c r="K1664">
        <f>J1664*(1+((Inputs!$B$12*(1+Inputs!$B$13/100))*0.01+Inputs!$B$14*0.0025)/100)*(1+Inputs!$B$15/100)*(1+Inputs!$B$16/100)*(5000/(6000+Inputs!$B$43*(1-Inputs!$B$19/100)))*(1+(Inputs!$B$24+((C1678=TRUE)*(F1678-Calc!F30)))/100)*(1+(IF(Skills!A16="CRUEL_STAB",Inputs!$B$17+((C1675=TRUE)*(F1675-Calc!F27)),Inputs!$B$18+((C1676=TRUE)*(F1676-Calc!F28))))/100)*(((1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B1683*I1664)</f>
        <v/>
      </c>
      <c r="L1664">
        <f>K1664*(MIN(Inputs!$B$22+((C1672=TRUE)*(F1672-Calc!F24)),Inputs!$B$23+((C1677=TRUE)*(F1677-Calc!F29)))/100+(Inputs!$B$23+((C1677=TRUE)*(F1677-Calc!F29)))/100)/2</f>
        <v/>
      </c>
      <c r="M1664">
        <f>L1664*(1+(Inputs!$B$10+((C1674=TRUE)*(F1674-Calc!F26))+B1688)/100)</f>
        <v/>
      </c>
      <c r="N1664">
        <f>L1664*(1-MIN((Inputs!$B$9+((C1673=TRUE)*(F1673-Calc!F25))+B1681),100)/100)+M1664*(MIN((Inputs!$B$9+((C1673=TRUE)*(F1673-Calc!F25))+B1681),100)/100)</f>
        <v/>
      </c>
      <c r="O1664">
        <f>(1-Summary!$B$55)*T1664+Summary!$B$55*V1664</f>
        <v/>
      </c>
      <c r="P1664">
        <f>IF(B1693=0,0,O1664/B1693)</f>
        <v/>
      </c>
      <c r="Q1664" t="n">
        <v>0</v>
      </c>
      <c r="R1664" t="n">
        <v>0</v>
      </c>
      <c r="S1664">
        <f>IFERROR(O1664/N1664,0)</f>
        <v/>
      </c>
      <c r="T1664">
        <f>IF(C1664,(Inputs!$B$38*0.2*N1664)*IF(Inputs!$B$39="pvp",1,1+(Inputs!$B$20+0+Skills!P16+B1682)/100),0)</f>
        <v/>
      </c>
      <c r="V1664">
        <f>IF(C1664,(Inputs!$B$38*0.2*N1664)*IF(Inputs!$B$39="pvp",1,(1+(Inputs!$B$21+Skills!Q16+B1682)/100)*(MIN(Skills!W16,Inputs!$B$37))),0)</f>
        <v/>
      </c>
    </row>
    <row r="1665">
      <c r="A1665">
        <f>Skills!A17</f>
        <v/>
      </c>
      <c r="B1665">
        <f>Skills!B17</f>
        <v/>
      </c>
      <c r="C1665">
        <f>Inputs!$B$3&gt;=115</f>
        <v/>
      </c>
      <c r="D1665">
        <f>IF(Skills!C17=1,60+Inputs!$B$25+Inputs!$B$29,IF(Skills!C17=2,90+Inputs!$B$26+Inputs!$B$29,IF(Skills!C17=3,120+Inputs!$B$27+Inputs!$B$29,MAX(0,(Inputs!$B$3-100)*3)+Inputs!$B$28+Inputs!$B$29)))</f>
        <v/>
      </c>
      <c r="E1665">
        <f>INDEX(FactorTable!$B$2:$Y$301, MATCH(ROUND(MIN(300,MAX(1,D1665)),0), FactorTable!$A$2:$A$301,0), Skills!M17+1)</f>
        <v/>
      </c>
      <c r="F1665">
        <f>IF(Skills!N17=TRUE,(Skills!L17/10)*(E1665/1000),Skills!L17/10)+Skills!O17</f>
        <v/>
      </c>
      <c r="G1665">
        <f>Skills!G17*IF(Skills!H17&gt;0,Skills!I17/Skills!H17,1)</f>
        <v/>
      </c>
      <c r="H1665">
        <f>1-(1-Skills!J17/100)^Skills!K17</f>
        <v/>
      </c>
      <c r="I1665" t="inlineStr">
        <is>
          <t>1</t>
        </is>
      </c>
      <c r="J1665" t="inlineStr"/>
      <c r="K1665" t="inlineStr"/>
      <c r="L1665" t="inlineStr"/>
      <c r="M1665" t="inlineStr"/>
      <c r="N1665" t="inlineStr"/>
      <c r="O1665">
        <f>(1-Summary!$B$55)*T1665+Summary!$B$55*V1665</f>
        <v/>
      </c>
      <c r="P1665">
        <f>IF(B1693=0,0,O1665/B1693)</f>
        <v/>
      </c>
      <c r="Q1665" t="n">
        <v>0</v>
      </c>
      <c r="R1665" t="n">
        <v>0</v>
      </c>
      <c r="S1665">
        <f>IFERROR(O1665/N1665,0)</f>
        <v/>
      </c>
      <c r="T1665" t="n">
        <v>0</v>
      </c>
      <c r="V1665" t="n">
        <v>0</v>
      </c>
    </row>
    <row r="1666">
      <c r="A1666">
        <f>Skills!A18</f>
        <v/>
      </c>
      <c r="B1666">
        <f>Skills!B18</f>
        <v/>
      </c>
      <c r="C1666">
        <f>Inputs!$B$3&gt;=100</f>
        <v/>
      </c>
      <c r="D1666">
        <f>IF(Skills!C18=1,60+Inputs!$B$25+Inputs!$B$29,IF(Skills!C18=2,90+Inputs!$B$26+Inputs!$B$29,IF(Skills!C18=3,120+Inputs!$B$27+Inputs!$B$29,MAX(0,(Inputs!$B$3-100)*3)+Inputs!$B$28+Inputs!$B$29)))</f>
        <v/>
      </c>
      <c r="E1666">
        <f>INDEX(FactorTable!$B$2:$Y$301, MATCH(ROUND(MIN(300,MAX(1,D1666)),0), FactorTable!$A$2:$A$301,0), Skills!M18+1)</f>
        <v/>
      </c>
      <c r="F1666">
        <f>IF(Skills!N18=TRUE,(Skills!L18/10)*(E1666/1000),Skills!L18/10)+Skills!O18</f>
        <v/>
      </c>
      <c r="G1666">
        <f>Skills!G18*IF(Skills!H18&gt;0,Skills!I18/Skills!H18,1)</f>
        <v/>
      </c>
      <c r="H1666">
        <f>1-(1-Skills!J18/100)^Skills!K18</f>
        <v/>
      </c>
      <c r="I1666" t="inlineStr">
        <is>
          <t>1</t>
        </is>
      </c>
      <c r="J1666" t="inlineStr"/>
      <c r="K1666" t="inlineStr"/>
      <c r="L1666" t="inlineStr"/>
      <c r="M1666" t="inlineStr"/>
      <c r="N1666" t="inlineStr"/>
      <c r="O1666">
        <f>(1-Summary!$B$55)*T1666+Summary!$B$55*V1666</f>
        <v/>
      </c>
      <c r="P1666">
        <f>IF(B1693=0,0,O1666/B1693)</f>
        <v/>
      </c>
      <c r="Q1666" t="n">
        <v>0</v>
      </c>
      <c r="R1666" t="n">
        <v>0</v>
      </c>
      <c r="S1666">
        <f>IFERROR(O1666/N1666,0)</f>
        <v/>
      </c>
      <c r="T1666" t="n">
        <v>0</v>
      </c>
      <c r="V1666" t="n">
        <v>0</v>
      </c>
    </row>
    <row r="1667">
      <c r="A1667">
        <f>Skills!A19</f>
        <v/>
      </c>
      <c r="B1667">
        <f>Skills!B19</f>
        <v/>
      </c>
      <c r="C1667">
        <f>TRUE</f>
        <v/>
      </c>
      <c r="D1667">
        <f>IF(Skills!C19=1,60+Inputs!$B$25+Inputs!$B$29,IF(Skills!C19=2,90+Inputs!$B$26+Inputs!$B$29,IF(Skills!C19=3,120+Inputs!$B$27+Inputs!$B$29,MAX(0,(Inputs!$B$3-100)*3)+Inputs!$B$28+Inputs!$B$29)))</f>
        <v/>
      </c>
      <c r="E1667">
        <f>INDEX(FactorTable!$B$2:$Y$301, MATCH(ROUND(MIN(300,MAX(1,D1667)),0), FactorTable!$A$2:$A$301,0), Skills!M19+1)</f>
        <v/>
      </c>
      <c r="F1667">
        <f>IF(Skills!N19=TRUE,(Skills!L19/10)*(E1667/1000),Skills!L19/10)+Skills!O19</f>
        <v/>
      </c>
      <c r="G1667">
        <f>Skills!G19*IF(Skills!H19&gt;0,Skills!I19/Skills!H19,1)</f>
        <v/>
      </c>
      <c r="H1667">
        <f>1-(1-Skills!J19/100)^Skills!K19</f>
        <v/>
      </c>
      <c r="I1667" t="inlineStr">
        <is>
          <t>1</t>
        </is>
      </c>
      <c r="J1667" t="inlineStr"/>
      <c r="K1667" t="inlineStr"/>
      <c r="L1667" t="inlineStr"/>
      <c r="M1667" t="inlineStr"/>
      <c r="N1667" t="inlineStr"/>
      <c r="O1667">
        <f>(1-Summary!$B$55)*T1667+Summary!$B$55*V1667</f>
        <v/>
      </c>
      <c r="P1667">
        <f>IF(B1693=0,0,O1667/B1693)</f>
        <v/>
      </c>
      <c r="Q1667">
        <f>IFERROR(1/IF(Inputs!$B$39="pvp",15,MAX(0.1,Skills!D19-IF(Skills!E19=TRUE,3.0,0))),0)</f>
        <v/>
      </c>
      <c r="R1667">
        <f>IF(AND(Inputs!$B$39&lt;&gt;"pvp",Inputs!$B$44&gt;0),IF(Inputs!$B$44&lt;=0,0,(INT(Inputs!$B$44/IF(Inputs!$B$39="pvp",15,MAX(0.1,Skills!D19-IF(Skills!E19=TRUE,3.0,0))))+1)),0)</f>
        <v/>
      </c>
      <c r="S1667">
        <f>IFERROR(O1667/N1667,0)</f>
        <v/>
      </c>
      <c r="T1667" t="n">
        <v>0</v>
      </c>
      <c r="V1667" t="n">
        <v>0</v>
      </c>
    </row>
    <row r="1668">
      <c r="A1668">
        <f>Skills!A20</f>
        <v/>
      </c>
      <c r="B1668">
        <f>Skills!B20</f>
        <v/>
      </c>
      <c r="C1668">
        <f>Inputs!$B$3&gt;=15</f>
        <v/>
      </c>
      <c r="D1668">
        <f>IF(Skills!C20=1,60+Inputs!$B$25+Inputs!$B$29,IF(Skills!C20=2,90+Inputs!$B$26+Inputs!$B$29,IF(Skills!C20=3,120+Inputs!$B$27+Inputs!$B$29,MAX(0,(Inputs!$B$3-100)*3)+Inputs!$B$28+Inputs!$B$29)))</f>
        <v/>
      </c>
      <c r="E1668">
        <f>INDEX(FactorTable!$B$2:$Y$301, MATCH(ROUND(MIN(300,MAX(1,D1668)),0), FactorTable!$A$2:$A$301,0), Skills!M20+1)</f>
        <v/>
      </c>
      <c r="F1668">
        <f>IF(Skills!N20=TRUE,(Skills!L20/10)*(E1668/1000),Skills!L20/10)+Skills!O20</f>
        <v/>
      </c>
      <c r="G1668">
        <f>Skills!G20*IF(Skills!H20&gt;0,Skills!I20/Skills!H20,1)</f>
        <v/>
      </c>
      <c r="H1668">
        <f>1-(1-Skills!J20/100)^Skills!K20</f>
        <v/>
      </c>
      <c r="I1668" t="inlineStr">
        <is>
          <t>1</t>
        </is>
      </c>
      <c r="J1668" t="inlineStr"/>
      <c r="K1668" t="inlineStr"/>
      <c r="L1668" t="inlineStr"/>
      <c r="M1668" t="inlineStr"/>
      <c r="N1668" t="inlineStr"/>
      <c r="O1668">
        <f>(1-Summary!$B$55)*T1668+Summary!$B$55*V1668</f>
        <v/>
      </c>
      <c r="P1668">
        <f>IF(B1693=0,0,O1668/B1693)</f>
        <v/>
      </c>
      <c r="Q1668">
        <f>IFERROR(1/IF(Inputs!$B$39="pvp",15,MAX(0.1,Skills!D20-IF(Skills!E20=TRUE,3.0,0))),0)</f>
        <v/>
      </c>
      <c r="R1668">
        <f>IF(AND(Inputs!$B$39&lt;&gt;"pvp",Inputs!$B$44&gt;0),IF(Inputs!$B$44&lt;=0,0,(INT(Inputs!$B$44/IF(Inputs!$B$39="pvp",15,MAX(0.1,Skills!D20-IF(Skills!E20=TRUE,3.0,0))))+1)),0)</f>
        <v/>
      </c>
      <c r="S1668">
        <f>IFERROR(O1668/N1668,0)</f>
        <v/>
      </c>
      <c r="T1668" t="n">
        <v>0</v>
      </c>
      <c r="V1668" t="n">
        <v>0</v>
      </c>
    </row>
    <row r="1669">
      <c r="A1669">
        <f>Skills!A21</f>
        <v/>
      </c>
      <c r="B1669">
        <f>Skills!B21</f>
        <v/>
      </c>
      <c r="C1669">
        <f>Inputs!$B$3&gt;=15</f>
        <v/>
      </c>
      <c r="D1669">
        <f>IF(Skills!C21=1,60+Inputs!$B$25+Inputs!$B$29,IF(Skills!C21=2,90+Inputs!$B$26+Inputs!$B$29,IF(Skills!C21=3,120+Inputs!$B$27+Inputs!$B$29,MAX(0,(Inputs!$B$3-100)*3)+Inputs!$B$28+Inputs!$B$29)))</f>
        <v/>
      </c>
      <c r="E1669">
        <f>INDEX(FactorTable!$B$2:$Y$301, MATCH(ROUND(MIN(300,MAX(1,D1669)),0), FactorTable!$A$2:$A$301,0), Skills!M21+1)</f>
        <v/>
      </c>
      <c r="F1669">
        <f>IF(Skills!N21=TRUE,(Skills!L21/10)*(E1669/1000),Skills!L21/10)+Skills!O21</f>
        <v/>
      </c>
      <c r="G1669">
        <f>Skills!G21*IF(Skills!H21&gt;0,Skills!I21/Skills!H21,1)</f>
        <v/>
      </c>
      <c r="H1669">
        <f>1-(1-Skills!J21/100)^Skills!K21</f>
        <v/>
      </c>
      <c r="I1669" t="inlineStr">
        <is>
          <t>1</t>
        </is>
      </c>
      <c r="J1669" t="inlineStr"/>
      <c r="K1669" t="inlineStr"/>
      <c r="L1669" t="inlineStr"/>
      <c r="M1669" t="inlineStr"/>
      <c r="N1669" t="inlineStr"/>
      <c r="O1669">
        <f>(1-Summary!$B$55)*T1669+Summary!$B$55*V1669</f>
        <v/>
      </c>
      <c r="P1669">
        <f>IF(B1693=0,0,O1669/B1693)</f>
        <v/>
      </c>
      <c r="Q1669">
        <f>IFERROR(1/IF(Inputs!$B$39="pvp",15,MAX(0.1,Skills!D21-IF(Skills!E21=TRUE,3.0,0))),0)</f>
        <v/>
      </c>
      <c r="R1669">
        <f>IF(AND(Inputs!$B$39&lt;&gt;"pvp",Inputs!$B$44&gt;0),IF(Inputs!$B$44&lt;=0,0,(INT(Inputs!$B$44/IF(Inputs!$B$39="pvp",15,MAX(0.1,Skills!D21-IF(Skills!E21=TRUE,3.0,0))))+1)),0)</f>
        <v/>
      </c>
      <c r="S1669">
        <f>IFERROR(O1669/N1669,0)</f>
        <v/>
      </c>
      <c r="T1669" t="n">
        <v>0</v>
      </c>
      <c r="V1669" t="n">
        <v>0</v>
      </c>
    </row>
    <row r="1670">
      <c r="A1670">
        <f>Skills!A22</f>
        <v/>
      </c>
      <c r="B1670">
        <f>Skills!B22</f>
        <v/>
      </c>
      <c r="C1670">
        <f>Inputs!$B$3&gt;=33</f>
        <v/>
      </c>
      <c r="D1670">
        <f>IF(Skills!C22=1,60+Inputs!$B$25+Inputs!$B$29,IF(Skills!C22=2,90+Inputs!$B$26+Inputs!$B$29,IF(Skills!C22=3,120+Inputs!$B$27+Inputs!$B$29,MAX(0,(Inputs!$B$3-100)*3)+Inputs!$B$28+Inputs!$B$29)))</f>
        <v/>
      </c>
      <c r="E1670">
        <f>INDEX(FactorTable!$B$2:$Y$301, MATCH(ROUND(MIN(300,MAX(1,D1670)),0), FactorTable!$A$2:$A$301,0), Skills!M22+1)</f>
        <v/>
      </c>
      <c r="F1670">
        <f>IF(Skills!N22=TRUE,(Skills!L22/10)*(E1670/1000),Skills!L22/10)+Skills!O22</f>
        <v/>
      </c>
      <c r="G1670">
        <f>Skills!G22*IF(Skills!H22&gt;0,Skills!I22/Skills!H22,1)</f>
        <v/>
      </c>
      <c r="H1670">
        <f>1-(1-Skills!J22/100)^Skills!K22</f>
        <v/>
      </c>
      <c r="I1670" t="inlineStr">
        <is>
          <t>1</t>
        </is>
      </c>
      <c r="J1670" t="inlineStr"/>
      <c r="K1670" t="inlineStr"/>
      <c r="L1670" t="inlineStr"/>
      <c r="M1670" t="inlineStr"/>
      <c r="N1670" t="inlineStr"/>
      <c r="O1670">
        <f>(1-Summary!$B$55)*T1670+Summary!$B$55*V1670</f>
        <v/>
      </c>
      <c r="P1670">
        <f>IF(B1693=0,0,O1670/B1693)</f>
        <v/>
      </c>
      <c r="Q1670" t="n">
        <v>0</v>
      </c>
      <c r="R1670" t="n">
        <v>0</v>
      </c>
      <c r="S1670">
        <f>IFERROR(O1670/N1670,0)</f>
        <v/>
      </c>
      <c r="T1670" t="n">
        <v>0</v>
      </c>
      <c r="V1670" t="n">
        <v>0</v>
      </c>
    </row>
    <row r="1671">
      <c r="A1671">
        <f>Skills!A23</f>
        <v/>
      </c>
      <c r="B1671">
        <f>Skills!B23</f>
        <v/>
      </c>
      <c r="C1671">
        <f>Inputs!$B$3&gt;=40</f>
        <v/>
      </c>
      <c r="D1671">
        <f>IF(Skills!C23=1,60+Inputs!$B$25+Inputs!$B$29,IF(Skills!C23=2,90+Inputs!$B$26+Inputs!$B$29,IF(Skills!C23=3,120+Inputs!$B$27+Inputs!$B$29,MAX(0,(Inputs!$B$3-100)*3)+Inputs!$B$28+Inputs!$B$29)))</f>
        <v/>
      </c>
      <c r="E1671">
        <f>INDEX(FactorTable!$B$2:$Y$301, MATCH(ROUND(MIN(300,MAX(1,D1671)),0), FactorTable!$A$2:$A$301,0), Skills!M23+1)</f>
        <v/>
      </c>
      <c r="F1671">
        <f>IF(Skills!N23=TRUE,(Skills!L23/10)*(E1671/1000),Skills!L23/10)+Skills!O23</f>
        <v/>
      </c>
      <c r="G1671">
        <f>Skills!G23*IF(Skills!H23&gt;0,Skills!I23/Skills!H23,1)</f>
        <v/>
      </c>
      <c r="H1671">
        <f>1-(1-Skills!J23/100)^Skills!K23</f>
        <v/>
      </c>
      <c r="I1671" t="inlineStr">
        <is>
          <t>1</t>
        </is>
      </c>
      <c r="J1671" t="inlineStr"/>
      <c r="K1671" t="inlineStr"/>
      <c r="L1671" t="inlineStr"/>
      <c r="M1671" t="inlineStr"/>
      <c r="N1671" t="inlineStr"/>
      <c r="O1671">
        <f>(1-Summary!$B$55)*T1671+Summary!$B$55*V1671</f>
        <v/>
      </c>
      <c r="P1671">
        <f>IF(B1693=0,0,O1671/B1693)</f>
        <v/>
      </c>
      <c r="Q1671" t="n">
        <v>0</v>
      </c>
      <c r="R1671" t="n">
        <v>0</v>
      </c>
      <c r="S1671">
        <f>IFERROR(O1671/N1671,0)</f>
        <v/>
      </c>
      <c r="T1671" t="n">
        <v>0</v>
      </c>
      <c r="V1671" t="n">
        <v>0</v>
      </c>
    </row>
    <row r="1672">
      <c r="A1672">
        <f>Skills!A24</f>
        <v/>
      </c>
      <c r="B1672">
        <f>Skills!B24</f>
        <v/>
      </c>
      <c r="C1672">
        <f>Inputs!$B$3&gt;=43</f>
        <v/>
      </c>
      <c r="D1672">
        <f>IF(Skills!C24=1,60+Inputs!$B$25+Inputs!$B$29,IF(Skills!C24=2,90+Inputs!$B$26+Inputs!$B$29,IF(Skills!C24=3,120+Inputs!$B$27+Inputs!$B$29,MAX(0,(Inputs!$B$3-100)*3)+Inputs!$B$28+Inputs!$B$29)))</f>
        <v/>
      </c>
      <c r="E1672">
        <f>INDEX(FactorTable!$B$2:$Y$301, MATCH(ROUND(MIN(300,MAX(1,D1672)),0), FactorTable!$A$2:$A$301,0), Skills!M24+1)</f>
        <v/>
      </c>
      <c r="F1672">
        <f>IF(Skills!N24=TRUE,(Skills!L24/10)*(E1672/1000),Skills!L24/10)+Skills!O24</f>
        <v/>
      </c>
      <c r="G1672">
        <f>Skills!G24*IF(Skills!H24&gt;0,Skills!I24/Skills!H24,1)</f>
        <v/>
      </c>
      <c r="H1672">
        <f>1-(1-Skills!J24/100)^Skills!K24</f>
        <v/>
      </c>
      <c r="I1672" t="inlineStr">
        <is>
          <t>1</t>
        </is>
      </c>
      <c r="J1672" t="inlineStr"/>
      <c r="K1672" t="inlineStr"/>
      <c r="L1672" t="inlineStr"/>
      <c r="M1672" t="inlineStr"/>
      <c r="N1672" t="inlineStr"/>
      <c r="O1672">
        <f>(1-Summary!$B$55)*T1672+Summary!$B$55*V1672</f>
        <v/>
      </c>
      <c r="P1672">
        <f>IF(B1693=0,0,O1672/B1693)</f>
        <v/>
      </c>
      <c r="Q1672" t="n">
        <v>0</v>
      </c>
      <c r="R1672" t="n">
        <v>0</v>
      </c>
      <c r="S1672">
        <f>IFERROR(O1672/N1672,0)</f>
        <v/>
      </c>
      <c r="T1672" t="n">
        <v>0</v>
      </c>
      <c r="V1672" t="n">
        <v>0</v>
      </c>
    </row>
    <row r="1673">
      <c r="A1673">
        <f>Skills!A25</f>
        <v/>
      </c>
      <c r="B1673">
        <f>Skills!B25</f>
        <v/>
      </c>
      <c r="C1673">
        <f>Inputs!$B$3&gt;=50</f>
        <v/>
      </c>
      <c r="D1673">
        <f>IF(Skills!C25=1,60+Inputs!$B$25+Inputs!$B$29,IF(Skills!C25=2,90+Inputs!$B$26+Inputs!$B$29,IF(Skills!C25=3,120+Inputs!$B$27+Inputs!$B$29,MAX(0,(Inputs!$B$3-100)*3)+Inputs!$B$28+Inputs!$B$29)))</f>
        <v/>
      </c>
      <c r="E1673">
        <f>INDEX(FactorTable!$B$2:$Y$301, MATCH(ROUND(MIN(300,MAX(1,D1673)),0), FactorTable!$A$2:$A$301,0), Skills!M25+1)</f>
        <v/>
      </c>
      <c r="F1673">
        <f>IF(Skills!N25=TRUE,(Skills!L25/10)*(E1673/1000),Skills!L25/10)+Skills!O25</f>
        <v/>
      </c>
      <c r="G1673">
        <f>Skills!G25*IF(Skills!H25&gt;0,Skills!I25/Skills!H25,1)</f>
        <v/>
      </c>
      <c r="H1673">
        <f>1-(1-Skills!J25/100)^Skills!K25</f>
        <v/>
      </c>
      <c r="I1673" t="inlineStr">
        <is>
          <t>1</t>
        </is>
      </c>
      <c r="J1673" t="inlineStr"/>
      <c r="K1673" t="inlineStr"/>
      <c r="L1673" t="inlineStr"/>
      <c r="M1673" t="inlineStr"/>
      <c r="N1673" t="inlineStr"/>
      <c r="O1673">
        <f>(1-Summary!$B$55)*T1673+Summary!$B$55*V1673</f>
        <v/>
      </c>
      <c r="P1673">
        <f>IF(B1693=0,0,O1673/B1693)</f>
        <v/>
      </c>
      <c r="Q1673" t="n">
        <v>0</v>
      </c>
      <c r="R1673" t="n">
        <v>0</v>
      </c>
      <c r="S1673">
        <f>IFERROR(O1673/N1673,0)</f>
        <v/>
      </c>
      <c r="T1673" t="n">
        <v>0</v>
      </c>
      <c r="V1673" t="n">
        <v>0</v>
      </c>
    </row>
    <row r="1674">
      <c r="A1674">
        <f>Skills!A26</f>
        <v/>
      </c>
      <c r="B1674">
        <f>Skills!B26</f>
        <v/>
      </c>
      <c r="C1674">
        <f>Inputs!$B$3&gt;=50</f>
        <v/>
      </c>
      <c r="D1674">
        <f>IF(Skills!C26=1,60+Inputs!$B$25+Inputs!$B$29,IF(Skills!C26=2,90+Inputs!$B$26+Inputs!$B$29,IF(Skills!C26=3,120+Inputs!$B$27+Inputs!$B$29,MAX(0,(Inputs!$B$3-100)*3)+Inputs!$B$28+Inputs!$B$29)))</f>
        <v/>
      </c>
      <c r="E1674">
        <f>INDEX(FactorTable!$B$2:$Y$301, MATCH(ROUND(MIN(300,MAX(1,D1674)),0), FactorTable!$A$2:$A$301,0), Skills!M26+1)</f>
        <v/>
      </c>
      <c r="F1674">
        <f>IF(Skills!N26=TRUE,(Skills!L26/10)*(E1674/1000),Skills!L26/10)+Skills!O26</f>
        <v/>
      </c>
      <c r="G1674">
        <f>Skills!G26*IF(Skills!H26&gt;0,Skills!I26/Skills!H26,1)</f>
        <v/>
      </c>
      <c r="H1674">
        <f>1-(1-Skills!J26/100)^Skills!K26</f>
        <v/>
      </c>
      <c r="I1674" t="inlineStr">
        <is>
          <t>1</t>
        </is>
      </c>
      <c r="J1674" t="inlineStr"/>
      <c r="K1674" t="inlineStr"/>
      <c r="L1674" t="inlineStr"/>
      <c r="M1674" t="inlineStr"/>
      <c r="N1674" t="inlineStr"/>
      <c r="O1674">
        <f>(1-Summary!$B$55)*T1674+Summary!$B$55*V1674</f>
        <v/>
      </c>
      <c r="P1674">
        <f>IF(B1693=0,0,O1674/B1693)</f>
        <v/>
      </c>
      <c r="Q1674" t="n">
        <v>0</v>
      </c>
      <c r="R1674" t="n">
        <v>0</v>
      </c>
      <c r="S1674">
        <f>IFERROR(O1674/N1674,0)</f>
        <v/>
      </c>
      <c r="T1674" t="n">
        <v>0</v>
      </c>
      <c r="V1674" t="n">
        <v>0</v>
      </c>
    </row>
    <row r="1675">
      <c r="A1675">
        <f>Skills!A27</f>
        <v/>
      </c>
      <c r="B1675">
        <f>Skills!B27</f>
        <v/>
      </c>
      <c r="C1675">
        <f>Inputs!$B$3&gt;=38</f>
        <v/>
      </c>
      <c r="D1675">
        <f>IF(Skills!C27=1,60+Inputs!$B$25+Inputs!$B$29,IF(Skills!C27=2,90+Inputs!$B$26+Inputs!$B$29,IF(Skills!C27=3,120+Inputs!$B$27+Inputs!$B$29,MAX(0,(Inputs!$B$3-100)*3)+Inputs!$B$28+Inputs!$B$29)))</f>
        <v/>
      </c>
      <c r="E1675">
        <f>INDEX(FactorTable!$B$2:$Y$301, MATCH(ROUND(MIN(300,MAX(1,D1675)),0), FactorTable!$A$2:$A$301,0), Skills!M27+1)</f>
        <v/>
      </c>
      <c r="F1675">
        <f>IF(Skills!N27=TRUE,(Skills!L27/10)*(E1675/1000),Skills!L27/10)+Skills!O27</f>
        <v/>
      </c>
      <c r="G1675">
        <f>Skills!G27*IF(Skills!H27&gt;0,Skills!I27/Skills!H27,1)</f>
        <v/>
      </c>
      <c r="H1675">
        <f>1-(1-Skills!J27/100)^Skills!K27</f>
        <v/>
      </c>
      <c r="I1675" t="inlineStr">
        <is>
          <t>1</t>
        </is>
      </c>
      <c r="J1675" t="inlineStr"/>
      <c r="K1675" t="inlineStr"/>
      <c r="L1675" t="inlineStr"/>
      <c r="M1675" t="inlineStr"/>
      <c r="N1675" t="inlineStr"/>
      <c r="O1675">
        <f>(1-Summary!$B$55)*T1675+Summary!$B$55*V1675</f>
        <v/>
      </c>
      <c r="P1675">
        <f>IF(B1693=0,0,O1675/B1693)</f>
        <v/>
      </c>
      <c r="Q1675" t="n">
        <v>0</v>
      </c>
      <c r="R1675" t="n">
        <v>0</v>
      </c>
      <c r="S1675">
        <f>IFERROR(O1675/N1675,0)</f>
        <v/>
      </c>
      <c r="T1675" t="n">
        <v>0</v>
      </c>
      <c r="V1675" t="n">
        <v>0</v>
      </c>
    </row>
    <row r="1676">
      <c r="A1676">
        <f>Skills!A28</f>
        <v/>
      </c>
      <c r="B1676">
        <f>Skills!B28</f>
        <v/>
      </c>
      <c r="C1676">
        <f>Inputs!$B$3&gt;=120</f>
        <v/>
      </c>
      <c r="D1676">
        <f>IF(Skills!C28=1,60+Inputs!$B$25+Inputs!$B$29,IF(Skills!C28=2,90+Inputs!$B$26+Inputs!$B$29,IF(Skills!C28=3,120+Inputs!$B$27+Inputs!$B$29,MAX(0,(Inputs!$B$3-100)*3)+Inputs!$B$28+Inputs!$B$29)))</f>
        <v/>
      </c>
      <c r="E1676">
        <f>INDEX(FactorTable!$B$2:$Y$301, MATCH(ROUND(MIN(300,MAX(1,D1676)),0), FactorTable!$A$2:$A$301,0), Skills!M28+1)</f>
        <v/>
      </c>
      <c r="F1676">
        <f>IF(Skills!N28=TRUE,(Skills!L28/10)*(E1676/1000),Skills!L28/10)+Skills!O28</f>
        <v/>
      </c>
      <c r="G1676">
        <f>Skills!G28*IF(Skills!H28&gt;0,Skills!I28/Skills!H28,1)</f>
        <v/>
      </c>
      <c r="H1676">
        <f>1-(1-Skills!J28/100)^Skills!K28</f>
        <v/>
      </c>
      <c r="I1676" t="inlineStr">
        <is>
          <t>1</t>
        </is>
      </c>
      <c r="J1676" t="inlineStr"/>
      <c r="K1676" t="inlineStr"/>
      <c r="L1676" t="inlineStr"/>
      <c r="M1676" t="inlineStr"/>
      <c r="N1676" t="inlineStr"/>
      <c r="O1676">
        <f>(1-Summary!$B$55)*T1676+Summary!$B$55*V1676</f>
        <v/>
      </c>
      <c r="P1676">
        <f>IF(B1693=0,0,O1676/B1693)</f>
        <v/>
      </c>
      <c r="Q1676" t="n">
        <v>0</v>
      </c>
      <c r="R1676" t="n">
        <v>0</v>
      </c>
      <c r="S1676">
        <f>IFERROR(O1676/N1676,0)</f>
        <v/>
      </c>
      <c r="T1676" t="n">
        <v>0</v>
      </c>
      <c r="V1676" t="n">
        <v>0</v>
      </c>
    </row>
    <row r="1677">
      <c r="A1677">
        <f>Skills!A29</f>
        <v/>
      </c>
      <c r="B1677">
        <f>Skills!B29</f>
        <v/>
      </c>
      <c r="C1677">
        <f>Inputs!$B$3&gt;=120</f>
        <v/>
      </c>
      <c r="D1677">
        <f>IF(Skills!C29=1,60+Inputs!$B$25+Inputs!$B$29,IF(Skills!C29=2,90+Inputs!$B$26+Inputs!$B$29,IF(Skills!C29=3,120+Inputs!$B$27+Inputs!$B$29,MAX(0,(Inputs!$B$3-100)*3)+Inputs!$B$28+Inputs!$B$29)))</f>
        <v/>
      </c>
      <c r="E1677">
        <f>INDEX(FactorTable!$B$2:$Y$301, MATCH(ROUND(MIN(300,MAX(1,D1677)),0), FactorTable!$A$2:$A$301,0), Skills!M29+1)</f>
        <v/>
      </c>
      <c r="F1677">
        <f>IF(Skills!N29=TRUE,(Skills!L29/10)*(E1677/1000),Skills!L29/10)+Skills!O29</f>
        <v/>
      </c>
      <c r="G1677">
        <f>Skills!G29*IF(Skills!H29&gt;0,Skills!I29/Skills!H29,1)</f>
        <v/>
      </c>
      <c r="H1677">
        <f>1-(1-Skills!J29/100)^Skills!K29</f>
        <v/>
      </c>
      <c r="I1677" t="inlineStr">
        <is>
          <t>1</t>
        </is>
      </c>
      <c r="J1677" t="inlineStr"/>
      <c r="K1677" t="inlineStr"/>
      <c r="L1677" t="inlineStr"/>
      <c r="M1677" t="inlineStr"/>
      <c r="N1677" t="inlineStr"/>
      <c r="O1677">
        <f>(1-Summary!$B$55)*T1677+Summary!$B$55*V1677</f>
        <v/>
      </c>
      <c r="P1677">
        <f>IF(B1693=0,0,O1677/B1693)</f>
        <v/>
      </c>
      <c r="Q1677" t="n">
        <v>0</v>
      </c>
      <c r="R1677" t="n">
        <v>0</v>
      </c>
      <c r="S1677">
        <f>IFERROR(O1677/N1677,0)</f>
        <v/>
      </c>
      <c r="T1677" t="n">
        <v>0</v>
      </c>
      <c r="V1677" t="n">
        <v>0</v>
      </c>
    </row>
    <row r="1678">
      <c r="A1678">
        <f>Skills!A30</f>
        <v/>
      </c>
      <c r="B1678">
        <f>Skills!B30</f>
        <v/>
      </c>
      <c r="C1678">
        <f>Inputs!$B$3&gt;=125</f>
        <v/>
      </c>
      <c r="D1678">
        <f>IF(Skills!C30=1,60+Inputs!$B$25+Inputs!$B$29,IF(Skills!C30=2,90+Inputs!$B$26+Inputs!$B$29,IF(Skills!C30=3,120+Inputs!$B$27+Inputs!$B$29,MAX(0,(Inputs!$B$3-100)*3)+Inputs!$B$28+Inputs!$B$29)))</f>
        <v/>
      </c>
      <c r="E1678">
        <f>INDEX(FactorTable!$B$2:$Y$301, MATCH(ROUND(MIN(300,MAX(1,D1678)),0), FactorTable!$A$2:$A$301,0), Skills!M30+1)</f>
        <v/>
      </c>
      <c r="F1678">
        <f>IF(Skills!N30=TRUE,(Skills!L30/10)*(E1678/1000),Skills!L30/10)+Skills!O30</f>
        <v/>
      </c>
      <c r="G1678">
        <f>Skills!G30*IF(Skills!H30&gt;0,Skills!I30/Skills!H30,1)</f>
        <v/>
      </c>
      <c r="H1678">
        <f>1-(1-Skills!J30/100)^Skills!K30</f>
        <v/>
      </c>
      <c r="I1678" t="inlineStr">
        <is>
          <t>1</t>
        </is>
      </c>
      <c r="J1678" t="inlineStr"/>
      <c r="K1678" t="inlineStr"/>
      <c r="L1678" t="inlineStr"/>
      <c r="M1678" t="inlineStr"/>
      <c r="N1678" t="inlineStr"/>
      <c r="O1678">
        <f>(1-Summary!$B$55)*T1678+Summary!$B$55*V1678</f>
        <v/>
      </c>
      <c r="P1678">
        <f>IF(B1693=0,0,O1678/B1693)</f>
        <v/>
      </c>
      <c r="Q1678" t="n">
        <v>0</v>
      </c>
      <c r="R1678" t="n">
        <v>0</v>
      </c>
      <c r="S1678">
        <f>IFERROR(O1678/N1678,0)</f>
        <v/>
      </c>
      <c r="T1678" t="n">
        <v>0</v>
      </c>
      <c r="V1678" t="n">
        <v>0</v>
      </c>
    </row>
    <row r="1680">
      <c r="A1680" t="inlineStr">
        <is>
          <t>Average Buff Multiplier</t>
        </is>
      </c>
      <c r="B1680">
        <f>(1+(((C1669=TRUE)*F1669*IF(AND(Inputs!$B$39&lt;&gt;"pvp",Inputs!$B$44&gt;0),(((R1669-1)*(Skills!Y21*(1+Inputs!$B$34/100))+MIN((Skills!Y21*(1+Inputs!$B$34/100)),MAX(0,Inputs!$B$44-((R1669-1)*Skills!D21))))/Inputs!$B$44),IF(Inputs!$B$39="pvp",MIN((Skills!Y21*(1+Inputs!$B$34/100)),15)/15,(Skills!Y21*(1+Inputs!$B$34/100))/Skills!D21)))+((C1671=TRUE)*(F1671-Calc!F23))+((C1665=TRUE)*(F1665-Calc!F17)))/100)*(1+((C1658=TRUE)*F1658*IF(AND(Inputs!$B$39&lt;&gt;"pvp",Inputs!$B$44&gt;0),(((R1658-1)*(Skills!Y10*(1+Inputs!$B$34/100))+MIN((Skills!Y10*(1+Inputs!$B$34/100)),MAX(0,Inputs!$B$44-((R1658-1)*Skills!D10))))/Inputs!$B$44),IF(Inputs!$B$39="pvp",MIN((Skills!Y10*(1+Inputs!$B$34/100)),15)/15,(Skills!Y10*(1+Inputs!$B$34/100))/Skills!D10)))/100)*(1+((C1663=TRUE)*F1663*IF(AND(Inputs!$B$39&lt;&gt;"pvp",Inputs!$B$44&gt;0),(((R1663-1)*(Skills!Y15*(1+Inputs!$B$34/100))+MIN((Skills!Y15*(1+Inputs!$B$34/100)),MAX(0,Inputs!$B$44-((R1663-1)*Skills!D15))))/Inputs!$B$44),IF(Inputs!$B$39="pvp",MIN((Skills!Y15*(1+Inputs!$B$34/100)),15)/15,(Skills!Y15*(1+Inputs!$B$34/100))/Skills!D15)))/100)</f>
        <v/>
      </c>
    </row>
    <row r="1681">
      <c r="A1681" t="inlineStr">
        <is>
          <t>Global Crit Rate Bonus %</t>
        </is>
      </c>
      <c r="B1681">
        <f>((C1668=TRUE)*F1668*IF(AND(Inputs!$B$39&lt;&gt;"pvp",Inputs!$B$44&gt;0),(((R1668-1)*(Skills!Y20*(1+Inputs!$B$34/100))+MIN((Skills!Y20*(1+Inputs!$B$34/100)),MAX(0,Inputs!$B$44-((R1668-1)*Skills!D20))))/Inputs!$B$44),IF(Inputs!$B$39="pvp",MIN((Skills!Y20*(1+Inputs!$B$34/100)),15)/15,(Skills!Y20*(1+Inputs!$B$34/100))/Skills!D20)))</f>
        <v/>
      </c>
    </row>
    <row r="1682">
      <c r="A1682" t="inlineStr">
        <is>
          <t>Global Monster Damage-Taken Bonus %</t>
        </is>
      </c>
      <c r="B1682">
        <f>IF(Inputs!$B$3&gt;=82,15,0)</f>
        <v/>
      </c>
    </row>
    <row r="1683">
      <c r="A1683" t="inlineStr">
        <is>
          <t>Shadow Partner Average Multiplier</t>
        </is>
      </c>
      <c r="B1683">
        <f>1+((C1655=TRUE)*F1655*(1+3.3333333333333335*IF(C1666=TRUE,F1666,0)/100)*I1655*Skills!J7/100)/100</f>
        <v/>
      </c>
    </row>
    <row r="1684">
      <c r="A1684" t="inlineStr">
        <is>
          <t>Attack Speed Buff Bonus %</t>
        </is>
      </c>
      <c r="B1684">
        <f>((C1667=TRUE)*F1667*IF(AND(Inputs!$B$39&lt;&gt;"pvp",Inputs!$B$44&gt;0),(((R1667-1)*(Skills!Y19*(1+Inputs!$B$34/100))+MIN((Skills!Y19*(1+Inputs!$B$34/100)),MAX(0,Inputs!$B$44-((R1667-1)*Skills!D19))))/Inputs!$B$44),IF(Inputs!$B$39="pvp",MIN((Skills!Y19*(1+Inputs!$B$34/100)),15)/15,(Skills!Y19*(1+Inputs!$B$34/100))/Skills!D19)))+((C1651=TRUE)*F1651*3)</f>
        <v/>
      </c>
    </row>
    <row r="1685">
      <c r="A1685" t="inlineStr">
        <is>
          <t>Actions Per Second</t>
        </is>
      </c>
      <c r="B1685">
        <f>1+MIN(150,150*(1-(1-(Inputs!$B$11+((C1670=TRUE)*(F1670-Calc!F22)))/150)*(1-B1684/150)))/100</f>
        <v/>
      </c>
    </row>
    <row r="1686">
      <c r="A1686" t="inlineStr">
        <is>
          <t>Skill + Buff Cast Rate</t>
        </is>
      </c>
      <c r="B1686">
        <f>IF(AND(Inputs!$B$39&lt;&gt;"pvp",Inputs!$B$44&gt;0),SUMPRODUCT((Skills!E2:E30=TRUE)*(C1650:C1678=TRUE)*R1650:R1678*Skills!F2:F30)/Inputs!$B$44,SUMPRODUCT((Skills!E2:E30=TRUE)*(C1650:C1678=TRUE)*Q1650:Q1678*Skills!F2:F30))</f>
        <v/>
      </c>
    </row>
    <row r="1687">
      <c r="A1687" t="inlineStr">
        <is>
          <t>Cruel Stab Casts Per Second</t>
        </is>
      </c>
      <c r="B1687">
        <f>MAX(0,B1685-B1686)</f>
        <v/>
      </c>
    </row>
    <row r="1688">
      <c r="A1688" t="inlineStr">
        <is>
          <t>Global Critical Damage Bonus % (Smokescreen Mastery Lv.113)</t>
        </is>
      </c>
      <c r="B1688">
        <f>IF(Inputs!$B$3&gt;=113,30,0)*IF(AND(Inputs!$B$39&lt;&gt;"pvp",Inputs!$B$44&gt;0),(((R1663-1)*(Skills!Y15*(1+Inputs!$B$34/100))+MIN((Skills!Y15*(1+Inputs!$B$34/100)),MAX(0,Inputs!$B$44-((R1663-1)*Skills!D15))))/Inputs!$B$44),IF(Inputs!$B$39="pvp",MIN((Skills!Y15*(1+Inputs!$B$34/100)),15)/15,(Skills!Y15*(1+Inputs!$B$34/100))/Skills!D15))</f>
        <v/>
      </c>
    </row>
    <row r="1689">
      <c r="A1689" t="inlineStr">
        <is>
          <t>Meso Explosion average stack count</t>
        </is>
      </c>
      <c r="B1689">
        <f>MIN(10,0.5*B1685*Skills!D4)</f>
        <v/>
      </c>
    </row>
    <row r="1690">
      <c r="A1690" t="inlineStr">
        <is>
          <t>Blood Money average stack count</t>
        </is>
      </c>
      <c r="B1690">
        <f>MIN(5,0.25*B1685*Skills!D4)</f>
        <v/>
      </c>
    </row>
    <row r="1691">
      <c r="A1691" t="inlineStr">
        <is>
          <t>Assassinate Murderous Intent Multiplier</t>
        </is>
      </c>
      <c r="B1691">
        <f>1+IFERROR(MIN(1,Q1662*2/Q1659),0)</f>
        <v/>
      </c>
    </row>
    <row r="1692">
      <c r="A1692" t="inlineStr">
        <is>
          <t>Buff-Casting Startup Delay (s, fixed-duration only)</t>
        </is>
      </c>
      <c r="B1692">
        <f>IF(AND(Inputs!$B$39&lt;&gt;"pvp",Inputs!$B$44&gt;0),SUMPRODUCT((Skills!Y2:Y30&gt;0)*(Skills!E2:E30=TRUE)*(C1650:C1678=TRUE))/B1685,0)</f>
        <v/>
      </c>
    </row>
    <row r="1693">
      <c r="A1693" s="5" t="inlineStr">
        <is>
          <t>TOTAL DPS</t>
        </is>
      </c>
      <c r="B1693" s="5">
        <f>SUM(O1650:O1678)</f>
        <v/>
      </c>
    </row>
    <row r="1694">
      <c r="A1694" t="inlineStr">
        <is>
          <t>Boss-Only Total DPS (this block's swept value)</t>
        </is>
      </c>
      <c r="B1694">
        <f>SUM(T1650:T1678)</f>
        <v/>
      </c>
    </row>
    <row r="1695">
      <c r="A1695" t="inlineStr">
        <is>
          <t>Normal-Only Total DPS (this block's swept value)</t>
        </is>
      </c>
      <c r="B1695">
        <f>SUM(V1650:V1678)</f>
        <v/>
      </c>
    </row>
    <row r="1698">
      <c r="A1698" s="5" t="inlineStr">
        <is>
          <t>Stat: CDR = 3.5s</t>
        </is>
      </c>
    </row>
    <row r="1699">
      <c r="A1699" s="9" t="inlineStr">
        <is>
          <t>Key</t>
        </is>
      </c>
      <c r="B1699" s="9" t="inlineStr">
        <is>
          <t>Name</t>
        </is>
      </c>
      <c r="C1699" s="9" t="inlineStr">
        <is>
          <t>Unlocked</t>
        </is>
      </c>
      <c r="D1699" s="9" t="inlineStr">
        <is>
          <t>InputLevel</t>
        </is>
      </c>
      <c r="E1699" s="9" t="inlineStr">
        <is>
          <t>Factor</t>
        </is>
      </c>
      <c r="F1699" s="9" t="inlineStr">
        <is>
          <t>CoefficientPercent</t>
        </is>
      </c>
      <c r="G1699" s="9" t="inlineStr">
        <is>
          <t>EffectiveHits</t>
        </is>
      </c>
      <c r="H1699" s="9" t="inlineStr">
        <is>
          <t>ProcProbability</t>
        </is>
      </c>
      <c r="I1699" s="9" t="inlineStr">
        <is>
          <t>MapleHeroMultiplier</t>
        </is>
      </c>
      <c r="J1699" s="9" t="inlineStr">
        <is>
          <t>BaseDamage</t>
        </is>
      </c>
      <c r="K1699" s="9" t="inlineStr">
        <is>
          <t>BaseHitDamage</t>
        </is>
      </c>
      <c r="L1699" s="9" t="inlineStr">
        <is>
          <t>NonCritAvg</t>
        </is>
      </c>
      <c r="M1699" s="9" t="inlineStr">
        <is>
          <t>CritAvg</t>
        </is>
      </c>
      <c r="N1699" s="9" t="inlineStr">
        <is>
          <t>ExpectedDamage(perHit)</t>
        </is>
      </c>
      <c r="O1699" s="9" t="inlineStr">
        <is>
          <t>DPS</t>
        </is>
      </c>
      <c r="P1699" s="9" t="inlineStr">
        <is>
          <t>% of Total</t>
        </is>
      </c>
      <c r="Q1699" s="9" t="inlineStr">
        <is>
          <t>InvCooldown</t>
        </is>
      </c>
      <c r="R1699" s="9" t="inlineStr">
        <is>
          <t>CastsInFight</t>
        </is>
      </c>
      <c r="S1699" s="9" t="inlineStr">
        <is>
          <t>HitRate(perSec)</t>
        </is>
      </c>
      <c r="U1699" t="inlineStr">
        <is>
          <t>helpers</t>
        </is>
      </c>
    </row>
    <row r="1700">
      <c r="A1700">
        <f>Skills!A2</f>
        <v/>
      </c>
      <c r="B1700">
        <f>Skills!B2</f>
        <v/>
      </c>
      <c r="C1700">
        <f>Inputs!$B$3&gt;=100</f>
        <v/>
      </c>
      <c r="D1700" t="inlineStr"/>
      <c r="E1700" t="inlineStr"/>
      <c r="F1700">
        <f>U1702+Skills!O2</f>
        <v/>
      </c>
      <c r="G1700">
        <f>Skills!G2*IF(Skills!H2&gt;0,Skills!I2/Skills!H2,1)</f>
        <v/>
      </c>
      <c r="H1700">
        <f>1-(1-Skills!J2/100)^Skills!K2</f>
        <v/>
      </c>
      <c r="I1700" t="inlineStr">
        <is>
          <t>1</t>
        </is>
      </c>
      <c r="J1700">
        <f>((Inputs!$B$6*(1+Inputs!$B$7/100))+(((Inputs!$B$12*(1+Inputs!$B$13/100))-(Inputs!$B$12*(1+Inputs!$B$13/100)))+0.25*(Inputs!$B$14-Inputs!$B$14))*(1+Inputs!$B$7/100))*(F1700/100)</f>
        <v/>
      </c>
      <c r="K1700">
        <f>J1700*(1+((Inputs!$B$12*(1+Inputs!$B$13/100))*0.01+Inputs!$B$14*0.0025)/100)*(1+Inputs!$B$15/100)*(1+Inputs!$B$16/100)*(5000/(6000+Inputs!$B$43*(1-Inputs!$B$19/100)))*(1+(Inputs!$B$24+((C1728=TRUE)*(F1728-Calc!F30)))/100)*(1+(IF(Skills!A2="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1700)</f>
        <v/>
      </c>
      <c r="L1700">
        <f>K1700*(MIN(Inputs!$B$22+((C1722=TRUE)*(F1722-Calc!F24)),Inputs!$B$23+((C1727=TRUE)*(F1727-Calc!F29)))/100+(Inputs!$B$23+((C1727=TRUE)*(F1727-Calc!F29)))/100)/2</f>
        <v/>
      </c>
      <c r="M1700">
        <f>L1700*(1+(Inputs!$B$10+((C1724=TRUE)*(F1724-Calc!F26))+B1738)/100)</f>
        <v/>
      </c>
      <c r="N1700">
        <f>L1700*(1-MIN((Inputs!$B$9+((C1723=TRUE)*(F1723-Calc!F25))+B1731),100)/100)+M1700*(MIN((Inputs!$B$9+((C1723=TRUE)*(F1723-Calc!F25))+B1731),100)/100)</f>
        <v/>
      </c>
      <c r="O1700">
        <f>(1-Summary!$B$55)*T1700+Summary!$B$55*V1700</f>
        <v/>
      </c>
      <c r="P1700">
        <f>IF(B1743=0,0,O1700/B1743)</f>
        <v/>
      </c>
      <c r="Q1700" t="n">
        <v>0</v>
      </c>
      <c r="R1700" t="n">
        <v>0</v>
      </c>
      <c r="S1700">
        <f>IFERROR(O1700/N1700,0)</f>
        <v/>
      </c>
      <c r="T1700">
        <f>IF(C1700,(Skills!G2*N1700*B1737)*IF(Inputs!$B$39="pvp",1,1+(Inputs!$B$20+0+Skills!P2+B1732)/100),0)</f>
        <v/>
      </c>
      <c r="U1700">
        <f>MAX(0,(Inputs!$B$3-100)*3)+Inputs!$B$28+Inputs!$B$29</f>
        <v/>
      </c>
      <c r="V1700">
        <f>IF(C1700,(Skills!G2*N1700*B1737)*IF(Inputs!$B$39="pvp",1,(1+(Inputs!$B$21+Skills!Q2+B1732)/100)*(MIN((6+Inputs!$B$33),Inputs!$B$37))),0)</f>
        <v/>
      </c>
    </row>
    <row r="1701">
      <c r="A1701">
        <f>Skills!A3</f>
        <v/>
      </c>
      <c r="B1701">
        <f>Skills!B3</f>
        <v/>
      </c>
      <c r="C1701">
        <f>Inputs!$B$3&gt;=35</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Skills!G3*IF(Skills!H3&gt;0,Skills!I3/Skills!H3,1)</f>
        <v/>
      </c>
      <c r="H1701">
        <f>1-(1-Skills!J3/100)^Skills!K3</f>
        <v/>
      </c>
      <c r="I1701" t="inlineStr">
        <is>
          <t>1</t>
        </is>
      </c>
      <c r="J1701" t="inlineStr"/>
      <c r="K1701" t="inlineStr"/>
      <c r="L1701" t="inlineStr"/>
      <c r="M1701" t="inlineStr"/>
      <c r="N1701" t="inlineStr"/>
      <c r="O1701">
        <f>(1-Summary!$B$55)*T1701+Summary!$B$55*V1701</f>
        <v/>
      </c>
      <c r="P1701">
        <f>IF(B1743=0,0,O1701/B1743)</f>
        <v/>
      </c>
      <c r="Q1701" t="n">
        <v>0</v>
      </c>
      <c r="R1701" t="n">
        <v>0</v>
      </c>
      <c r="S1701">
        <f>IFERROR(O1701/N1701,0)</f>
        <v/>
      </c>
      <c r="T1701" t="n">
        <v>0</v>
      </c>
      <c r="U1701">
        <f>INDEX(FactorTable!$B$2:$Y$301, MATCH(ROUND(MIN(300,MAX(1,U1700)),0), FactorTable!$A$2:$A$301,0), 22)</f>
        <v/>
      </c>
      <c r="V1701" t="n">
        <v>0</v>
      </c>
    </row>
    <row r="1702">
      <c r="A1702">
        <f>Skills!A4</f>
        <v/>
      </c>
      <c r="B1702">
        <f>Skills!B4</f>
        <v/>
      </c>
      <c r="C1702">
        <f>Inputs!$B$3&gt;=66</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Skills!G4*IF(Skills!H4&gt;0,Skills!I4/Skills!H4,1)</f>
        <v/>
      </c>
      <c r="H1702">
        <f>1-(1-Skills!J4/100)^Skills!K4</f>
        <v/>
      </c>
      <c r="I1702" t="inlineStr">
        <is>
          <t>1</t>
        </is>
      </c>
      <c r="J1702">
        <f>((Inputs!$B$6*(1+Inputs!$B$7/100))+(((Inputs!$B$12*(1+Inputs!$B$13/100))-(Inputs!$B$12*(1+Inputs!$B$13/100)))+0.25*(Inputs!$B$14-Inputs!$B$14))*(1+Inputs!$B$7/100))*(F1702/100)</f>
        <v/>
      </c>
      <c r="K1702">
        <f>J1702*(1+((Inputs!$B$12*(1+Inputs!$B$13/100))*0.01+Inputs!$B$14*0.0025)/100)*(1+Inputs!$B$15/100)*(1+Inputs!$B$16/100)*(5000/(6000+Inputs!$B$43*(1-Inputs!$B$19/100)))*(1+(Inputs!$B$24+((C1728=TRUE)*(F1728-Calc!F30)))/100)*(1+(IF(Skills!A4="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1702)</f>
        <v/>
      </c>
      <c r="L1702">
        <f>K1702*(MIN(Inputs!$B$22+((C1722=TRUE)*(F1722-Calc!F24)),Inputs!$B$23+((C1727=TRUE)*(F1727-Calc!F29)))/100+(Inputs!$B$23+((C1727=TRUE)*(F1727-Calc!F29)))/100)/2</f>
        <v/>
      </c>
      <c r="M1702">
        <f>L1702*(1+(Inputs!$B$10+((C1724=TRUE)*(F1724-Calc!F26))+B1738)/100)</f>
        <v/>
      </c>
      <c r="N1702">
        <f>L1702*(1-MIN((Inputs!$B$9+((C1723=TRUE)*(F1723-Calc!F25))+B1731),100)/100)+M1702*(MIN((Inputs!$B$9+((C1723=TRUE)*(F1723-Calc!F25))+B1731),100)/100)</f>
        <v/>
      </c>
      <c r="O1702">
        <f>(1-Summary!$B$55)*T1702+Summary!$B$55*V1702</f>
        <v/>
      </c>
      <c r="P1702">
        <f>IF(B1743=0,0,O1702/B1743)</f>
        <v/>
      </c>
      <c r="Q1702">
        <f>IFERROR(1/IF(Inputs!$B$39="pvp",15,MAX(0.1,Skills!D4-IF(Skills!E4=TRUE,3.5,0))),0)</f>
        <v/>
      </c>
      <c r="R1702">
        <f>IF(AND(Inputs!$B$39&lt;&gt;"pvp",Inputs!$B$44&gt;0),IF(MAX(0,Inputs!$B$44-B1742)&lt;=0,0,(INT(MAX(0,Inputs!$B$44-B1742)/IF(Inputs!$B$39="pvp",15,MAX(0.1,Skills!D4-IF(Skills!E4=TRUE,3.5,0))))+1)),0)</f>
        <v/>
      </c>
      <c r="S1702">
        <f>IFERROR(O1702/N1702,0)</f>
        <v/>
      </c>
      <c r="T1702">
        <f>IF(C1702,(H1702*N1702*IF(AND(Inputs!$B$39&lt;&gt;"pvp",Inputs!$B$44&gt;0),((Skills!G4*((R1702-1)*IF(Skills!H4&gt;0,Skills!I4/Skills!H4,1)+IF(Skills!H4&gt;0,MIN(Skills!I4,MAX(0,MAX(0,Inputs!$B$44-B1742)-((R1702-1)*IF(Inputs!$B$39="pvp",15,MAX(0.1,Skills!D4-IF(Skills!E4=TRUE,3.5,0))))))/Skills!H4,1)))/Inputs!$B$44),G1702*Q1702))*IF(Inputs!$B$39="pvp",1,1+(Inputs!$B$20+0+Skills!P4+B1732)/100),0)</f>
        <v/>
      </c>
      <c r="U1702">
        <f>290*U1701/1000</f>
        <v/>
      </c>
      <c r="V1702">
        <f>IF(C1702,(H1702*N1702*IF(AND(Inputs!$B$39&lt;&gt;"pvp",Inputs!$B$44&gt;0),((Skills!G4*((R1702-1)*IF(Skills!H4&gt;0,Skills!I4/Skills!H4,1)+IF(Skills!H4&gt;0,MIN(Skills!I4,MAX(0,MAX(0,Inputs!$B$44-B1742)-((R1702-1)*IF(Inputs!$B$39="pvp",15,MAX(0.1,Skills!D4-IF(Skills!E4=TRUE,3.5,0))))))/Skills!H4,1)))/Inputs!$B$44),G1702*Q1702))*IF(Inputs!$B$39="pvp",1,(1+(Inputs!$B$21+Skills!Q4+B1732)/100)*(MIN(MIN(10,0.5*B1735*Skills!D4),Inputs!$B$37))),0)</f>
        <v/>
      </c>
    </row>
    <row r="1703">
      <c r="A1703">
        <f>Skills!A5</f>
        <v/>
      </c>
      <c r="B1703">
        <f>Skills!B5</f>
        <v/>
      </c>
      <c r="C1703">
        <f>Inputs!$B$3&gt;=63</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Skills!G5*IF(Skills!H5&gt;0,Skills!I5/Skills!H5,1)</f>
        <v/>
      </c>
      <c r="H1703">
        <f>1-(1-Skills!J5/100)^Skills!K5</f>
        <v/>
      </c>
      <c r="I1703" t="inlineStr">
        <is>
          <t>1</t>
        </is>
      </c>
      <c r="J1703">
        <f>((Inputs!$B$6*(1+Inputs!$B$7/100))+(((Inputs!$B$12*(1+Inputs!$B$13/100))-(Inputs!$B$12*(1+Inputs!$B$13/100)))+0.25*(Inputs!$B$14-Inputs!$B$14))*(1+Inputs!$B$7/100))*(F1703/100)</f>
        <v/>
      </c>
      <c r="K1703">
        <f>J1703*(1+((Inputs!$B$12*(1+Inputs!$B$13/100))*0.01+Inputs!$B$14*0.0025)/100)*(1+Inputs!$B$15/100)*(1+Inputs!$B$16/100)*(5000/(6000+Inputs!$B$43*(1-Inputs!$B$19/100)))*(1+(Inputs!$B$24+((C1728=TRUE)*(F1728-Calc!F30)))/100)*(1+2.6666666666666665*IF(C1716=TRUE,F1716,0)/100)*(1+(IF(Skills!A5="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1703)</f>
        <v/>
      </c>
      <c r="L1703">
        <f>K1703*(MIN(Inputs!$B$22+((C1722=TRUE)*(F1722-Calc!F24)),Inputs!$B$23+((C1727=TRUE)*(F1727-Calc!F29)))/100+(Inputs!$B$23+((C1727=TRUE)*(F1727-Calc!F29)))/100)/2</f>
        <v/>
      </c>
      <c r="M1703">
        <f>L1703*(1+(Inputs!$B$10+((C1724=TRUE)*(F1724-Calc!F26))+B1738)/100)</f>
        <v/>
      </c>
      <c r="N1703">
        <f>L1703*(1-MIN((Inputs!$B$9+((C1723=TRUE)*(F1723-Calc!F25))+B1731),100)/100)+M1703*(MIN((Inputs!$B$9+((C1723=TRUE)*(F1723-Calc!F25))+B1731),100)/100)</f>
        <v/>
      </c>
      <c r="O1703">
        <f>(1-Summary!$B$55)*T1703+Summary!$B$55*V1703</f>
        <v/>
      </c>
      <c r="P1703">
        <f>IF(B1743=0,0,O1703/B1743)</f>
        <v/>
      </c>
      <c r="Q1703">
        <f>IFERROR(1/IF(Inputs!$B$39="pvp",15,MAX(0.1,Skills!D5-IF(Skills!E5=TRUE,3.5,0))),0)</f>
        <v/>
      </c>
      <c r="R1703">
        <f>IF(AND(Inputs!$B$39&lt;&gt;"pvp",Inputs!$B$44&gt;0),IF(MAX(0,Inputs!$B$44-B1742)&lt;=0,0,(INT(MAX(0,Inputs!$B$44-B1742)/IF(Inputs!$B$39="pvp",15,MAX(0.1,Skills!D5-IF(Skills!E5=TRUE,3.5,0))))+1)),0)</f>
        <v/>
      </c>
      <c r="S1703">
        <f>IFERROR(O1703/N1703,0)</f>
        <v/>
      </c>
      <c r="T1703">
        <f>IF(C1703,(H1703*N1703*IF(AND(Inputs!$B$39&lt;&gt;"pvp",Inputs!$B$44&gt;0),((Skills!G5*((R1703-1)*IF(Skills!H5&gt;0,Skills!I5/Skills!H5,1)+IF(Skills!H5&gt;0,MIN(Skills!I5,MAX(0,MAX(0,Inputs!$B$44-B1742)-((R1703-1)*IF(Inputs!$B$39="pvp",15,MAX(0.1,Skills!D5-IF(Skills!E5=TRUE,3.5,0))))))/Skills!H5,1)))/Inputs!$B$44),G1703*Q1703))*IF(Inputs!$B$39="pvp",1,1+(Inputs!$B$20+0+Skills!P5+B1732)/100),0)</f>
        <v/>
      </c>
      <c r="V1703">
        <f>IF(C1703,(H1703*N1703*IF(AND(Inputs!$B$39&lt;&gt;"pvp",Inputs!$B$44&gt;0),((Skills!G5*((R1703-1)*IF(Skills!H5&gt;0,Skills!I5/Skills!H5,1)+IF(Skills!H5&gt;0,MIN(Skills!I5,MAX(0,MAX(0,Inputs!$B$44-B1742)-((R1703-1)*IF(Inputs!$B$39="pvp",15,MAX(0.1,Skills!D5-IF(Skills!E5=TRUE,3.5,0))))))/Skills!H5,1)))/Inputs!$B$44),G1703*Q1703))*IF(Inputs!$B$39="pvp",1,(1+(Inputs!$B$21+Skills!Q5+B1732)/100)*(MIN(Skills!W5,Inputs!$B$37))),0)</f>
        <v/>
      </c>
    </row>
    <row r="1704">
      <c r="A1704">
        <f>Skills!A6</f>
        <v/>
      </c>
      <c r="B1704">
        <f>Skills!B6</f>
        <v/>
      </c>
      <c r="C1704">
        <f>Inputs!$B$3&gt;=69</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Skills!G6*IF(Skills!H6&gt;0,Skills!I6/Skills!H6,1)</f>
        <v/>
      </c>
      <c r="H1704">
        <f>1-(1-Skills!J6/100)^Skills!K6</f>
        <v/>
      </c>
      <c r="I1704" t="inlineStr">
        <is>
          <t>1</t>
        </is>
      </c>
      <c r="J1704">
        <f>((Inputs!$B$6*(1+Inputs!$B$7/100))+(((Inputs!$B$12*(1+Inputs!$B$13/100))-(Inputs!$B$12*(1+Inputs!$B$13/100)))+0.25*(Inputs!$B$14-Inputs!$B$14))*(1+Inputs!$B$7/100))*(F1704/100)</f>
        <v/>
      </c>
      <c r="K1704">
        <f>J1704*(1+((Inputs!$B$12*(1+Inputs!$B$13/100))*0.01+Inputs!$B$14*0.0025)/100)*(1+Inputs!$B$15/100)*(1+Inputs!$B$16/100)*(5000/(6000+Inputs!$B$43*(1-Inputs!$B$19/100)))*(1+(Inputs!$B$24+((C1728=TRUE)*(F1728-Calc!F30)))/100)*(1+1.0*IF(C1716=TRUE,F1716,0)/100)*(1+(IF(Skills!A6="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1704)</f>
        <v/>
      </c>
      <c r="L1704">
        <f>K1704*(MIN(Inputs!$B$22+((C1722=TRUE)*(F1722-Calc!F24)),Inputs!$B$23+((C1727=TRUE)*(F1727-Calc!F29)))/100+(Inputs!$B$23+((C1727=TRUE)*(F1727-Calc!F29)))/100)/2</f>
        <v/>
      </c>
      <c r="M1704">
        <f>L1704*(1+(Inputs!$B$10+((C1724=TRUE)*(F1724-Calc!F26))+B1738)/100)</f>
        <v/>
      </c>
      <c r="N1704">
        <f>L1704*(1-MIN((Inputs!$B$9+((C1723=TRUE)*(F1723-Calc!F25))+B1731),100)/100)+M1704*(MIN((Inputs!$B$9+((C1723=TRUE)*(F1723-Calc!F25))+B1731),100)/100)</f>
        <v/>
      </c>
      <c r="O1704">
        <f>(1-Summary!$B$55)*T1704+Summary!$B$55*V1704</f>
        <v/>
      </c>
      <c r="P1704">
        <f>IF(B1743=0,0,O1704/B1743)</f>
        <v/>
      </c>
      <c r="Q1704">
        <f>IFERROR(1/IF(Inputs!$B$39="pvp",15,MAX(0.1,Skills!D6-IF(Skills!E6=TRUE,3.5,0))),0)</f>
        <v/>
      </c>
      <c r="R1704">
        <f>IF(AND(Inputs!$B$39&lt;&gt;"pvp",Inputs!$B$44&gt;0),IF(MAX(0,Inputs!$B$44-B1742)&lt;=0,0,(INT(MAX(0,Inputs!$B$44-B1742)/IF(Inputs!$B$39="pvp",15,MAX(0.1,Skills!D6-IF(Skills!E6=TRUE,3.5,0))))+1)),0)</f>
        <v/>
      </c>
      <c r="S1704">
        <f>IFERROR(O1704/N1704,0)</f>
        <v/>
      </c>
      <c r="T1704">
        <f>IF(C1704,(H1704*N1704*IF(AND(Inputs!$B$39&lt;&gt;"pvp",Inputs!$B$44&gt;0),((Skills!G6*((R1704-1)*IF(Skills!H6&gt;0,Skills!I6/Skills!H6,1)+IF(Skills!H6&gt;0,MIN(Skills!I6,MAX(0,MAX(0,Inputs!$B$44-B1742)-((R1704-1)*IF(Inputs!$B$39="pvp",15,MAX(0.1,Skills!D6-IF(Skills!E6=TRUE,3.5,0))))))/Skills!H6,1)))/Inputs!$B$44),G1704*Q1704))*IF(Inputs!$B$39="pvp",1,1+(Inputs!$B$20+0+Skills!P6+B1732)/100),0)</f>
        <v/>
      </c>
      <c r="V1704">
        <f>IF(C1704,(H1704*N1704*IF(AND(Inputs!$B$39&lt;&gt;"pvp",Inputs!$B$44&gt;0),((Skills!G6*((R1704-1)*IF(Skills!H6&gt;0,Skills!I6/Skills!H6,1)+IF(Skills!H6&gt;0,MIN(Skills!I6,MAX(0,MAX(0,Inputs!$B$44-B1742)-((R1704-1)*IF(Inputs!$B$39="pvp",15,MAX(0.1,Skills!D6-IF(Skills!E6=TRUE,3.5,0))))))/Skills!H6,1)))/Inputs!$B$44),G1704*Q1704))*IF(Inputs!$B$39="pvp",1,(1+(Inputs!$B$21+Skills!Q6+B1732)/100)*(MIN(Skills!W6,Inputs!$B$37))),0)</f>
        <v/>
      </c>
    </row>
    <row r="1705">
      <c r="A1705">
        <f>Skills!A7</f>
        <v/>
      </c>
      <c r="B1705">
        <f>Skills!B7</f>
        <v/>
      </c>
      <c r="C1705">
        <f>Inputs!$B$3&gt;=60</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Skills!G7*IF(Skills!H7&gt;0,Skills!I7/Skills!H7,1)</f>
        <v/>
      </c>
      <c r="H1705">
        <f>1-(1-Skills!J7/100)^Skills!K7</f>
        <v/>
      </c>
      <c r="I1705" t="inlineStr">
        <is>
          <t>1</t>
        </is>
      </c>
      <c r="J1705" t="inlineStr"/>
      <c r="K1705" t="inlineStr"/>
      <c r="L1705" t="inlineStr"/>
      <c r="M1705" t="inlineStr"/>
      <c r="N1705" t="inlineStr"/>
      <c r="O1705">
        <f>(1-Summary!$B$55)*T1705+Summary!$B$55*V1705</f>
        <v/>
      </c>
      <c r="P1705">
        <f>IF(B1743=0,0,O1705/B1743)</f>
        <v/>
      </c>
      <c r="Q1705" t="n">
        <v>0</v>
      </c>
      <c r="R1705" t="n">
        <v>0</v>
      </c>
      <c r="S1705">
        <f>IFERROR(O1705/N1705,0)</f>
        <v/>
      </c>
      <c r="T1705" t="n">
        <v>0</v>
      </c>
      <c r="V1705" t="n">
        <v>0</v>
      </c>
    </row>
    <row r="1706">
      <c r="A1706">
        <f>Skills!A8</f>
        <v/>
      </c>
      <c r="B1706">
        <f>Skills!B8</f>
        <v/>
      </c>
      <c r="C1706">
        <f>Inputs!$B$3&gt;=72</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Skills!G8*IF(Skills!H8&gt;0,Skills!I8/Skills!H8,1)</f>
        <v/>
      </c>
      <c r="H1706">
        <f>1-(1-Skills!J8/100)^Skills!K8</f>
        <v/>
      </c>
      <c r="I1706" t="inlineStr">
        <is>
          <t>1</t>
        </is>
      </c>
      <c r="J1706">
        <f>((Inputs!$B$6*(1+Inputs!$B$7/100))+(((Inputs!$B$12*(1+Inputs!$B$13/100))-(Inputs!$B$12*(1+Inputs!$B$13/100)))+0.25*(Inputs!$B$14-Inputs!$B$14))*(1+Inputs!$B$7/100))*(F1706/100)</f>
        <v/>
      </c>
      <c r="K1706">
        <f>J1706*(1+((Inputs!$B$12*(1+Inputs!$B$13/100))*0.01+Inputs!$B$14*0.0025)/100)*(1+Inputs!$B$15/100)*(1+Inputs!$B$16/100)*(5000/(6000+Inputs!$B$43*(1-Inputs!$B$19/100)))*(1+(Inputs!$B$24+((C1728=TRUE)*(F1728-Calc!F30)))/100)*(1+3.3333333333333335*IF(C1716=TRUE,F1716,0)/100)*(1+(IF(Skills!A8="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1706)</f>
        <v/>
      </c>
      <c r="L1706">
        <f>K1706*(MIN(Inputs!$B$22+((C1722=TRUE)*(F1722-Calc!F24)),Inputs!$B$23+((C1727=TRUE)*(F1727-Calc!F29)))/100+(Inputs!$B$23+((C1727=TRUE)*(F1727-Calc!F29)))/100)/2</f>
        <v/>
      </c>
      <c r="M1706">
        <f>L1706*(1+(Inputs!$B$10+((C1724=TRUE)*(F1724-Calc!F26))+B1738)/100)</f>
        <v/>
      </c>
      <c r="N1706">
        <f>L1706*(1-MIN((Inputs!$B$9+((C1723=TRUE)*(F1723-Calc!F25))+B1731),100)/100)+M1706*(MIN((Inputs!$B$9+((C1723=TRUE)*(F1723-Calc!F25))+B1731),100)/100)</f>
        <v/>
      </c>
      <c r="O1706">
        <f>(1-Summary!$B$55)*T1706+Summary!$B$55*V1706</f>
        <v/>
      </c>
      <c r="P1706">
        <f>IF(B1743=0,0,O1706/B1743)</f>
        <v/>
      </c>
      <c r="Q1706">
        <f>IFERROR(1/IF(Inputs!$B$39="pvp",15,MAX(0.1,Skills!D8-IF(Skills!E8=TRUE,3.5,0))),0)</f>
        <v/>
      </c>
      <c r="R1706">
        <f>IF(AND(Inputs!$B$39&lt;&gt;"pvp",Inputs!$B$44&gt;0),IF(MAX(0,Inputs!$B$44-B1742)&lt;=0,0,(INT(MAX(0,Inputs!$B$44-B1742)/IF(Inputs!$B$39="pvp",15,MAX(0.1,Skills!D8-IF(Skills!E8=TRUE,3.5,0))))+1)),0)</f>
        <v/>
      </c>
      <c r="S1706">
        <f>IFERROR(O1706/N1706,0)</f>
        <v/>
      </c>
      <c r="T1706">
        <f>IF(C1706,(H1706*N1706*IF(AND(Inputs!$B$39&lt;&gt;"pvp",Inputs!$B$44&gt;0),((Skills!G8*((R1706-1)*IF(Skills!H8&gt;0,Skills!I8/Skills!H8,1)+IF(Skills!H8&gt;0,MIN(Skills!I8,MAX(0,MAX(0,Inputs!$B$44-B1742)-((R1706-1)*IF(Inputs!$B$39="pvp",15,MAX(0.1,Skills!D8-IF(Skills!E8=TRUE,3.5,0))))))/Skills!H8,1)))/Inputs!$B$44),G1706*Q1706))*IF(Inputs!$B$39="pvp",1,1+(Inputs!$B$20+0+Skills!P8+B1732)/100),0)</f>
        <v/>
      </c>
      <c r="V1706">
        <f>IF(C1706,(H1706*N1706*IF(AND(Inputs!$B$39&lt;&gt;"pvp",Inputs!$B$44&gt;0),((Skills!G8*((R1706-1)*IF(Skills!H8&gt;0,Skills!I8/Skills!H8,1)+IF(Skills!H8&gt;0,MIN(Skills!I8,MAX(0,MAX(0,Inputs!$B$44-B1742)-((R1706-1)*IF(Inputs!$B$39="pvp",15,MAX(0.1,Skills!D8-IF(Skills!E8=TRUE,3.5,0))))))/Skills!H8,1)))/Inputs!$B$44),G1706*Q1706))*IF(Inputs!$B$39="pvp",1,(1+(Inputs!$B$21+Skills!Q8+B1732)/100)*(MIN(Skills!W8,Inputs!$B$37))),0)</f>
        <v/>
      </c>
    </row>
    <row r="1707">
      <c r="A1707">
        <f>Skills!A9</f>
        <v/>
      </c>
      <c r="B1707">
        <f>Skills!B9</f>
        <v/>
      </c>
      <c r="C1707">
        <f>Inputs!$B$3&gt;=117</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Skills!G9*IF(Skills!H9&gt;0,Skills!I9/Skills!H9,1)</f>
        <v/>
      </c>
      <c r="H1707">
        <f>1-(1-Skills!J9/100)^Skills!K9</f>
        <v/>
      </c>
      <c r="I1707" t="inlineStr">
        <is>
          <t>1</t>
        </is>
      </c>
      <c r="J1707">
        <f>((Inputs!$B$6*(1+Inputs!$B$7/100))+(((Inputs!$B$12*(1+Inputs!$B$13/100))-(Inputs!$B$12*(1+Inputs!$B$13/100)))+0.25*(Inputs!$B$14-Inputs!$B$14))*(1+Inputs!$B$7/100))*(F1707/100)</f>
        <v/>
      </c>
      <c r="K1707">
        <f>J1707*(1+((Inputs!$B$12*(1+Inputs!$B$13/100))*0.01+Inputs!$B$14*0.0025)/100)*(1+Inputs!$B$15/100)*(1+Inputs!$B$16/100)*(5000/(6000+Inputs!$B$43*(1-Inputs!$B$19/100)))*(1+(Inputs!$B$24+((C1728=TRUE)*(F1728-Calc!F30)))/100)*(1+(IF(Skills!A9="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1707)</f>
        <v/>
      </c>
      <c r="L1707">
        <f>K1707*(MIN(Inputs!$B$22+((C1722=TRUE)*(F1722-Calc!F24)),Inputs!$B$23+((C1727=TRUE)*(F1727-Calc!F29)))/100+(Inputs!$B$23+((C1727=TRUE)*(F1727-Calc!F29)))/100)/2</f>
        <v/>
      </c>
      <c r="M1707">
        <f>L1707*(1+(Inputs!$B$10+((C1724=TRUE)*(F1724-Calc!F26))+B1738)/100)</f>
        <v/>
      </c>
      <c r="N1707">
        <f>L1707*(1-MIN((Inputs!$B$9+((C1723=TRUE)*(F1723-Calc!F25))+B1731),100)/100)+M1707*(MIN((Inputs!$B$9+((C1723=TRUE)*(F1723-Calc!F25))+B1731),100)/100)</f>
        <v/>
      </c>
      <c r="O1707">
        <f>(1-Summary!$B$55)*T1707+Summary!$B$55*V1707</f>
        <v/>
      </c>
      <c r="P1707">
        <f>IF(B1743=0,0,O1707/B1743)</f>
        <v/>
      </c>
      <c r="Q1707" t="n">
        <v>0</v>
      </c>
      <c r="R1707" t="n">
        <v>0</v>
      </c>
      <c r="S1707" t="n">
        <v>0</v>
      </c>
      <c r="T1707">
        <f>IF(C1707,(0.2*SUMPRODUCT((Skills!Z2:Z30=TRUE)*(C1700:C1728=TRUE)*S1700:S1728)*N1707)*IF(Inputs!$B$39="pvp",1,1+(Inputs!$B$20+0+Skills!P9+B1732)/100),0)</f>
        <v/>
      </c>
      <c r="V1707">
        <f>IF(C1707,(0.2*SUMPRODUCT((Skills!Z2:Z30=TRUE)*(C1700:C1728=TRUE)*S1700:S1728)*N1707)*IF(Inputs!$B$39="pvp",1,(1+(Inputs!$B$21+Skills!Q9+B1732)/100)*(MIN(Skills!W9,Inputs!$B$37))),0)</f>
        <v/>
      </c>
    </row>
    <row r="1708">
      <c r="A1708">
        <f>Skills!A10</f>
        <v/>
      </c>
      <c r="B1708">
        <f>Skills!B10</f>
        <v/>
      </c>
      <c r="C1708">
        <f>Inputs!$B$3&gt;=74</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Skills!G10*IF(Skills!H10&gt;0,Skills!I10/Skills!H10,1)</f>
        <v/>
      </c>
      <c r="H1708">
        <f>1-(1-Skills!J10/100)^Skills!K10</f>
        <v/>
      </c>
      <c r="I1708" t="inlineStr">
        <is>
          <t>1</t>
        </is>
      </c>
      <c r="J1708" t="inlineStr"/>
      <c r="K1708" t="inlineStr"/>
      <c r="L1708" t="inlineStr"/>
      <c r="M1708" t="inlineStr"/>
      <c r="N1708" t="inlineStr"/>
      <c r="O1708">
        <f>(1-Summary!$B$55)*T1708+Summary!$B$55*V1708</f>
        <v/>
      </c>
      <c r="P1708">
        <f>IF(B1743=0,0,O1708/B1743)</f>
        <v/>
      </c>
      <c r="Q1708">
        <f>IFERROR(1/IF(Inputs!$B$39="pvp",15,MAX(0.1,Skills!D10-IF(Skills!E10=TRUE,3.5,0))),0)</f>
        <v/>
      </c>
      <c r="R1708">
        <f>IF(AND(Inputs!$B$39&lt;&gt;"pvp",Inputs!$B$44&gt;0),IF(Inputs!$B$44&lt;=0,0,(INT(Inputs!$B$44/IF(Inputs!$B$39="pvp",15,MAX(0.1,Skills!D10-IF(Skills!E10=TRUE,3.5,0))))+1)),0)</f>
        <v/>
      </c>
      <c r="S1708">
        <f>IFERROR(O1708/N1708,0)</f>
        <v/>
      </c>
      <c r="T1708" t="n">
        <v>0</v>
      </c>
      <c r="V1708" t="n">
        <v>0</v>
      </c>
    </row>
    <row r="1709">
      <c r="A1709">
        <f>Skills!A11</f>
        <v/>
      </c>
      <c r="B1709">
        <f>Skills!B11</f>
        <v/>
      </c>
      <c r="C1709">
        <f>Inputs!$B$3&gt;=103</f>
        <v/>
      </c>
      <c r="D1709">
        <f>IF(Skills!C11=1,60+Inputs!$B$25+Inputs!$B$29,IF(Skills!C11=2,90+Inputs!$B$26+Inputs!$B$29,IF(Skills!C11=3,120+Inputs!$B$27+Inputs!$B$29,MAX(0,(Inputs!$B$3-100)*3)+Inputs!$B$28+Inputs!$B$29)))</f>
        <v/>
      </c>
      <c r="E1709">
        <f>INDEX(FactorTable!$B$2:$Y$301, MATCH(ROUND(MIN(300,MAX(1,D1709)),0), FactorTable!$A$2:$A$301,0), Skills!M11+1)</f>
        <v/>
      </c>
      <c r="F1709">
        <f>(Skills!L11/10)*(E1709/1000)+IF(Inputs!$B$3&gt;=134,50,0)+0.5*(30000/10)*(INDEX(FactorTable!$B$2:$Y$301, MATCH(ROUND(MIN(300,MAX(1,D1709)),0), FactorTable!$A$2:$A$301,0), 13)/1000)*B1741</f>
        <v/>
      </c>
      <c r="G1709">
        <f>Skills!G11*IF(Skills!H11&gt;0,Skills!I11/Skills!H11,1)</f>
        <v/>
      </c>
      <c r="H1709">
        <f>1-(1-Skills!J11/100)^Skills!K11</f>
        <v/>
      </c>
      <c r="I1709" t="inlineStr">
        <is>
          <t>1</t>
        </is>
      </c>
      <c r="J1709">
        <f>((Inputs!$B$6*(1+Inputs!$B$7/100))+(((Inputs!$B$12*(1+Inputs!$B$13/100))-(Inputs!$B$12*(1+Inputs!$B$13/100)))+0.25*(Inputs!$B$14-Inputs!$B$14))*(1+Inputs!$B$7/100))*(F1709/100)</f>
        <v/>
      </c>
      <c r="K1709">
        <f>J1709*(1+((Inputs!$B$12*(1+Inputs!$B$13/100))*0.01+Inputs!$B$14*0.0025)/100)*(1+Inputs!$B$15/100)*(1+Inputs!$B$16/100)*(5000/(6000+Inputs!$B$43*(1-Inputs!$B$19/100)))*(1+(Inputs!$B$24+((C1728=TRUE)*(F1728-Calc!F30)))/100)*(1+(IF(Skills!A11="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1709)</f>
        <v/>
      </c>
      <c r="L1709">
        <f>K1709*(MIN(Inputs!$B$22+((C1722=TRUE)*(F1722-Calc!F24)),Inputs!$B$23+((C1727=TRUE)*(F1727-Calc!F29)))/100+(Inputs!$B$23+((C1727=TRUE)*(F1727-Calc!F29)))/100)/2</f>
        <v/>
      </c>
      <c r="M1709">
        <f>L1709*(1+(Inputs!$B$10+((C1724=TRUE)*(F1724-Calc!F26))+B1738)/100)</f>
        <v/>
      </c>
      <c r="N1709">
        <f>L1709*(1-MIN((Inputs!$B$9+((C1723=TRUE)*(F1723-Calc!F25))+B1731),100)/100)+M1709*(MIN((Inputs!$B$9+((C1723=TRUE)*(F1723-Calc!F25))+B1731),100)/100)</f>
        <v/>
      </c>
      <c r="O1709">
        <f>(1-Summary!$B$55)*T1709+Summary!$B$55*V1709</f>
        <v/>
      </c>
      <c r="P1709">
        <f>IF(B1743=0,0,O1709/B1743)</f>
        <v/>
      </c>
      <c r="Q1709">
        <f>IFERROR(1/IF(Inputs!$B$39="pvp",15,MAX(0.1,Skills!D11-IF(Skills!E11=TRUE,3.5,0))),0)</f>
        <v/>
      </c>
      <c r="R1709">
        <f>IF(AND(Inputs!$B$39&lt;&gt;"pvp",Inputs!$B$44&gt;0),IF(MAX(0,Inputs!$B$44-B1742)&lt;=0,0,(INT(MAX(0,Inputs!$B$44-B1742)/IF(Inputs!$B$39="pvp",15,MAX(0.1,Skills!D11-IF(Skills!E11=TRUE,3.5,0))))+1)),0)</f>
        <v/>
      </c>
      <c r="S1709">
        <f>IFERROR(O1709/N1709,0)</f>
        <v/>
      </c>
      <c r="T1709">
        <f>IF(C1709,(H1709*N1709*IF(AND(Inputs!$B$39&lt;&gt;"pvp",Inputs!$B$44&gt;0),((Skills!G11*((R1709-1)*IF(Skills!H11&gt;0,Skills!I11/Skills!H11,1)+IF(Skills!H11&gt;0,MIN(Skills!I11,MAX(0,MAX(0,Inputs!$B$44-B1742)-((R1709-1)*IF(Inputs!$B$39="pvp",15,MAX(0.1,Skills!D11-IF(Skills!E11=TRUE,3.5,0))))))/Skills!H11,1)))/Inputs!$B$44),G1709*Q1709))*IF(Inputs!$B$39="pvp",1,1+(Inputs!$B$20+0+Skills!P11+B1732)/100),0)</f>
        <v/>
      </c>
      <c r="V1709">
        <f>IF(C1709,(H1709*N1709*IF(AND(Inputs!$B$39&lt;&gt;"pvp",Inputs!$B$44&gt;0),((Skills!G11*((R1709-1)*IF(Skills!H11&gt;0,Skills!I11/Skills!H11,1)+IF(Skills!H11&gt;0,MIN(Skills!I11,MAX(0,MAX(0,Inputs!$B$44-B1742)-((R1709-1)*IF(Inputs!$B$39="pvp",15,MAX(0.1,Skills!D11-IF(Skills!E11=TRUE,3.5,0))))))/Skills!H11,1)))/Inputs!$B$44),G1709*Q1709))*IF(Inputs!$B$39="pvp",1,(1+(Inputs!$B$21+Skills!Q11+B1732)/100)*(MIN(Skills!W11,Inputs!$B$37))),0)</f>
        <v/>
      </c>
    </row>
    <row r="1710">
      <c r="A1710">
        <f>Skills!A12</f>
        <v/>
      </c>
      <c r="B1710">
        <f>Skills!B12</f>
        <v/>
      </c>
      <c r="C1710">
        <f>Inputs!$B$3&gt;=105</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Skills!G12*IF(Skills!H12&gt;0,Skills!I12/Skills!H12,1)</f>
        <v/>
      </c>
      <c r="H1710">
        <f>1-(1-Skills!J12/100)^Skills!K12</f>
        <v/>
      </c>
      <c r="I1710" t="inlineStr">
        <is>
          <t>1</t>
        </is>
      </c>
      <c r="J1710">
        <f>((Inputs!$B$6*(1+Inputs!$B$7/100))+(((Inputs!$B$12*(1+Inputs!$B$13/100))-(Inputs!$B$12*(1+Inputs!$B$13/100)))+0.25*(Inputs!$B$14-Inputs!$B$14))*(1+Inputs!$B$7/100))*(F1710/100)</f>
        <v/>
      </c>
      <c r="K1710">
        <f>J1710*(1+((Inputs!$B$12*(1+Inputs!$B$13/100))*0.01+Inputs!$B$14*0.0025)/100)*(1+Inputs!$B$15/100)*(1+Inputs!$B$16/100)*(5000/(6000+Inputs!$B$43*(1-Inputs!$B$19/100)))*(1+(Inputs!$B$24+((C1728=TRUE)*(F1728-Calc!F30)))/100)*(1+(IF(Skills!A12="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1710)</f>
        <v/>
      </c>
      <c r="L1710">
        <f>K1710*(MIN(Inputs!$B$22+((C1722=TRUE)*(F1722-Calc!F24)),Inputs!$B$23+((C1727=TRUE)*(F1727-Calc!F29)))/100+(Inputs!$B$23+((C1727=TRUE)*(F1727-Calc!F29)))/100)/2</f>
        <v/>
      </c>
      <c r="M1710">
        <f>L1710*(1+(Inputs!$B$10+((C1724=TRUE)*(F1724-Calc!F26))+B1738)/100)</f>
        <v/>
      </c>
      <c r="N1710">
        <f>L1710*(1-MIN((Inputs!$B$9+((C1723=TRUE)*(F1723-Calc!F25))+B1731),100)/100)+M1710*(MIN((Inputs!$B$9+((C1723=TRUE)*(F1723-Calc!F25))+B1731),100)/100)</f>
        <v/>
      </c>
      <c r="O1710">
        <f>(1-Summary!$B$55)*T1710+Summary!$B$55*V1710</f>
        <v/>
      </c>
      <c r="P1710">
        <f>IF(B1743=0,0,O1710/B1743)</f>
        <v/>
      </c>
      <c r="Q1710">
        <f>IFERROR(1/IF(Inputs!$B$39="pvp",15,MAX(0.1,Skills!D12-IF(Skills!E12=TRUE,3.5,0))),0)</f>
        <v/>
      </c>
      <c r="R1710">
        <f>IF(AND(Inputs!$B$39&lt;&gt;"pvp",Inputs!$B$44&gt;0),IF(MAX(0,Inputs!$B$44-B1742)&lt;=0,0,(INT(MAX(0,Inputs!$B$44-B1742)/IF(Inputs!$B$39="pvp",15,MAX(0.1,Skills!D12-IF(Skills!E12=TRUE,3.5,0))))+1)),0)</f>
        <v/>
      </c>
      <c r="S1710">
        <f>IFERROR(O1710/N1710,0)</f>
        <v/>
      </c>
      <c r="T1710">
        <f>IF(C1710,(H1710*N1710*IF(AND(Inputs!$B$39&lt;&gt;"pvp",Inputs!$B$44&gt;0),((Skills!G12*((R1710-1)*IF(Skills!H12&gt;0,Skills!I12/Skills!H12,1)+IF(Skills!H12&gt;0,MIN(Skills!I12,MAX(0,MAX(0,Inputs!$B$44-B1742)-((R1710-1)*IF(Inputs!$B$39="pvp",15,MAX(0.1,Skills!D12-IF(Skills!E12=TRUE,3.5,0))))))/Skills!H12,1)))/Inputs!$B$44),G1710*Q1710))*IF(Inputs!$B$39="pvp",1,1+(Inputs!$B$20+0+Skills!P12+B1732)/100),0)</f>
        <v/>
      </c>
      <c r="V1710">
        <f>IF(C1710,(H1710*N1710*IF(AND(Inputs!$B$39&lt;&gt;"pvp",Inputs!$B$44&gt;0),((Skills!G12*((R1710-1)*IF(Skills!H12&gt;0,Skills!I12/Skills!H12,1)+IF(Skills!H12&gt;0,MIN(Skills!I12,MAX(0,MAX(0,Inputs!$B$44-B1742)-((R1710-1)*IF(Inputs!$B$39="pvp",15,MAX(0.1,Skills!D12-IF(Skills!E12=TRUE,3.5,0))))))/Skills!H12,1)))/Inputs!$B$44),G1710*Q1710))*IF(Inputs!$B$39="pvp",1,(1+(Inputs!$B$21+Skills!Q12+B1732)/100)*(MIN(Skills!W12,Inputs!$B$37))),0)</f>
        <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Skills!G13*IF(Skills!H13&gt;0,Skills!I13/Skills!H13,1)</f>
        <v/>
      </c>
      <c r="H1711">
        <f>1-(1-Skills!J13/100)^Skills!K13</f>
        <v/>
      </c>
      <c r="I1711" t="inlineStr">
        <is>
          <t>1</t>
        </is>
      </c>
      <c r="J1711">
        <f>((Inputs!$B$6*(1+Inputs!$B$7/100))+(((Inputs!$B$12*(1+Inputs!$B$13/100))-(Inputs!$B$12*(1+Inputs!$B$13/100)))+0.25*(Inputs!$B$14-Inputs!$B$14))*(1+Inputs!$B$7/100))*(F1711/100)</f>
        <v/>
      </c>
      <c r="K1711">
        <f>J1711*(1+((Inputs!$B$12*(1+Inputs!$B$13/100))*0.01+Inputs!$B$14*0.0025)/100)*(1+Inputs!$B$15/100)*(1+Inputs!$B$16/100)*(5000/(6000+Inputs!$B$43*(1-Inputs!$B$19/100)))*(1+(Inputs!$B$24+((C1728=TRUE)*(F1728-Calc!F30)))/100)*(1+(IF(Skills!A13="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1711)</f>
        <v/>
      </c>
      <c r="L1711">
        <f>K1711*(MIN(Inputs!$B$22+((C1722=TRUE)*(F1722-Calc!F24)),Inputs!$B$23+((C1727=TRUE)*(F1727-Calc!F29)))/100+(Inputs!$B$23+((C1727=TRUE)*(F1727-Calc!F29)))/100)/2</f>
        <v/>
      </c>
      <c r="M1711">
        <f>L1711*(1+(Inputs!$B$10+((C1724=TRUE)*(F1724-Calc!F26))+B1738)/100)</f>
        <v/>
      </c>
      <c r="N1711">
        <f>L1711*(1-MIN((Inputs!$B$9+((C1723=TRUE)*(F1723-Calc!F25))+B1731),100)/100)+M1711*(MIN((Inputs!$B$9+((C1723=TRUE)*(F1723-Calc!F25))+B1731),100)/100)</f>
        <v/>
      </c>
      <c r="O1711">
        <f>(1-Summary!$B$55)*T1711+Summary!$B$55*V1711</f>
        <v/>
      </c>
      <c r="P1711">
        <f>IF(B1743=0,0,O1711/B1743)</f>
        <v/>
      </c>
      <c r="Q1711">
        <f>IFERROR(1/IF(Inputs!$B$39="pvp",15,MAX(0.1,Skills!D13-IF(Skills!E13=TRUE,3.5,0))),0)</f>
        <v/>
      </c>
      <c r="R1711">
        <f>IF(AND(Inputs!$B$39&lt;&gt;"pvp",Inputs!$B$44&gt;0),IF(MAX(0,Inputs!$B$44-B1742)&lt;=0,0,(INT(MAX(0,Inputs!$B$44-B1742)/IF(Inputs!$B$39="pvp",15,MAX(0.1,Skills!D13-IF(Skills!E13=TRUE,3.5,0))))+1)),0)</f>
        <v/>
      </c>
      <c r="S1711">
        <f>IFERROR(O1711/N1711,0)</f>
        <v/>
      </c>
      <c r="T1711">
        <f>IF(C1711,(H1711*N1711*IF(AND(Inputs!$B$39&lt;&gt;"pvp",Inputs!$B$44&gt;0),((Skills!G13*((R1711-1)*IF(Skills!H13&gt;0,Skills!I13/Skills!H13,1)+IF(Skills!H13&gt;0,MIN(Skills!I13,MAX(0,MAX(0,Inputs!$B$44-B1742)-((R1711-1)*IF(Inputs!$B$39="pvp",15,MAX(0.1,Skills!D13-IF(Skills!E13=TRUE,3.5,0))))))/Skills!H13,1)))/Inputs!$B$44),G1711*Q1711))*IF(Inputs!$B$39="pvp",1,1+(Inputs!$B$20+0+Skills!P13+B1732)/100),0)</f>
        <v/>
      </c>
      <c r="V1711">
        <f>IF(C1711,(H1711*N1711*IF(AND(Inputs!$B$39&lt;&gt;"pvp",Inputs!$B$44&gt;0),((Skills!G13*((R1711-1)*IF(Skills!H13&gt;0,Skills!I13/Skills!H13,1)+IF(Skills!H13&gt;0,MIN(Skills!I13,MAX(0,MAX(0,Inputs!$B$44-B1742)-((R1711-1)*IF(Inputs!$B$39="pvp",15,MAX(0.1,Skills!D13-IF(Skills!E13=TRUE,3.5,0))))))/Skills!H13,1)))/Inputs!$B$44),G1711*Q1711))*IF(Inputs!$B$39="pvp",1,(1+(Inputs!$B$21+Skills!Q13+B1732)/100)*(MIN(Skills!W13,Inputs!$B$37))),0)</f>
        <v/>
      </c>
    </row>
    <row r="1712">
      <c r="A1712">
        <f>Skills!A14</f>
        <v/>
      </c>
      <c r="B1712">
        <f>Skills!B14</f>
        <v/>
      </c>
      <c r="C1712">
        <f>Inputs!$B$3&gt;=107</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Skills!G14*IF(Skills!H14&gt;0,Skills!I14/Skills!H14,1)</f>
        <v/>
      </c>
      <c r="H1712">
        <f>1-(1-Skills!J14/100)^Skills!K14</f>
        <v/>
      </c>
      <c r="I1712" t="inlineStr">
        <is>
          <t>1</t>
        </is>
      </c>
      <c r="J1712">
        <f>((Inputs!$B$6*(1+Inputs!$B$7/100))+(((Inputs!$B$12*(1+Inputs!$B$13/100))-(Inputs!$B$12*(1+Inputs!$B$13/100)))+0.25*(Inputs!$B$14-Inputs!$B$14))*(1+Inputs!$B$7/100))*(F1712/100)</f>
        <v/>
      </c>
      <c r="K1712">
        <f>J1712*(1+((Inputs!$B$12*(1+Inputs!$B$13/100))*0.01+Inputs!$B$14*0.0025)/100)*(1+Inputs!$B$15/100)*(1+Inputs!$B$16/100)*(5000/(6000+Inputs!$B$43*(1-Inputs!$B$19/100)))*(1+(Inputs!$B$24+((C1728=TRUE)*(F1728-Calc!F30)))/100)*(1+(IF(Skills!A14="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1712)</f>
        <v/>
      </c>
      <c r="L1712">
        <f>K1712*(MIN(Inputs!$B$22+((C1722=TRUE)*(F1722-Calc!F24)),Inputs!$B$23+((C1727=TRUE)*(F1727-Calc!F29)))/100+(Inputs!$B$23+((C1727=TRUE)*(F1727-Calc!F29)))/100)/2</f>
        <v/>
      </c>
      <c r="M1712">
        <f>L1712*(1+(Inputs!$B$10+((C1724=TRUE)*(F1724-Calc!F26))+B1738)/100)</f>
        <v/>
      </c>
      <c r="N1712">
        <f>L1712*(1-MIN((Inputs!$B$9+((C1723=TRUE)*(F1723-Calc!F25))+B1731),100)/100)+M1712*(MIN((Inputs!$B$9+((C1723=TRUE)*(F1723-Calc!F25))+B1731),100)/100)</f>
        <v/>
      </c>
      <c r="O1712">
        <f>(1-Summary!$B$55)*T1712+Summary!$B$55*V1712</f>
        <v/>
      </c>
      <c r="P1712">
        <f>IF(B1743=0,0,O1712/B1743)</f>
        <v/>
      </c>
      <c r="Q1712">
        <f>IFERROR(1/IF(Inputs!$B$39="pvp",15,MAX(0.1,Skills!D14-IF(Skills!E14=TRUE,3.5,0))),0)</f>
        <v/>
      </c>
      <c r="R1712">
        <f>IF(AND(Inputs!$B$39&lt;&gt;"pvp",Inputs!$B$44&gt;0),IF(MAX(0,Inputs!$B$44-B1742)&lt;=0,0,(INT(MAX(0,Inputs!$B$44-B1742)/IF(Inputs!$B$39="pvp",15,MAX(0.1,Skills!D14-IF(Skills!E14=TRUE,3.5,0))))+1)),0)</f>
        <v/>
      </c>
      <c r="S1712">
        <f>IFERROR(O1712/N1712,0)</f>
        <v/>
      </c>
      <c r="T1712">
        <f>IF(C1712,(H1712*N1712*IF(AND(Inputs!$B$39&lt;&gt;"pvp",Inputs!$B$44&gt;0),((Skills!G14*((R1712-1)*IF(Skills!H14&gt;0,Skills!I14/Skills!H14,1)+IF(Skills!H14&gt;0,MIN(Skills!I14,MAX(0,MAX(0,Inputs!$B$44-B1742)-((R1712-1)*IF(Inputs!$B$39="pvp",15,MAX(0.1,Skills!D14-IF(Skills!E14=TRUE,3.5,0))))))/Skills!H14,1)))/Inputs!$B$44),G1712*Q1712))*IF(Inputs!$B$39="pvp",1,1+(Inputs!$B$20+0+Skills!P14+B1732)/100),0)</f>
        <v/>
      </c>
      <c r="V1712">
        <f>IF(C1712,(H1712*N1712*IF(AND(Inputs!$B$39&lt;&gt;"pvp",Inputs!$B$44&gt;0),((Skills!G14*((R1712-1)*IF(Skills!H14&gt;0,Skills!I14/Skills!H14,1)+IF(Skills!H14&gt;0,MIN(Skills!I14,MAX(0,MAX(0,Inputs!$B$44-B1742)-((R1712-1)*IF(Inputs!$B$39="pvp",15,MAX(0.1,Skills!D14-IF(Skills!E14=TRUE,3.5,0))))))/Skills!H14,1)))/Inputs!$B$44),G1712*Q1712))*IF(Inputs!$B$39="pvp",1,(1+(Inputs!$B$21+Skills!Q14+B1732)/100)*(MIN(MIN(5,0.25*B1735*Skills!D4)*Skills!V14,Inputs!$B$37))),0)</f>
        <v/>
      </c>
    </row>
    <row r="1713">
      <c r="A1713">
        <f>Skills!A15</f>
        <v/>
      </c>
      <c r="B1713">
        <f>Skills!B15</f>
        <v/>
      </c>
      <c r="C1713">
        <f>Inputs!$B$3&gt;=110</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Skills!G15*IF(Skills!H15&gt;0,Skills!I15/Skills!H15,1)</f>
        <v/>
      </c>
      <c r="H1713">
        <f>1-(1-Skills!J15/100)^Skills!K15</f>
        <v/>
      </c>
      <c r="I1713" t="inlineStr">
        <is>
          <t>1</t>
        </is>
      </c>
      <c r="J1713" t="inlineStr"/>
      <c r="K1713" t="inlineStr"/>
      <c r="L1713" t="inlineStr"/>
      <c r="M1713" t="inlineStr"/>
      <c r="N1713" t="inlineStr"/>
      <c r="O1713">
        <f>(1-Summary!$B$55)*T1713+Summary!$B$55*V1713</f>
        <v/>
      </c>
      <c r="P1713">
        <f>IF(B1743=0,0,O1713/B1743)</f>
        <v/>
      </c>
      <c r="Q1713">
        <f>IFERROR(1/IF(Inputs!$B$39="pvp",15,MAX(0.1,Skills!D15-IF(Skills!E15=TRUE,3.5,0))),0)</f>
        <v/>
      </c>
      <c r="R1713">
        <f>IF(AND(Inputs!$B$39&lt;&gt;"pvp",Inputs!$B$44&gt;0),IF(Inputs!$B$44&lt;=0,0,(INT(Inputs!$B$44/IF(Inputs!$B$39="pvp",15,MAX(0.1,Skills!D15-IF(Skills!E15=TRUE,3.5,0))))+1)),0)</f>
        <v/>
      </c>
      <c r="S1713">
        <f>IFERROR(O1713/N1713,0)</f>
        <v/>
      </c>
      <c r="T1713" t="n">
        <v>0</v>
      </c>
      <c r="V1713" t="n">
        <v>0</v>
      </c>
    </row>
    <row r="1714">
      <c r="A1714">
        <f>Skills!A16</f>
        <v/>
      </c>
      <c r="B1714">
        <f>Skills!B16</f>
        <v/>
      </c>
      <c r="C1714">
        <f>Inputs!$B$3&gt;=115</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Skills!G16*IF(Skills!H16&gt;0,Skills!I16/Skills!H16,1)</f>
        <v/>
      </c>
      <c r="H1714">
        <f>1-(1-Skills!J16/100)^Skills!K16</f>
        <v/>
      </c>
      <c r="I1714" t="inlineStr">
        <is>
          <t>1</t>
        </is>
      </c>
      <c r="J1714">
        <f>((Inputs!$B$6*(1+Inputs!$B$7/100))+(((Inputs!$B$12*(1+Inputs!$B$13/100))-(Inputs!$B$12*(1+Inputs!$B$13/100)))+0.25*(Inputs!$B$14-Inputs!$B$14))*(1+Inputs!$B$7/100))*(F1714/100)</f>
        <v/>
      </c>
      <c r="K1714">
        <f>J1714*(1+((Inputs!$B$12*(1+Inputs!$B$13/100))*0.01+Inputs!$B$14*0.0025)/100)*(1+Inputs!$B$15/100)*(1+Inputs!$B$16/100)*(5000/(6000+Inputs!$B$43*(1-Inputs!$B$19/100)))*(1+(Inputs!$B$24+((C1728=TRUE)*(F1728-Calc!F30)))/100)*(1+(IF(Skills!A16="CRUEL_STAB",Inputs!$B$17+((C1725=TRUE)*(F1725-Calc!F27)),Inputs!$B$18+((C1726=TRUE)*(F1726-Calc!F28))))/100)*(((1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B1733*I1714)</f>
        <v/>
      </c>
      <c r="L1714">
        <f>K1714*(MIN(Inputs!$B$22+((C1722=TRUE)*(F1722-Calc!F24)),Inputs!$B$23+((C1727=TRUE)*(F1727-Calc!F29)))/100+(Inputs!$B$23+((C1727=TRUE)*(F1727-Calc!F29)))/100)/2</f>
        <v/>
      </c>
      <c r="M1714">
        <f>L1714*(1+(Inputs!$B$10+((C1724=TRUE)*(F1724-Calc!F26))+B1738)/100)</f>
        <v/>
      </c>
      <c r="N1714">
        <f>L1714*(1-MIN((Inputs!$B$9+((C1723=TRUE)*(F1723-Calc!F25))+B1731),100)/100)+M1714*(MIN((Inputs!$B$9+((C1723=TRUE)*(F1723-Calc!F25))+B1731),100)/100)</f>
        <v/>
      </c>
      <c r="O1714">
        <f>(1-Summary!$B$55)*T1714+Summary!$B$55*V1714</f>
        <v/>
      </c>
      <c r="P1714">
        <f>IF(B1743=0,0,O1714/B1743)</f>
        <v/>
      </c>
      <c r="Q1714" t="n">
        <v>0</v>
      </c>
      <c r="R1714" t="n">
        <v>0</v>
      </c>
      <c r="S1714">
        <f>IFERROR(O1714/N1714,0)</f>
        <v/>
      </c>
      <c r="T1714">
        <f>IF(C1714,(Inputs!$B$38*0.2*N1714)*IF(Inputs!$B$39="pvp",1,1+(Inputs!$B$20+0+Skills!P16+B1732)/100),0)</f>
        <v/>
      </c>
      <c r="V1714">
        <f>IF(C1714,(Inputs!$B$38*0.2*N1714)*IF(Inputs!$B$39="pvp",1,(1+(Inputs!$B$21+Skills!Q16+B1732)/100)*(MIN(Skills!W16,Inputs!$B$37))),0)</f>
        <v/>
      </c>
    </row>
    <row r="1715">
      <c r="A1715">
        <f>Skills!A17</f>
        <v/>
      </c>
      <c r="B1715">
        <f>Skills!B17</f>
        <v/>
      </c>
      <c r="C1715">
        <f>Inputs!$B$3&gt;=115</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Skills!G17*IF(Skills!H17&gt;0,Skills!I17/Skills!H17,1)</f>
        <v/>
      </c>
      <c r="H1715">
        <f>1-(1-Skills!J17/100)^Skills!K17</f>
        <v/>
      </c>
      <c r="I1715" t="inlineStr">
        <is>
          <t>1</t>
        </is>
      </c>
      <c r="J1715" t="inlineStr"/>
      <c r="K1715" t="inlineStr"/>
      <c r="L1715" t="inlineStr"/>
      <c r="M1715" t="inlineStr"/>
      <c r="N1715" t="inlineStr"/>
      <c r="O1715">
        <f>(1-Summary!$B$55)*T1715+Summary!$B$55*V1715</f>
        <v/>
      </c>
      <c r="P1715">
        <f>IF(B1743=0,0,O1715/B1743)</f>
        <v/>
      </c>
      <c r="Q1715" t="n">
        <v>0</v>
      </c>
      <c r="R1715" t="n">
        <v>0</v>
      </c>
      <c r="S1715">
        <f>IFERROR(O1715/N1715,0)</f>
        <v/>
      </c>
      <c r="T1715" t="n">
        <v>0</v>
      </c>
      <c r="V1715" t="n">
        <v>0</v>
      </c>
    </row>
    <row r="1716">
      <c r="A1716">
        <f>Skills!A18</f>
        <v/>
      </c>
      <c r="B1716">
        <f>Skills!B18</f>
        <v/>
      </c>
      <c r="C1716">
        <f>Inputs!$B$3&gt;=100</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Skills!G18*IF(Skills!H18&gt;0,Skills!I18/Skills!H18,1)</f>
        <v/>
      </c>
      <c r="H1716">
        <f>1-(1-Skills!J18/100)^Skills!K18</f>
        <v/>
      </c>
      <c r="I1716" t="inlineStr">
        <is>
          <t>1</t>
        </is>
      </c>
      <c r="J1716" t="inlineStr"/>
      <c r="K1716" t="inlineStr"/>
      <c r="L1716" t="inlineStr"/>
      <c r="M1716" t="inlineStr"/>
      <c r="N1716" t="inlineStr"/>
      <c r="O1716">
        <f>(1-Summary!$B$55)*T1716+Summary!$B$55*V1716</f>
        <v/>
      </c>
      <c r="P1716">
        <f>IF(B1743=0,0,O1716/B1743)</f>
        <v/>
      </c>
      <c r="Q1716" t="n">
        <v>0</v>
      </c>
      <c r="R1716" t="n">
        <v>0</v>
      </c>
      <c r="S1716">
        <f>IFERROR(O1716/N1716,0)</f>
        <v/>
      </c>
      <c r="T1716" t="n">
        <v>0</v>
      </c>
      <c r="V1716" t="n">
        <v>0</v>
      </c>
    </row>
    <row r="1717">
      <c r="A1717">
        <f>Skills!A19</f>
        <v/>
      </c>
      <c r="B1717">
        <f>Skills!B19</f>
        <v/>
      </c>
      <c r="C1717">
        <f>TRUE</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Skills!G19*IF(Skills!H19&gt;0,Skills!I19/Skills!H19,1)</f>
        <v/>
      </c>
      <c r="H1717">
        <f>1-(1-Skills!J19/100)^Skills!K19</f>
        <v/>
      </c>
      <c r="I1717" t="inlineStr">
        <is>
          <t>1</t>
        </is>
      </c>
      <c r="J1717" t="inlineStr"/>
      <c r="K1717" t="inlineStr"/>
      <c r="L1717" t="inlineStr"/>
      <c r="M1717" t="inlineStr"/>
      <c r="N1717" t="inlineStr"/>
      <c r="O1717">
        <f>(1-Summary!$B$55)*T1717+Summary!$B$55*V1717</f>
        <v/>
      </c>
      <c r="P1717">
        <f>IF(B1743=0,0,O1717/B1743)</f>
        <v/>
      </c>
      <c r="Q1717">
        <f>IFERROR(1/IF(Inputs!$B$39="pvp",15,MAX(0.1,Skills!D19-IF(Skills!E19=TRUE,3.5,0))),0)</f>
        <v/>
      </c>
      <c r="R1717">
        <f>IF(AND(Inputs!$B$39&lt;&gt;"pvp",Inputs!$B$44&gt;0),IF(Inputs!$B$44&lt;=0,0,(INT(Inputs!$B$44/IF(Inputs!$B$39="pvp",15,MAX(0.1,Skills!D19-IF(Skills!E19=TRUE,3.5,0))))+1)),0)</f>
        <v/>
      </c>
      <c r="S1717">
        <f>IFERROR(O1717/N1717,0)</f>
        <v/>
      </c>
      <c r="T1717" t="n">
        <v>0</v>
      </c>
      <c r="V1717" t="n">
        <v>0</v>
      </c>
    </row>
    <row r="1718">
      <c r="A1718">
        <f>Skills!A20</f>
        <v/>
      </c>
      <c r="B1718">
        <f>Skills!B20</f>
        <v/>
      </c>
      <c r="C1718">
        <f>Inputs!$B$3&gt;=15</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Skills!G20*IF(Skills!H20&gt;0,Skills!I20/Skills!H20,1)</f>
        <v/>
      </c>
      <c r="H1718">
        <f>1-(1-Skills!J20/100)^Skills!K20</f>
        <v/>
      </c>
      <c r="I1718" t="inlineStr">
        <is>
          <t>1</t>
        </is>
      </c>
      <c r="J1718" t="inlineStr"/>
      <c r="K1718" t="inlineStr"/>
      <c r="L1718" t="inlineStr"/>
      <c r="M1718" t="inlineStr"/>
      <c r="N1718" t="inlineStr"/>
      <c r="O1718">
        <f>(1-Summary!$B$55)*T1718+Summary!$B$55*V1718</f>
        <v/>
      </c>
      <c r="P1718">
        <f>IF(B1743=0,0,O1718/B1743)</f>
        <v/>
      </c>
      <c r="Q1718">
        <f>IFERROR(1/IF(Inputs!$B$39="pvp",15,MAX(0.1,Skills!D20-IF(Skills!E20=TRUE,3.5,0))),0)</f>
        <v/>
      </c>
      <c r="R1718">
        <f>IF(AND(Inputs!$B$39&lt;&gt;"pvp",Inputs!$B$44&gt;0),IF(Inputs!$B$44&lt;=0,0,(INT(Inputs!$B$44/IF(Inputs!$B$39="pvp",15,MAX(0.1,Skills!D20-IF(Skills!E20=TRUE,3.5,0))))+1)),0)</f>
        <v/>
      </c>
      <c r="S1718">
        <f>IFERROR(O1718/N1718,0)</f>
        <v/>
      </c>
      <c r="T1718" t="n">
        <v>0</v>
      </c>
      <c r="V1718" t="n">
        <v>0</v>
      </c>
    </row>
    <row r="1719">
      <c r="A1719">
        <f>Skills!A21</f>
        <v/>
      </c>
      <c r="B1719">
        <f>Skills!B21</f>
        <v/>
      </c>
      <c r="C1719">
        <f>Inputs!$B$3&gt;=15</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Skills!G21*IF(Skills!H21&gt;0,Skills!I21/Skills!H21,1)</f>
        <v/>
      </c>
      <c r="H1719">
        <f>1-(1-Skills!J21/100)^Skills!K21</f>
        <v/>
      </c>
      <c r="I1719" t="inlineStr">
        <is>
          <t>1</t>
        </is>
      </c>
      <c r="J1719" t="inlineStr"/>
      <c r="K1719" t="inlineStr"/>
      <c r="L1719" t="inlineStr"/>
      <c r="M1719" t="inlineStr"/>
      <c r="N1719" t="inlineStr"/>
      <c r="O1719">
        <f>(1-Summary!$B$55)*T1719+Summary!$B$55*V1719</f>
        <v/>
      </c>
      <c r="P1719">
        <f>IF(B1743=0,0,O1719/B1743)</f>
        <v/>
      </c>
      <c r="Q1719">
        <f>IFERROR(1/IF(Inputs!$B$39="pvp",15,MAX(0.1,Skills!D21-IF(Skills!E21=TRUE,3.5,0))),0)</f>
        <v/>
      </c>
      <c r="R1719">
        <f>IF(AND(Inputs!$B$39&lt;&gt;"pvp",Inputs!$B$44&gt;0),IF(Inputs!$B$44&lt;=0,0,(INT(Inputs!$B$44/IF(Inputs!$B$39="pvp",15,MAX(0.1,Skills!D21-IF(Skills!E21=TRUE,3.5,0))))+1)),0)</f>
        <v/>
      </c>
      <c r="S1719">
        <f>IFERROR(O1719/N1719,0)</f>
        <v/>
      </c>
      <c r="T1719" t="n">
        <v>0</v>
      </c>
      <c r="V1719" t="n">
        <v>0</v>
      </c>
    </row>
    <row r="1720">
      <c r="A1720">
        <f>Skills!A22</f>
        <v/>
      </c>
      <c r="B1720">
        <f>Skills!B22</f>
        <v/>
      </c>
      <c r="C1720">
        <f>Inputs!$B$3&gt;=33</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Skills!G22*IF(Skills!H22&gt;0,Skills!I22/Skills!H22,1)</f>
        <v/>
      </c>
      <c r="H1720">
        <f>1-(1-Skills!J22/100)^Skills!K22</f>
        <v/>
      </c>
      <c r="I1720" t="inlineStr">
        <is>
          <t>1</t>
        </is>
      </c>
      <c r="J1720" t="inlineStr"/>
      <c r="K1720" t="inlineStr"/>
      <c r="L1720" t="inlineStr"/>
      <c r="M1720" t="inlineStr"/>
      <c r="N1720" t="inlineStr"/>
      <c r="O1720">
        <f>(1-Summary!$B$55)*T1720+Summary!$B$55*V1720</f>
        <v/>
      </c>
      <c r="P1720">
        <f>IF(B1743=0,0,O1720/B1743)</f>
        <v/>
      </c>
      <c r="Q1720" t="n">
        <v>0</v>
      </c>
      <c r="R1720" t="n">
        <v>0</v>
      </c>
      <c r="S1720">
        <f>IFERROR(O1720/N1720,0)</f>
        <v/>
      </c>
      <c r="T1720" t="n">
        <v>0</v>
      </c>
      <c r="V1720" t="n">
        <v>0</v>
      </c>
    </row>
    <row r="1721">
      <c r="A1721">
        <f>Skills!A23</f>
        <v/>
      </c>
      <c r="B1721">
        <f>Skills!B23</f>
        <v/>
      </c>
      <c r="C1721">
        <f>Inputs!$B$3&gt;=40</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Skills!G23*IF(Skills!H23&gt;0,Skills!I23/Skills!H23,1)</f>
        <v/>
      </c>
      <c r="H1721">
        <f>1-(1-Skills!J23/100)^Skills!K23</f>
        <v/>
      </c>
      <c r="I1721" t="inlineStr">
        <is>
          <t>1</t>
        </is>
      </c>
      <c r="J1721" t="inlineStr"/>
      <c r="K1721" t="inlineStr"/>
      <c r="L1721" t="inlineStr"/>
      <c r="M1721" t="inlineStr"/>
      <c r="N1721" t="inlineStr"/>
      <c r="O1721">
        <f>(1-Summary!$B$55)*T1721+Summary!$B$55*V1721</f>
        <v/>
      </c>
      <c r="P1721">
        <f>IF(B1743=0,0,O1721/B1743)</f>
        <v/>
      </c>
      <c r="Q1721" t="n">
        <v>0</v>
      </c>
      <c r="R1721" t="n">
        <v>0</v>
      </c>
      <c r="S1721">
        <f>IFERROR(O1721/N1721,0)</f>
        <v/>
      </c>
      <c r="T1721" t="n">
        <v>0</v>
      </c>
      <c r="V1721" t="n">
        <v>0</v>
      </c>
    </row>
    <row r="1722">
      <c r="A1722">
        <f>Skills!A24</f>
        <v/>
      </c>
      <c r="B1722">
        <f>Skills!B24</f>
        <v/>
      </c>
      <c r="C1722">
        <f>Inputs!$B$3&gt;=43</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Skills!G24*IF(Skills!H24&gt;0,Skills!I24/Skills!H24,1)</f>
        <v/>
      </c>
      <c r="H1722">
        <f>1-(1-Skills!J24/100)^Skills!K24</f>
        <v/>
      </c>
      <c r="I1722" t="inlineStr">
        <is>
          <t>1</t>
        </is>
      </c>
      <c r="J1722" t="inlineStr"/>
      <c r="K1722" t="inlineStr"/>
      <c r="L1722" t="inlineStr"/>
      <c r="M1722" t="inlineStr"/>
      <c r="N1722" t="inlineStr"/>
      <c r="O1722">
        <f>(1-Summary!$B$55)*T1722+Summary!$B$55*V1722</f>
        <v/>
      </c>
      <c r="P1722">
        <f>IF(B1743=0,0,O1722/B1743)</f>
        <v/>
      </c>
      <c r="Q1722" t="n">
        <v>0</v>
      </c>
      <c r="R1722" t="n">
        <v>0</v>
      </c>
      <c r="S1722">
        <f>IFERROR(O1722/N1722,0)</f>
        <v/>
      </c>
      <c r="T1722" t="n">
        <v>0</v>
      </c>
      <c r="V1722" t="n">
        <v>0</v>
      </c>
    </row>
    <row r="1723">
      <c r="A1723">
        <f>Skills!A25</f>
        <v/>
      </c>
      <c r="B1723">
        <f>Skills!B25</f>
        <v/>
      </c>
      <c r="C1723">
        <f>Inputs!$B$3&gt;=50</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Skills!G25*IF(Skills!H25&gt;0,Skills!I25/Skills!H25,1)</f>
        <v/>
      </c>
      <c r="H1723">
        <f>1-(1-Skills!J25/100)^Skills!K25</f>
        <v/>
      </c>
      <c r="I1723" t="inlineStr">
        <is>
          <t>1</t>
        </is>
      </c>
      <c r="J1723" t="inlineStr"/>
      <c r="K1723" t="inlineStr"/>
      <c r="L1723" t="inlineStr"/>
      <c r="M1723" t="inlineStr"/>
      <c r="N1723" t="inlineStr"/>
      <c r="O1723">
        <f>(1-Summary!$B$55)*T1723+Summary!$B$55*V1723</f>
        <v/>
      </c>
      <c r="P1723">
        <f>IF(B1743=0,0,O1723/B1743)</f>
        <v/>
      </c>
      <c r="Q1723" t="n">
        <v>0</v>
      </c>
      <c r="R1723" t="n">
        <v>0</v>
      </c>
      <c r="S1723">
        <f>IFERROR(O1723/N1723,0)</f>
        <v/>
      </c>
      <c r="T1723" t="n">
        <v>0</v>
      </c>
      <c r="V1723" t="n">
        <v>0</v>
      </c>
    </row>
    <row r="1724">
      <c r="A1724">
        <f>Skills!A26</f>
        <v/>
      </c>
      <c r="B1724">
        <f>Skills!B26</f>
        <v/>
      </c>
      <c r="C1724">
        <f>Inputs!$B$3&gt;=50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Skills!G26*IF(Skills!H26&gt;0,Skills!I26/Skills!H26,1)</f>
        <v/>
      </c>
      <c r="H1724">
        <f>1-(1-Skills!J26/100)^Skills!K26</f>
        <v/>
      </c>
      <c r="I1724" t="inlineStr">
        <is>
          <t>1</t>
        </is>
      </c>
      <c r="J1724" t="inlineStr"/>
      <c r="K1724" t="inlineStr"/>
      <c r="L1724" t="inlineStr"/>
      <c r="M1724" t="inlineStr"/>
      <c r="N1724" t="inlineStr"/>
      <c r="O1724">
        <f>(1-Summary!$B$55)*T1724+Summary!$B$55*V1724</f>
        <v/>
      </c>
      <c r="P1724">
        <f>IF(B1743=0,0,O1724/B1743)</f>
        <v/>
      </c>
      <c r="Q1724" t="n">
        <v>0</v>
      </c>
      <c r="R1724" t="n">
        <v>0</v>
      </c>
      <c r="S1724">
        <f>IFERROR(O1724/N1724,0)</f>
        <v/>
      </c>
      <c r="T1724" t="n">
        <v>0</v>
      </c>
      <c r="V1724" t="n">
        <v>0</v>
      </c>
    </row>
    <row r="1725">
      <c r="A1725">
        <f>Skills!A27</f>
        <v/>
      </c>
      <c r="B1725">
        <f>Skills!B27</f>
        <v/>
      </c>
      <c r="C1725">
        <f>Inputs!$B$3&gt;=38</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Skills!G27*IF(Skills!H27&gt;0,Skills!I27/Skills!H27,1)</f>
        <v/>
      </c>
      <c r="H1725">
        <f>1-(1-Skills!J27/100)^Skills!K27</f>
        <v/>
      </c>
      <c r="I1725" t="inlineStr">
        <is>
          <t>1</t>
        </is>
      </c>
      <c r="J1725" t="inlineStr"/>
      <c r="K1725" t="inlineStr"/>
      <c r="L1725" t="inlineStr"/>
      <c r="M1725" t="inlineStr"/>
      <c r="N1725" t="inlineStr"/>
      <c r="O1725">
        <f>(1-Summary!$B$55)*T1725+Summary!$B$55*V1725</f>
        <v/>
      </c>
      <c r="P1725">
        <f>IF(B1743=0,0,O1725/B1743)</f>
        <v/>
      </c>
      <c r="Q1725" t="n">
        <v>0</v>
      </c>
      <c r="R1725" t="n">
        <v>0</v>
      </c>
      <c r="S1725">
        <f>IFERROR(O1725/N1725,0)</f>
        <v/>
      </c>
      <c r="T1725" t="n">
        <v>0</v>
      </c>
      <c r="V1725" t="n">
        <v>0</v>
      </c>
    </row>
    <row r="1726">
      <c r="A1726">
        <f>Skills!A28</f>
        <v/>
      </c>
      <c r="B1726">
        <f>Skills!B28</f>
        <v/>
      </c>
      <c r="C1726">
        <f>Inputs!$B$3&gt;=120</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Skills!G28*IF(Skills!H28&gt;0,Skills!I28/Skills!H28,1)</f>
        <v/>
      </c>
      <c r="H1726">
        <f>1-(1-Skills!J28/100)^Skills!K28</f>
        <v/>
      </c>
      <c r="I1726" t="inlineStr">
        <is>
          <t>1</t>
        </is>
      </c>
      <c r="J1726" t="inlineStr"/>
      <c r="K1726" t="inlineStr"/>
      <c r="L1726" t="inlineStr"/>
      <c r="M1726" t="inlineStr"/>
      <c r="N1726" t="inlineStr"/>
      <c r="O1726">
        <f>(1-Summary!$B$55)*T1726+Summary!$B$55*V1726</f>
        <v/>
      </c>
      <c r="P1726">
        <f>IF(B1743=0,0,O1726/B1743)</f>
        <v/>
      </c>
      <c r="Q1726" t="n">
        <v>0</v>
      </c>
      <c r="R1726" t="n">
        <v>0</v>
      </c>
      <c r="S1726">
        <f>IFERROR(O1726/N1726,0)</f>
        <v/>
      </c>
      <c r="T1726" t="n">
        <v>0</v>
      </c>
      <c r="V1726" t="n">
        <v>0</v>
      </c>
    </row>
    <row r="1727">
      <c r="A1727">
        <f>Skills!A29</f>
        <v/>
      </c>
      <c r="B1727">
        <f>Skills!B29</f>
        <v/>
      </c>
      <c r="C1727">
        <f>Inputs!$B$3&gt;=120</f>
        <v/>
      </c>
      <c r="D1727">
        <f>IF(Skills!C29=1,60+Inputs!$B$25+Inputs!$B$29,IF(Skills!C29=2,90+Inputs!$B$26+Inputs!$B$29,IF(Skills!C29=3,120+Inputs!$B$27+Inputs!$B$29,MAX(0,(Inputs!$B$3-100)*3)+Inputs!$B$28+Inputs!$B$29)))</f>
        <v/>
      </c>
      <c r="E1727">
        <f>INDEX(FactorTable!$B$2:$Y$301, MATCH(ROUND(MIN(300,MAX(1,D1727)),0), FactorTable!$A$2:$A$301,0), Skills!M29+1)</f>
        <v/>
      </c>
      <c r="F1727">
        <f>IF(Skills!N29=TRUE,(Skills!L29/10)*(E1727/1000),Skills!L29/10)+Skills!O29</f>
        <v/>
      </c>
      <c r="G1727">
        <f>Skills!G29*IF(Skills!H29&gt;0,Skills!I29/Skills!H29,1)</f>
        <v/>
      </c>
      <c r="H1727">
        <f>1-(1-Skills!J29/100)^Skills!K29</f>
        <v/>
      </c>
      <c r="I1727" t="inlineStr">
        <is>
          <t>1</t>
        </is>
      </c>
      <c r="J1727" t="inlineStr"/>
      <c r="K1727" t="inlineStr"/>
      <c r="L1727" t="inlineStr"/>
      <c r="M1727" t="inlineStr"/>
      <c r="N1727" t="inlineStr"/>
      <c r="O1727">
        <f>(1-Summary!$B$55)*T1727+Summary!$B$55*V1727</f>
        <v/>
      </c>
      <c r="P1727">
        <f>IF(B1743=0,0,O1727/B1743)</f>
        <v/>
      </c>
      <c r="Q1727" t="n">
        <v>0</v>
      </c>
      <c r="R1727" t="n">
        <v>0</v>
      </c>
      <c r="S1727">
        <f>IFERROR(O1727/N1727,0)</f>
        <v/>
      </c>
      <c r="T1727" t="n">
        <v>0</v>
      </c>
      <c r="V1727" t="n">
        <v>0</v>
      </c>
    </row>
    <row r="1728">
      <c r="A1728">
        <f>Skills!A30</f>
        <v/>
      </c>
      <c r="B1728">
        <f>Skills!B30</f>
        <v/>
      </c>
      <c r="C1728">
        <f>Inputs!$B$3&gt;=125</f>
        <v/>
      </c>
      <c r="D1728">
        <f>IF(Skills!C30=1,60+Inputs!$B$25+Inputs!$B$29,IF(Skills!C30=2,90+Inputs!$B$26+Inputs!$B$29,IF(Skills!C30=3,120+Inputs!$B$27+Inputs!$B$29,MAX(0,(Inputs!$B$3-100)*3)+Inputs!$B$28+Inputs!$B$29)))</f>
        <v/>
      </c>
      <c r="E1728">
        <f>INDEX(FactorTable!$B$2:$Y$301, MATCH(ROUND(MIN(300,MAX(1,D1728)),0), FactorTable!$A$2:$A$301,0), Skills!M30+1)</f>
        <v/>
      </c>
      <c r="F1728">
        <f>IF(Skills!N30=TRUE,(Skills!L30/10)*(E1728/1000),Skills!L30/10)+Skills!O30</f>
        <v/>
      </c>
      <c r="G1728">
        <f>Skills!G30*IF(Skills!H30&gt;0,Skills!I30/Skills!H30,1)</f>
        <v/>
      </c>
      <c r="H1728">
        <f>1-(1-Skills!J30/100)^Skills!K30</f>
        <v/>
      </c>
      <c r="I1728" t="inlineStr">
        <is>
          <t>1</t>
        </is>
      </c>
      <c r="J1728" t="inlineStr"/>
      <c r="K1728" t="inlineStr"/>
      <c r="L1728" t="inlineStr"/>
      <c r="M1728" t="inlineStr"/>
      <c r="N1728" t="inlineStr"/>
      <c r="O1728">
        <f>(1-Summary!$B$55)*T1728+Summary!$B$55*V1728</f>
        <v/>
      </c>
      <c r="P1728">
        <f>IF(B1743=0,0,O1728/B1743)</f>
        <v/>
      </c>
      <c r="Q1728" t="n">
        <v>0</v>
      </c>
      <c r="R1728" t="n">
        <v>0</v>
      </c>
      <c r="S1728">
        <f>IFERROR(O1728/N1728,0)</f>
        <v/>
      </c>
      <c r="T1728" t="n">
        <v>0</v>
      </c>
      <c r="V1728" t="n">
        <v>0</v>
      </c>
    </row>
    <row r="1730">
      <c r="A1730" t="inlineStr">
        <is>
          <t>Average Buff Multiplier</t>
        </is>
      </c>
      <c r="B1730">
        <f>(1+(((C1719=TRUE)*F1719*IF(AND(Inputs!$B$39&lt;&gt;"pvp",Inputs!$B$44&gt;0),(((R1719-1)*(Skills!Y21*(1+Inputs!$B$34/100))+MIN((Skills!Y21*(1+Inputs!$B$34/100)),MAX(0,Inputs!$B$44-((R1719-1)*Skills!D21))))/Inputs!$B$44),IF(Inputs!$B$39="pvp",MIN((Skills!Y21*(1+Inputs!$B$34/100)),15)/15,(Skills!Y21*(1+Inputs!$B$34/100))/Skills!D21)))+((C1721=TRUE)*(F1721-Calc!F23))+((C1715=TRUE)*(F1715-Calc!F17)))/100)*(1+((C1708=TRUE)*F1708*IF(AND(Inputs!$B$39&lt;&gt;"pvp",Inputs!$B$44&gt;0),(((R1708-1)*(Skills!Y10*(1+Inputs!$B$34/100))+MIN((Skills!Y10*(1+Inputs!$B$34/100)),MAX(0,Inputs!$B$44-((R1708-1)*Skills!D10))))/Inputs!$B$44),IF(Inputs!$B$39="pvp",MIN((Skills!Y10*(1+Inputs!$B$34/100)),15)/15,(Skills!Y10*(1+Inputs!$B$34/100))/Skills!D10)))/100)*(1+((C1713=TRUE)*F1713*IF(AND(Inputs!$B$39&lt;&gt;"pvp",Inputs!$B$44&gt;0),(((R1713-1)*(Skills!Y15*(1+Inputs!$B$34/100))+MIN((Skills!Y15*(1+Inputs!$B$34/100)),MAX(0,Inputs!$B$44-((R1713-1)*Skills!D15))))/Inputs!$B$44),IF(Inputs!$B$39="pvp",MIN((Skills!Y15*(1+Inputs!$B$34/100)),15)/15,(Skills!Y15*(1+Inputs!$B$34/100))/Skills!D15)))/100)</f>
        <v/>
      </c>
    </row>
    <row r="1731">
      <c r="A1731" t="inlineStr">
        <is>
          <t>Global Crit Rate Bonus %</t>
        </is>
      </c>
      <c r="B1731">
        <f>((C1718=TRUE)*F1718*IF(AND(Inputs!$B$39&lt;&gt;"pvp",Inputs!$B$44&gt;0),(((R1718-1)*(Skills!Y20*(1+Inputs!$B$34/100))+MIN((Skills!Y20*(1+Inputs!$B$34/100)),MAX(0,Inputs!$B$44-((R1718-1)*Skills!D20))))/Inputs!$B$44),IF(Inputs!$B$39="pvp",MIN((Skills!Y20*(1+Inputs!$B$34/100)),15)/15,(Skills!Y20*(1+Inputs!$B$34/100))/Skills!D20)))</f>
        <v/>
      </c>
    </row>
    <row r="1732">
      <c r="A1732" t="inlineStr">
        <is>
          <t>Global Monster Damage-Taken Bonus %</t>
        </is>
      </c>
      <c r="B1732">
        <f>IF(Inputs!$B$3&gt;=82,15,0)</f>
        <v/>
      </c>
    </row>
    <row r="1733">
      <c r="A1733" t="inlineStr">
        <is>
          <t>Shadow Partner Average Multiplier</t>
        </is>
      </c>
      <c r="B1733">
        <f>1+((C1705=TRUE)*F1705*(1+3.3333333333333335*IF(C1716=TRUE,F1716,0)/100)*I1705*Skills!J7/100)/100</f>
        <v/>
      </c>
    </row>
    <row r="1734">
      <c r="A1734" t="inlineStr">
        <is>
          <t>Attack Speed Buff Bonus %</t>
        </is>
      </c>
      <c r="B1734">
        <f>((C1717=TRUE)*F1717*IF(AND(Inputs!$B$39&lt;&gt;"pvp",Inputs!$B$44&gt;0),(((R1717-1)*(Skills!Y19*(1+Inputs!$B$34/100))+MIN((Skills!Y19*(1+Inputs!$B$34/100)),MAX(0,Inputs!$B$44-((R1717-1)*Skills!D19))))/Inputs!$B$44),IF(Inputs!$B$39="pvp",MIN((Skills!Y19*(1+Inputs!$B$34/100)),15)/15,(Skills!Y19*(1+Inputs!$B$34/100))/Skills!D19)))+((C1701=TRUE)*F1701*3)</f>
        <v/>
      </c>
    </row>
    <row r="1735">
      <c r="A1735" t="inlineStr">
        <is>
          <t>Actions Per Second</t>
        </is>
      </c>
      <c r="B1735">
        <f>1+MIN(150,150*(1-(1-(Inputs!$B$11+((C1720=TRUE)*(F1720-Calc!F22)))/150)*(1-B1734/150)))/100</f>
        <v/>
      </c>
    </row>
    <row r="1736">
      <c r="A1736" t="inlineStr">
        <is>
          <t>Skill + Buff Cast Rate</t>
        </is>
      </c>
      <c r="B1736">
        <f>IF(AND(Inputs!$B$39&lt;&gt;"pvp",Inputs!$B$44&gt;0),SUMPRODUCT((Skills!E2:E30=TRUE)*(C1700:C1728=TRUE)*R1700:R1728*Skills!F2:F30)/Inputs!$B$44,SUMPRODUCT((Skills!E2:E30=TRUE)*(C1700:C1728=TRUE)*Q1700:Q1728*Skills!F2:F30))</f>
        <v/>
      </c>
    </row>
    <row r="1737">
      <c r="A1737" t="inlineStr">
        <is>
          <t>Cruel Stab Casts Per Second</t>
        </is>
      </c>
      <c r="B1737">
        <f>MAX(0,B1735-B1736)</f>
        <v/>
      </c>
    </row>
    <row r="1738">
      <c r="A1738" t="inlineStr">
        <is>
          <t>Global Critical Damage Bonus % (Smokescreen Mastery Lv.113)</t>
        </is>
      </c>
      <c r="B1738">
        <f>IF(Inputs!$B$3&gt;=113,30,0)*IF(AND(Inputs!$B$39&lt;&gt;"pvp",Inputs!$B$44&gt;0),(((R1713-1)*(Skills!Y15*(1+Inputs!$B$34/100))+MIN((Skills!Y15*(1+Inputs!$B$34/100)),MAX(0,Inputs!$B$44-((R1713-1)*Skills!D15))))/Inputs!$B$44),IF(Inputs!$B$39="pvp",MIN((Skills!Y15*(1+Inputs!$B$34/100)),15)/15,(Skills!Y15*(1+Inputs!$B$34/100))/Skills!D15))</f>
        <v/>
      </c>
    </row>
    <row r="1739">
      <c r="A1739" t="inlineStr">
        <is>
          <t>Meso Explosion average stack count</t>
        </is>
      </c>
      <c r="B1739">
        <f>MIN(10,0.5*B1735*Skills!D4)</f>
        <v/>
      </c>
    </row>
    <row r="1740">
      <c r="A1740" t="inlineStr">
        <is>
          <t>Blood Money average stack count</t>
        </is>
      </c>
      <c r="B1740">
        <f>MIN(5,0.25*B1735*Skills!D4)</f>
        <v/>
      </c>
    </row>
    <row r="1741">
      <c r="A1741" t="inlineStr">
        <is>
          <t>Assassinate Murderous Intent Multiplier</t>
        </is>
      </c>
      <c r="B1741">
        <f>1+IFERROR(MIN(1,Q1712*2/Q1709),0)</f>
        <v/>
      </c>
    </row>
    <row r="1742">
      <c r="A1742" t="inlineStr">
        <is>
          <t>Buff-Casting Startup Delay (s, fixed-duration only)</t>
        </is>
      </c>
      <c r="B1742">
        <f>IF(AND(Inputs!$B$39&lt;&gt;"pvp",Inputs!$B$44&gt;0),SUMPRODUCT((Skills!Y2:Y30&gt;0)*(Skills!E2:E30=TRUE)*(C1700:C1728=TRUE))/B1735,0)</f>
        <v/>
      </c>
    </row>
    <row r="1743">
      <c r="A1743" s="5" t="inlineStr">
        <is>
          <t>TOTAL DPS</t>
        </is>
      </c>
      <c r="B1743" s="5">
        <f>SUM(O1700:O1728)</f>
        <v/>
      </c>
    </row>
    <row r="1744">
      <c r="A1744" t="inlineStr">
        <is>
          <t>Boss-Only Total DPS (this block's swept value)</t>
        </is>
      </c>
      <c r="B1744">
        <f>SUM(T1700:T1728)</f>
        <v/>
      </c>
    </row>
    <row r="1745">
      <c r="A1745" t="inlineStr">
        <is>
          <t>Normal-Only Total DPS (this block's swept value)</t>
        </is>
      </c>
      <c r="B1745">
        <f>SUM(V1700:V1728)</f>
        <v/>
      </c>
    </row>
    <row r="1748">
      <c r="A1748" s="5" t="inlineStr">
        <is>
          <t>Stat: CDR = 4.0s</t>
        </is>
      </c>
    </row>
    <row r="1749">
      <c r="A1749" s="9" t="inlineStr">
        <is>
          <t>Key</t>
        </is>
      </c>
      <c r="B1749" s="9" t="inlineStr">
        <is>
          <t>Name</t>
        </is>
      </c>
      <c r="C1749" s="9" t="inlineStr">
        <is>
          <t>Unlocked</t>
        </is>
      </c>
      <c r="D1749" s="9" t="inlineStr">
        <is>
          <t>InputLevel</t>
        </is>
      </c>
      <c r="E1749" s="9" t="inlineStr">
        <is>
          <t>Factor</t>
        </is>
      </c>
      <c r="F1749" s="9" t="inlineStr">
        <is>
          <t>CoefficientPercent</t>
        </is>
      </c>
      <c r="G1749" s="9" t="inlineStr">
        <is>
          <t>EffectiveHits</t>
        </is>
      </c>
      <c r="H1749" s="9" t="inlineStr">
        <is>
          <t>ProcProbability</t>
        </is>
      </c>
      <c r="I1749" s="9" t="inlineStr">
        <is>
          <t>MapleHeroMultiplier</t>
        </is>
      </c>
      <c r="J1749" s="9" t="inlineStr">
        <is>
          <t>BaseDamage</t>
        </is>
      </c>
      <c r="K1749" s="9" t="inlineStr">
        <is>
          <t>BaseHitDamage</t>
        </is>
      </c>
      <c r="L1749" s="9" t="inlineStr">
        <is>
          <t>NonCritAvg</t>
        </is>
      </c>
      <c r="M1749" s="9" t="inlineStr">
        <is>
          <t>CritAvg</t>
        </is>
      </c>
      <c r="N1749" s="9" t="inlineStr">
        <is>
          <t>ExpectedDamage(perHit)</t>
        </is>
      </c>
      <c r="O1749" s="9" t="inlineStr">
        <is>
          <t>DPS</t>
        </is>
      </c>
      <c r="P1749" s="9" t="inlineStr">
        <is>
          <t>% of Total</t>
        </is>
      </c>
      <c r="Q1749" s="9" t="inlineStr">
        <is>
          <t>InvCooldown</t>
        </is>
      </c>
      <c r="R1749" s="9" t="inlineStr">
        <is>
          <t>CastsInFight</t>
        </is>
      </c>
      <c r="S1749" s="9"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$43*(1-Inputs!$B$19/100)))*(1+(Inputs!$B$24+((C1778=TRUE)*(F1778-Calc!F30)))/100)*(1+(IF(Skills!A2="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1750)</f>
        <v/>
      </c>
      <c r="L1750">
        <f>K1750*(MIN(Inputs!$B$22+((C1772=TRUE)*(F1772-Calc!F24)),Inputs!$B$23+((C1777=TRUE)*(F1777-Calc!F29)))/100+(Inputs!$B$23+((C1777=TRUE)*(F1777-Calc!F29)))/100)/2</f>
        <v/>
      </c>
      <c r="M1750">
        <f>L1750*(1+(Inputs!$B$10+((C1774=TRUE)*(F1774-Calc!F26))+B1788)/100)</f>
        <v/>
      </c>
      <c r="N1750">
        <f>L1750*(1-MIN((Inputs!$B$9+((C1773=TRUE)*(F1773-Calc!F25))+B1781),100)/100)+M1750*(MIN((Inputs!$B$9+((C1773=TRUE)*(F1773-Calc!F25))+B1781),100)/100)</f>
        <v/>
      </c>
      <c r="O1750">
        <f>(1-Summary!$B$55)*T1750+Summary!$B$55*V1750</f>
        <v/>
      </c>
      <c r="P1750">
        <f>IF(B1793=0,0,O1750/B1793)</f>
        <v/>
      </c>
      <c r="Q1750" t="n">
        <v>0</v>
      </c>
      <c r="R1750" t="n">
        <v>0</v>
      </c>
      <c r="S1750">
        <f>IFERROR(O1750/N1750,0)</f>
        <v/>
      </c>
      <c r="T1750">
        <f>IF(C1750,(Skills!G2*N1750*B1787)*IF(Inputs!$B$39="pvp",1,1+(Inputs!$B$20+0+Skills!P2+B1782)/100),0)</f>
        <v/>
      </c>
      <c r="U1750">
        <f>MAX(0,(Inputs!$B$3-100)*3)+Inputs!$B$28+Inputs!$B$29</f>
        <v/>
      </c>
      <c r="V1750">
        <f>IF(C1750,(Skills!G2*N1750*B1787)*IF(Inputs!$B$39="pvp",1,(1+(Inputs!$B$21+Skills!Q2+B1782)/100)*(MIN((6+Inputs!$B$33),Inputs!$B$37))),0)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t="inlineStr"/>
      <c r="K1751" t="inlineStr"/>
      <c r="L1751" t="inlineStr"/>
      <c r="M1751" t="inlineStr"/>
      <c r="N1751" t="inlineStr"/>
      <c r="O1751">
        <f>(1-Summary!$B$55)*T1751+Summary!$B$55*V1751</f>
        <v/>
      </c>
      <c r="P1751">
        <f>IF(B1793=0,0,O1751/B1793)</f>
        <v/>
      </c>
      <c r="Q1751" t="n">
        <v>0</v>
      </c>
      <c r="R1751" t="n">
        <v>0</v>
      </c>
      <c r="S1751">
        <f>IFERROR(O1751/N1751,0)</f>
        <v/>
      </c>
      <c r="T1751" t="n">
        <v>0</v>
      </c>
      <c r="U1751">
        <f>INDEX(FactorTable!$B$2:$Y$301, MATCH(ROUND(MIN(300,MAX(1,U1750)),0), FactorTable!$A$2:$A$301,0), 22)</f>
        <v/>
      </c>
      <c r="V1751" t="n">
        <v>0</v>
      </c>
    </row>
    <row r="1752">
      <c r="A1752">
        <f>Skills!A4</f>
        <v/>
      </c>
      <c r="B1752">
        <f>Skills!B4</f>
        <v/>
      </c>
      <c r="C1752">
        <f>Inputs!$B$3&gt;=66</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$43*(1-Inputs!$B$19/100)))*(1+(Inputs!$B$24+((C1778=TRUE)*(F1778-Calc!F30)))/100)*(1+(IF(Skills!A4="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1752)</f>
        <v/>
      </c>
      <c r="L1752">
        <f>K1752*(MIN(Inputs!$B$22+((C1772=TRUE)*(F1772-Calc!F24)),Inputs!$B$23+((C1777=TRUE)*(F1777-Calc!F29)))/100+(Inputs!$B$23+((C1777=TRUE)*(F1777-Calc!F29)))/100)/2</f>
        <v/>
      </c>
      <c r="M1752">
        <f>L1752*(1+(Inputs!$B$10+((C1774=TRUE)*(F1774-Calc!F26))+B1788)/100)</f>
        <v/>
      </c>
      <c r="N1752">
        <f>L1752*(1-MIN((Inputs!$B$9+((C1773=TRUE)*(F1773-Calc!F25))+B1781),100)/100)+M1752*(MIN((Inputs!$B$9+((C1773=TRUE)*(F1773-Calc!F25))+B1781),100)/100)</f>
        <v/>
      </c>
      <c r="O1752">
        <f>(1-Summary!$B$55)*T1752+Summary!$B$55*V1752</f>
        <v/>
      </c>
      <c r="P1752">
        <f>IF(B1793=0,0,O1752/B1793)</f>
        <v/>
      </c>
      <c r="Q1752">
        <f>IFERROR(1/IF(Inputs!$B$39="pvp",15,MAX(0.1,Skills!D4-IF(Skills!E4=TRUE,4.0,0))),0)</f>
        <v/>
      </c>
      <c r="R1752">
        <f>IF(AND(Inputs!$B$39&lt;&gt;"pvp",Inputs!$B$44&gt;0),IF(MAX(0,Inputs!$B$44-B1792)&lt;=0,0,(INT(MAX(0,Inputs!$B$44-B1792)/IF(Inputs!$B$39="pvp",15,MAX(0.1,Skills!D4-IF(Skills!E4=TRUE,4.0,0))))+1)),0)</f>
        <v/>
      </c>
      <c r="S1752">
        <f>IFERROR(O1752/N1752,0)</f>
        <v/>
      </c>
      <c r="T1752">
        <f>IF(C1752,(H1752*N1752*IF(AND(Inputs!$B$39&lt;&gt;"pvp",Inputs!$B$44&gt;0),((Skills!G4*((R1752-1)*IF(Skills!H4&gt;0,Skills!I4/Skills!H4,1)+IF(Skills!H4&gt;0,MIN(Skills!I4,MAX(0,MAX(0,Inputs!$B$44-B1792)-((R1752-1)*IF(Inputs!$B$39="pvp",15,MAX(0.1,Skills!D4-IF(Skills!E4=TRUE,4.0,0))))))/Skills!H4,1)))/Inputs!$B$44),G1752*Q1752))*IF(Inputs!$B$39="pvp",1,1+(Inputs!$B$20+0+Skills!P4+B1782)/100),0)</f>
        <v/>
      </c>
      <c r="U1752">
        <f>290*U1751/1000</f>
        <v/>
      </c>
      <c r="V1752">
        <f>IF(C1752,(H1752*N1752*IF(AND(Inputs!$B$39&lt;&gt;"pvp",Inputs!$B$44&gt;0),((Skills!G4*((R1752-1)*IF(Skills!H4&gt;0,Skills!I4/Skills!H4,1)+IF(Skills!H4&gt;0,MIN(Skills!I4,MAX(0,MAX(0,Inputs!$B$44-B1792)-((R1752-1)*IF(Inputs!$B$39="pvp",15,MAX(0.1,Skills!D4-IF(Skills!E4=TRUE,4.0,0))))))/Skills!H4,1)))/Inputs!$B$44),G1752*Q1752))*IF(Inputs!$B$39="pvp",1,(1+(Inputs!$B$21+Skills!Q4+B1782)/100)*(MIN(MIN(10,0.5*B1785*Skills!D4),Inputs!$B$37))),0)</f>
        <v/>
      </c>
    </row>
    <row r="1753">
      <c r="A1753">
        <f>Skills!A5</f>
        <v/>
      </c>
      <c r="B1753">
        <f>Skills!B5</f>
        <v/>
      </c>
      <c r="C1753">
        <f>Inputs!$B$3&gt;=63</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f>((Inputs!$B$6*(1+Inputs!$B$7/100))+(((Inputs!$B$12*(1+Inputs!$B$13/100))-(Inputs!$B$12*(1+Inputs!$B$13/100)))+0.25*(Inputs!$B$14-Inputs!$B$14))*(1+Inputs!$B$7/100))*(F1753/100)</f>
        <v/>
      </c>
      <c r="K1753">
        <f>J1753*(1+((Inputs!$B$12*(1+Inputs!$B$13/100))*0.01+Inputs!$B$14*0.0025)/100)*(1+Inputs!$B$15/100)*(1+Inputs!$B$16/100)*(5000/(6000+Inputs!$B$43*(1-Inputs!$B$19/100)))*(1+(Inputs!$B$24+((C1778=TRUE)*(F1778-Calc!F30)))/100)*(1+2.6666666666666665*IF(C1766=TRUE,F1766,0)/100)*(1+(IF(Skills!A5="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1753)</f>
        <v/>
      </c>
      <c r="L1753">
        <f>K1753*(MIN(Inputs!$B$22+((C1772=TRUE)*(F1772-Calc!F24)),Inputs!$B$23+((C1777=TRUE)*(F1777-Calc!F29)))/100+(Inputs!$B$23+((C1777=TRUE)*(F1777-Calc!F29)))/100)/2</f>
        <v/>
      </c>
      <c r="M1753">
        <f>L1753*(1+(Inputs!$B$10+((C1774=TRUE)*(F1774-Calc!F26))+B1788)/100)</f>
        <v/>
      </c>
      <c r="N1753">
        <f>L1753*(1-MIN((Inputs!$B$9+((C1773=TRUE)*(F1773-Calc!F25))+B1781),100)/100)+M1753*(MIN((Inputs!$B$9+((C1773=TRUE)*(F1773-Calc!F25))+B1781),100)/100)</f>
        <v/>
      </c>
      <c r="O1753">
        <f>(1-Summary!$B$55)*T1753+Summary!$B$55*V1753</f>
        <v/>
      </c>
      <c r="P1753">
        <f>IF(B1793=0,0,O1753/B1793)</f>
        <v/>
      </c>
      <c r="Q1753">
        <f>IFERROR(1/IF(Inputs!$B$39="pvp",15,MAX(0.1,Skills!D5-IF(Skills!E5=TRUE,4.0,0))),0)</f>
        <v/>
      </c>
      <c r="R1753">
        <f>IF(AND(Inputs!$B$39&lt;&gt;"pvp",Inputs!$B$44&gt;0),IF(MAX(0,Inputs!$B$44-B1792)&lt;=0,0,(INT(MAX(0,Inputs!$B$44-B1792)/IF(Inputs!$B$39="pvp",15,MAX(0.1,Skills!D5-IF(Skills!E5=TRUE,4.0,0))))+1)),0)</f>
        <v/>
      </c>
      <c r="S1753">
        <f>IFERROR(O1753/N1753,0)</f>
        <v/>
      </c>
      <c r="T1753">
        <f>IF(C1753,(H1753*N1753*IF(AND(Inputs!$B$39&lt;&gt;"pvp",Inputs!$B$44&gt;0),((Skills!G5*((R1753-1)*IF(Skills!H5&gt;0,Skills!I5/Skills!H5,1)+IF(Skills!H5&gt;0,MIN(Skills!I5,MAX(0,MAX(0,Inputs!$B$44-B1792)-((R1753-1)*IF(Inputs!$B$39="pvp",15,MAX(0.1,Skills!D5-IF(Skills!E5=TRUE,4.0,0))))))/Skills!H5,1)))/Inputs!$B$44),G1753*Q1753))*IF(Inputs!$B$39="pvp",1,1+(Inputs!$B$20+0+Skills!P5+B1782)/100),0)</f>
        <v/>
      </c>
      <c r="V1753">
        <f>IF(C1753,(H1753*N1753*IF(AND(Inputs!$B$39&lt;&gt;"pvp",Inputs!$B$44&gt;0),((Skills!G5*((R1753-1)*IF(Skills!H5&gt;0,Skills!I5/Skills!H5,1)+IF(Skills!H5&gt;0,MIN(Skills!I5,MAX(0,MAX(0,Inputs!$B$44-B1792)-((R1753-1)*IF(Inputs!$B$39="pvp",15,MAX(0.1,Skills!D5-IF(Skills!E5=TRUE,4.0,0))))))/Skills!H5,1)))/Inputs!$B$44),G1753*Q1753))*IF(Inputs!$B$39="pvp",1,(1+(Inputs!$B$21+Skills!Q5+B1782)/100)*(MIN(Skills!W5,Inputs!$B$37))),0)</f>
        <v/>
      </c>
    </row>
    <row r="1754">
      <c r="A1754">
        <f>Skills!A6</f>
        <v/>
      </c>
      <c r="B1754">
        <f>Skills!B6</f>
        <v/>
      </c>
      <c r="C1754">
        <f>Inputs!$B$3&gt;=69</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$43*(1-Inputs!$B$19/100)))*(1+(Inputs!$B$24+((C1778=TRUE)*(F1778-Calc!F30)))/100)*(1+1.0*IF(C1766=TRUE,F1766,0)/100)*(1+(IF(Skills!A6="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1754)</f>
        <v/>
      </c>
      <c r="L1754">
        <f>K1754*(MIN(Inputs!$B$22+((C1772=TRUE)*(F1772-Calc!F24)),Inputs!$B$23+((C1777=TRUE)*(F1777-Calc!F29)))/100+(Inputs!$B$23+((C1777=TRUE)*(F1777-Calc!F29)))/100)/2</f>
        <v/>
      </c>
      <c r="M1754">
        <f>L1754*(1+(Inputs!$B$10+((C1774=TRUE)*(F1774-Calc!F26))+B1788)/100)</f>
        <v/>
      </c>
      <c r="N1754">
        <f>L1754*(1-MIN((Inputs!$B$9+((C1773=TRUE)*(F1773-Calc!F25))+B1781),100)/100)+M1754*(MIN((Inputs!$B$9+((C1773=TRUE)*(F1773-Calc!F25))+B1781),100)/100)</f>
        <v/>
      </c>
      <c r="O1754">
        <f>(1-Summary!$B$55)*T1754+Summary!$B$55*V1754</f>
        <v/>
      </c>
      <c r="P1754">
        <f>IF(B1793=0,0,O1754/B1793)</f>
        <v/>
      </c>
      <c r="Q1754">
        <f>IFERROR(1/IF(Inputs!$B$39="pvp",15,MAX(0.1,Skills!D6-IF(Skills!E6=TRUE,4.0,0))),0)</f>
        <v/>
      </c>
      <c r="R1754">
        <f>IF(AND(Inputs!$B$39&lt;&gt;"pvp",Inputs!$B$44&gt;0),IF(MAX(0,Inputs!$B$44-B1792)&lt;=0,0,(INT(MAX(0,Inputs!$B$44-B1792)/IF(Inputs!$B$39="pvp",15,MAX(0.1,Skills!D6-IF(Skills!E6=TRUE,4.0,0))))+1)),0)</f>
        <v/>
      </c>
      <c r="S1754">
        <f>IFERROR(O1754/N1754,0)</f>
        <v/>
      </c>
      <c r="T1754">
        <f>IF(C1754,(H1754*N1754*IF(AND(Inputs!$B$39&lt;&gt;"pvp",Inputs!$B$44&gt;0),((Skills!G6*((R1754-1)*IF(Skills!H6&gt;0,Skills!I6/Skills!H6,1)+IF(Skills!H6&gt;0,MIN(Skills!I6,MAX(0,MAX(0,Inputs!$B$44-B1792)-((R1754-1)*IF(Inputs!$B$39="pvp",15,MAX(0.1,Skills!D6-IF(Skills!E6=TRUE,4.0,0))))))/Skills!H6,1)))/Inputs!$B$44),G1754*Q1754))*IF(Inputs!$B$39="pvp",1,1+(Inputs!$B$20+0+Skills!P6+B1782)/100),0)</f>
        <v/>
      </c>
      <c r="V1754">
        <f>IF(C1754,(H1754*N1754*IF(AND(Inputs!$B$39&lt;&gt;"pvp",Inputs!$B$44&gt;0),((Skills!G6*((R1754-1)*IF(Skills!H6&gt;0,Skills!I6/Skills!H6,1)+IF(Skills!H6&gt;0,MIN(Skills!I6,MAX(0,MAX(0,Inputs!$B$44-B1792)-((R1754-1)*IF(Inputs!$B$39="pvp",15,MAX(0.1,Skills!D6-IF(Skills!E6=TRUE,4.0,0))))))/Skills!H6,1)))/Inputs!$B$44),G1754*Q1754))*IF(Inputs!$B$39="pvp",1,(1+(Inputs!$B$21+Skills!Q6+B1782)/100)*(MIN(Skills!W6,Inputs!$B$37))),0)</f>
        <v/>
      </c>
    </row>
    <row r="1755">
      <c r="A1755">
        <f>Skills!A7</f>
        <v/>
      </c>
      <c r="B1755">
        <f>Skills!B7</f>
        <v/>
      </c>
      <c r="C1755">
        <f>Inputs!$B$3&gt;=60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t="inlineStr"/>
      <c r="K1755" t="inlineStr"/>
      <c r="L1755" t="inlineStr"/>
      <c r="M1755" t="inlineStr"/>
      <c r="N1755" t="inlineStr"/>
      <c r="O1755">
        <f>(1-Summary!$B$55)*T1755+Summary!$B$55*V1755</f>
        <v/>
      </c>
      <c r="P1755">
        <f>IF(B1793=0,0,O1755/B1793)</f>
        <v/>
      </c>
      <c r="Q1755" t="n">
        <v>0</v>
      </c>
      <c r="R1755" t="n">
        <v>0</v>
      </c>
      <c r="S1755">
        <f>IFERROR(O1755/N1755,0)</f>
        <v/>
      </c>
      <c r="T1755" t="n">
        <v>0</v>
      </c>
      <c r="V1755" t="n">
        <v>0</v>
      </c>
    </row>
    <row r="1756">
      <c r="A1756">
        <f>Skills!A8</f>
        <v/>
      </c>
      <c r="B1756">
        <f>Skills!B8</f>
        <v/>
      </c>
      <c r="C1756">
        <f>Inputs!$B$3&gt;=72</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$43*(1-Inputs!$B$19/100)))*(1+(Inputs!$B$24+((C1778=TRUE)*(F1778-Calc!F30)))/100)*(1+3.3333333333333335*IF(C1766=TRUE,F1766,0)/100)*(1+(IF(Skills!A8="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1756)</f>
        <v/>
      </c>
      <c r="L1756">
        <f>K1756*(MIN(Inputs!$B$22+((C1772=TRUE)*(F1772-Calc!F24)),Inputs!$B$23+((C1777=TRUE)*(F1777-Calc!F29)))/100+(Inputs!$B$23+((C1777=TRUE)*(F1777-Calc!F29)))/100)/2</f>
        <v/>
      </c>
      <c r="M1756">
        <f>L1756*(1+(Inputs!$B$10+((C1774=TRUE)*(F1774-Calc!F26))+B1788)/100)</f>
        <v/>
      </c>
      <c r="N1756">
        <f>L1756*(1-MIN((Inputs!$B$9+((C1773=TRUE)*(F1773-Calc!F25))+B1781),100)/100)+M1756*(MIN((Inputs!$B$9+((C1773=TRUE)*(F1773-Calc!F25))+B1781),100)/100)</f>
        <v/>
      </c>
      <c r="O1756">
        <f>(1-Summary!$B$55)*T1756+Summary!$B$55*V1756</f>
        <v/>
      </c>
      <c r="P1756">
        <f>IF(B1793=0,0,O1756/B1793)</f>
        <v/>
      </c>
      <c r="Q1756">
        <f>IFERROR(1/IF(Inputs!$B$39="pvp",15,MAX(0.1,Skills!D8-IF(Skills!E8=TRUE,4.0,0))),0)</f>
        <v/>
      </c>
      <c r="R1756">
        <f>IF(AND(Inputs!$B$39&lt;&gt;"pvp",Inputs!$B$44&gt;0),IF(MAX(0,Inputs!$B$44-B1792)&lt;=0,0,(INT(MAX(0,Inputs!$B$44-B1792)/IF(Inputs!$B$39="pvp",15,MAX(0.1,Skills!D8-IF(Skills!E8=TRUE,4.0,0))))+1)),0)</f>
        <v/>
      </c>
      <c r="S1756">
        <f>IFERROR(O1756/N1756,0)</f>
        <v/>
      </c>
      <c r="T1756">
        <f>IF(C1756,(H1756*N1756*IF(AND(Inputs!$B$39&lt;&gt;"pvp",Inputs!$B$44&gt;0),((Skills!G8*((R1756-1)*IF(Skills!H8&gt;0,Skills!I8/Skills!H8,1)+IF(Skills!H8&gt;0,MIN(Skills!I8,MAX(0,MAX(0,Inputs!$B$44-B1792)-((R1756-1)*IF(Inputs!$B$39="pvp",15,MAX(0.1,Skills!D8-IF(Skills!E8=TRUE,4.0,0))))))/Skills!H8,1)))/Inputs!$B$44),G1756*Q1756))*IF(Inputs!$B$39="pvp",1,1+(Inputs!$B$20+0+Skills!P8+B1782)/100),0)</f>
        <v/>
      </c>
      <c r="V1756">
        <f>IF(C1756,(H1756*N1756*IF(AND(Inputs!$B$39&lt;&gt;"pvp",Inputs!$B$44&gt;0),((Skills!G8*((R1756-1)*IF(Skills!H8&gt;0,Skills!I8/Skills!H8,1)+IF(Skills!H8&gt;0,MIN(Skills!I8,MAX(0,MAX(0,Inputs!$B$44-B1792)-((R1756-1)*IF(Inputs!$B$39="pvp",15,MAX(0.1,Skills!D8-IF(Skills!E8=TRUE,4.0,0))))))/Skills!H8,1)))/Inputs!$B$44),G1756*Q1756))*IF(Inputs!$B$39="pvp",1,(1+(Inputs!$B$21+Skills!Q8+B1782)/100)*(MIN(Skills!W8,Inputs!$B$37))),0)</f>
        <v/>
      </c>
    </row>
    <row r="1757">
      <c r="A1757">
        <f>Skills!A9</f>
        <v/>
      </c>
      <c r="B1757">
        <f>Skills!B9</f>
        <v/>
      </c>
      <c r="C1757">
        <f>Inputs!$B$3&gt;=117</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$43*(1-Inputs!$B$19/100)))*(1+(Inputs!$B$24+((C1778=TRUE)*(F1778-Calc!F30)))/100)*(1+(IF(Skills!A9="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1757)</f>
        <v/>
      </c>
      <c r="L1757">
        <f>K1757*(MIN(Inputs!$B$22+((C1772=TRUE)*(F1772-Calc!F24)),Inputs!$B$23+((C1777=TRUE)*(F1777-Calc!F29)))/100+(Inputs!$B$23+((C1777=TRUE)*(F1777-Calc!F29)))/100)/2</f>
        <v/>
      </c>
      <c r="M1757">
        <f>L1757*(1+(Inputs!$B$10+((C1774=TRUE)*(F1774-Calc!F26))+B1788)/100)</f>
        <v/>
      </c>
      <c r="N1757">
        <f>L1757*(1-MIN((Inputs!$B$9+((C1773=TRUE)*(F1773-Calc!F25))+B1781),100)/100)+M1757*(MIN((Inputs!$B$9+((C1773=TRUE)*(F1773-Calc!F25))+B1781),100)/100)</f>
        <v/>
      </c>
      <c r="O1757">
        <f>(1-Summary!$B$55)*T1757+Summary!$B$55*V1757</f>
        <v/>
      </c>
      <c r="P1757">
        <f>IF(B1793=0,0,O1757/B1793)</f>
        <v/>
      </c>
      <c r="Q1757" t="n">
        <v>0</v>
      </c>
      <c r="R1757" t="n">
        <v>0</v>
      </c>
      <c r="S1757" t="n">
        <v>0</v>
      </c>
      <c r="T1757">
        <f>IF(C1757,(0.2*SUMPRODUCT((Skills!Z2:Z30=TRUE)*(C1750:C1778=TRUE)*S1750:S1778)*N1757)*IF(Inputs!$B$39="pvp",1,1+(Inputs!$B$20+0+Skills!P9+B1782)/100),0)</f>
        <v/>
      </c>
      <c r="V1757">
        <f>IF(C1757,(0.2*SUMPRODUCT((Skills!Z2:Z30=TRUE)*(C1750:C1778=TRUE)*S1750:S1778)*N1757)*IF(Inputs!$B$39="pvp",1,(1+(Inputs!$B$21+Skills!Q9+B1782)/100)*(MIN(Skills!W9,Inputs!$B$37))),0)</f>
        <v/>
      </c>
    </row>
    <row r="1758">
      <c r="A1758">
        <f>Skills!A10</f>
        <v/>
      </c>
      <c r="B1758">
        <f>Skills!B10</f>
        <v/>
      </c>
      <c r="C1758">
        <f>Inputs!$B$3&gt;=74</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t="inlineStr"/>
      <c r="K1758" t="inlineStr"/>
      <c r="L1758" t="inlineStr"/>
      <c r="M1758" t="inlineStr"/>
      <c r="N1758" t="inlineStr"/>
      <c r="O1758">
        <f>(1-Summary!$B$55)*T1758+Summary!$B$55*V1758</f>
        <v/>
      </c>
      <c r="P1758">
        <f>IF(B1793=0,0,O1758/B1793)</f>
        <v/>
      </c>
      <c r="Q1758">
        <f>IFERROR(1/IF(Inputs!$B$39="pvp",15,MAX(0.1,Skills!D10-IF(Skills!E10=TRUE,4.0,0))),0)</f>
        <v/>
      </c>
      <c r="R1758">
        <f>IF(AND(Inputs!$B$39&lt;&gt;"pvp",Inputs!$B$44&gt;0),IF(Inputs!$B$44&lt;=0,0,(INT(Inputs!$B$44/IF(Inputs!$B$39="pvp",15,MAX(0.1,Skills!D10-IF(Skills!E10=TRUE,4.0,0))))+1)),0)</f>
        <v/>
      </c>
      <c r="S1758">
        <f>IFERROR(O1758/N1758,0)</f>
        <v/>
      </c>
      <c r="T1758" t="n">
        <v>0</v>
      </c>
      <c r="V1758" t="n">
        <v>0</v>
      </c>
    </row>
    <row r="1759">
      <c r="A1759">
        <f>Skills!A11</f>
        <v/>
      </c>
      <c r="B1759">
        <f>Skills!B11</f>
        <v/>
      </c>
      <c r="C1759">
        <f>Inputs!$B$3&gt;=103</f>
        <v/>
      </c>
      <c r="D1759">
        <f>IF(Skills!C11=1,60+Inputs!$B$25+Inputs!$B$29,IF(Skills!C11=2,90+Inputs!$B$26+Inputs!$B$29,IF(Skills!C11=3,120+Inputs!$B$27+Inputs!$B$29,MAX(0,(Inputs!$B$3-100)*3)+Inputs!$B$28+Inputs!$B$29)))</f>
        <v/>
      </c>
      <c r="E1759">
        <f>INDEX(FactorTable!$B$2:$Y$301, MATCH(ROUND(MIN(300,MAX(1,D1759)),0), FactorTable!$A$2:$A$301,0), Skills!M11+1)</f>
        <v/>
      </c>
      <c r="F1759">
        <f>(Skills!L11/10)*(E1759/1000)+IF(Inputs!$B$3&gt;=134,50,0)+0.5*(30000/10)*(INDEX(FactorTable!$B$2:$Y$301, MATCH(ROUND(MIN(300,MAX(1,D1759)),0), FactorTable!$A$2:$A$301,0), 13)/1000)*B1791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$43*(1-Inputs!$B$19/100)))*(1+(Inputs!$B$24+((C1778=TRUE)*(F1778-Calc!F30)))/100)*(1+(IF(Skills!A11="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1759)</f>
        <v/>
      </c>
      <c r="L1759">
        <f>K1759*(MIN(Inputs!$B$22+((C1772=TRUE)*(F1772-Calc!F24)),Inputs!$B$23+((C1777=TRUE)*(F1777-Calc!F29)))/100+(Inputs!$B$23+((C1777=TRUE)*(F1777-Calc!F29)))/100)/2</f>
        <v/>
      </c>
      <c r="M1759">
        <f>L1759*(1+(Inputs!$B$10+((C1774=TRUE)*(F1774-Calc!F26))+B1788)/100)</f>
        <v/>
      </c>
      <c r="N1759">
        <f>L1759*(1-MIN((Inputs!$B$9+((C1773=TRUE)*(F1773-Calc!F25))+B1781),100)/100)+M1759*(MIN((Inputs!$B$9+((C1773=TRUE)*(F1773-Calc!F25))+B1781),100)/100)</f>
        <v/>
      </c>
      <c r="O1759">
        <f>(1-Summary!$B$55)*T1759+Summary!$B$55*V1759</f>
        <v/>
      </c>
      <c r="P1759">
        <f>IF(B1793=0,0,O1759/B1793)</f>
        <v/>
      </c>
      <c r="Q1759">
        <f>IFERROR(1/IF(Inputs!$B$39="pvp",15,MAX(0.1,Skills!D11-IF(Skills!E11=TRUE,4.0,0))),0)</f>
        <v/>
      </c>
      <c r="R1759">
        <f>IF(AND(Inputs!$B$39&lt;&gt;"pvp",Inputs!$B$44&gt;0),IF(MAX(0,Inputs!$B$44-B1792)&lt;=0,0,(INT(MAX(0,Inputs!$B$44-B1792)/IF(Inputs!$B$39="pvp",15,MAX(0.1,Skills!D11-IF(Skills!E11=TRUE,4.0,0))))+1)),0)</f>
        <v/>
      </c>
      <c r="S1759">
        <f>IFERROR(O1759/N1759,0)</f>
        <v/>
      </c>
      <c r="T1759">
        <f>IF(C1759,(H1759*N1759*IF(AND(Inputs!$B$39&lt;&gt;"pvp",Inputs!$B$44&gt;0),((Skills!G11*((R1759-1)*IF(Skills!H11&gt;0,Skills!I11/Skills!H11,1)+IF(Skills!H11&gt;0,MIN(Skills!I11,MAX(0,MAX(0,Inputs!$B$44-B1792)-((R1759-1)*IF(Inputs!$B$39="pvp",15,MAX(0.1,Skills!D11-IF(Skills!E11=TRUE,4.0,0))))))/Skills!H11,1)))/Inputs!$B$44),G1759*Q1759))*IF(Inputs!$B$39="pvp",1,1+(Inputs!$B$20+0+Skills!P11+B1782)/100),0)</f>
        <v/>
      </c>
      <c r="V1759">
        <f>IF(C1759,(H1759*N1759*IF(AND(Inputs!$B$39&lt;&gt;"pvp",Inputs!$B$44&gt;0),((Skills!G11*((R1759-1)*IF(Skills!H11&gt;0,Skills!I11/Skills!H11,1)+IF(Skills!H11&gt;0,MIN(Skills!I11,MAX(0,MAX(0,Inputs!$B$44-B1792)-((R1759-1)*IF(Inputs!$B$39="pvp",15,MAX(0.1,Skills!D11-IF(Skills!E11=TRUE,4.0,0))))))/Skills!H11,1)))/Inputs!$B$44),G1759*Q1759))*IF(Inputs!$B$39="pvp",1,(1+(Inputs!$B$21+Skills!Q11+B1782)/100)*(MIN(Skills!W11,Inputs!$B$37))),0)</f>
        <v/>
      </c>
    </row>
    <row r="1760">
      <c r="A1760">
        <f>Skills!A12</f>
        <v/>
      </c>
      <c r="B1760">
        <f>Skills!B12</f>
        <v/>
      </c>
      <c r="C1760">
        <f>Inputs!$B$3&gt;=105</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f>Skills!G12*IF(Skills!H12&gt;0,Skills!I12/Skills!H12,1)</f>
        <v/>
      </c>
      <c r="H1760">
        <f>1-(1-Skills!J12/100)^Skills!K12</f>
        <v/>
      </c>
      <c r="I1760" t="inlineStr">
        <is>
          <t>1</t>
        </is>
      </c>
      <c r="J1760">
        <f>((Inputs!$B$6*(1+Inputs!$B$7/100))+(((Inputs!$B$12*(1+Inputs!$B$13/100))-(Inputs!$B$12*(1+Inputs!$B$13/100)))+0.25*(Inputs!$B$14-Inputs!$B$14))*(1+Inputs!$B$7/100))*(F1760/100)</f>
        <v/>
      </c>
      <c r="K1760">
        <f>J1760*(1+((Inputs!$B$12*(1+Inputs!$B$13/100))*0.01+Inputs!$B$14*0.0025)/100)*(1+Inputs!$B$15/100)*(1+Inputs!$B$16/100)*(5000/(6000+Inputs!$B$43*(1-Inputs!$B$19/100)))*(1+(Inputs!$B$24+((C1778=TRUE)*(F1778-Calc!F30)))/100)*(1+(IF(Skills!A12="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1760)</f>
        <v/>
      </c>
      <c r="L1760">
        <f>K1760*(MIN(Inputs!$B$22+((C1772=TRUE)*(F1772-Calc!F24)),Inputs!$B$23+((C1777=TRUE)*(F1777-Calc!F29)))/100+(Inputs!$B$23+((C1777=TRUE)*(F1777-Calc!F29)))/100)/2</f>
        <v/>
      </c>
      <c r="M1760">
        <f>L1760*(1+(Inputs!$B$10+((C1774=TRUE)*(F1774-Calc!F26))+B1788)/100)</f>
        <v/>
      </c>
      <c r="N1760">
        <f>L1760*(1-MIN((Inputs!$B$9+((C1773=TRUE)*(F1773-Calc!F25))+B1781),100)/100)+M1760*(MIN((Inputs!$B$9+((C1773=TRUE)*(F1773-Calc!F25))+B1781),100)/100)</f>
        <v/>
      </c>
      <c r="O1760">
        <f>(1-Summary!$B$55)*T1760+Summary!$B$55*V1760</f>
        <v/>
      </c>
      <c r="P1760">
        <f>IF(B1793=0,0,O1760/B1793)</f>
        <v/>
      </c>
      <c r="Q1760">
        <f>IFERROR(1/IF(Inputs!$B$39="pvp",15,MAX(0.1,Skills!D12-IF(Skills!E12=TRUE,4.0,0))),0)</f>
        <v/>
      </c>
      <c r="R1760">
        <f>IF(AND(Inputs!$B$39&lt;&gt;"pvp",Inputs!$B$44&gt;0),IF(MAX(0,Inputs!$B$44-B1792)&lt;=0,0,(INT(MAX(0,Inputs!$B$44-B1792)/IF(Inputs!$B$39="pvp",15,MAX(0.1,Skills!D12-IF(Skills!E12=TRUE,4.0,0))))+1)),0)</f>
        <v/>
      </c>
      <c r="S1760">
        <f>IFERROR(O1760/N1760,0)</f>
        <v/>
      </c>
      <c r="T1760">
        <f>IF(C1760,(H1760*N1760*IF(AND(Inputs!$B$39&lt;&gt;"pvp",Inputs!$B$44&gt;0),((Skills!G12*((R1760-1)*IF(Skills!H12&gt;0,Skills!I12/Skills!H12,1)+IF(Skills!H12&gt;0,MIN(Skills!I12,MAX(0,MAX(0,Inputs!$B$44-B1792)-((R1760-1)*IF(Inputs!$B$39="pvp",15,MAX(0.1,Skills!D12-IF(Skills!E12=TRUE,4.0,0))))))/Skills!H12,1)))/Inputs!$B$44),G1760*Q1760))*IF(Inputs!$B$39="pvp",1,1+(Inputs!$B$20+0+Skills!P12+B1782)/100),0)</f>
        <v/>
      </c>
      <c r="V1760">
        <f>IF(C1760,(H1760*N1760*IF(AND(Inputs!$B$39&lt;&gt;"pvp",Inputs!$B$44&gt;0),((Skills!G12*((R1760-1)*IF(Skills!H12&gt;0,Skills!I12/Skills!H12,1)+IF(Skills!H12&gt;0,MIN(Skills!I12,MAX(0,MAX(0,Inputs!$B$44-B1792)-((R1760-1)*IF(Inputs!$B$39="pvp",15,MAX(0.1,Skills!D12-IF(Skills!E12=TRUE,4.0,0))))))/Skills!H12,1)))/Inputs!$B$44),G1760*Q1760))*IF(Inputs!$B$39="pvp",1,(1+(Inputs!$B$21+Skills!Q12+B1782)/100)*(MIN(Skills!W12,Inputs!$B$37))),0)</f>
        <v/>
      </c>
    </row>
    <row r="1761">
      <c r="A1761">
        <f>Skills!A13</f>
        <v/>
      </c>
      <c r="B1761">
        <f>Skills!B13</f>
        <v/>
      </c>
      <c r="C1761">
        <f>Inputs!$B$3&gt;=105</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f>((Inputs!$B$6*(1+Inputs!$B$7/100))+(((Inputs!$B$12*(1+Inputs!$B$13/100))-(Inputs!$B$12*(1+Inputs!$B$13/100)))+0.25*(Inputs!$B$14-Inputs!$B$14))*(1+Inputs!$B$7/100))*(F1761/100)</f>
        <v/>
      </c>
      <c r="K1761">
        <f>J1761*(1+((Inputs!$B$12*(1+Inputs!$B$13/100))*0.01+Inputs!$B$14*0.0025)/100)*(1+Inputs!$B$15/100)*(1+Inputs!$B$16/100)*(5000/(6000+Inputs!$B$43*(1-Inputs!$B$19/100)))*(1+(Inputs!$B$24+((C1778=TRUE)*(F1778-Calc!F30)))/100)*(1+(IF(Skills!A13="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1761)</f>
        <v/>
      </c>
      <c r="L1761">
        <f>K1761*(MIN(Inputs!$B$22+((C1772=TRUE)*(F1772-Calc!F24)),Inputs!$B$23+((C1777=TRUE)*(F1777-Calc!F29)))/100+(Inputs!$B$23+((C1777=TRUE)*(F1777-Calc!F29)))/100)/2</f>
        <v/>
      </c>
      <c r="M1761">
        <f>L1761*(1+(Inputs!$B$10+((C1774=TRUE)*(F1774-Calc!F26))+B1788)/100)</f>
        <v/>
      </c>
      <c r="N1761">
        <f>L1761*(1-MIN((Inputs!$B$9+((C1773=TRUE)*(F1773-Calc!F25))+B1781),100)/100)+M1761*(MIN((Inputs!$B$9+((C1773=TRUE)*(F1773-Calc!F25))+B1781),100)/100)</f>
        <v/>
      </c>
      <c r="O1761">
        <f>(1-Summary!$B$55)*T1761+Summary!$B$55*V1761</f>
        <v/>
      </c>
      <c r="P1761">
        <f>IF(B1793=0,0,O1761/B1793)</f>
        <v/>
      </c>
      <c r="Q1761">
        <f>IFERROR(1/IF(Inputs!$B$39="pvp",15,MAX(0.1,Skills!D13-IF(Skills!E13=TRUE,4.0,0))),0)</f>
        <v/>
      </c>
      <c r="R1761">
        <f>IF(AND(Inputs!$B$39&lt;&gt;"pvp",Inputs!$B$44&gt;0),IF(MAX(0,Inputs!$B$44-B1792)&lt;=0,0,(INT(MAX(0,Inputs!$B$44-B1792)/IF(Inputs!$B$39="pvp",15,MAX(0.1,Skills!D13-IF(Skills!E13=TRUE,4.0,0))))+1)),0)</f>
        <v/>
      </c>
      <c r="S1761">
        <f>IFERROR(O1761/N1761,0)</f>
        <v/>
      </c>
      <c r="T1761">
        <f>IF(C1761,(H1761*N1761*IF(AND(Inputs!$B$39&lt;&gt;"pvp",Inputs!$B$44&gt;0),((Skills!G13*((R1761-1)*IF(Skills!H13&gt;0,Skills!I13/Skills!H13,1)+IF(Skills!H13&gt;0,MIN(Skills!I13,MAX(0,MAX(0,Inputs!$B$44-B1792)-((R1761-1)*IF(Inputs!$B$39="pvp",15,MAX(0.1,Skills!D13-IF(Skills!E13=TRUE,4.0,0))))))/Skills!H13,1)))/Inputs!$B$44),G1761*Q1761))*IF(Inputs!$B$39="pvp",1,1+(Inputs!$B$20+0+Skills!P13+B1782)/100),0)</f>
        <v/>
      </c>
      <c r="V1761">
        <f>IF(C1761,(H1761*N1761*IF(AND(Inputs!$B$39&lt;&gt;"pvp",Inputs!$B$44&gt;0),((Skills!G13*((R1761-1)*IF(Skills!H13&gt;0,Skills!I13/Skills!H13,1)+IF(Skills!H13&gt;0,MIN(Skills!I13,MAX(0,MAX(0,Inputs!$B$44-B1792)-((R1761-1)*IF(Inputs!$B$39="pvp",15,MAX(0.1,Skills!D13-IF(Skills!E13=TRUE,4.0,0))))))/Skills!H13,1)))/Inputs!$B$44),G1761*Q1761))*IF(Inputs!$B$39="pvp",1,(1+(Inputs!$B$21+Skills!Q13+B1782)/100)*(MIN(Skills!W13,Inputs!$B$37))),0)</f>
        <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f>((Inputs!$B$6*(1+Inputs!$B$7/100))+(((Inputs!$B$12*(1+Inputs!$B$13/100))-(Inputs!$B$12*(1+Inputs!$B$13/100)))+0.25*(Inputs!$B$14-Inputs!$B$14))*(1+Inputs!$B$7/100))*(F1762/100)</f>
        <v/>
      </c>
      <c r="K1762">
        <f>J1762*(1+((Inputs!$B$12*(1+Inputs!$B$13/100))*0.01+Inputs!$B$14*0.0025)/100)*(1+Inputs!$B$15/100)*(1+Inputs!$B$16/100)*(5000/(6000+Inputs!$B$43*(1-Inputs!$B$19/100)))*(1+(Inputs!$B$24+((C1778=TRUE)*(F1778-Calc!F30)))/100)*(1+(IF(Skills!A14="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1762)</f>
        <v/>
      </c>
      <c r="L1762">
        <f>K1762*(MIN(Inputs!$B$22+((C1772=TRUE)*(F1772-Calc!F24)),Inputs!$B$23+((C1777=TRUE)*(F1777-Calc!F29)))/100+(Inputs!$B$23+((C1777=TRUE)*(F1777-Calc!F29)))/100)/2</f>
        <v/>
      </c>
      <c r="M1762">
        <f>L1762*(1+(Inputs!$B$10+((C1774=TRUE)*(F1774-Calc!F26))+B1788)/100)</f>
        <v/>
      </c>
      <c r="N1762">
        <f>L1762*(1-MIN((Inputs!$B$9+((C1773=TRUE)*(F1773-Calc!F25))+B1781),100)/100)+M1762*(MIN((Inputs!$B$9+((C1773=TRUE)*(F1773-Calc!F25))+B1781),100)/100)</f>
        <v/>
      </c>
      <c r="O1762">
        <f>(1-Summary!$B$55)*T1762+Summary!$B$55*V1762</f>
        <v/>
      </c>
      <c r="P1762">
        <f>IF(B1793=0,0,O1762/B1793)</f>
        <v/>
      </c>
      <c r="Q1762">
        <f>IFERROR(1/IF(Inputs!$B$39="pvp",15,MAX(0.1,Skills!D14-IF(Skills!E14=TRUE,4.0,0))),0)</f>
        <v/>
      </c>
      <c r="R1762">
        <f>IF(AND(Inputs!$B$39&lt;&gt;"pvp",Inputs!$B$44&gt;0),IF(MAX(0,Inputs!$B$44-B1792)&lt;=0,0,(INT(MAX(0,Inputs!$B$44-B1792)/IF(Inputs!$B$39="pvp",15,MAX(0.1,Skills!D14-IF(Skills!E14=TRUE,4.0,0))))+1)),0)</f>
        <v/>
      </c>
      <c r="S1762">
        <f>IFERROR(O1762/N1762,0)</f>
        <v/>
      </c>
      <c r="T1762">
        <f>IF(C1762,(H1762*N1762*IF(AND(Inputs!$B$39&lt;&gt;"pvp",Inputs!$B$44&gt;0),((Skills!G14*((R1762-1)*IF(Skills!H14&gt;0,Skills!I14/Skills!H14,1)+IF(Skills!H14&gt;0,MIN(Skills!I14,MAX(0,MAX(0,Inputs!$B$44-B1792)-((R1762-1)*IF(Inputs!$B$39="pvp",15,MAX(0.1,Skills!D14-IF(Skills!E14=TRUE,4.0,0))))))/Skills!H14,1)))/Inputs!$B$44),G1762*Q1762))*IF(Inputs!$B$39="pvp",1,1+(Inputs!$B$20+0+Skills!P14+B1782)/100),0)</f>
        <v/>
      </c>
      <c r="V1762">
        <f>IF(C1762,(H1762*N1762*IF(AND(Inputs!$B$39&lt;&gt;"pvp",Inputs!$B$44&gt;0),((Skills!G14*((R1762-1)*IF(Skills!H14&gt;0,Skills!I14/Skills!H14,1)+IF(Skills!H14&gt;0,MIN(Skills!I14,MAX(0,MAX(0,Inputs!$B$44-B1792)-((R1762-1)*IF(Inputs!$B$39="pvp",15,MAX(0.1,Skills!D14-IF(Skills!E14=TRUE,4.0,0))))))/Skills!H14,1)))/Inputs!$B$44),G1762*Q1762))*IF(Inputs!$B$39="pvp",1,(1+(Inputs!$B$21+Skills!Q14+B1782)/100)*(MIN(MIN(5,0.25*B1785*Skills!D4)*Skills!V14,Inputs!$B$37))),0)</f>
        <v/>
      </c>
    </row>
    <row r="1763">
      <c r="A1763">
        <f>Skills!A15</f>
        <v/>
      </c>
      <c r="B1763">
        <f>Skills!B15</f>
        <v/>
      </c>
      <c r="C1763">
        <f>Inputs!$B$3&gt;=110</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(1-Summary!$B$55)*T1763+Summary!$B$55*V1763</f>
        <v/>
      </c>
      <c r="P1763">
        <f>IF(B1793=0,0,O1763/B1793)</f>
        <v/>
      </c>
      <c r="Q1763">
        <f>IFERROR(1/IF(Inputs!$B$39="pvp",15,MAX(0.1,Skills!D15-IF(Skills!E15=TRUE,4.0,0))),0)</f>
        <v/>
      </c>
      <c r="R1763">
        <f>IF(AND(Inputs!$B$39&lt;&gt;"pvp",Inputs!$B$44&gt;0),IF(Inputs!$B$44&lt;=0,0,(INT(Inputs!$B$44/IF(Inputs!$B$39="pvp",15,MAX(0.1,Skills!D15-IF(Skills!E15=TRUE,4.0,0))))+1)),0)</f>
        <v/>
      </c>
      <c r="S1763">
        <f>IFERROR(O1763/N1763,0)</f>
        <v/>
      </c>
      <c r="T1763" t="n">
        <v>0</v>
      </c>
      <c r="V1763" t="n">
        <v>0</v>
      </c>
    </row>
    <row r="1764">
      <c r="A1764">
        <f>Skills!A16</f>
        <v/>
      </c>
      <c r="B1764">
        <f>Skills!B16</f>
        <v/>
      </c>
      <c r="C1764">
        <f>Inputs!$B$3&gt;=115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f>((Inputs!$B$6*(1+Inputs!$B$7/100))+(((Inputs!$B$12*(1+Inputs!$B$13/100))-(Inputs!$B$12*(1+Inputs!$B$13/100)))+0.25*(Inputs!$B$14-Inputs!$B$14))*(1+Inputs!$B$7/100))*(F1764/100)</f>
        <v/>
      </c>
      <c r="K1764">
        <f>J1764*(1+((Inputs!$B$12*(1+Inputs!$B$13/100))*0.01+Inputs!$B$14*0.0025)/100)*(1+Inputs!$B$15/100)*(1+Inputs!$B$16/100)*(5000/(6000+Inputs!$B$43*(1-Inputs!$B$19/100)))*(1+(Inputs!$B$24+((C1778=TRUE)*(F1778-Calc!F30)))/100)*(1+(IF(Skills!A16="CRUEL_STAB",Inputs!$B$17+((C1775=TRUE)*(F1775-Calc!F27)),Inputs!$B$18+((C1776=TRUE)*(F1776-Calc!F28))))/100)*(((1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B1783*I1764)</f>
        <v/>
      </c>
      <c r="L1764">
        <f>K1764*(MIN(Inputs!$B$22+((C1772=TRUE)*(F1772-Calc!F24)),Inputs!$B$23+((C1777=TRUE)*(F1777-Calc!F29)))/100+(Inputs!$B$23+((C1777=TRUE)*(F1777-Calc!F29)))/100)/2</f>
        <v/>
      </c>
      <c r="M1764">
        <f>L1764*(1+(Inputs!$B$10+((C1774=TRUE)*(F1774-Calc!F26))+B1788)/100)</f>
        <v/>
      </c>
      <c r="N1764">
        <f>L1764*(1-MIN((Inputs!$B$9+((C1773=TRUE)*(F1773-Calc!F25))+B1781),100)/100)+M1764*(MIN((Inputs!$B$9+((C1773=TRUE)*(F1773-Calc!F25))+B1781),100)/100)</f>
        <v/>
      </c>
      <c r="O1764">
        <f>(1-Summary!$B$55)*T1764+Summary!$B$55*V1764</f>
        <v/>
      </c>
      <c r="P1764">
        <f>IF(B1793=0,0,O1764/B1793)</f>
        <v/>
      </c>
      <c r="Q1764" t="n">
        <v>0</v>
      </c>
      <c r="R1764" t="n">
        <v>0</v>
      </c>
      <c r="S1764">
        <f>IFERROR(O1764/N1764,0)</f>
        <v/>
      </c>
      <c r="T1764">
        <f>IF(C1764,(Inputs!$B$38*0.2*N1764)*IF(Inputs!$B$39="pvp",1,1+(Inputs!$B$20+0+Skills!P16+B1782)/100),0)</f>
        <v/>
      </c>
      <c r="V1764">
        <f>IF(C1764,(Inputs!$B$38*0.2*N1764)*IF(Inputs!$B$39="pvp",1,(1+(Inputs!$B$21+Skills!Q16+B1782)/100)*(MIN(Skills!W16,Inputs!$B$37))),0)</f>
        <v/>
      </c>
    </row>
    <row r="1765">
      <c r="A1765">
        <f>Skills!A17</f>
        <v/>
      </c>
      <c r="B1765">
        <f>Skills!B17</f>
        <v/>
      </c>
      <c r="C1765">
        <f>Inputs!$B$3&gt;=115</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(1-Summary!$B$55)*T1765+Summary!$B$55*V1765</f>
        <v/>
      </c>
      <c r="P1765">
        <f>IF(B1793=0,0,O1765/B1793)</f>
        <v/>
      </c>
      <c r="Q1765" t="n">
        <v>0</v>
      </c>
      <c r="R1765" t="n">
        <v>0</v>
      </c>
      <c r="S1765">
        <f>IFERROR(O1765/N1765,0)</f>
        <v/>
      </c>
      <c r="T1765" t="n">
        <v>0</v>
      </c>
      <c r="V1765" t="n">
        <v>0</v>
      </c>
    </row>
    <row r="1766">
      <c r="A1766">
        <f>Skills!A18</f>
        <v/>
      </c>
      <c r="B1766">
        <f>Skills!B18</f>
        <v/>
      </c>
      <c r="C1766">
        <f>Inputs!$B$3&gt;=100</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(1-Summary!$B$55)*T1766+Summary!$B$55*V1766</f>
        <v/>
      </c>
      <c r="P1766">
        <f>IF(B1793=0,0,O1766/B1793)</f>
        <v/>
      </c>
      <c r="Q1766" t="n">
        <v>0</v>
      </c>
      <c r="R1766" t="n">
        <v>0</v>
      </c>
      <c r="S1766">
        <f>IFERROR(O1766/N1766,0)</f>
        <v/>
      </c>
      <c r="T1766" t="n">
        <v>0</v>
      </c>
      <c r="V1766" t="n">
        <v>0</v>
      </c>
    </row>
    <row r="1767">
      <c r="A1767">
        <f>Skills!A19</f>
        <v/>
      </c>
      <c r="B1767">
        <f>Skills!B19</f>
        <v/>
      </c>
      <c r="C1767">
        <f>TRUE</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(1-Summary!$B$55)*T1767+Summary!$B$55*V1767</f>
        <v/>
      </c>
      <c r="P1767">
        <f>IF(B1793=0,0,O1767/B1793)</f>
        <v/>
      </c>
      <c r="Q1767">
        <f>IFERROR(1/IF(Inputs!$B$39="pvp",15,MAX(0.1,Skills!D19-IF(Skills!E19=TRUE,4.0,0))),0)</f>
        <v/>
      </c>
      <c r="R1767">
        <f>IF(AND(Inputs!$B$39&lt;&gt;"pvp",Inputs!$B$44&gt;0),IF(Inputs!$B$44&lt;=0,0,(INT(Inputs!$B$44/IF(Inputs!$B$39="pvp",15,MAX(0.1,Skills!D19-IF(Skills!E19=TRUE,4.0,0))))+1)),0)</f>
        <v/>
      </c>
      <c r="S1767">
        <f>IFERROR(O1767/N1767,0)</f>
        <v/>
      </c>
      <c r="T1767" t="n">
        <v>0</v>
      </c>
      <c r="V1767" t="n">
        <v>0</v>
      </c>
    </row>
    <row r="1768">
      <c r="A1768">
        <f>Skills!A20</f>
        <v/>
      </c>
      <c r="B1768">
        <f>Skills!B20</f>
        <v/>
      </c>
      <c r="C1768">
        <f>Inputs!$B$3&gt;=15</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(1-Summary!$B$55)*T1768+Summary!$B$55*V1768</f>
        <v/>
      </c>
      <c r="P1768">
        <f>IF(B1793=0,0,O1768/B1793)</f>
        <v/>
      </c>
      <c r="Q1768">
        <f>IFERROR(1/IF(Inputs!$B$39="pvp",15,MAX(0.1,Skills!D20-IF(Skills!E20=TRUE,4.0,0))),0)</f>
        <v/>
      </c>
      <c r="R1768">
        <f>IF(AND(Inputs!$B$39&lt;&gt;"pvp",Inputs!$B$44&gt;0),IF(Inputs!$B$44&lt;=0,0,(INT(Inputs!$B$44/IF(Inputs!$B$39="pvp",15,MAX(0.1,Skills!D20-IF(Skills!E20=TRUE,4.0,0))))+1)),0)</f>
        <v/>
      </c>
      <c r="S1768">
        <f>IFERROR(O1768/N1768,0)</f>
        <v/>
      </c>
      <c r="T1768" t="n">
        <v>0</v>
      </c>
      <c r="V1768" t="n">
        <v>0</v>
      </c>
    </row>
    <row r="1769">
      <c r="A1769">
        <f>Skills!A21</f>
        <v/>
      </c>
      <c r="B1769">
        <f>Skills!B21</f>
        <v/>
      </c>
      <c r="C1769">
        <f>Inputs!$B$3&gt;=15</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(1-Summary!$B$55)*T1769+Summary!$B$55*V1769</f>
        <v/>
      </c>
      <c r="P1769">
        <f>IF(B1793=0,0,O1769/B1793)</f>
        <v/>
      </c>
      <c r="Q1769">
        <f>IFERROR(1/IF(Inputs!$B$39="pvp",15,MAX(0.1,Skills!D21-IF(Skills!E21=TRUE,4.0,0))),0)</f>
        <v/>
      </c>
      <c r="R1769">
        <f>IF(AND(Inputs!$B$39&lt;&gt;"pvp",Inputs!$B$44&gt;0),IF(Inputs!$B$44&lt;=0,0,(INT(Inputs!$B$44/IF(Inputs!$B$39="pvp",15,MAX(0.1,Skills!D21-IF(Skills!E21=TRUE,4.0,0))))+1)),0)</f>
        <v/>
      </c>
      <c r="S1769">
        <f>IFERROR(O1769/N1769,0)</f>
        <v/>
      </c>
      <c r="T1769" t="n">
        <v>0</v>
      </c>
      <c r="V1769" t="n">
        <v>0</v>
      </c>
    </row>
    <row r="1770">
      <c r="A1770">
        <f>Skills!A22</f>
        <v/>
      </c>
      <c r="B1770">
        <f>Skills!B22</f>
        <v/>
      </c>
      <c r="C1770">
        <f>Inputs!$B$3&gt;=33</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(1-Summary!$B$55)*T1770+Summary!$B$55*V1770</f>
        <v/>
      </c>
      <c r="P1770">
        <f>IF(B1793=0,0,O1770/B1793)</f>
        <v/>
      </c>
      <c r="Q1770" t="n">
        <v>0</v>
      </c>
      <c r="R1770" t="n">
        <v>0</v>
      </c>
      <c r="S1770">
        <f>IFERROR(O1770/N1770,0)</f>
        <v/>
      </c>
      <c r="T1770" t="n">
        <v>0</v>
      </c>
      <c r="V1770" t="n">
        <v>0</v>
      </c>
    </row>
    <row r="1771">
      <c r="A1771">
        <f>Skills!A23</f>
        <v/>
      </c>
      <c r="B1771">
        <f>Skills!B23</f>
        <v/>
      </c>
      <c r="C1771">
        <f>Inputs!$B$3&gt;=40</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(1-Summary!$B$55)*T1771+Summary!$B$55*V1771</f>
        <v/>
      </c>
      <c r="P1771">
        <f>IF(B1793=0,0,O1771/B1793)</f>
        <v/>
      </c>
      <c r="Q1771" t="n">
        <v>0</v>
      </c>
      <c r="R1771" t="n">
        <v>0</v>
      </c>
      <c r="S1771">
        <f>IFERROR(O1771/N1771,0)</f>
        <v/>
      </c>
      <c r="T1771" t="n">
        <v>0</v>
      </c>
      <c r="V1771" t="n">
        <v>0</v>
      </c>
    </row>
    <row r="1772">
      <c r="A1772">
        <f>Skills!A24</f>
        <v/>
      </c>
      <c r="B1772">
        <f>Skills!B24</f>
        <v/>
      </c>
      <c r="C1772">
        <f>Inputs!$B$3&gt;=43</f>
        <v/>
      </c>
      <c r="D1772">
        <f>IF(Skills!C24=1,60+Inputs!$B$25+Inputs!$B$29,IF(Skills!C24=2,90+Inputs!$B$26+Inputs!$B$29,IF(Skills!C24=3,120+Inputs!$B$27+Inputs!$B$29,MAX(0,(Inputs!$B$3-100)*3)+Inputs!$B$28+Inputs!$B$29)))</f>
        <v/>
      </c>
      <c r="E1772">
        <f>INDEX(FactorTable!$B$2:$Y$301, MATCH(ROUND(MIN(300,MAX(1,D1772)),0), FactorTable!$A$2:$A$301,0), Skills!M24+1)</f>
        <v/>
      </c>
      <c r="F1772">
        <f>IF(Skills!N24=TRUE,(Skills!L24/10)*(E1772/1000),Skills!L24/10)+Skills!O24</f>
        <v/>
      </c>
      <c r="G1772">
        <f>Skills!G24*IF(Skills!H24&gt;0,Skills!I24/Skills!H24,1)</f>
        <v/>
      </c>
      <c r="H1772">
        <f>1-(1-Skills!J24/100)^Skills!K24</f>
        <v/>
      </c>
      <c r="I1772" t="inlineStr">
        <is>
          <t>1</t>
        </is>
      </c>
      <c r="J1772" t="inlineStr"/>
      <c r="K1772" t="inlineStr"/>
      <c r="L1772" t="inlineStr"/>
      <c r="M1772" t="inlineStr"/>
      <c r="N1772" t="inlineStr"/>
      <c r="O1772">
        <f>(1-Summary!$B$55)*T1772+Summary!$B$55*V1772</f>
        <v/>
      </c>
      <c r="P1772">
        <f>IF(B1793=0,0,O1772/B1793)</f>
        <v/>
      </c>
      <c r="Q1772" t="n">
        <v>0</v>
      </c>
      <c r="R1772" t="n">
        <v>0</v>
      </c>
      <c r="S1772">
        <f>IFERROR(O1772/N1772,0)</f>
        <v/>
      </c>
      <c r="T1772" t="n">
        <v>0</v>
      </c>
      <c r="V1772" t="n">
        <v>0</v>
      </c>
    </row>
    <row r="1773">
      <c r="A1773">
        <f>Skills!A25</f>
        <v/>
      </c>
      <c r="B1773">
        <f>Skills!B25</f>
        <v/>
      </c>
      <c r="C1773">
        <f>Inputs!$B$3&gt;=50</f>
        <v/>
      </c>
      <c r="D1773">
        <f>IF(Skills!C25=1,60+Inputs!$B$25+Inputs!$B$29,IF(Skills!C25=2,90+Inputs!$B$26+Inputs!$B$29,IF(Skills!C25=3,120+Inputs!$B$27+Inputs!$B$29,MAX(0,(Inputs!$B$3-100)*3)+Inputs!$B$28+Inputs!$B$29)))</f>
        <v/>
      </c>
      <c r="E1773">
        <f>INDEX(FactorTable!$B$2:$Y$301, MATCH(ROUND(MIN(300,MAX(1,D1773)),0), FactorTable!$A$2:$A$301,0), Skills!M25+1)</f>
        <v/>
      </c>
      <c r="F1773">
        <f>IF(Skills!N25=TRUE,(Skills!L25/10)*(E1773/1000),Skills!L25/10)+Skills!O25</f>
        <v/>
      </c>
      <c r="G1773">
        <f>Skills!G25*IF(Skills!H25&gt;0,Skills!I25/Skills!H25,1)</f>
        <v/>
      </c>
      <c r="H1773">
        <f>1-(1-Skills!J25/100)^Skills!K25</f>
        <v/>
      </c>
      <c r="I1773" t="inlineStr">
        <is>
          <t>1</t>
        </is>
      </c>
      <c r="J1773" t="inlineStr"/>
      <c r="K1773" t="inlineStr"/>
      <c r="L1773" t="inlineStr"/>
      <c r="M1773" t="inlineStr"/>
      <c r="N1773" t="inlineStr"/>
      <c r="O1773">
        <f>(1-Summary!$B$55)*T1773+Summary!$B$55*V1773</f>
        <v/>
      </c>
      <c r="P1773">
        <f>IF(B1793=0,0,O1773/B1793)</f>
        <v/>
      </c>
      <c r="Q1773" t="n">
        <v>0</v>
      </c>
      <c r="R1773" t="n">
        <v>0</v>
      </c>
      <c r="S1773">
        <f>IFERROR(O1773/N1773,0)</f>
        <v/>
      </c>
      <c r="T1773" t="n">
        <v>0</v>
      </c>
      <c r="V1773" t="n">
        <v>0</v>
      </c>
    </row>
    <row r="1774">
      <c r="A1774">
        <f>Skills!A26</f>
        <v/>
      </c>
      <c r="B1774">
        <f>Skills!B26</f>
        <v/>
      </c>
      <c r="C1774">
        <f>Inputs!$B$3&gt;=50</f>
        <v/>
      </c>
      <c r="D1774">
        <f>IF(Skills!C26=1,60+Inputs!$B$25+Inputs!$B$29,IF(Skills!C26=2,90+Inputs!$B$26+Inputs!$B$29,IF(Skills!C26=3,120+Inputs!$B$27+Inputs!$B$29,MAX(0,(Inputs!$B$3-100)*3)+Inputs!$B$28+Inputs!$B$29)))</f>
        <v/>
      </c>
      <c r="E1774">
        <f>INDEX(FactorTable!$B$2:$Y$301, MATCH(ROUND(MIN(300,MAX(1,D1774)),0), FactorTable!$A$2:$A$301,0), Skills!M26+1)</f>
        <v/>
      </c>
      <c r="F1774">
        <f>IF(Skills!N26=TRUE,(Skills!L26/10)*(E1774/1000),Skills!L26/10)+Skills!O26</f>
        <v/>
      </c>
      <c r="G1774">
        <f>Skills!G26*IF(Skills!H26&gt;0,Skills!I26/Skills!H26,1)</f>
        <v/>
      </c>
      <c r="H1774">
        <f>1-(1-Skills!J26/100)^Skills!K26</f>
        <v/>
      </c>
      <c r="I1774" t="inlineStr">
        <is>
          <t>1</t>
        </is>
      </c>
      <c r="J1774" t="inlineStr"/>
      <c r="K1774" t="inlineStr"/>
      <c r="L1774" t="inlineStr"/>
      <c r="M1774" t="inlineStr"/>
      <c r="N1774" t="inlineStr"/>
      <c r="O1774">
        <f>(1-Summary!$B$55)*T1774+Summary!$B$55*V1774</f>
        <v/>
      </c>
      <c r="P1774">
        <f>IF(B1793=0,0,O1774/B1793)</f>
        <v/>
      </c>
      <c r="Q1774" t="n">
        <v>0</v>
      </c>
      <c r="R1774" t="n">
        <v>0</v>
      </c>
      <c r="S1774">
        <f>IFERROR(O1774/N1774,0)</f>
        <v/>
      </c>
      <c r="T1774" t="n">
        <v>0</v>
      </c>
      <c r="V1774" t="n">
        <v>0</v>
      </c>
    </row>
    <row r="1775">
      <c r="A1775">
        <f>Skills!A27</f>
        <v/>
      </c>
      <c r="B1775">
        <f>Skills!B27</f>
        <v/>
      </c>
      <c r="C1775">
        <f>Inputs!$B$3&gt;=38</f>
        <v/>
      </c>
      <c r="D1775">
        <f>IF(Skills!C27=1,60+Inputs!$B$25+Inputs!$B$29,IF(Skills!C27=2,90+Inputs!$B$26+Inputs!$B$29,IF(Skills!C27=3,120+Inputs!$B$27+Inputs!$B$29,MAX(0,(Inputs!$B$3-100)*3)+Inputs!$B$28+Inputs!$B$29)))</f>
        <v/>
      </c>
      <c r="E1775">
        <f>INDEX(FactorTable!$B$2:$Y$301, MATCH(ROUND(MIN(300,MAX(1,D1775)),0), FactorTable!$A$2:$A$301,0), Skills!M27+1)</f>
        <v/>
      </c>
      <c r="F1775">
        <f>IF(Skills!N27=TRUE,(Skills!L27/10)*(E1775/1000),Skills!L27/10)+Skills!O27</f>
        <v/>
      </c>
      <c r="G1775">
        <f>Skills!G27*IF(Skills!H27&gt;0,Skills!I27/Skills!H27,1)</f>
        <v/>
      </c>
      <c r="H1775">
        <f>1-(1-Skills!J27/100)^Skills!K27</f>
        <v/>
      </c>
      <c r="I1775" t="inlineStr">
        <is>
          <t>1</t>
        </is>
      </c>
      <c r="J1775" t="inlineStr"/>
      <c r="K1775" t="inlineStr"/>
      <c r="L1775" t="inlineStr"/>
      <c r="M1775" t="inlineStr"/>
      <c r="N1775" t="inlineStr"/>
      <c r="O1775">
        <f>(1-Summary!$B$55)*T1775+Summary!$B$55*V1775</f>
        <v/>
      </c>
      <c r="P1775">
        <f>IF(B1793=0,0,O1775/B1793)</f>
        <v/>
      </c>
      <c r="Q1775" t="n">
        <v>0</v>
      </c>
      <c r="R1775" t="n">
        <v>0</v>
      </c>
      <c r="S1775">
        <f>IFERROR(O1775/N1775,0)</f>
        <v/>
      </c>
      <c r="T1775" t="n">
        <v>0</v>
      </c>
      <c r="V1775" t="n">
        <v>0</v>
      </c>
    </row>
    <row r="1776">
      <c r="A1776">
        <f>Skills!A28</f>
        <v/>
      </c>
      <c r="B1776">
        <f>Skills!B28</f>
        <v/>
      </c>
      <c r="C1776">
        <f>Inputs!$B$3&gt;=120</f>
        <v/>
      </c>
      <c r="D1776">
        <f>IF(Skills!C28=1,60+Inputs!$B$25+Inputs!$B$29,IF(Skills!C28=2,90+Inputs!$B$26+Inputs!$B$29,IF(Skills!C28=3,120+Inputs!$B$27+Inputs!$B$29,MAX(0,(Inputs!$B$3-100)*3)+Inputs!$B$28+Inputs!$B$29)))</f>
        <v/>
      </c>
      <c r="E1776">
        <f>INDEX(FactorTable!$B$2:$Y$301, MATCH(ROUND(MIN(300,MAX(1,D1776)),0), FactorTable!$A$2:$A$301,0), Skills!M28+1)</f>
        <v/>
      </c>
      <c r="F1776">
        <f>IF(Skills!N28=TRUE,(Skills!L28/10)*(E1776/1000),Skills!L28/10)+Skills!O28</f>
        <v/>
      </c>
      <c r="G1776">
        <f>Skills!G28*IF(Skills!H28&gt;0,Skills!I28/Skills!H28,1)</f>
        <v/>
      </c>
      <c r="H1776">
        <f>1-(1-Skills!J28/100)^Skills!K28</f>
        <v/>
      </c>
      <c r="I1776" t="inlineStr">
        <is>
          <t>1</t>
        </is>
      </c>
      <c r="J1776" t="inlineStr"/>
      <c r="K1776" t="inlineStr"/>
      <c r="L1776" t="inlineStr"/>
      <c r="M1776" t="inlineStr"/>
      <c r="N1776" t="inlineStr"/>
      <c r="O1776">
        <f>(1-Summary!$B$55)*T1776+Summary!$B$55*V1776</f>
        <v/>
      </c>
      <c r="P1776">
        <f>IF(B1793=0,0,O1776/B1793)</f>
        <v/>
      </c>
      <c r="Q1776" t="n">
        <v>0</v>
      </c>
      <c r="R1776" t="n">
        <v>0</v>
      </c>
      <c r="S1776">
        <f>IFERROR(O1776/N1776,0)</f>
        <v/>
      </c>
      <c r="T1776" t="n">
        <v>0</v>
      </c>
      <c r="V1776" t="n">
        <v>0</v>
      </c>
    </row>
    <row r="1777">
      <c r="A1777">
        <f>Skills!A29</f>
        <v/>
      </c>
      <c r="B1777">
        <f>Skills!B29</f>
        <v/>
      </c>
      <c r="C1777">
        <f>Inputs!$B$3&gt;=120</f>
        <v/>
      </c>
      <c r="D1777">
        <f>IF(Skills!C29=1,60+Inputs!$B$25+Inputs!$B$29,IF(Skills!C29=2,90+Inputs!$B$26+Inputs!$B$29,IF(Skills!C29=3,120+Inputs!$B$27+Inputs!$B$29,MAX(0,(Inputs!$B$3-100)*3)+Inputs!$B$28+Inputs!$B$29)))</f>
        <v/>
      </c>
      <c r="E1777">
        <f>INDEX(FactorTable!$B$2:$Y$301, MATCH(ROUND(MIN(300,MAX(1,D1777)),0), FactorTable!$A$2:$A$301,0), Skills!M29+1)</f>
        <v/>
      </c>
      <c r="F1777">
        <f>IF(Skills!N29=TRUE,(Skills!L29/10)*(E1777/1000),Skills!L29/10)+Skills!O29</f>
        <v/>
      </c>
      <c r="G1777">
        <f>Skills!G29*IF(Skills!H29&gt;0,Skills!I29/Skills!H29,1)</f>
        <v/>
      </c>
      <c r="H1777">
        <f>1-(1-Skills!J29/100)^Skills!K29</f>
        <v/>
      </c>
      <c r="I1777" t="inlineStr">
        <is>
          <t>1</t>
        </is>
      </c>
      <c r="J1777" t="inlineStr"/>
      <c r="K1777" t="inlineStr"/>
      <c r="L1777" t="inlineStr"/>
      <c r="M1777" t="inlineStr"/>
      <c r="N1777" t="inlineStr"/>
      <c r="O1777">
        <f>(1-Summary!$B$55)*T1777+Summary!$B$55*V1777</f>
        <v/>
      </c>
      <c r="P1777">
        <f>IF(B1793=0,0,O1777/B1793)</f>
        <v/>
      </c>
      <c r="Q1777" t="n">
        <v>0</v>
      </c>
      <c r="R1777" t="n">
        <v>0</v>
      </c>
      <c r="S1777">
        <f>IFERROR(O1777/N1777,0)</f>
        <v/>
      </c>
      <c r="T1777" t="n">
        <v>0</v>
      </c>
      <c r="V1777" t="n">
        <v>0</v>
      </c>
    </row>
    <row r="1778">
      <c r="A1778">
        <f>Skills!A30</f>
        <v/>
      </c>
      <c r="B1778">
        <f>Skills!B30</f>
        <v/>
      </c>
      <c r="C1778">
        <f>Inputs!$B$3&gt;=125</f>
        <v/>
      </c>
      <c r="D1778">
        <f>IF(Skills!C30=1,60+Inputs!$B$25+Inputs!$B$29,IF(Skills!C30=2,90+Inputs!$B$26+Inputs!$B$29,IF(Skills!C30=3,120+Inputs!$B$27+Inputs!$B$29,MAX(0,(Inputs!$B$3-100)*3)+Inputs!$B$28+Inputs!$B$29)))</f>
        <v/>
      </c>
      <c r="E1778">
        <f>INDEX(FactorTable!$B$2:$Y$301, MATCH(ROUND(MIN(300,MAX(1,D1778)),0), FactorTable!$A$2:$A$301,0), Skills!M30+1)</f>
        <v/>
      </c>
      <c r="F1778">
        <f>IF(Skills!N30=TRUE,(Skills!L30/10)*(E1778/1000),Skills!L30/10)+Skills!O30</f>
        <v/>
      </c>
      <c r="G1778">
        <f>Skills!G30*IF(Skills!H30&gt;0,Skills!I30/Skills!H30,1)</f>
        <v/>
      </c>
      <c r="H1778">
        <f>1-(1-Skills!J30/100)^Skills!K30</f>
        <v/>
      </c>
      <c r="I1778" t="inlineStr">
        <is>
          <t>1</t>
        </is>
      </c>
      <c r="J1778" t="inlineStr"/>
      <c r="K1778" t="inlineStr"/>
      <c r="L1778" t="inlineStr"/>
      <c r="M1778" t="inlineStr"/>
      <c r="N1778" t="inlineStr"/>
      <c r="O1778">
        <f>(1-Summary!$B$55)*T1778+Summary!$B$55*V1778</f>
        <v/>
      </c>
      <c r="P1778">
        <f>IF(B1793=0,0,O1778/B1793)</f>
        <v/>
      </c>
      <c r="Q1778" t="n">
        <v>0</v>
      </c>
      <c r="R1778" t="n">
        <v>0</v>
      </c>
      <c r="S1778">
        <f>IFERROR(O1778/N1778,0)</f>
        <v/>
      </c>
      <c r="T1778" t="n">
        <v>0</v>
      </c>
      <c r="V1778" t="n">
        <v>0</v>
      </c>
    </row>
    <row r="1780">
      <c r="A1780" t="inlineStr">
        <is>
          <t>Average Buff Multiplier</t>
        </is>
      </c>
      <c r="B1780">
        <f>(1+(((C1769=TRUE)*F1769*IF(AND(Inputs!$B$39&lt;&gt;"pvp",Inputs!$B$44&gt;0),(((R1769-1)*(Skills!Y21*(1+Inputs!$B$34/100))+MIN((Skills!Y21*(1+Inputs!$B$34/100)),MAX(0,Inputs!$B$44-((R1769-1)*Skills!D21))))/Inputs!$B$44),IF(Inputs!$B$39="pvp",MIN((Skills!Y21*(1+Inputs!$B$34/100)),15)/15,(Skills!Y21*(1+Inputs!$B$34/100))/Skills!D21)))+((C1771=TRUE)*(F1771-Calc!F23))+((C1765=TRUE)*(F1765-Calc!F17)))/100)*(1+((C1758=TRUE)*F1758*IF(AND(Inputs!$B$39&lt;&gt;"pvp",Inputs!$B$44&gt;0),(((R1758-1)*(Skills!Y10*(1+Inputs!$B$34/100))+MIN((Skills!Y10*(1+Inputs!$B$34/100)),MAX(0,Inputs!$B$44-((R1758-1)*Skills!D10))))/Inputs!$B$44),IF(Inputs!$B$39="pvp",MIN((Skills!Y10*(1+Inputs!$B$34/100)),15)/15,(Skills!Y10*(1+Inputs!$B$34/100))/Skills!D10)))/100)*(1+((C1763=TRUE)*F1763*IF(AND(Inputs!$B$39&lt;&gt;"pvp",Inputs!$B$44&gt;0),(((R1763-1)*(Skills!Y15*(1+Inputs!$B$34/100))+MIN((Skills!Y15*(1+Inputs!$B$34/100)),MAX(0,Inputs!$B$44-((R1763-1)*Skills!D15))))/Inputs!$B$44),IF(Inputs!$B$39="pvp",MIN((Skills!Y15*(1+Inputs!$B$34/100)),15)/15,(Skills!Y15*(1+Inputs!$B$34/100))/Skills!D15)))/100)</f>
        <v/>
      </c>
    </row>
    <row r="1781">
      <c r="A1781" t="inlineStr">
        <is>
          <t>Global Crit Rate Bonus %</t>
        </is>
      </c>
      <c r="B1781">
        <f>((C1768=TRUE)*F1768*IF(AND(Inputs!$B$39&lt;&gt;"pvp",Inputs!$B$44&gt;0),(((R1768-1)*(Skills!Y20*(1+Inputs!$B$34/100))+MIN((Skills!Y20*(1+Inputs!$B$34/100)),MAX(0,Inputs!$B$44-((R1768-1)*Skills!D20))))/Inputs!$B$44),IF(Inputs!$B$39="pvp",MIN((Skills!Y20*(1+Inputs!$B$34/100)),15)/15,(Skills!Y20*(1+Inputs!$B$34/100))/Skills!D20)))</f>
        <v/>
      </c>
    </row>
    <row r="1782">
      <c r="A1782" t="inlineStr">
        <is>
          <t>Global Monster Damage-Taken Bonus %</t>
        </is>
      </c>
      <c r="B1782">
        <f>IF(Inputs!$B$3&gt;=82,15,0)</f>
        <v/>
      </c>
    </row>
    <row r="1783">
      <c r="A1783" t="inlineStr">
        <is>
          <t>Shadow Partner Average Multiplier</t>
        </is>
      </c>
      <c r="B1783">
        <f>1+((C1755=TRUE)*F1755*(1+3.3333333333333335*IF(C1766=TRUE,F1766,0)/100)*I1755*Skills!J7/100)/100</f>
        <v/>
      </c>
    </row>
    <row r="1784">
      <c r="A1784" t="inlineStr">
        <is>
          <t>Attack Speed Buff Bonus %</t>
        </is>
      </c>
      <c r="B1784">
        <f>((C1767=TRUE)*F1767*IF(AND(Inputs!$B$39&lt;&gt;"pvp",Inputs!$B$44&gt;0),(((R1767-1)*(Skills!Y19*(1+Inputs!$B$34/100))+MIN((Skills!Y19*(1+Inputs!$B$34/100)),MAX(0,Inputs!$B$44-((R1767-1)*Skills!D19))))/Inputs!$B$44),IF(Inputs!$B$39="pvp",MIN((Skills!Y19*(1+Inputs!$B$34/100)),15)/15,(Skills!Y19*(1+Inputs!$B$34/100))/Skills!D19)))+((C1751=TRUE)*F1751*3)</f>
        <v/>
      </c>
    </row>
    <row r="1785">
      <c r="A1785" t="inlineStr">
        <is>
          <t>Actions Per Second</t>
        </is>
      </c>
      <c r="B1785">
        <f>1+MIN(150,150*(1-(1-(Inputs!$B$11+((C1770=TRUE)*(F1770-Calc!F22)))/150)*(1-B1784/150)))/100</f>
        <v/>
      </c>
    </row>
    <row r="1786">
      <c r="A1786" t="inlineStr">
        <is>
          <t>Skill + Buff Cast Rate</t>
        </is>
      </c>
      <c r="B1786">
        <f>IF(AND(Inputs!$B$39&lt;&gt;"pvp",Inputs!$B$44&gt;0),SUMPRODUCT((Skills!E2:E30=TRUE)*(C1750:C1778=TRUE)*R1750:R1778*Skills!F2:F30)/Inputs!$B$44,SUMPRODUCT((Skills!E2:E30=TRUE)*(C1750:C1778=TRUE)*Q1750:Q1778*Skills!F2:F30))</f>
        <v/>
      </c>
    </row>
    <row r="1787">
      <c r="A1787" t="inlineStr">
        <is>
          <t>Cruel Stab Casts Per Second</t>
        </is>
      </c>
      <c r="B1787">
        <f>MAX(0,B1785-B1786)</f>
        <v/>
      </c>
    </row>
    <row r="1788">
      <c r="A1788" t="inlineStr">
        <is>
          <t>Global Critical Damage Bonus % (Smokescreen Mastery Lv.113)</t>
        </is>
      </c>
      <c r="B1788">
        <f>IF(Inputs!$B$3&gt;=113,30,0)*IF(AND(Inputs!$B$39&lt;&gt;"pvp",Inputs!$B$44&gt;0),(((R1763-1)*(Skills!Y15*(1+Inputs!$B$34/100))+MIN((Skills!Y15*(1+Inputs!$B$34/100)),MAX(0,Inputs!$B$44-((R1763-1)*Skills!D15))))/Inputs!$B$44),IF(Inputs!$B$39="pvp",MIN((Skills!Y15*(1+Inputs!$B$34/100)),15)/15,(Skills!Y15*(1+Inputs!$B$34/100))/Skills!D15))</f>
        <v/>
      </c>
    </row>
    <row r="1789">
      <c r="A1789" t="inlineStr">
        <is>
          <t>Meso Explosion average stack count</t>
        </is>
      </c>
      <c r="B1789">
        <f>MIN(10,0.5*B1785*Skills!D4)</f>
        <v/>
      </c>
    </row>
    <row r="1790">
      <c r="A1790" t="inlineStr">
        <is>
          <t>Blood Money average stack count</t>
        </is>
      </c>
      <c r="B1790">
        <f>MIN(5,0.25*B1785*Skills!D4)</f>
        <v/>
      </c>
    </row>
    <row r="1791">
      <c r="A1791" t="inlineStr">
        <is>
          <t>Assassinate Murderous Intent Multiplier</t>
        </is>
      </c>
      <c r="B1791">
        <f>1+IFERROR(MIN(1,Q1762*2/Q1759),0)</f>
        <v/>
      </c>
    </row>
    <row r="1792">
      <c r="A1792" t="inlineStr">
        <is>
          <t>Buff-Casting Startup Delay (s, fixed-duration only)</t>
        </is>
      </c>
      <c r="B1792">
        <f>IF(AND(Inputs!$B$39&lt;&gt;"pvp",Inputs!$B$44&gt;0),SUMPRODUCT((Skills!Y2:Y30&gt;0)*(Skills!E2:E30=TRUE)*(C1750:C1778=TRUE))/B1785,0)</f>
        <v/>
      </c>
    </row>
    <row r="1793">
      <c r="A1793" s="5" t="inlineStr">
        <is>
          <t>TOTAL DPS</t>
        </is>
      </c>
      <c r="B1793" s="5">
        <f>SUM(O1750:O1778)</f>
        <v/>
      </c>
    </row>
    <row r="1794">
      <c r="A1794" t="inlineStr">
        <is>
          <t>Boss-Only Total DPS (this block's swept value)</t>
        </is>
      </c>
      <c r="B1794">
        <f>SUM(T1750:T1778)</f>
        <v/>
      </c>
    </row>
    <row r="1795">
      <c r="A1795" t="inlineStr">
        <is>
          <t>Normal-Only Total DPS (this block's swept value)</t>
        </is>
      </c>
      <c r="B1795">
        <f>SUM(V1750:V1778)</f>
        <v/>
      </c>
    </row>
    <row r="1798">
      <c r="A1798" s="5" t="inlineStr">
        <is>
          <t>Stat: CDR = 4.5s</t>
        </is>
      </c>
    </row>
    <row r="1799">
      <c r="A1799" s="9" t="inlineStr">
        <is>
          <t>Key</t>
        </is>
      </c>
      <c r="B1799" s="9" t="inlineStr">
        <is>
          <t>Name</t>
        </is>
      </c>
      <c r="C1799" s="9" t="inlineStr">
        <is>
          <t>Unlocked</t>
        </is>
      </c>
      <c r="D1799" s="9" t="inlineStr">
        <is>
          <t>InputLevel</t>
        </is>
      </c>
      <c r="E1799" s="9" t="inlineStr">
        <is>
          <t>Factor</t>
        </is>
      </c>
      <c r="F1799" s="9" t="inlineStr">
        <is>
          <t>CoefficientPercent</t>
        </is>
      </c>
      <c r="G1799" s="9" t="inlineStr">
        <is>
          <t>EffectiveHits</t>
        </is>
      </c>
      <c r="H1799" s="9" t="inlineStr">
        <is>
          <t>ProcProbability</t>
        </is>
      </c>
      <c r="I1799" s="9" t="inlineStr">
        <is>
          <t>MapleHeroMultiplier</t>
        </is>
      </c>
      <c r="J1799" s="9" t="inlineStr">
        <is>
          <t>BaseDamage</t>
        </is>
      </c>
      <c r="K1799" s="9" t="inlineStr">
        <is>
          <t>BaseHitDamage</t>
        </is>
      </c>
      <c r="L1799" s="9" t="inlineStr">
        <is>
          <t>NonCritAvg</t>
        </is>
      </c>
      <c r="M1799" s="9" t="inlineStr">
        <is>
          <t>CritAvg</t>
        </is>
      </c>
      <c r="N1799" s="9" t="inlineStr">
        <is>
          <t>ExpectedDamage(perHit)</t>
        </is>
      </c>
      <c r="O1799" s="9" t="inlineStr">
        <is>
          <t>DPS</t>
        </is>
      </c>
      <c r="P1799" s="9" t="inlineStr">
        <is>
          <t>% of Total</t>
        </is>
      </c>
      <c r="Q1799" s="9" t="inlineStr">
        <is>
          <t>InvCooldown</t>
        </is>
      </c>
      <c r="R1799" s="9" t="inlineStr">
        <is>
          <t>CastsInFight</t>
        </is>
      </c>
      <c r="S1799" s="9" t="inlineStr">
        <is>
          <t>HitRate(perSec)</t>
        </is>
      </c>
      <c r="U1799" t="inlineStr">
        <is>
          <t>helpers</t>
        </is>
      </c>
    </row>
    <row r="1800">
      <c r="A1800">
        <f>Skills!A2</f>
        <v/>
      </c>
      <c r="B1800">
        <f>Skills!B2</f>
        <v/>
      </c>
      <c r="C1800">
        <f>Inputs!$B$3&gt;=100</f>
        <v/>
      </c>
      <c r="D1800" t="inlineStr"/>
      <c r="E1800" t="inlineStr"/>
      <c r="F1800">
        <f>U1802+Skills!O2</f>
        <v/>
      </c>
      <c r="G1800">
        <f>Skills!G2*IF(Skills!H2&gt;0,Skills!I2/Skills!H2,1)</f>
        <v/>
      </c>
      <c r="H1800">
        <f>1-(1-Skills!J2/100)^Skills!K2</f>
        <v/>
      </c>
      <c r="I1800" t="inlineStr">
        <is>
          <t>1</t>
        </is>
      </c>
      <c r="J1800">
        <f>((Inputs!$B$6*(1+Inputs!$B$7/100))+(((Inputs!$B$12*(1+Inputs!$B$13/100))-(Inputs!$B$12*(1+Inputs!$B$13/100)))+0.25*(Inputs!$B$14-Inputs!$B$14))*(1+Inputs!$B$7/100))*(F1800/100)</f>
        <v/>
      </c>
      <c r="K1800">
        <f>J1800*(1+((Inputs!$B$12*(1+Inputs!$B$13/100))*0.01+Inputs!$B$14*0.0025)/100)*(1+Inputs!$B$15/100)*(1+Inputs!$B$16/100)*(5000/(6000+Inputs!$B$43*(1-Inputs!$B$19/100)))*(1+(Inputs!$B$24+((C1828=TRUE)*(F1828-Calc!F30)))/100)*(1+(IF(Skills!A2="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1800)</f>
        <v/>
      </c>
      <c r="L1800">
        <f>K1800*(MIN(Inputs!$B$22+((C1822=TRUE)*(F1822-Calc!F24)),Inputs!$B$23+((C1827=TRUE)*(F1827-Calc!F29)))/100+(Inputs!$B$23+((C1827=TRUE)*(F1827-Calc!F29)))/100)/2</f>
        <v/>
      </c>
      <c r="M1800">
        <f>L1800*(1+(Inputs!$B$10+((C1824=TRUE)*(F1824-Calc!F26))+B1838)/100)</f>
        <v/>
      </c>
      <c r="N1800">
        <f>L1800*(1-MIN((Inputs!$B$9+((C1823=TRUE)*(F1823-Calc!F25))+B1831),100)/100)+M1800*(MIN((Inputs!$B$9+((C1823=TRUE)*(F1823-Calc!F25))+B1831),100)/100)</f>
        <v/>
      </c>
      <c r="O1800">
        <f>(1-Summary!$B$55)*T1800+Summary!$B$55*V1800</f>
        <v/>
      </c>
      <c r="P1800">
        <f>IF(B1843=0,0,O1800/B1843)</f>
        <v/>
      </c>
      <c r="Q1800" t="n">
        <v>0</v>
      </c>
      <c r="R1800" t="n">
        <v>0</v>
      </c>
      <c r="S1800">
        <f>IFERROR(O1800/N1800,0)</f>
        <v/>
      </c>
      <c r="T1800">
        <f>IF(C1800,(Skills!G2*N1800*B1837)*IF(Inputs!$B$39="pvp",1,1+(Inputs!$B$20+0+Skills!P2+B1832)/100),0)</f>
        <v/>
      </c>
      <c r="U1800">
        <f>MAX(0,(Inputs!$B$3-100)*3)+Inputs!$B$28+Inputs!$B$29</f>
        <v/>
      </c>
      <c r="V1800">
        <f>IF(C1800,(Skills!G2*N1800*B1837)*IF(Inputs!$B$39="pvp",1,(1+(Inputs!$B$21+Skills!Q2+B1832)/100)*(MIN((6+Inputs!$B$33),Inputs!$B$37))),0)</f>
        <v/>
      </c>
    </row>
    <row r="1801">
      <c r="A1801">
        <f>Skills!A3</f>
        <v/>
      </c>
      <c r="B1801">
        <f>Skills!B3</f>
        <v/>
      </c>
      <c r="C1801">
        <f>Inputs!$B$3&gt;=35</f>
        <v/>
      </c>
      <c r="D1801">
        <f>IF(Skills!C3=1,60+Inputs!$B$25+Inputs!$B$29,IF(Skills!C3=2,90+Inputs!$B$26+Inputs!$B$29,IF(Skills!C3=3,120+Inputs!$B$27+Inputs!$B$29,MAX(0,(Inputs!$B$3-100)*3)+Inputs!$B$28+Inputs!$B$29)))</f>
        <v/>
      </c>
      <c r="E1801">
        <f>INDEX(FactorTable!$B$2:$Y$301, MATCH(ROUND(MIN(300,MAX(1,D1801)),0), FactorTable!$A$2:$A$301,0), Skills!M3+1)</f>
        <v/>
      </c>
      <c r="F1801">
        <f>IF(Skills!N3=TRUE,(Skills!L3/10)*(E1801/1000),Skills!L3/10)+Skills!O3</f>
        <v/>
      </c>
      <c r="G1801">
        <f>Skills!G3*IF(Skills!H3&gt;0,Skills!I3/Skills!H3,1)</f>
        <v/>
      </c>
      <c r="H1801">
        <f>1-(1-Skills!J3/100)^Skills!K3</f>
        <v/>
      </c>
      <c r="I1801" t="inlineStr">
        <is>
          <t>1</t>
        </is>
      </c>
      <c r="J1801" t="inlineStr"/>
      <c r="K1801" t="inlineStr"/>
      <c r="L1801" t="inlineStr"/>
      <c r="M1801" t="inlineStr"/>
      <c r="N1801" t="inlineStr"/>
      <c r="O1801">
        <f>(1-Summary!$B$55)*T1801+Summary!$B$55*V1801</f>
        <v/>
      </c>
      <c r="P1801">
        <f>IF(B1843=0,0,O1801/B1843)</f>
        <v/>
      </c>
      <c r="Q1801" t="n">
        <v>0</v>
      </c>
      <c r="R1801" t="n">
        <v>0</v>
      </c>
      <c r="S1801">
        <f>IFERROR(O1801/N1801,0)</f>
        <v/>
      </c>
      <c r="T1801" t="n">
        <v>0</v>
      </c>
      <c r="U1801">
        <f>INDEX(FactorTable!$B$2:$Y$301, MATCH(ROUND(MIN(300,MAX(1,U1800)),0), FactorTable!$A$2:$A$301,0), 22)</f>
        <v/>
      </c>
      <c r="V1801" t="n">
        <v>0</v>
      </c>
    </row>
    <row r="1802">
      <c r="A1802">
        <f>Skills!A4</f>
        <v/>
      </c>
      <c r="B1802">
        <f>Skills!B4</f>
        <v/>
      </c>
      <c r="C1802">
        <f>Inputs!$B$3&gt;=66</f>
        <v/>
      </c>
      <c r="D1802">
        <f>IF(Skills!C4=1,60+Inputs!$B$25+Inputs!$B$29,IF(Skills!C4=2,90+Inputs!$B$26+Inputs!$B$29,IF(Skills!C4=3,120+Inputs!$B$27+Inputs!$B$29,MAX(0,(Inputs!$B$3-100)*3)+Inputs!$B$28+Inputs!$B$29)))</f>
        <v/>
      </c>
      <c r="E1802">
        <f>INDEX(FactorTable!$B$2:$Y$301, MATCH(ROUND(MIN(300,MAX(1,D1802)),0), FactorTable!$A$2:$A$301,0), Skills!M4+1)</f>
        <v/>
      </c>
      <c r="F1802">
        <f>IF(Skills!N4=TRUE,(Skills!L4/10)*(E1802/1000),Skills!L4/10)+Skills!O4</f>
        <v/>
      </c>
      <c r="G1802">
        <f>Skills!G4*IF(Skills!H4&gt;0,Skills!I4/Skills!H4,1)</f>
        <v/>
      </c>
      <c r="H1802">
        <f>1-(1-Skills!J4/100)^Skills!K4</f>
        <v/>
      </c>
      <c r="I1802" t="inlineStr">
        <is>
          <t>1</t>
        </is>
      </c>
      <c r="J1802">
        <f>((Inputs!$B$6*(1+Inputs!$B$7/100))+(((Inputs!$B$12*(1+Inputs!$B$13/100))-(Inputs!$B$12*(1+Inputs!$B$13/100)))+0.25*(Inputs!$B$14-Inputs!$B$14))*(1+Inputs!$B$7/100))*(F1802/100)</f>
        <v/>
      </c>
      <c r="K1802">
        <f>J1802*(1+((Inputs!$B$12*(1+Inputs!$B$13/100))*0.01+Inputs!$B$14*0.0025)/100)*(1+Inputs!$B$15/100)*(1+Inputs!$B$16/100)*(5000/(6000+Inputs!$B$43*(1-Inputs!$B$19/100)))*(1+(Inputs!$B$24+((C1828=TRUE)*(F1828-Calc!F30)))/100)*(1+(IF(Skills!A4="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1802)</f>
        <v/>
      </c>
      <c r="L1802">
        <f>K1802*(MIN(Inputs!$B$22+((C1822=TRUE)*(F1822-Calc!F24)),Inputs!$B$23+((C1827=TRUE)*(F1827-Calc!F29)))/100+(Inputs!$B$23+((C1827=TRUE)*(F1827-Calc!F29)))/100)/2</f>
        <v/>
      </c>
      <c r="M1802">
        <f>L1802*(1+(Inputs!$B$10+((C1824=TRUE)*(F1824-Calc!F26))+B1838)/100)</f>
        <v/>
      </c>
      <c r="N1802">
        <f>L1802*(1-MIN((Inputs!$B$9+((C1823=TRUE)*(F1823-Calc!F25))+B1831),100)/100)+M1802*(MIN((Inputs!$B$9+((C1823=TRUE)*(F1823-Calc!F25))+B1831),100)/100)</f>
        <v/>
      </c>
      <c r="O1802">
        <f>(1-Summary!$B$55)*T1802+Summary!$B$55*V1802</f>
        <v/>
      </c>
      <c r="P1802">
        <f>IF(B1843=0,0,O1802/B1843)</f>
        <v/>
      </c>
      <c r="Q1802">
        <f>IFERROR(1/IF(Inputs!$B$39="pvp",15,MAX(0.1,Skills!D4-IF(Skills!E4=TRUE,4.5,0))),0)</f>
        <v/>
      </c>
      <c r="R1802">
        <f>IF(AND(Inputs!$B$39&lt;&gt;"pvp",Inputs!$B$44&gt;0),IF(MAX(0,Inputs!$B$44-B1842)&lt;=0,0,(INT(MAX(0,Inputs!$B$44-B1842)/IF(Inputs!$B$39="pvp",15,MAX(0.1,Skills!D4-IF(Skills!E4=TRUE,4.5,0))))+1)),0)</f>
        <v/>
      </c>
      <c r="S1802">
        <f>IFERROR(O1802/N1802,0)</f>
        <v/>
      </c>
      <c r="T1802">
        <f>IF(C1802,(H1802*N1802*IF(AND(Inputs!$B$39&lt;&gt;"pvp",Inputs!$B$44&gt;0),((Skills!G4*((R1802-1)*IF(Skills!H4&gt;0,Skills!I4/Skills!H4,1)+IF(Skills!H4&gt;0,MIN(Skills!I4,MAX(0,MAX(0,Inputs!$B$44-B1842)-((R1802-1)*IF(Inputs!$B$39="pvp",15,MAX(0.1,Skills!D4-IF(Skills!E4=TRUE,4.5,0))))))/Skills!H4,1)))/Inputs!$B$44),G1802*Q1802))*IF(Inputs!$B$39="pvp",1,1+(Inputs!$B$20+0+Skills!P4+B1832)/100),0)</f>
        <v/>
      </c>
      <c r="U1802">
        <f>290*U1801/1000</f>
        <v/>
      </c>
      <c r="V1802">
        <f>IF(C1802,(H1802*N1802*IF(AND(Inputs!$B$39&lt;&gt;"pvp",Inputs!$B$44&gt;0),((Skills!G4*((R1802-1)*IF(Skills!H4&gt;0,Skills!I4/Skills!H4,1)+IF(Skills!H4&gt;0,MIN(Skills!I4,MAX(0,MAX(0,Inputs!$B$44-B1842)-((R1802-1)*IF(Inputs!$B$39="pvp",15,MAX(0.1,Skills!D4-IF(Skills!E4=TRUE,4.5,0))))))/Skills!H4,1)))/Inputs!$B$44),G1802*Q1802))*IF(Inputs!$B$39="pvp",1,(1+(Inputs!$B$21+Skills!Q4+B1832)/100)*(MIN(MIN(10,0.5*B1835*Skills!D4),Inputs!$B$37))),0)</f>
        <v/>
      </c>
    </row>
    <row r="1803">
      <c r="A1803">
        <f>Skills!A5</f>
        <v/>
      </c>
      <c r="B1803">
        <f>Skills!B5</f>
        <v/>
      </c>
      <c r="C1803">
        <f>Inputs!$B$3&gt;=63</f>
        <v/>
      </c>
      <c r="D1803">
        <f>IF(Skills!C5=1,60+Inputs!$B$25+Inputs!$B$29,IF(Skills!C5=2,90+Inputs!$B$26+Inputs!$B$29,IF(Skills!C5=3,120+Inputs!$B$27+Inputs!$B$29,MAX(0,(Inputs!$B$3-100)*3)+Inputs!$B$28+Inputs!$B$29)))</f>
        <v/>
      </c>
      <c r="E1803">
        <f>INDEX(FactorTable!$B$2:$Y$301, MATCH(ROUND(MIN(300,MAX(1,D1803)),0), FactorTable!$A$2:$A$301,0), Skills!M5+1)</f>
        <v/>
      </c>
      <c r="F1803">
        <f>IF(Skills!N5=TRUE,(Skills!L5/10)*(E1803/1000),Skills!L5/10)+Skills!O5</f>
        <v/>
      </c>
      <c r="G1803">
        <f>Skills!G5*IF(Skills!H5&gt;0,Skills!I5/Skills!H5,1)</f>
        <v/>
      </c>
      <c r="H1803">
        <f>1-(1-Skills!J5/100)^Skills!K5</f>
        <v/>
      </c>
      <c r="I1803" t="inlineStr">
        <is>
          <t>1</t>
        </is>
      </c>
      <c r="J1803">
        <f>((Inputs!$B$6*(1+Inputs!$B$7/100))+(((Inputs!$B$12*(1+Inputs!$B$13/100))-(Inputs!$B$12*(1+Inputs!$B$13/100)))+0.25*(Inputs!$B$14-Inputs!$B$14))*(1+Inputs!$B$7/100))*(F1803/100)</f>
        <v/>
      </c>
      <c r="K1803">
        <f>J1803*(1+((Inputs!$B$12*(1+Inputs!$B$13/100))*0.01+Inputs!$B$14*0.0025)/100)*(1+Inputs!$B$15/100)*(1+Inputs!$B$16/100)*(5000/(6000+Inputs!$B$43*(1-Inputs!$B$19/100)))*(1+(Inputs!$B$24+((C1828=TRUE)*(F1828-Calc!F30)))/100)*(1+2.6666666666666665*IF(C1816=TRUE,F1816,0)/100)*(1+(IF(Skills!A5="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1803)</f>
        <v/>
      </c>
      <c r="L1803">
        <f>K1803*(MIN(Inputs!$B$22+((C1822=TRUE)*(F1822-Calc!F24)),Inputs!$B$23+((C1827=TRUE)*(F1827-Calc!F29)))/100+(Inputs!$B$23+((C1827=TRUE)*(F1827-Calc!F29)))/100)/2</f>
        <v/>
      </c>
      <c r="M1803">
        <f>L1803*(1+(Inputs!$B$10+((C1824=TRUE)*(F1824-Calc!F26))+B1838)/100)</f>
        <v/>
      </c>
      <c r="N1803">
        <f>L1803*(1-MIN((Inputs!$B$9+((C1823=TRUE)*(F1823-Calc!F25))+B1831),100)/100)+M1803*(MIN((Inputs!$B$9+((C1823=TRUE)*(F1823-Calc!F25))+B1831),100)/100)</f>
        <v/>
      </c>
      <c r="O1803">
        <f>(1-Summary!$B$55)*T1803+Summary!$B$55*V1803</f>
        <v/>
      </c>
      <c r="P1803">
        <f>IF(B1843=0,0,O1803/B1843)</f>
        <v/>
      </c>
      <c r="Q1803">
        <f>IFERROR(1/IF(Inputs!$B$39="pvp",15,MAX(0.1,Skills!D5-IF(Skills!E5=TRUE,4.5,0))),0)</f>
        <v/>
      </c>
      <c r="R1803">
        <f>IF(AND(Inputs!$B$39&lt;&gt;"pvp",Inputs!$B$44&gt;0),IF(MAX(0,Inputs!$B$44-B1842)&lt;=0,0,(INT(MAX(0,Inputs!$B$44-B1842)/IF(Inputs!$B$39="pvp",15,MAX(0.1,Skills!D5-IF(Skills!E5=TRUE,4.5,0))))+1)),0)</f>
        <v/>
      </c>
      <c r="S1803">
        <f>IFERROR(O1803/N1803,0)</f>
        <v/>
      </c>
      <c r="T1803">
        <f>IF(C1803,(H1803*N1803*IF(AND(Inputs!$B$39&lt;&gt;"pvp",Inputs!$B$44&gt;0),((Skills!G5*((R1803-1)*IF(Skills!H5&gt;0,Skills!I5/Skills!H5,1)+IF(Skills!H5&gt;0,MIN(Skills!I5,MAX(0,MAX(0,Inputs!$B$44-B1842)-((R1803-1)*IF(Inputs!$B$39="pvp",15,MAX(0.1,Skills!D5-IF(Skills!E5=TRUE,4.5,0))))))/Skills!H5,1)))/Inputs!$B$44),G1803*Q1803))*IF(Inputs!$B$39="pvp",1,1+(Inputs!$B$20+0+Skills!P5+B1832)/100),0)</f>
        <v/>
      </c>
      <c r="V1803">
        <f>IF(C1803,(H1803*N1803*IF(AND(Inputs!$B$39&lt;&gt;"pvp",Inputs!$B$44&gt;0),((Skills!G5*((R1803-1)*IF(Skills!H5&gt;0,Skills!I5/Skills!H5,1)+IF(Skills!H5&gt;0,MIN(Skills!I5,MAX(0,MAX(0,Inputs!$B$44-B1842)-((R1803-1)*IF(Inputs!$B$39="pvp",15,MAX(0.1,Skills!D5-IF(Skills!E5=TRUE,4.5,0))))))/Skills!H5,1)))/Inputs!$B$44),G1803*Q1803))*IF(Inputs!$B$39="pvp",1,(1+(Inputs!$B$21+Skills!Q5+B1832)/100)*(MIN(Skills!W5,Inputs!$B$37))),0)</f>
        <v/>
      </c>
    </row>
    <row r="1804">
      <c r="A1804">
        <f>Skills!A6</f>
        <v/>
      </c>
      <c r="B1804">
        <f>Skills!B6</f>
        <v/>
      </c>
      <c r="C1804">
        <f>Inputs!$B$3&gt;=69</f>
        <v/>
      </c>
      <c r="D1804">
        <f>IF(Skills!C6=1,60+Inputs!$B$25+Inputs!$B$29,IF(Skills!C6=2,90+Inputs!$B$26+Inputs!$B$29,IF(Skills!C6=3,120+Inputs!$B$27+Inputs!$B$29,MAX(0,(Inputs!$B$3-100)*3)+Inputs!$B$28+Inputs!$B$29)))</f>
        <v/>
      </c>
      <c r="E1804">
        <f>INDEX(FactorTable!$B$2:$Y$301, MATCH(ROUND(MIN(300,MAX(1,D1804)),0), FactorTable!$A$2:$A$301,0), Skills!M6+1)</f>
        <v/>
      </c>
      <c r="F1804">
        <f>IF(Skills!N6=TRUE,(Skills!L6/10)*(E1804/1000),Skills!L6/10)+Skills!O6</f>
        <v/>
      </c>
      <c r="G1804">
        <f>Skills!G6*IF(Skills!H6&gt;0,Skills!I6/Skills!H6,1)</f>
        <v/>
      </c>
      <c r="H1804">
        <f>1-(1-Skills!J6/100)^Skills!K6</f>
        <v/>
      </c>
      <c r="I1804" t="inlineStr">
        <is>
          <t>1</t>
        </is>
      </c>
      <c r="J1804">
        <f>((Inputs!$B$6*(1+Inputs!$B$7/100))+(((Inputs!$B$12*(1+Inputs!$B$13/100))-(Inputs!$B$12*(1+Inputs!$B$13/100)))+0.25*(Inputs!$B$14-Inputs!$B$14))*(1+Inputs!$B$7/100))*(F1804/100)</f>
        <v/>
      </c>
      <c r="K1804">
        <f>J1804*(1+((Inputs!$B$12*(1+Inputs!$B$13/100))*0.01+Inputs!$B$14*0.0025)/100)*(1+Inputs!$B$15/100)*(1+Inputs!$B$16/100)*(5000/(6000+Inputs!$B$43*(1-Inputs!$B$19/100)))*(1+(Inputs!$B$24+((C1828=TRUE)*(F1828-Calc!F30)))/100)*(1+1.0*IF(C1816=TRUE,F1816,0)/100)*(1+(IF(Skills!A6="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1804)</f>
        <v/>
      </c>
      <c r="L1804">
        <f>K1804*(MIN(Inputs!$B$22+((C1822=TRUE)*(F1822-Calc!F24)),Inputs!$B$23+((C1827=TRUE)*(F1827-Calc!F29)))/100+(Inputs!$B$23+((C1827=TRUE)*(F1827-Calc!F29)))/100)/2</f>
        <v/>
      </c>
      <c r="M1804">
        <f>L1804*(1+(Inputs!$B$10+((C1824=TRUE)*(F1824-Calc!F26))+B1838)/100)</f>
        <v/>
      </c>
      <c r="N1804">
        <f>L1804*(1-MIN((Inputs!$B$9+((C1823=TRUE)*(F1823-Calc!F25))+B1831),100)/100)+M1804*(MIN((Inputs!$B$9+((C1823=TRUE)*(F1823-Calc!F25))+B1831),100)/100)</f>
        <v/>
      </c>
      <c r="O1804">
        <f>(1-Summary!$B$55)*T1804+Summary!$B$55*V1804</f>
        <v/>
      </c>
      <c r="P1804">
        <f>IF(B1843=0,0,O1804/B1843)</f>
        <v/>
      </c>
      <c r="Q1804">
        <f>IFERROR(1/IF(Inputs!$B$39="pvp",15,MAX(0.1,Skills!D6-IF(Skills!E6=TRUE,4.5,0))),0)</f>
        <v/>
      </c>
      <c r="R1804">
        <f>IF(AND(Inputs!$B$39&lt;&gt;"pvp",Inputs!$B$44&gt;0),IF(MAX(0,Inputs!$B$44-B1842)&lt;=0,0,(INT(MAX(0,Inputs!$B$44-B1842)/IF(Inputs!$B$39="pvp",15,MAX(0.1,Skills!D6-IF(Skills!E6=TRUE,4.5,0))))+1)),0)</f>
        <v/>
      </c>
      <c r="S1804">
        <f>IFERROR(O1804/N1804,0)</f>
        <v/>
      </c>
      <c r="T1804">
        <f>IF(C1804,(H1804*N1804*IF(AND(Inputs!$B$39&lt;&gt;"pvp",Inputs!$B$44&gt;0),((Skills!G6*((R1804-1)*IF(Skills!H6&gt;0,Skills!I6/Skills!H6,1)+IF(Skills!H6&gt;0,MIN(Skills!I6,MAX(0,MAX(0,Inputs!$B$44-B1842)-((R1804-1)*IF(Inputs!$B$39="pvp",15,MAX(0.1,Skills!D6-IF(Skills!E6=TRUE,4.5,0))))))/Skills!H6,1)))/Inputs!$B$44),G1804*Q1804))*IF(Inputs!$B$39="pvp",1,1+(Inputs!$B$20+0+Skills!P6+B1832)/100),0)</f>
        <v/>
      </c>
      <c r="V1804">
        <f>IF(C1804,(H1804*N1804*IF(AND(Inputs!$B$39&lt;&gt;"pvp",Inputs!$B$44&gt;0),((Skills!G6*((R1804-1)*IF(Skills!H6&gt;0,Skills!I6/Skills!H6,1)+IF(Skills!H6&gt;0,MIN(Skills!I6,MAX(0,MAX(0,Inputs!$B$44-B1842)-((R1804-1)*IF(Inputs!$B$39="pvp",15,MAX(0.1,Skills!D6-IF(Skills!E6=TRUE,4.5,0))))))/Skills!H6,1)))/Inputs!$B$44),G1804*Q1804))*IF(Inputs!$B$39="pvp",1,(1+(Inputs!$B$21+Skills!Q6+B1832)/100)*(MIN(Skills!W6,Inputs!$B$37))),0)</f>
        <v/>
      </c>
    </row>
    <row r="1805">
      <c r="A1805">
        <f>Skills!A7</f>
        <v/>
      </c>
      <c r="B1805">
        <f>Skills!B7</f>
        <v/>
      </c>
      <c r="C1805">
        <f>Inputs!$B$3&gt;=60</f>
        <v/>
      </c>
      <c r="D1805">
        <f>IF(Skills!C7=1,60+Inputs!$B$25+Inputs!$B$29,IF(Skills!C7=2,90+Inputs!$B$26+Inputs!$B$29,IF(Skills!C7=3,120+Inputs!$B$27+Inputs!$B$29,MAX(0,(Inputs!$B$3-100)*3)+Inputs!$B$28+Inputs!$B$29)))</f>
        <v/>
      </c>
      <c r="E1805">
        <f>INDEX(FactorTable!$B$2:$Y$301, MATCH(ROUND(MIN(300,MAX(1,D1805)),0), FactorTable!$A$2:$A$301,0), Skills!M7+1)</f>
        <v/>
      </c>
      <c r="F1805">
        <f>IF(Skills!N7=TRUE,(Skills!L7/10)*(E1805/1000),Skills!L7/10)+Skills!O7</f>
        <v/>
      </c>
      <c r="G1805">
        <f>Skills!G7*IF(Skills!H7&gt;0,Skills!I7/Skills!H7,1)</f>
        <v/>
      </c>
      <c r="H1805">
        <f>1-(1-Skills!J7/100)^Skills!K7</f>
        <v/>
      </c>
      <c r="I1805" t="inlineStr">
        <is>
          <t>1</t>
        </is>
      </c>
      <c r="J1805" t="inlineStr"/>
      <c r="K1805" t="inlineStr"/>
      <c r="L1805" t="inlineStr"/>
      <c r="M1805" t="inlineStr"/>
      <c r="N1805" t="inlineStr"/>
      <c r="O1805">
        <f>(1-Summary!$B$55)*T1805+Summary!$B$55*V1805</f>
        <v/>
      </c>
      <c r="P1805">
        <f>IF(B1843=0,0,O1805/B1843)</f>
        <v/>
      </c>
      <c r="Q1805" t="n">
        <v>0</v>
      </c>
      <c r="R1805" t="n">
        <v>0</v>
      </c>
      <c r="S1805">
        <f>IFERROR(O1805/N1805,0)</f>
        <v/>
      </c>
      <c r="T1805" t="n">
        <v>0</v>
      </c>
      <c r="V1805" t="n">
        <v>0</v>
      </c>
    </row>
    <row r="1806">
      <c r="A1806">
        <f>Skills!A8</f>
        <v/>
      </c>
      <c r="B1806">
        <f>Skills!B8</f>
        <v/>
      </c>
      <c r="C1806">
        <f>Inputs!$B$3&gt;=72</f>
        <v/>
      </c>
      <c r="D1806">
        <f>IF(Skills!C8=1,60+Inputs!$B$25+Inputs!$B$29,IF(Skills!C8=2,90+Inputs!$B$26+Inputs!$B$29,IF(Skills!C8=3,120+Inputs!$B$27+Inputs!$B$29,MAX(0,(Inputs!$B$3-100)*3)+Inputs!$B$28+Inputs!$B$29)))</f>
        <v/>
      </c>
      <c r="E1806">
        <f>INDEX(FactorTable!$B$2:$Y$301, MATCH(ROUND(MIN(300,MAX(1,D1806)),0), FactorTable!$A$2:$A$301,0), Skills!M8+1)</f>
        <v/>
      </c>
      <c r="F1806">
        <f>IF(Skills!N8=TRUE,(Skills!L8/10)*(E1806/1000),Skills!L8/10)+Skills!O8</f>
        <v/>
      </c>
      <c r="G1806">
        <f>Skills!G8*IF(Skills!H8&gt;0,Skills!I8/Skills!H8,1)</f>
        <v/>
      </c>
      <c r="H1806">
        <f>1-(1-Skills!J8/100)^Skills!K8</f>
        <v/>
      </c>
      <c r="I1806" t="inlineStr">
        <is>
          <t>1</t>
        </is>
      </c>
      <c r="J1806">
        <f>((Inputs!$B$6*(1+Inputs!$B$7/100))+(((Inputs!$B$12*(1+Inputs!$B$13/100))-(Inputs!$B$12*(1+Inputs!$B$13/100)))+0.25*(Inputs!$B$14-Inputs!$B$14))*(1+Inputs!$B$7/100))*(F1806/100)</f>
        <v/>
      </c>
      <c r="K1806">
        <f>J1806*(1+((Inputs!$B$12*(1+Inputs!$B$13/100))*0.01+Inputs!$B$14*0.0025)/100)*(1+Inputs!$B$15/100)*(1+Inputs!$B$16/100)*(5000/(6000+Inputs!$B$43*(1-Inputs!$B$19/100)))*(1+(Inputs!$B$24+((C1828=TRUE)*(F1828-Calc!F30)))/100)*(1+3.3333333333333335*IF(C1816=TRUE,F1816,0)/100)*(1+(IF(Skills!A8="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1806)</f>
        <v/>
      </c>
      <c r="L1806">
        <f>K1806*(MIN(Inputs!$B$22+((C1822=TRUE)*(F1822-Calc!F24)),Inputs!$B$23+((C1827=TRUE)*(F1827-Calc!F29)))/100+(Inputs!$B$23+((C1827=TRUE)*(F1827-Calc!F29)))/100)/2</f>
        <v/>
      </c>
      <c r="M1806">
        <f>L1806*(1+(Inputs!$B$10+((C1824=TRUE)*(F1824-Calc!F26))+B1838)/100)</f>
        <v/>
      </c>
      <c r="N1806">
        <f>L1806*(1-MIN((Inputs!$B$9+((C1823=TRUE)*(F1823-Calc!F25))+B1831),100)/100)+M1806*(MIN((Inputs!$B$9+((C1823=TRUE)*(F1823-Calc!F25))+B1831),100)/100)</f>
        <v/>
      </c>
      <c r="O1806">
        <f>(1-Summary!$B$55)*T1806+Summary!$B$55*V1806</f>
        <v/>
      </c>
      <c r="P1806">
        <f>IF(B1843=0,0,O1806/B1843)</f>
        <v/>
      </c>
      <c r="Q1806">
        <f>IFERROR(1/IF(Inputs!$B$39="pvp",15,MAX(0.1,Skills!D8-IF(Skills!E8=TRUE,4.5,0))),0)</f>
        <v/>
      </c>
      <c r="R1806">
        <f>IF(AND(Inputs!$B$39&lt;&gt;"pvp",Inputs!$B$44&gt;0),IF(MAX(0,Inputs!$B$44-B1842)&lt;=0,0,(INT(MAX(0,Inputs!$B$44-B1842)/IF(Inputs!$B$39="pvp",15,MAX(0.1,Skills!D8-IF(Skills!E8=TRUE,4.5,0))))+1)),0)</f>
        <v/>
      </c>
      <c r="S1806">
        <f>IFERROR(O1806/N1806,0)</f>
        <v/>
      </c>
      <c r="T1806">
        <f>IF(C1806,(H1806*N1806*IF(AND(Inputs!$B$39&lt;&gt;"pvp",Inputs!$B$44&gt;0),((Skills!G8*((R1806-1)*IF(Skills!H8&gt;0,Skills!I8/Skills!H8,1)+IF(Skills!H8&gt;0,MIN(Skills!I8,MAX(0,MAX(0,Inputs!$B$44-B1842)-((R1806-1)*IF(Inputs!$B$39="pvp",15,MAX(0.1,Skills!D8-IF(Skills!E8=TRUE,4.5,0))))))/Skills!H8,1)))/Inputs!$B$44),G1806*Q1806))*IF(Inputs!$B$39="pvp",1,1+(Inputs!$B$20+0+Skills!P8+B1832)/100),0)</f>
        <v/>
      </c>
      <c r="V1806">
        <f>IF(C1806,(H1806*N1806*IF(AND(Inputs!$B$39&lt;&gt;"pvp",Inputs!$B$44&gt;0),((Skills!G8*((R1806-1)*IF(Skills!H8&gt;0,Skills!I8/Skills!H8,1)+IF(Skills!H8&gt;0,MIN(Skills!I8,MAX(0,MAX(0,Inputs!$B$44-B1842)-((R1806-1)*IF(Inputs!$B$39="pvp",15,MAX(0.1,Skills!D8-IF(Skills!E8=TRUE,4.5,0))))))/Skills!H8,1)))/Inputs!$B$44),G1806*Q1806))*IF(Inputs!$B$39="pvp",1,(1+(Inputs!$B$21+Skills!Q8+B1832)/100)*(MIN(Skills!W8,Inputs!$B$37))),0)</f>
        <v/>
      </c>
    </row>
    <row r="1807">
      <c r="A1807">
        <f>Skills!A9</f>
        <v/>
      </c>
      <c r="B1807">
        <f>Skills!B9</f>
        <v/>
      </c>
      <c r="C1807">
        <f>Inputs!$B$3&gt;=117</f>
        <v/>
      </c>
      <c r="D1807">
        <f>IF(Skills!C9=1,60+Inputs!$B$25+Inputs!$B$29,IF(Skills!C9=2,90+Inputs!$B$26+Inputs!$B$29,IF(Skills!C9=3,120+Inputs!$B$27+Inputs!$B$29,MAX(0,(Inputs!$B$3-100)*3)+Inputs!$B$28+Inputs!$B$29)))</f>
        <v/>
      </c>
      <c r="E1807">
        <f>INDEX(FactorTable!$B$2:$Y$301, MATCH(ROUND(MIN(300,MAX(1,D1807)),0), FactorTable!$A$2:$A$301,0), Skills!M9+1)</f>
        <v/>
      </c>
      <c r="F1807">
        <f>IF(Skills!N9=TRUE,(Skills!L9/10)*(E1807/1000),Skills!L9/10)+Skills!O9</f>
        <v/>
      </c>
      <c r="G1807">
        <f>Skills!G9*IF(Skills!H9&gt;0,Skills!I9/Skills!H9,1)</f>
        <v/>
      </c>
      <c r="H1807">
        <f>1-(1-Skills!J9/100)^Skills!K9</f>
        <v/>
      </c>
      <c r="I1807" t="inlineStr">
        <is>
          <t>1</t>
        </is>
      </c>
      <c r="J1807">
        <f>((Inputs!$B$6*(1+Inputs!$B$7/100))+(((Inputs!$B$12*(1+Inputs!$B$13/100))-(Inputs!$B$12*(1+Inputs!$B$13/100)))+0.25*(Inputs!$B$14-Inputs!$B$14))*(1+Inputs!$B$7/100))*(F1807/100)</f>
        <v/>
      </c>
      <c r="K1807">
        <f>J1807*(1+((Inputs!$B$12*(1+Inputs!$B$13/100))*0.01+Inputs!$B$14*0.0025)/100)*(1+Inputs!$B$15/100)*(1+Inputs!$B$16/100)*(5000/(6000+Inputs!$B$43*(1-Inputs!$B$19/100)))*(1+(Inputs!$B$24+((C1828=TRUE)*(F1828-Calc!F30)))/100)*(1+(IF(Skills!A9="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1807)</f>
        <v/>
      </c>
      <c r="L1807">
        <f>K1807*(MIN(Inputs!$B$22+((C1822=TRUE)*(F1822-Calc!F24)),Inputs!$B$23+((C1827=TRUE)*(F1827-Calc!F29)))/100+(Inputs!$B$23+((C1827=TRUE)*(F1827-Calc!F29)))/100)/2</f>
        <v/>
      </c>
      <c r="M1807">
        <f>L1807*(1+(Inputs!$B$10+((C1824=TRUE)*(F1824-Calc!F26))+B1838)/100)</f>
        <v/>
      </c>
      <c r="N1807">
        <f>L1807*(1-MIN((Inputs!$B$9+((C1823=TRUE)*(F1823-Calc!F25))+B1831),100)/100)+M1807*(MIN((Inputs!$B$9+((C1823=TRUE)*(F1823-Calc!F25))+B1831),100)/100)</f>
        <v/>
      </c>
      <c r="O1807">
        <f>(1-Summary!$B$55)*T1807+Summary!$B$55*V1807</f>
        <v/>
      </c>
      <c r="P1807">
        <f>IF(B1843=0,0,O1807/B1843)</f>
        <v/>
      </c>
      <c r="Q1807" t="n">
        <v>0</v>
      </c>
      <c r="R1807" t="n">
        <v>0</v>
      </c>
      <c r="S1807" t="n">
        <v>0</v>
      </c>
      <c r="T1807">
        <f>IF(C1807,(0.2*SUMPRODUCT((Skills!Z2:Z30=TRUE)*(C1800:C1828=TRUE)*S1800:S1828)*N1807)*IF(Inputs!$B$39="pvp",1,1+(Inputs!$B$20+0+Skills!P9+B1832)/100),0)</f>
        <v/>
      </c>
      <c r="V1807">
        <f>IF(C1807,(0.2*SUMPRODUCT((Skills!Z2:Z30=TRUE)*(C1800:C1828=TRUE)*S1800:S1828)*N1807)*IF(Inputs!$B$39="pvp",1,(1+(Inputs!$B$21+Skills!Q9+B1832)/100)*(MIN(Skills!W9,Inputs!$B$37))),0)</f>
        <v/>
      </c>
    </row>
    <row r="1808">
      <c r="A1808">
        <f>Skills!A10</f>
        <v/>
      </c>
      <c r="B1808">
        <f>Skills!B10</f>
        <v/>
      </c>
      <c r="C1808">
        <f>Inputs!$B$3&gt;=74</f>
        <v/>
      </c>
      <c r="D1808">
        <f>IF(Skills!C10=1,60+Inputs!$B$25+Inputs!$B$29,IF(Skills!C10=2,90+Inputs!$B$26+Inputs!$B$29,IF(Skills!C10=3,120+Inputs!$B$27+Inputs!$B$29,MAX(0,(Inputs!$B$3-100)*3)+Inputs!$B$28+Inputs!$B$29)))</f>
        <v/>
      </c>
      <c r="E1808">
        <f>INDEX(FactorTable!$B$2:$Y$301, MATCH(ROUND(MIN(300,MAX(1,D1808)),0), FactorTable!$A$2:$A$301,0), Skills!M10+1)</f>
        <v/>
      </c>
      <c r="F1808">
        <f>IF(Skills!N10=TRUE,(Skills!L10/10)*(E1808/1000),Skills!L10/10)+Skills!O10</f>
        <v/>
      </c>
      <c r="G1808">
        <f>Skills!G10*IF(Skills!H10&gt;0,Skills!I10/Skills!H10,1)</f>
        <v/>
      </c>
      <c r="H1808">
        <f>1-(1-Skills!J10/100)^Skills!K10</f>
        <v/>
      </c>
      <c r="I1808" t="inlineStr">
        <is>
          <t>1</t>
        </is>
      </c>
      <c r="J1808" t="inlineStr"/>
      <c r="K1808" t="inlineStr"/>
      <c r="L1808" t="inlineStr"/>
      <c r="M1808" t="inlineStr"/>
      <c r="N1808" t="inlineStr"/>
      <c r="O1808">
        <f>(1-Summary!$B$55)*T1808+Summary!$B$55*V1808</f>
        <v/>
      </c>
      <c r="P1808">
        <f>IF(B1843=0,0,O1808/B1843)</f>
        <v/>
      </c>
      <c r="Q1808">
        <f>IFERROR(1/IF(Inputs!$B$39="pvp",15,MAX(0.1,Skills!D10-IF(Skills!E10=TRUE,4.5,0))),0)</f>
        <v/>
      </c>
      <c r="R1808">
        <f>IF(AND(Inputs!$B$39&lt;&gt;"pvp",Inputs!$B$44&gt;0),IF(Inputs!$B$44&lt;=0,0,(INT(Inputs!$B$44/IF(Inputs!$B$39="pvp",15,MAX(0.1,Skills!D10-IF(Skills!E10=TRUE,4.5,0))))+1)),0)</f>
        <v/>
      </c>
      <c r="S1808">
        <f>IFERROR(O1808/N1808,0)</f>
        <v/>
      </c>
      <c r="T1808" t="n">
        <v>0</v>
      </c>
      <c r="V1808" t="n">
        <v>0</v>
      </c>
    </row>
    <row r="1809">
      <c r="A1809">
        <f>Skills!A11</f>
        <v/>
      </c>
      <c r="B1809">
        <f>Skills!B11</f>
        <v/>
      </c>
      <c r="C1809">
        <f>Inputs!$B$3&gt;=103</f>
        <v/>
      </c>
      <c r="D1809">
        <f>IF(Skills!C11=1,60+Inputs!$B$25+Inputs!$B$29,IF(Skills!C11=2,90+Inputs!$B$26+Inputs!$B$29,IF(Skills!C11=3,120+Inputs!$B$27+Inputs!$B$29,MAX(0,(Inputs!$B$3-100)*3)+Inputs!$B$28+Inputs!$B$29)))</f>
        <v/>
      </c>
      <c r="E1809">
        <f>INDEX(FactorTable!$B$2:$Y$301, MATCH(ROUND(MIN(300,MAX(1,D1809)),0), FactorTable!$A$2:$A$301,0), Skills!M11+1)</f>
        <v/>
      </c>
      <c r="F1809">
        <f>(Skills!L11/10)*(E1809/1000)+IF(Inputs!$B$3&gt;=134,50,0)+0.5*(30000/10)*(INDEX(FactorTable!$B$2:$Y$301, MATCH(ROUND(MIN(300,MAX(1,D1809)),0), FactorTable!$A$2:$A$301,0), 13)/1000)*B1841</f>
        <v/>
      </c>
      <c r="G1809">
        <f>Skills!G11*IF(Skills!H11&gt;0,Skills!I11/Skills!H11,1)</f>
        <v/>
      </c>
      <c r="H1809">
        <f>1-(1-Skills!J11/100)^Skills!K11</f>
        <v/>
      </c>
      <c r="I1809" t="inlineStr">
        <is>
          <t>1</t>
        </is>
      </c>
      <c r="J1809">
        <f>((Inputs!$B$6*(1+Inputs!$B$7/100))+(((Inputs!$B$12*(1+Inputs!$B$13/100))-(Inputs!$B$12*(1+Inputs!$B$13/100)))+0.25*(Inputs!$B$14-Inputs!$B$14))*(1+Inputs!$B$7/100))*(F1809/100)</f>
        <v/>
      </c>
      <c r="K1809">
        <f>J1809*(1+((Inputs!$B$12*(1+Inputs!$B$13/100))*0.01+Inputs!$B$14*0.0025)/100)*(1+Inputs!$B$15/100)*(1+Inputs!$B$16/100)*(5000/(6000+Inputs!$B$43*(1-Inputs!$B$19/100)))*(1+(Inputs!$B$24+((C1828=TRUE)*(F1828-Calc!F30)))/100)*(1+(IF(Skills!A11="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1809)</f>
        <v/>
      </c>
      <c r="L1809">
        <f>K1809*(MIN(Inputs!$B$22+((C1822=TRUE)*(F1822-Calc!F24)),Inputs!$B$23+((C1827=TRUE)*(F1827-Calc!F29)))/100+(Inputs!$B$23+((C1827=TRUE)*(F1827-Calc!F29)))/100)/2</f>
        <v/>
      </c>
      <c r="M1809">
        <f>L1809*(1+(Inputs!$B$10+((C1824=TRUE)*(F1824-Calc!F26))+B1838)/100)</f>
        <v/>
      </c>
      <c r="N1809">
        <f>L1809*(1-MIN((Inputs!$B$9+((C1823=TRUE)*(F1823-Calc!F25))+B1831),100)/100)+M1809*(MIN((Inputs!$B$9+((C1823=TRUE)*(F1823-Calc!F25))+B1831),100)/100)</f>
        <v/>
      </c>
      <c r="O1809">
        <f>(1-Summary!$B$55)*T1809+Summary!$B$55*V1809</f>
        <v/>
      </c>
      <c r="P1809">
        <f>IF(B1843=0,0,O1809/B1843)</f>
        <v/>
      </c>
      <c r="Q1809">
        <f>IFERROR(1/IF(Inputs!$B$39="pvp",15,MAX(0.1,Skills!D11-IF(Skills!E11=TRUE,4.5,0))),0)</f>
        <v/>
      </c>
      <c r="R1809">
        <f>IF(AND(Inputs!$B$39&lt;&gt;"pvp",Inputs!$B$44&gt;0),IF(MAX(0,Inputs!$B$44-B1842)&lt;=0,0,(INT(MAX(0,Inputs!$B$44-B1842)/IF(Inputs!$B$39="pvp",15,MAX(0.1,Skills!D11-IF(Skills!E11=TRUE,4.5,0))))+1)),0)</f>
        <v/>
      </c>
      <c r="S1809">
        <f>IFERROR(O1809/N1809,0)</f>
        <v/>
      </c>
      <c r="T1809">
        <f>IF(C1809,(H1809*N1809*IF(AND(Inputs!$B$39&lt;&gt;"pvp",Inputs!$B$44&gt;0),((Skills!G11*((R1809-1)*IF(Skills!H11&gt;0,Skills!I11/Skills!H11,1)+IF(Skills!H11&gt;0,MIN(Skills!I11,MAX(0,MAX(0,Inputs!$B$44-B1842)-((R1809-1)*IF(Inputs!$B$39="pvp",15,MAX(0.1,Skills!D11-IF(Skills!E11=TRUE,4.5,0))))))/Skills!H11,1)))/Inputs!$B$44),G1809*Q1809))*IF(Inputs!$B$39="pvp",1,1+(Inputs!$B$20+0+Skills!P11+B1832)/100),0)</f>
        <v/>
      </c>
      <c r="V1809">
        <f>IF(C1809,(H1809*N1809*IF(AND(Inputs!$B$39&lt;&gt;"pvp",Inputs!$B$44&gt;0),((Skills!G11*((R1809-1)*IF(Skills!H11&gt;0,Skills!I11/Skills!H11,1)+IF(Skills!H11&gt;0,MIN(Skills!I11,MAX(0,MAX(0,Inputs!$B$44-B1842)-((R1809-1)*IF(Inputs!$B$39="pvp",15,MAX(0.1,Skills!D11-IF(Skills!E11=TRUE,4.5,0))))))/Skills!H11,1)))/Inputs!$B$44),G1809*Q1809))*IF(Inputs!$B$39="pvp",1,(1+(Inputs!$B$21+Skills!Q11+B1832)/100)*(MIN(Skills!W11,Inputs!$B$37))),0)</f>
        <v/>
      </c>
    </row>
    <row r="1810">
      <c r="A1810">
        <f>Skills!A12</f>
        <v/>
      </c>
      <c r="B1810">
        <f>Skills!B12</f>
        <v/>
      </c>
      <c r="C1810">
        <f>Inputs!$B$3&gt;=105</f>
        <v/>
      </c>
      <c r="D1810">
        <f>IF(Skills!C12=1,60+Inputs!$B$25+Inputs!$B$29,IF(Skills!C12=2,90+Inputs!$B$26+Inputs!$B$29,IF(Skills!C12=3,120+Inputs!$B$27+Inputs!$B$29,MAX(0,(Inputs!$B$3-100)*3)+Inputs!$B$28+Inputs!$B$29)))</f>
        <v/>
      </c>
      <c r="E1810">
        <f>INDEX(FactorTable!$B$2:$Y$301, MATCH(ROUND(MIN(300,MAX(1,D1810)),0), FactorTable!$A$2:$A$301,0), Skills!M12+1)</f>
        <v/>
      </c>
      <c r="F1810">
        <f>IF(Skills!N12=TRUE,(Skills!L12/10)*(E1810/1000),Skills!L12/10)+Skills!O12</f>
        <v/>
      </c>
      <c r="G1810">
        <f>Skills!G12*IF(Skills!H12&gt;0,Skills!I12/Skills!H12,1)</f>
        <v/>
      </c>
      <c r="H1810">
        <f>1-(1-Skills!J12/100)^Skills!K12</f>
        <v/>
      </c>
      <c r="I1810" t="inlineStr">
        <is>
          <t>1</t>
        </is>
      </c>
      <c r="J1810">
        <f>((Inputs!$B$6*(1+Inputs!$B$7/100))+(((Inputs!$B$12*(1+Inputs!$B$13/100))-(Inputs!$B$12*(1+Inputs!$B$13/100)))+0.25*(Inputs!$B$14-Inputs!$B$14))*(1+Inputs!$B$7/100))*(F1810/100)</f>
        <v/>
      </c>
      <c r="K1810">
        <f>J1810*(1+((Inputs!$B$12*(1+Inputs!$B$13/100))*0.01+Inputs!$B$14*0.0025)/100)*(1+Inputs!$B$15/100)*(1+Inputs!$B$16/100)*(5000/(6000+Inputs!$B$43*(1-Inputs!$B$19/100)))*(1+(Inputs!$B$24+((C1828=TRUE)*(F1828-Calc!F30)))/100)*(1+(IF(Skills!A12="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1810)</f>
        <v/>
      </c>
      <c r="L1810">
        <f>K1810*(MIN(Inputs!$B$22+((C1822=TRUE)*(F1822-Calc!F24)),Inputs!$B$23+((C1827=TRUE)*(F1827-Calc!F29)))/100+(Inputs!$B$23+((C1827=TRUE)*(F1827-Calc!F29)))/100)/2</f>
        <v/>
      </c>
      <c r="M1810">
        <f>L1810*(1+(Inputs!$B$10+((C1824=TRUE)*(F1824-Calc!F26))+B1838)/100)</f>
        <v/>
      </c>
      <c r="N1810">
        <f>L1810*(1-MIN((Inputs!$B$9+((C1823=TRUE)*(F1823-Calc!F25))+B1831),100)/100)+M1810*(MIN((Inputs!$B$9+((C1823=TRUE)*(F1823-Calc!F25))+B1831),100)/100)</f>
        <v/>
      </c>
      <c r="O1810">
        <f>(1-Summary!$B$55)*T1810+Summary!$B$55*V1810</f>
        <v/>
      </c>
      <c r="P1810">
        <f>IF(B1843=0,0,O1810/B1843)</f>
        <v/>
      </c>
      <c r="Q1810">
        <f>IFERROR(1/IF(Inputs!$B$39="pvp",15,MAX(0.1,Skills!D12-IF(Skills!E12=TRUE,4.5,0))),0)</f>
        <v/>
      </c>
      <c r="R1810">
        <f>IF(AND(Inputs!$B$39&lt;&gt;"pvp",Inputs!$B$44&gt;0),IF(MAX(0,Inputs!$B$44-B1842)&lt;=0,0,(INT(MAX(0,Inputs!$B$44-B1842)/IF(Inputs!$B$39="pvp",15,MAX(0.1,Skills!D12-IF(Skills!E12=TRUE,4.5,0))))+1)),0)</f>
        <v/>
      </c>
      <c r="S1810">
        <f>IFERROR(O1810/N1810,0)</f>
        <v/>
      </c>
      <c r="T1810">
        <f>IF(C1810,(H1810*N1810*IF(AND(Inputs!$B$39&lt;&gt;"pvp",Inputs!$B$44&gt;0),((Skills!G12*((R1810-1)*IF(Skills!H12&gt;0,Skills!I12/Skills!H12,1)+IF(Skills!H12&gt;0,MIN(Skills!I12,MAX(0,MAX(0,Inputs!$B$44-B1842)-((R1810-1)*IF(Inputs!$B$39="pvp",15,MAX(0.1,Skills!D12-IF(Skills!E12=TRUE,4.5,0))))))/Skills!H12,1)))/Inputs!$B$44),G1810*Q1810))*IF(Inputs!$B$39="pvp",1,1+(Inputs!$B$20+0+Skills!P12+B1832)/100),0)</f>
        <v/>
      </c>
      <c r="V1810">
        <f>IF(C1810,(H1810*N1810*IF(AND(Inputs!$B$39&lt;&gt;"pvp",Inputs!$B$44&gt;0),((Skills!G12*((R1810-1)*IF(Skills!H12&gt;0,Skills!I12/Skills!H12,1)+IF(Skills!H12&gt;0,MIN(Skills!I12,MAX(0,MAX(0,Inputs!$B$44-B1842)-((R1810-1)*IF(Inputs!$B$39="pvp",15,MAX(0.1,Skills!D12-IF(Skills!E12=TRUE,4.5,0))))))/Skills!H12,1)))/Inputs!$B$44),G1810*Q1810))*IF(Inputs!$B$39="pvp",1,(1+(Inputs!$B$21+Skills!Q12+B1832)/100)*(MIN(Skills!W12,Inputs!$B$37))),0)</f>
        <v/>
      </c>
    </row>
    <row r="1811">
      <c r="A1811">
        <f>Skills!A13</f>
        <v/>
      </c>
      <c r="B1811">
        <f>Skills!B13</f>
        <v/>
      </c>
      <c r="C1811">
        <f>Inputs!$B$3&gt;=105</f>
        <v/>
      </c>
      <c r="D1811">
        <f>IF(Skills!C13=1,60+Inputs!$B$25+Inputs!$B$29,IF(Skills!C13=2,90+Inputs!$B$26+Inputs!$B$29,IF(Skills!C13=3,120+Inputs!$B$27+Inputs!$B$29,MAX(0,(Inputs!$B$3-100)*3)+Inputs!$B$28+Inputs!$B$29)))</f>
        <v/>
      </c>
      <c r="E1811">
        <f>INDEX(FactorTable!$B$2:$Y$301, MATCH(ROUND(MIN(300,MAX(1,D1811)),0), FactorTable!$A$2:$A$301,0), Skills!M13+1)</f>
        <v/>
      </c>
      <c r="F1811">
        <f>IF(Skills!N13=TRUE,(Skills!L13/10)*(E1811/1000),Skills!L13/10)+Skills!O13</f>
        <v/>
      </c>
      <c r="G1811">
        <f>Skills!G13*IF(Skills!H13&gt;0,Skills!I13/Skills!H13,1)</f>
        <v/>
      </c>
      <c r="H1811">
        <f>1-(1-Skills!J13/100)^Skills!K13</f>
        <v/>
      </c>
      <c r="I1811" t="inlineStr">
        <is>
          <t>1</t>
        </is>
      </c>
      <c r="J1811">
        <f>((Inputs!$B$6*(1+Inputs!$B$7/100))+(((Inputs!$B$12*(1+Inputs!$B$13/100))-(Inputs!$B$12*(1+Inputs!$B$13/100)))+0.25*(Inputs!$B$14-Inputs!$B$14))*(1+Inputs!$B$7/100))*(F1811/100)</f>
        <v/>
      </c>
      <c r="K1811">
        <f>J1811*(1+((Inputs!$B$12*(1+Inputs!$B$13/100))*0.01+Inputs!$B$14*0.0025)/100)*(1+Inputs!$B$15/100)*(1+Inputs!$B$16/100)*(5000/(6000+Inputs!$B$43*(1-Inputs!$B$19/100)))*(1+(Inputs!$B$24+((C1828=TRUE)*(F1828-Calc!F30)))/100)*(1+(IF(Skills!A13="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1811)</f>
        <v/>
      </c>
      <c r="L1811">
        <f>K1811*(MIN(Inputs!$B$22+((C1822=TRUE)*(F1822-Calc!F24)),Inputs!$B$23+((C1827=TRUE)*(F1827-Calc!F29)))/100+(Inputs!$B$23+((C1827=TRUE)*(F1827-Calc!F29)))/100)/2</f>
        <v/>
      </c>
      <c r="M1811">
        <f>L1811*(1+(Inputs!$B$10+((C1824=TRUE)*(F1824-Calc!F26))+B1838)/100)</f>
        <v/>
      </c>
      <c r="N1811">
        <f>L1811*(1-MIN((Inputs!$B$9+((C1823=TRUE)*(F1823-Calc!F25))+B1831),100)/100)+M1811*(MIN((Inputs!$B$9+((C1823=TRUE)*(F1823-Calc!F25))+B1831),100)/100)</f>
        <v/>
      </c>
      <c r="O1811">
        <f>(1-Summary!$B$55)*T1811+Summary!$B$55*V1811</f>
        <v/>
      </c>
      <c r="P1811">
        <f>IF(B1843=0,0,O1811/B1843)</f>
        <v/>
      </c>
      <c r="Q1811">
        <f>IFERROR(1/IF(Inputs!$B$39="pvp",15,MAX(0.1,Skills!D13-IF(Skills!E13=TRUE,4.5,0))),0)</f>
        <v/>
      </c>
      <c r="R1811">
        <f>IF(AND(Inputs!$B$39&lt;&gt;"pvp",Inputs!$B$44&gt;0),IF(MAX(0,Inputs!$B$44-B1842)&lt;=0,0,(INT(MAX(0,Inputs!$B$44-B1842)/IF(Inputs!$B$39="pvp",15,MAX(0.1,Skills!D13-IF(Skills!E13=TRUE,4.5,0))))+1)),0)</f>
        <v/>
      </c>
      <c r="S1811">
        <f>IFERROR(O1811/N1811,0)</f>
        <v/>
      </c>
      <c r="T1811">
        <f>IF(C1811,(H1811*N1811*IF(AND(Inputs!$B$39&lt;&gt;"pvp",Inputs!$B$44&gt;0),((Skills!G13*((R1811-1)*IF(Skills!H13&gt;0,Skills!I13/Skills!H13,1)+IF(Skills!H13&gt;0,MIN(Skills!I13,MAX(0,MAX(0,Inputs!$B$44-B1842)-((R1811-1)*IF(Inputs!$B$39="pvp",15,MAX(0.1,Skills!D13-IF(Skills!E13=TRUE,4.5,0))))))/Skills!H13,1)))/Inputs!$B$44),G1811*Q1811))*IF(Inputs!$B$39="pvp",1,1+(Inputs!$B$20+0+Skills!P13+B1832)/100),0)</f>
        <v/>
      </c>
      <c r="V1811">
        <f>IF(C1811,(H1811*N1811*IF(AND(Inputs!$B$39&lt;&gt;"pvp",Inputs!$B$44&gt;0),((Skills!G13*((R1811-1)*IF(Skills!H13&gt;0,Skills!I13/Skills!H13,1)+IF(Skills!H13&gt;0,MIN(Skills!I13,MAX(0,MAX(0,Inputs!$B$44-B1842)-((R1811-1)*IF(Inputs!$B$39="pvp",15,MAX(0.1,Skills!D13-IF(Skills!E13=TRUE,4.5,0))))))/Skills!H13,1)))/Inputs!$B$44),G1811*Q1811))*IF(Inputs!$B$39="pvp",1,(1+(Inputs!$B$21+Skills!Q13+B1832)/100)*(MIN(Skills!W13,Inputs!$B$37))),0)</f>
        <v/>
      </c>
    </row>
    <row r="1812">
      <c r="A1812">
        <f>Skills!A14</f>
        <v/>
      </c>
      <c r="B1812">
        <f>Skills!B14</f>
        <v/>
      </c>
      <c r="C1812">
        <f>Inputs!$B$3&gt;=107</f>
        <v/>
      </c>
      <c r="D1812">
        <f>IF(Skills!C14=1,60+Inputs!$B$25+Inputs!$B$29,IF(Skills!C14=2,90+Inputs!$B$26+Inputs!$B$29,IF(Skills!C14=3,120+Inputs!$B$27+Inputs!$B$29,MAX(0,(Inputs!$B$3-100)*3)+Inputs!$B$28+Inputs!$B$29)))</f>
        <v/>
      </c>
      <c r="E1812">
        <f>INDEX(FactorTable!$B$2:$Y$301, MATCH(ROUND(MIN(300,MAX(1,D1812)),0), FactorTable!$A$2:$A$301,0), Skills!M14+1)</f>
        <v/>
      </c>
      <c r="F1812">
        <f>IF(Skills!N14=TRUE,(Skills!L14/10)*(E1812/1000),Skills!L14/10)+Skills!O14</f>
        <v/>
      </c>
      <c r="G1812">
        <f>Skills!G14*IF(Skills!H14&gt;0,Skills!I14/Skills!H14,1)</f>
        <v/>
      </c>
      <c r="H1812">
        <f>1-(1-Skills!J14/100)^Skills!K14</f>
        <v/>
      </c>
      <c r="I1812" t="inlineStr">
        <is>
          <t>1</t>
        </is>
      </c>
      <c r="J1812">
        <f>((Inputs!$B$6*(1+Inputs!$B$7/100))+(((Inputs!$B$12*(1+Inputs!$B$13/100))-(Inputs!$B$12*(1+Inputs!$B$13/100)))+0.25*(Inputs!$B$14-Inputs!$B$14))*(1+Inputs!$B$7/100))*(F1812/100)</f>
        <v/>
      </c>
      <c r="K1812">
        <f>J1812*(1+((Inputs!$B$12*(1+Inputs!$B$13/100))*0.01+Inputs!$B$14*0.0025)/100)*(1+Inputs!$B$15/100)*(1+Inputs!$B$16/100)*(5000/(6000+Inputs!$B$43*(1-Inputs!$B$19/100)))*(1+(Inputs!$B$24+((C1828=TRUE)*(F1828-Calc!F30)))/100)*(1+(IF(Skills!A14="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1812)</f>
        <v/>
      </c>
      <c r="L1812">
        <f>K1812*(MIN(Inputs!$B$22+((C1822=TRUE)*(F1822-Calc!F24)),Inputs!$B$23+((C1827=TRUE)*(F1827-Calc!F29)))/100+(Inputs!$B$23+((C1827=TRUE)*(F1827-Calc!F29)))/100)/2</f>
        <v/>
      </c>
      <c r="M1812">
        <f>L1812*(1+(Inputs!$B$10+((C1824=TRUE)*(F1824-Calc!F26))+B1838)/100)</f>
        <v/>
      </c>
      <c r="N1812">
        <f>L1812*(1-MIN((Inputs!$B$9+((C1823=TRUE)*(F1823-Calc!F25))+B1831),100)/100)+M1812*(MIN((Inputs!$B$9+((C1823=TRUE)*(F1823-Calc!F25))+B1831),100)/100)</f>
        <v/>
      </c>
      <c r="O1812">
        <f>(1-Summary!$B$55)*T1812+Summary!$B$55*V1812</f>
        <v/>
      </c>
      <c r="P1812">
        <f>IF(B1843=0,0,O1812/B1843)</f>
        <v/>
      </c>
      <c r="Q1812">
        <f>IFERROR(1/IF(Inputs!$B$39="pvp",15,MAX(0.1,Skills!D14-IF(Skills!E14=TRUE,4.5,0))),0)</f>
        <v/>
      </c>
      <c r="R1812">
        <f>IF(AND(Inputs!$B$39&lt;&gt;"pvp",Inputs!$B$44&gt;0),IF(MAX(0,Inputs!$B$44-B1842)&lt;=0,0,(INT(MAX(0,Inputs!$B$44-B1842)/IF(Inputs!$B$39="pvp",15,MAX(0.1,Skills!D14-IF(Skills!E14=TRUE,4.5,0))))+1)),0)</f>
        <v/>
      </c>
      <c r="S1812">
        <f>IFERROR(O1812/N1812,0)</f>
        <v/>
      </c>
      <c r="T1812">
        <f>IF(C1812,(H1812*N1812*IF(AND(Inputs!$B$39&lt;&gt;"pvp",Inputs!$B$44&gt;0),((Skills!G14*((R1812-1)*IF(Skills!H14&gt;0,Skills!I14/Skills!H14,1)+IF(Skills!H14&gt;0,MIN(Skills!I14,MAX(0,MAX(0,Inputs!$B$44-B1842)-((R1812-1)*IF(Inputs!$B$39="pvp",15,MAX(0.1,Skills!D14-IF(Skills!E14=TRUE,4.5,0))))))/Skills!H14,1)))/Inputs!$B$44),G1812*Q1812))*IF(Inputs!$B$39="pvp",1,1+(Inputs!$B$20+0+Skills!P14+B1832)/100),0)</f>
        <v/>
      </c>
      <c r="V1812">
        <f>IF(C1812,(H1812*N1812*IF(AND(Inputs!$B$39&lt;&gt;"pvp",Inputs!$B$44&gt;0),((Skills!G14*((R1812-1)*IF(Skills!H14&gt;0,Skills!I14/Skills!H14,1)+IF(Skills!H14&gt;0,MIN(Skills!I14,MAX(0,MAX(0,Inputs!$B$44-B1842)-((R1812-1)*IF(Inputs!$B$39="pvp",15,MAX(0.1,Skills!D14-IF(Skills!E14=TRUE,4.5,0))))))/Skills!H14,1)))/Inputs!$B$44),G1812*Q1812))*IF(Inputs!$B$39="pvp",1,(1+(Inputs!$B$21+Skills!Q14+B1832)/100)*(MIN(MIN(5,0.25*B1835*Skills!D4)*Skills!V14,Inputs!$B$37))),0)</f>
        <v/>
      </c>
    </row>
    <row r="1813">
      <c r="A1813">
        <f>Skills!A15</f>
        <v/>
      </c>
      <c r="B1813">
        <f>Skills!B15</f>
        <v/>
      </c>
      <c r="C1813">
        <f>Inputs!$B$3&gt;=110</f>
        <v/>
      </c>
      <c r="D1813">
        <f>IF(Skills!C15=1,60+Inputs!$B$25+Inputs!$B$29,IF(Skills!C15=2,90+Inputs!$B$26+Inputs!$B$29,IF(Skills!C15=3,120+Inputs!$B$27+Inputs!$B$29,MAX(0,(Inputs!$B$3-100)*3)+Inputs!$B$28+Inputs!$B$29)))</f>
        <v/>
      </c>
      <c r="E1813">
        <f>INDEX(FactorTable!$B$2:$Y$301, MATCH(ROUND(MIN(300,MAX(1,D1813)),0), FactorTable!$A$2:$A$301,0), Skills!M15+1)</f>
        <v/>
      </c>
      <c r="F1813">
        <f>IF(Skills!N15=TRUE,(Skills!L15/10)*(E1813/1000),Skills!L15/10)+Skills!O15</f>
        <v/>
      </c>
      <c r="G1813">
        <f>Skills!G15*IF(Skills!H15&gt;0,Skills!I15/Skills!H15,1)</f>
        <v/>
      </c>
      <c r="H1813">
        <f>1-(1-Skills!J15/100)^Skills!K15</f>
        <v/>
      </c>
      <c r="I1813" t="inlineStr">
        <is>
          <t>1</t>
        </is>
      </c>
      <c r="J1813" t="inlineStr"/>
      <c r="K1813" t="inlineStr"/>
      <c r="L1813" t="inlineStr"/>
      <c r="M1813" t="inlineStr"/>
      <c r="N1813" t="inlineStr"/>
      <c r="O1813">
        <f>(1-Summary!$B$55)*T1813+Summary!$B$55*V1813</f>
        <v/>
      </c>
      <c r="P1813">
        <f>IF(B1843=0,0,O1813/B1843)</f>
        <v/>
      </c>
      <c r="Q1813">
        <f>IFERROR(1/IF(Inputs!$B$39="pvp",15,MAX(0.1,Skills!D15-IF(Skills!E15=TRUE,4.5,0))),0)</f>
        <v/>
      </c>
      <c r="R1813">
        <f>IF(AND(Inputs!$B$39&lt;&gt;"pvp",Inputs!$B$44&gt;0),IF(Inputs!$B$44&lt;=0,0,(INT(Inputs!$B$44/IF(Inputs!$B$39="pvp",15,MAX(0.1,Skills!D15-IF(Skills!E15=TRUE,4.5,0))))+1)),0)</f>
        <v/>
      </c>
      <c r="S1813">
        <f>IFERROR(O1813/N1813,0)</f>
        <v/>
      </c>
      <c r="T1813" t="n">
        <v>0</v>
      </c>
      <c r="V1813" t="n">
        <v>0</v>
      </c>
    </row>
    <row r="1814">
      <c r="A1814">
        <f>Skills!A16</f>
        <v/>
      </c>
      <c r="B1814">
        <f>Skills!B16</f>
        <v/>
      </c>
      <c r="C1814">
        <f>Inputs!$B$3&gt;=115</f>
        <v/>
      </c>
      <c r="D1814">
        <f>IF(Skills!C16=1,60+Inputs!$B$25+Inputs!$B$29,IF(Skills!C16=2,90+Inputs!$B$26+Inputs!$B$29,IF(Skills!C16=3,120+Inputs!$B$27+Inputs!$B$29,MAX(0,(Inputs!$B$3-100)*3)+Inputs!$B$28+Inputs!$B$29)))</f>
        <v/>
      </c>
      <c r="E1814">
        <f>INDEX(FactorTable!$B$2:$Y$301, MATCH(ROUND(MIN(300,MAX(1,D1814)),0), FactorTable!$A$2:$A$301,0), Skills!M16+1)</f>
        <v/>
      </c>
      <c r="F1814">
        <f>IF(Skills!N16=TRUE,(Skills!L16/10)*(E1814/1000),Skills!L16/10)+Skills!O16</f>
        <v/>
      </c>
      <c r="G1814">
        <f>Skills!G16*IF(Skills!H16&gt;0,Skills!I16/Skills!H16,1)</f>
        <v/>
      </c>
      <c r="H1814">
        <f>1-(1-Skills!J16/100)^Skills!K16</f>
        <v/>
      </c>
      <c r="I1814" t="inlineStr">
        <is>
          <t>1</t>
        </is>
      </c>
      <c r="J1814">
        <f>((Inputs!$B$6*(1+Inputs!$B$7/100))+(((Inputs!$B$12*(1+Inputs!$B$13/100))-(Inputs!$B$12*(1+Inputs!$B$13/100)))+0.25*(Inputs!$B$14-Inputs!$B$14))*(1+Inputs!$B$7/100))*(F1814/100)</f>
        <v/>
      </c>
      <c r="K1814">
        <f>J1814*(1+((Inputs!$B$12*(1+Inputs!$B$13/100))*0.01+Inputs!$B$14*0.0025)/100)*(1+Inputs!$B$15/100)*(1+Inputs!$B$16/100)*(5000/(6000+Inputs!$B$43*(1-Inputs!$B$19/100)))*(1+(Inputs!$B$24+((C1828=TRUE)*(F1828-Calc!F30)))/100)*(1+(IF(Skills!A16="CRUEL_STAB",Inputs!$B$17+((C1825=TRUE)*(F1825-Calc!F27)),Inputs!$B$18+((C1826=TRUE)*(F1826-Calc!F28))))/100)*(((1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B1833*I1814)</f>
        <v/>
      </c>
      <c r="L1814">
        <f>K1814*(MIN(Inputs!$B$22+((C1822=TRUE)*(F1822-Calc!F24)),Inputs!$B$23+((C1827=TRUE)*(F1827-Calc!F29)))/100+(Inputs!$B$23+((C1827=TRUE)*(F1827-Calc!F29)))/100)/2</f>
        <v/>
      </c>
      <c r="M1814">
        <f>L1814*(1+(Inputs!$B$10+((C1824=TRUE)*(F1824-Calc!F26))+B1838)/100)</f>
        <v/>
      </c>
      <c r="N1814">
        <f>L1814*(1-MIN((Inputs!$B$9+((C1823=TRUE)*(F1823-Calc!F25))+B1831),100)/100)+M1814*(MIN((Inputs!$B$9+((C1823=TRUE)*(F1823-Calc!F25))+B1831),100)/100)</f>
        <v/>
      </c>
      <c r="O1814">
        <f>(1-Summary!$B$55)*T1814+Summary!$B$55*V1814</f>
        <v/>
      </c>
      <c r="P1814">
        <f>IF(B1843=0,0,O1814/B1843)</f>
        <v/>
      </c>
      <c r="Q1814" t="n">
        <v>0</v>
      </c>
      <c r="R1814" t="n">
        <v>0</v>
      </c>
      <c r="S1814">
        <f>IFERROR(O1814/N1814,0)</f>
        <v/>
      </c>
      <c r="T1814">
        <f>IF(C1814,(Inputs!$B$38*0.2*N1814)*IF(Inputs!$B$39="pvp",1,1+(Inputs!$B$20+0+Skills!P16+B1832)/100),0)</f>
        <v/>
      </c>
      <c r="V1814">
        <f>IF(C1814,(Inputs!$B$38*0.2*N1814)*IF(Inputs!$B$39="pvp",1,(1+(Inputs!$B$21+Skills!Q16+B1832)/100)*(MIN(Skills!W16,Inputs!$B$37))),0)</f>
        <v/>
      </c>
    </row>
    <row r="1815">
      <c r="A1815">
        <f>Skills!A17</f>
        <v/>
      </c>
      <c r="B1815">
        <f>Skills!B17</f>
        <v/>
      </c>
      <c r="C1815">
        <f>Inputs!$B$3&gt;=115</f>
        <v/>
      </c>
      <c r="D1815">
        <f>IF(Skills!C17=1,60+Inputs!$B$25+Inputs!$B$29,IF(Skills!C17=2,90+Inputs!$B$26+Inputs!$B$29,IF(Skills!C17=3,120+Inputs!$B$27+Inputs!$B$29,MAX(0,(Inputs!$B$3-100)*3)+Inputs!$B$28+Inputs!$B$29)))</f>
        <v/>
      </c>
      <c r="E1815">
        <f>INDEX(FactorTable!$B$2:$Y$301, MATCH(ROUND(MIN(300,MAX(1,D1815)),0), FactorTable!$A$2:$A$301,0), Skills!M17+1)</f>
        <v/>
      </c>
      <c r="F1815">
        <f>IF(Skills!N17=TRUE,(Skills!L17/10)*(E1815/1000),Skills!L17/10)+Skills!O17</f>
        <v/>
      </c>
      <c r="G1815">
        <f>Skills!G17*IF(Skills!H17&gt;0,Skills!I17/Skills!H17,1)</f>
        <v/>
      </c>
      <c r="H1815">
        <f>1-(1-Skills!J17/100)^Skills!K17</f>
        <v/>
      </c>
      <c r="I1815" t="inlineStr">
        <is>
          <t>1</t>
        </is>
      </c>
      <c r="J1815" t="inlineStr"/>
      <c r="K1815" t="inlineStr"/>
      <c r="L1815" t="inlineStr"/>
      <c r="M1815" t="inlineStr"/>
      <c r="N1815" t="inlineStr"/>
      <c r="O1815">
        <f>(1-Summary!$B$55)*T1815+Summary!$B$55*V1815</f>
        <v/>
      </c>
      <c r="P1815">
        <f>IF(B1843=0,0,O1815/B1843)</f>
        <v/>
      </c>
      <c r="Q1815" t="n">
        <v>0</v>
      </c>
      <c r="R1815" t="n">
        <v>0</v>
      </c>
      <c r="S1815">
        <f>IFERROR(O1815/N1815,0)</f>
        <v/>
      </c>
      <c r="T1815" t="n">
        <v>0</v>
      </c>
      <c r="V1815" t="n">
        <v>0</v>
      </c>
    </row>
    <row r="1816">
      <c r="A1816">
        <f>Skills!A18</f>
        <v/>
      </c>
      <c r="B1816">
        <f>Skills!B18</f>
        <v/>
      </c>
      <c r="C1816">
        <f>Inputs!$B$3&gt;=100</f>
        <v/>
      </c>
      <c r="D1816">
        <f>IF(Skills!C18=1,60+Inputs!$B$25+Inputs!$B$29,IF(Skills!C18=2,90+Inputs!$B$26+Inputs!$B$29,IF(Skills!C18=3,120+Inputs!$B$27+Inputs!$B$29,MAX(0,(Inputs!$B$3-100)*3)+Inputs!$B$28+Inputs!$B$29)))</f>
        <v/>
      </c>
      <c r="E1816">
        <f>INDEX(FactorTable!$B$2:$Y$301, MATCH(ROUND(MIN(300,MAX(1,D1816)),0), FactorTable!$A$2:$A$301,0), Skills!M18+1)</f>
        <v/>
      </c>
      <c r="F1816">
        <f>IF(Skills!N18=TRUE,(Skills!L18/10)*(E1816/1000),Skills!L18/10)+Skills!O18</f>
        <v/>
      </c>
      <c r="G1816">
        <f>Skills!G18*IF(Skills!H18&gt;0,Skills!I18/Skills!H18,1)</f>
        <v/>
      </c>
      <c r="H1816">
        <f>1-(1-Skills!J18/100)^Skills!K18</f>
        <v/>
      </c>
      <c r="I1816" t="inlineStr">
        <is>
          <t>1</t>
        </is>
      </c>
      <c r="J1816" t="inlineStr"/>
      <c r="K1816" t="inlineStr"/>
      <c r="L1816" t="inlineStr"/>
      <c r="M1816" t="inlineStr"/>
      <c r="N1816" t="inlineStr"/>
      <c r="O1816">
        <f>(1-Summary!$B$55)*T1816+Summary!$B$55*V1816</f>
        <v/>
      </c>
      <c r="P1816">
        <f>IF(B1843=0,0,O1816/B1843)</f>
        <v/>
      </c>
      <c r="Q1816" t="n">
        <v>0</v>
      </c>
      <c r="R1816" t="n">
        <v>0</v>
      </c>
      <c r="S1816">
        <f>IFERROR(O1816/N1816,0)</f>
        <v/>
      </c>
      <c r="T1816" t="n">
        <v>0</v>
      </c>
      <c r="V1816" t="n">
        <v>0</v>
      </c>
    </row>
    <row r="1817">
      <c r="A1817">
        <f>Skills!A19</f>
        <v/>
      </c>
      <c r="B1817">
        <f>Skills!B19</f>
        <v/>
      </c>
      <c r="C1817">
        <f>TRUE</f>
        <v/>
      </c>
      <c r="D1817">
        <f>IF(Skills!C19=1,60+Inputs!$B$25+Inputs!$B$29,IF(Skills!C19=2,90+Inputs!$B$26+Inputs!$B$29,IF(Skills!C19=3,120+Inputs!$B$27+Inputs!$B$29,MAX(0,(Inputs!$B$3-100)*3)+Inputs!$B$28+Inputs!$B$29)))</f>
        <v/>
      </c>
      <c r="E1817">
        <f>INDEX(FactorTable!$B$2:$Y$301, MATCH(ROUND(MIN(300,MAX(1,D1817)),0), FactorTable!$A$2:$A$301,0), Skills!M19+1)</f>
        <v/>
      </c>
      <c r="F1817">
        <f>IF(Skills!N19=TRUE,(Skills!L19/10)*(E1817/1000),Skills!L19/10)+Skills!O19</f>
        <v/>
      </c>
      <c r="G1817">
        <f>Skills!G19*IF(Skills!H19&gt;0,Skills!I19/Skills!H19,1)</f>
        <v/>
      </c>
      <c r="H1817">
        <f>1-(1-Skills!J19/100)^Skills!K19</f>
        <v/>
      </c>
      <c r="I1817" t="inlineStr">
        <is>
          <t>1</t>
        </is>
      </c>
      <c r="J1817" t="inlineStr"/>
      <c r="K1817" t="inlineStr"/>
      <c r="L1817" t="inlineStr"/>
      <c r="M1817" t="inlineStr"/>
      <c r="N1817" t="inlineStr"/>
      <c r="O1817">
        <f>(1-Summary!$B$55)*T1817+Summary!$B$55*V1817</f>
        <v/>
      </c>
      <c r="P1817">
        <f>IF(B1843=0,0,O1817/B1843)</f>
        <v/>
      </c>
      <c r="Q1817">
        <f>IFERROR(1/IF(Inputs!$B$39="pvp",15,MAX(0.1,Skills!D19-IF(Skills!E19=TRUE,4.5,0))),0)</f>
        <v/>
      </c>
      <c r="R1817">
        <f>IF(AND(Inputs!$B$39&lt;&gt;"pvp",Inputs!$B$44&gt;0),IF(Inputs!$B$44&lt;=0,0,(INT(Inputs!$B$44/IF(Inputs!$B$39="pvp",15,MAX(0.1,Skills!D19-IF(Skills!E19=TRUE,4.5,0))))+1)),0)</f>
        <v/>
      </c>
      <c r="S1817">
        <f>IFERROR(O1817/N1817,0)</f>
        <v/>
      </c>
      <c r="T1817" t="n">
        <v>0</v>
      </c>
      <c r="V1817" t="n">
        <v>0</v>
      </c>
    </row>
    <row r="1818">
      <c r="A1818">
        <f>Skills!A20</f>
        <v/>
      </c>
      <c r="B1818">
        <f>Skills!B20</f>
        <v/>
      </c>
      <c r="C1818">
        <f>Inputs!$B$3&gt;=15</f>
        <v/>
      </c>
      <c r="D1818">
        <f>IF(Skills!C20=1,60+Inputs!$B$25+Inputs!$B$29,IF(Skills!C20=2,90+Inputs!$B$26+Inputs!$B$29,IF(Skills!C20=3,120+Inputs!$B$27+Inputs!$B$29,MAX(0,(Inputs!$B$3-100)*3)+Inputs!$B$28+Inputs!$B$29)))</f>
        <v/>
      </c>
      <c r="E1818">
        <f>INDEX(FactorTable!$B$2:$Y$301, MATCH(ROUND(MIN(300,MAX(1,D1818)),0), FactorTable!$A$2:$A$301,0), Skills!M20+1)</f>
        <v/>
      </c>
      <c r="F1818">
        <f>IF(Skills!N20=TRUE,(Skills!L20/10)*(E1818/1000),Skills!L20/10)+Skills!O20</f>
        <v/>
      </c>
      <c r="G1818">
        <f>Skills!G20*IF(Skills!H20&gt;0,Skills!I20/Skills!H20,1)</f>
        <v/>
      </c>
      <c r="H1818">
        <f>1-(1-Skills!J20/100)^Skills!K20</f>
        <v/>
      </c>
      <c r="I1818" t="inlineStr">
        <is>
          <t>1</t>
        </is>
      </c>
      <c r="J1818" t="inlineStr"/>
      <c r="K1818" t="inlineStr"/>
      <c r="L1818" t="inlineStr"/>
      <c r="M1818" t="inlineStr"/>
      <c r="N1818" t="inlineStr"/>
      <c r="O1818">
        <f>(1-Summary!$B$55)*T1818+Summary!$B$55*V1818</f>
        <v/>
      </c>
      <c r="P1818">
        <f>IF(B1843=0,0,O1818/B1843)</f>
        <v/>
      </c>
      <c r="Q1818">
        <f>IFERROR(1/IF(Inputs!$B$39="pvp",15,MAX(0.1,Skills!D20-IF(Skills!E20=TRUE,4.5,0))),0)</f>
        <v/>
      </c>
      <c r="R1818">
        <f>IF(AND(Inputs!$B$39&lt;&gt;"pvp",Inputs!$B$44&gt;0),IF(Inputs!$B$44&lt;=0,0,(INT(Inputs!$B$44/IF(Inputs!$B$39="pvp",15,MAX(0.1,Skills!D20-IF(Skills!E20=TRUE,4.5,0))))+1)),0)</f>
        <v/>
      </c>
      <c r="S1818">
        <f>IFERROR(O1818/N1818,0)</f>
        <v/>
      </c>
      <c r="T1818" t="n">
        <v>0</v>
      </c>
      <c r="V1818" t="n">
        <v>0</v>
      </c>
    </row>
    <row r="1819">
      <c r="A1819">
        <f>Skills!A21</f>
        <v/>
      </c>
      <c r="B1819">
        <f>Skills!B21</f>
        <v/>
      </c>
      <c r="C1819">
        <f>Inputs!$B$3&gt;=15</f>
        <v/>
      </c>
      <c r="D1819">
        <f>IF(Skills!C21=1,60+Inputs!$B$25+Inputs!$B$29,IF(Skills!C21=2,90+Inputs!$B$26+Inputs!$B$29,IF(Skills!C21=3,120+Inputs!$B$27+Inputs!$B$29,MAX(0,(Inputs!$B$3-100)*3)+Inputs!$B$28+Inputs!$B$29)))</f>
        <v/>
      </c>
      <c r="E1819">
        <f>INDEX(FactorTable!$B$2:$Y$301, MATCH(ROUND(MIN(300,MAX(1,D1819)),0), FactorTable!$A$2:$A$301,0), Skills!M21+1)</f>
        <v/>
      </c>
      <c r="F1819">
        <f>IF(Skills!N21=TRUE,(Skills!L21/10)*(E1819/1000),Skills!L21/10)+Skills!O21</f>
        <v/>
      </c>
      <c r="G1819">
        <f>Skills!G21*IF(Skills!H21&gt;0,Skills!I21/Skills!H21,1)</f>
        <v/>
      </c>
      <c r="H1819">
        <f>1-(1-Skills!J21/100)^Skills!K21</f>
        <v/>
      </c>
      <c r="I1819" t="inlineStr">
        <is>
          <t>1</t>
        </is>
      </c>
      <c r="J1819" t="inlineStr"/>
      <c r="K1819" t="inlineStr"/>
      <c r="L1819" t="inlineStr"/>
      <c r="M1819" t="inlineStr"/>
      <c r="N1819" t="inlineStr"/>
      <c r="O1819">
        <f>(1-Summary!$B$55)*T1819+Summary!$B$55*V1819</f>
        <v/>
      </c>
      <c r="P1819">
        <f>IF(B1843=0,0,O1819/B1843)</f>
        <v/>
      </c>
      <c r="Q1819">
        <f>IFERROR(1/IF(Inputs!$B$39="pvp",15,MAX(0.1,Skills!D21-IF(Skills!E21=TRUE,4.5,0))),0)</f>
        <v/>
      </c>
      <c r="R1819">
        <f>IF(AND(Inputs!$B$39&lt;&gt;"pvp",Inputs!$B$44&gt;0),IF(Inputs!$B$44&lt;=0,0,(INT(Inputs!$B$44/IF(Inputs!$B$39="pvp",15,MAX(0.1,Skills!D21-IF(Skills!E21=TRUE,4.5,0))))+1)),0)</f>
        <v/>
      </c>
      <c r="S1819">
        <f>IFERROR(O1819/N1819,0)</f>
        <v/>
      </c>
      <c r="T1819" t="n">
        <v>0</v>
      </c>
      <c r="V1819" t="n">
        <v>0</v>
      </c>
    </row>
    <row r="1820">
      <c r="A1820">
        <f>Skills!A22</f>
        <v/>
      </c>
      <c r="B1820">
        <f>Skills!B22</f>
        <v/>
      </c>
      <c r="C1820">
        <f>Inputs!$B$3&gt;=33</f>
        <v/>
      </c>
      <c r="D1820">
        <f>IF(Skills!C22=1,60+Inputs!$B$25+Inputs!$B$29,IF(Skills!C22=2,90+Inputs!$B$26+Inputs!$B$29,IF(Skills!C22=3,120+Inputs!$B$27+Inputs!$B$29,MAX(0,(Inputs!$B$3-100)*3)+Inputs!$B$28+Inputs!$B$29)))</f>
        <v/>
      </c>
      <c r="E1820">
        <f>INDEX(FactorTable!$B$2:$Y$301, MATCH(ROUND(MIN(300,MAX(1,D1820)),0), FactorTable!$A$2:$A$301,0), Skills!M22+1)</f>
        <v/>
      </c>
      <c r="F1820">
        <f>IF(Skills!N22=TRUE,(Skills!L22/10)*(E1820/1000),Skills!L22/10)+Skills!O22</f>
        <v/>
      </c>
      <c r="G1820">
        <f>Skills!G22*IF(Skills!H22&gt;0,Skills!I22/Skills!H22,1)</f>
        <v/>
      </c>
      <c r="H1820">
        <f>1-(1-Skills!J22/100)^Skills!K22</f>
        <v/>
      </c>
      <c r="I1820" t="inlineStr">
        <is>
          <t>1</t>
        </is>
      </c>
      <c r="J1820" t="inlineStr"/>
      <c r="K1820" t="inlineStr"/>
      <c r="L1820" t="inlineStr"/>
      <c r="M1820" t="inlineStr"/>
      <c r="N1820" t="inlineStr"/>
      <c r="O1820">
        <f>(1-Summary!$B$55)*T1820+Summary!$B$55*V1820</f>
        <v/>
      </c>
      <c r="P1820">
        <f>IF(B1843=0,0,O1820/B1843)</f>
        <v/>
      </c>
      <c r="Q1820" t="n">
        <v>0</v>
      </c>
      <c r="R1820" t="n">
        <v>0</v>
      </c>
      <c r="S1820">
        <f>IFERROR(O1820/N1820,0)</f>
        <v/>
      </c>
      <c r="T1820" t="n">
        <v>0</v>
      </c>
      <c r="V1820" t="n">
        <v>0</v>
      </c>
    </row>
    <row r="1821">
      <c r="A1821">
        <f>Skills!A23</f>
        <v/>
      </c>
      <c r="B1821">
        <f>Skills!B23</f>
        <v/>
      </c>
      <c r="C1821">
        <f>Inputs!$B$3&gt;=40</f>
        <v/>
      </c>
      <c r="D1821">
        <f>IF(Skills!C23=1,60+Inputs!$B$25+Inputs!$B$29,IF(Skills!C23=2,90+Inputs!$B$26+Inputs!$B$29,IF(Skills!C23=3,120+Inputs!$B$27+Inputs!$B$29,MAX(0,(Inputs!$B$3-100)*3)+Inputs!$B$28+Inputs!$B$29)))</f>
        <v/>
      </c>
      <c r="E1821">
        <f>INDEX(FactorTable!$B$2:$Y$301, MATCH(ROUND(MIN(300,MAX(1,D1821)),0), FactorTable!$A$2:$A$301,0), Skills!M23+1)</f>
        <v/>
      </c>
      <c r="F1821">
        <f>IF(Skills!N23=TRUE,(Skills!L23/10)*(E1821/1000),Skills!L23/10)+Skills!O23</f>
        <v/>
      </c>
      <c r="G1821">
        <f>Skills!G23*IF(Skills!H23&gt;0,Skills!I23/Skills!H23,1)</f>
        <v/>
      </c>
      <c r="H1821">
        <f>1-(1-Skills!J23/100)^Skills!K23</f>
        <v/>
      </c>
      <c r="I1821" t="inlineStr">
        <is>
          <t>1</t>
        </is>
      </c>
      <c r="J1821" t="inlineStr"/>
      <c r="K1821" t="inlineStr"/>
      <c r="L1821" t="inlineStr"/>
      <c r="M1821" t="inlineStr"/>
      <c r="N1821" t="inlineStr"/>
      <c r="O1821">
        <f>(1-Summary!$B$55)*T1821+Summary!$B$55*V1821</f>
        <v/>
      </c>
      <c r="P1821">
        <f>IF(B1843=0,0,O1821/B1843)</f>
        <v/>
      </c>
      <c r="Q1821" t="n">
        <v>0</v>
      </c>
      <c r="R1821" t="n">
        <v>0</v>
      </c>
      <c r="S1821">
        <f>IFERROR(O1821/N1821,0)</f>
        <v/>
      </c>
      <c r="T1821" t="n">
        <v>0</v>
      </c>
      <c r="V1821" t="n">
        <v>0</v>
      </c>
    </row>
    <row r="1822">
      <c r="A1822">
        <f>Skills!A24</f>
        <v/>
      </c>
      <c r="B1822">
        <f>Skills!B24</f>
        <v/>
      </c>
      <c r="C1822">
        <f>Inputs!$B$3&gt;=43</f>
        <v/>
      </c>
      <c r="D1822">
        <f>IF(Skills!C24=1,60+Inputs!$B$25+Inputs!$B$29,IF(Skills!C24=2,90+Inputs!$B$26+Inputs!$B$29,IF(Skills!C24=3,120+Inputs!$B$27+Inputs!$B$29,MAX(0,(Inputs!$B$3-100)*3)+Inputs!$B$28+Inputs!$B$29)))</f>
        <v/>
      </c>
      <c r="E1822">
        <f>INDEX(FactorTable!$B$2:$Y$301, MATCH(ROUND(MIN(300,MAX(1,D1822)),0), FactorTable!$A$2:$A$301,0), Skills!M24+1)</f>
        <v/>
      </c>
      <c r="F1822">
        <f>IF(Skills!N24=TRUE,(Skills!L24/10)*(E1822/1000),Skills!L24/10)+Skills!O24</f>
        <v/>
      </c>
      <c r="G1822">
        <f>Skills!G24*IF(Skills!H24&gt;0,Skills!I24/Skills!H24,1)</f>
        <v/>
      </c>
      <c r="H1822">
        <f>1-(1-Skills!J24/100)^Skills!K24</f>
        <v/>
      </c>
      <c r="I1822" t="inlineStr">
        <is>
          <t>1</t>
        </is>
      </c>
      <c r="J1822" t="inlineStr"/>
      <c r="K1822" t="inlineStr"/>
      <c r="L1822" t="inlineStr"/>
      <c r="M1822" t="inlineStr"/>
      <c r="N1822" t="inlineStr"/>
      <c r="O1822">
        <f>(1-Summary!$B$55)*T1822+Summary!$B$55*V1822</f>
        <v/>
      </c>
      <c r="P1822">
        <f>IF(B1843=0,0,O1822/B1843)</f>
        <v/>
      </c>
      <c r="Q1822" t="n">
        <v>0</v>
      </c>
      <c r="R1822" t="n">
        <v>0</v>
      </c>
      <c r="S1822">
        <f>IFERROR(O1822/N1822,0)</f>
        <v/>
      </c>
      <c r="T1822" t="n">
        <v>0</v>
      </c>
      <c r="V1822" t="n">
        <v>0</v>
      </c>
    </row>
    <row r="1823">
      <c r="A1823">
        <f>Skills!A25</f>
        <v/>
      </c>
      <c r="B1823">
        <f>Skills!B25</f>
        <v/>
      </c>
      <c r="C1823">
        <f>Inputs!$B$3&gt;=50</f>
        <v/>
      </c>
      <c r="D1823">
        <f>IF(Skills!C25=1,60+Inputs!$B$25+Inputs!$B$29,IF(Skills!C25=2,90+Inputs!$B$26+Inputs!$B$29,IF(Skills!C25=3,120+Inputs!$B$27+Inputs!$B$29,MAX(0,(Inputs!$B$3-100)*3)+Inputs!$B$28+Inputs!$B$29)))</f>
        <v/>
      </c>
      <c r="E1823">
        <f>INDEX(FactorTable!$B$2:$Y$301, MATCH(ROUND(MIN(300,MAX(1,D1823)),0), FactorTable!$A$2:$A$301,0), Skills!M25+1)</f>
        <v/>
      </c>
      <c r="F1823">
        <f>IF(Skills!N25=TRUE,(Skills!L25/10)*(E1823/1000),Skills!L25/10)+Skills!O25</f>
        <v/>
      </c>
      <c r="G1823">
        <f>Skills!G25*IF(Skills!H25&gt;0,Skills!I25/Skills!H25,1)</f>
        <v/>
      </c>
      <c r="H1823">
        <f>1-(1-Skills!J25/100)^Skills!K25</f>
        <v/>
      </c>
      <c r="I1823" t="inlineStr">
        <is>
          <t>1</t>
        </is>
      </c>
      <c r="J1823" t="inlineStr"/>
      <c r="K1823" t="inlineStr"/>
      <c r="L1823" t="inlineStr"/>
      <c r="M1823" t="inlineStr"/>
      <c r="N1823" t="inlineStr"/>
      <c r="O1823">
        <f>(1-Summary!$B$55)*T1823+Summary!$B$55*V1823</f>
        <v/>
      </c>
      <c r="P1823">
        <f>IF(B1843=0,0,O1823/B1843)</f>
        <v/>
      </c>
      <c r="Q1823" t="n">
        <v>0</v>
      </c>
      <c r="R1823" t="n">
        <v>0</v>
      </c>
      <c r="S1823">
        <f>IFERROR(O1823/N1823,0)</f>
        <v/>
      </c>
      <c r="T1823" t="n">
        <v>0</v>
      </c>
      <c r="V1823" t="n">
        <v>0</v>
      </c>
    </row>
    <row r="1824">
      <c r="A1824">
        <f>Skills!A26</f>
        <v/>
      </c>
      <c r="B1824">
        <f>Skills!B26</f>
        <v/>
      </c>
      <c r="C1824">
        <f>Inputs!$B$3&gt;=50</f>
        <v/>
      </c>
      <c r="D1824">
        <f>IF(Skills!C26=1,60+Inputs!$B$25+Inputs!$B$29,IF(Skills!C26=2,90+Inputs!$B$26+Inputs!$B$29,IF(Skills!C26=3,120+Inputs!$B$27+Inputs!$B$29,MAX(0,(Inputs!$B$3-100)*3)+Inputs!$B$28+Inputs!$B$29)))</f>
        <v/>
      </c>
      <c r="E1824">
        <f>INDEX(FactorTable!$B$2:$Y$301, MATCH(ROUND(MIN(300,MAX(1,D1824)),0), FactorTable!$A$2:$A$301,0), Skills!M26+1)</f>
        <v/>
      </c>
      <c r="F1824">
        <f>IF(Skills!N26=TRUE,(Skills!L26/10)*(E1824/1000),Skills!L26/10)+Skills!O26</f>
        <v/>
      </c>
      <c r="G1824">
        <f>Skills!G26*IF(Skills!H26&gt;0,Skills!I26/Skills!H26,1)</f>
        <v/>
      </c>
      <c r="H1824">
        <f>1-(1-Skills!J26/100)^Skills!K26</f>
        <v/>
      </c>
      <c r="I1824" t="inlineStr">
        <is>
          <t>1</t>
        </is>
      </c>
      <c r="J1824" t="inlineStr"/>
      <c r="K1824" t="inlineStr"/>
      <c r="L1824" t="inlineStr"/>
      <c r="M1824" t="inlineStr"/>
      <c r="N1824" t="inlineStr"/>
      <c r="O1824">
        <f>(1-Summary!$B$55)*T1824+Summary!$B$55*V1824</f>
        <v/>
      </c>
      <c r="P1824">
        <f>IF(B1843=0,0,O1824/B1843)</f>
        <v/>
      </c>
      <c r="Q1824" t="n">
        <v>0</v>
      </c>
      <c r="R1824" t="n">
        <v>0</v>
      </c>
      <c r="S1824">
        <f>IFERROR(O1824/N1824,0)</f>
        <v/>
      </c>
      <c r="T1824" t="n">
        <v>0</v>
      </c>
      <c r="V1824" t="n">
        <v>0</v>
      </c>
    </row>
    <row r="1825">
      <c r="A1825">
        <f>Skills!A27</f>
        <v/>
      </c>
      <c r="B1825">
        <f>Skills!B27</f>
        <v/>
      </c>
      <c r="C1825">
        <f>Inputs!$B$3&gt;=38</f>
        <v/>
      </c>
      <c r="D1825">
        <f>IF(Skills!C27=1,60+Inputs!$B$25+Inputs!$B$29,IF(Skills!C27=2,90+Inputs!$B$26+Inputs!$B$29,IF(Skills!C27=3,120+Inputs!$B$27+Inputs!$B$29,MAX(0,(Inputs!$B$3-100)*3)+Inputs!$B$28+Inputs!$B$29)))</f>
        <v/>
      </c>
      <c r="E1825">
        <f>INDEX(FactorTable!$B$2:$Y$301, MATCH(ROUND(MIN(300,MAX(1,D1825)),0), FactorTable!$A$2:$A$301,0), Skills!M27+1)</f>
        <v/>
      </c>
      <c r="F1825">
        <f>IF(Skills!N27=TRUE,(Skills!L27/10)*(E1825/1000),Skills!L27/10)+Skills!O27</f>
        <v/>
      </c>
      <c r="G1825">
        <f>Skills!G27*IF(Skills!H27&gt;0,Skills!I27/Skills!H27,1)</f>
        <v/>
      </c>
      <c r="H1825">
        <f>1-(1-Skills!J27/100)^Skills!K27</f>
        <v/>
      </c>
      <c r="I1825" t="inlineStr">
        <is>
          <t>1</t>
        </is>
      </c>
      <c r="J1825" t="inlineStr"/>
      <c r="K1825" t="inlineStr"/>
      <c r="L1825" t="inlineStr"/>
      <c r="M1825" t="inlineStr"/>
      <c r="N1825" t="inlineStr"/>
      <c r="O1825">
        <f>(1-Summary!$B$55)*T1825+Summary!$B$55*V1825</f>
        <v/>
      </c>
      <c r="P1825">
        <f>IF(B1843=0,0,O1825/B1843)</f>
        <v/>
      </c>
      <c r="Q1825" t="n">
        <v>0</v>
      </c>
      <c r="R1825" t="n">
        <v>0</v>
      </c>
      <c r="S1825">
        <f>IFERROR(O1825/N1825,0)</f>
        <v/>
      </c>
      <c r="T1825" t="n">
        <v>0</v>
      </c>
      <c r="V1825" t="n">
        <v>0</v>
      </c>
    </row>
    <row r="1826">
      <c r="A1826">
        <f>Skills!A28</f>
        <v/>
      </c>
      <c r="B1826">
        <f>Skills!B28</f>
        <v/>
      </c>
      <c r="C1826">
        <f>Inputs!$B$3&gt;=120</f>
        <v/>
      </c>
      <c r="D1826">
        <f>IF(Skills!C28=1,60+Inputs!$B$25+Inputs!$B$29,IF(Skills!C28=2,90+Inputs!$B$26+Inputs!$B$29,IF(Skills!C28=3,120+Inputs!$B$27+Inputs!$B$29,MAX(0,(Inputs!$B$3-100)*3)+Inputs!$B$28+Inputs!$B$29)))</f>
        <v/>
      </c>
      <c r="E1826">
        <f>INDEX(FactorTable!$B$2:$Y$301, MATCH(ROUND(MIN(300,MAX(1,D1826)),0), FactorTable!$A$2:$A$301,0), Skills!M28+1)</f>
        <v/>
      </c>
      <c r="F1826">
        <f>IF(Skills!N28=TRUE,(Skills!L28/10)*(E1826/1000),Skills!L28/10)+Skills!O28</f>
        <v/>
      </c>
      <c r="G1826">
        <f>Skills!G28*IF(Skills!H28&gt;0,Skills!I28/Skills!H28,1)</f>
        <v/>
      </c>
      <c r="H1826">
        <f>1-(1-Skills!J28/100)^Skills!K28</f>
        <v/>
      </c>
      <c r="I1826" t="inlineStr">
        <is>
          <t>1</t>
        </is>
      </c>
      <c r="J1826" t="inlineStr"/>
      <c r="K1826" t="inlineStr"/>
      <c r="L1826" t="inlineStr"/>
      <c r="M1826" t="inlineStr"/>
      <c r="N1826" t="inlineStr"/>
      <c r="O1826">
        <f>(1-Summary!$B$55)*T1826+Summary!$B$55*V1826</f>
        <v/>
      </c>
      <c r="P1826">
        <f>IF(B1843=0,0,O1826/B1843)</f>
        <v/>
      </c>
      <c r="Q1826" t="n">
        <v>0</v>
      </c>
      <c r="R1826" t="n">
        <v>0</v>
      </c>
      <c r="S1826">
        <f>IFERROR(O1826/N1826,0)</f>
        <v/>
      </c>
      <c r="T1826" t="n">
        <v>0</v>
      </c>
      <c r="V1826" t="n">
        <v>0</v>
      </c>
    </row>
    <row r="1827">
      <c r="A1827">
        <f>Skills!A29</f>
        <v/>
      </c>
      <c r="B1827">
        <f>Skills!B29</f>
        <v/>
      </c>
      <c r="C1827">
        <f>Inputs!$B$3&gt;=120</f>
        <v/>
      </c>
      <c r="D1827">
        <f>IF(Skills!C29=1,60+Inputs!$B$25+Inputs!$B$29,IF(Skills!C29=2,90+Inputs!$B$26+Inputs!$B$29,IF(Skills!C29=3,120+Inputs!$B$27+Inputs!$B$29,MAX(0,(Inputs!$B$3-100)*3)+Inputs!$B$28+Inputs!$B$29)))</f>
        <v/>
      </c>
      <c r="E1827">
        <f>INDEX(FactorTable!$B$2:$Y$301, MATCH(ROUND(MIN(300,MAX(1,D1827)),0), FactorTable!$A$2:$A$301,0), Skills!M29+1)</f>
        <v/>
      </c>
      <c r="F1827">
        <f>IF(Skills!N29=TRUE,(Skills!L29/10)*(E1827/1000),Skills!L29/10)+Skills!O29</f>
        <v/>
      </c>
      <c r="G1827">
        <f>Skills!G29*IF(Skills!H29&gt;0,Skills!I29/Skills!H29,1)</f>
        <v/>
      </c>
      <c r="H1827">
        <f>1-(1-Skills!J29/100)^Skills!K29</f>
        <v/>
      </c>
      <c r="I1827" t="inlineStr">
        <is>
          <t>1</t>
        </is>
      </c>
      <c r="J1827" t="inlineStr"/>
      <c r="K1827" t="inlineStr"/>
      <c r="L1827" t="inlineStr"/>
      <c r="M1827" t="inlineStr"/>
      <c r="N1827" t="inlineStr"/>
      <c r="O1827">
        <f>(1-Summary!$B$55)*T1827+Summary!$B$55*V1827</f>
        <v/>
      </c>
      <c r="P1827">
        <f>IF(B1843=0,0,O1827/B1843)</f>
        <v/>
      </c>
      <c r="Q1827" t="n">
        <v>0</v>
      </c>
      <c r="R1827" t="n">
        <v>0</v>
      </c>
      <c r="S1827">
        <f>IFERROR(O1827/N1827,0)</f>
        <v/>
      </c>
      <c r="T1827" t="n">
        <v>0</v>
      </c>
      <c r="V1827" t="n">
        <v>0</v>
      </c>
    </row>
    <row r="1828">
      <c r="A1828">
        <f>Skills!A30</f>
        <v/>
      </c>
      <c r="B1828">
        <f>Skills!B30</f>
        <v/>
      </c>
      <c r="C1828">
        <f>Inputs!$B$3&gt;=125</f>
        <v/>
      </c>
      <c r="D1828">
        <f>IF(Skills!C30=1,60+Inputs!$B$25+Inputs!$B$29,IF(Skills!C30=2,90+Inputs!$B$26+Inputs!$B$29,IF(Skills!C30=3,120+Inputs!$B$27+Inputs!$B$29,MAX(0,(Inputs!$B$3-100)*3)+Inputs!$B$28+Inputs!$B$29)))</f>
        <v/>
      </c>
      <c r="E1828">
        <f>INDEX(FactorTable!$B$2:$Y$301, MATCH(ROUND(MIN(300,MAX(1,D1828)),0), FactorTable!$A$2:$A$301,0), Skills!M30+1)</f>
        <v/>
      </c>
      <c r="F1828">
        <f>IF(Skills!N30=TRUE,(Skills!L30/10)*(E1828/1000),Skills!L30/10)+Skills!O30</f>
        <v/>
      </c>
      <c r="G1828">
        <f>Skills!G30*IF(Skills!H30&gt;0,Skills!I30/Skills!H30,1)</f>
        <v/>
      </c>
      <c r="H1828">
        <f>1-(1-Skills!J30/100)^Skills!K30</f>
        <v/>
      </c>
      <c r="I1828" t="inlineStr">
        <is>
          <t>1</t>
        </is>
      </c>
      <c r="J1828" t="inlineStr"/>
      <c r="K1828" t="inlineStr"/>
      <c r="L1828" t="inlineStr"/>
      <c r="M1828" t="inlineStr"/>
      <c r="N1828" t="inlineStr"/>
      <c r="O1828">
        <f>(1-Summary!$B$55)*T1828+Summary!$B$55*V1828</f>
        <v/>
      </c>
      <c r="P1828">
        <f>IF(B1843=0,0,O1828/B1843)</f>
        <v/>
      </c>
      <c r="Q1828" t="n">
        <v>0</v>
      </c>
      <c r="R1828" t="n">
        <v>0</v>
      </c>
      <c r="S1828">
        <f>IFERROR(O1828/N1828,0)</f>
        <v/>
      </c>
      <c r="T1828" t="n">
        <v>0</v>
      </c>
      <c r="V1828" t="n">
        <v>0</v>
      </c>
    </row>
    <row r="1830">
      <c r="A1830" t="inlineStr">
        <is>
          <t>Average Buff Multiplier</t>
        </is>
      </c>
      <c r="B1830">
        <f>(1+(((C1819=TRUE)*F1819*IF(AND(Inputs!$B$39&lt;&gt;"pvp",Inputs!$B$44&gt;0),(((R1819-1)*(Skills!Y21*(1+Inputs!$B$34/100))+MIN((Skills!Y21*(1+Inputs!$B$34/100)),MAX(0,Inputs!$B$44-((R1819-1)*Skills!D21))))/Inputs!$B$44),IF(Inputs!$B$39="pvp",MIN((Skills!Y21*(1+Inputs!$B$34/100)),15)/15,(Skills!Y21*(1+Inputs!$B$34/100))/Skills!D21)))+((C1821=TRUE)*(F1821-Calc!F23))+((C1815=TRUE)*(F1815-Calc!F17)))/100)*(1+((C1808=TRUE)*F1808*IF(AND(Inputs!$B$39&lt;&gt;"pvp",Inputs!$B$44&gt;0),(((R1808-1)*(Skills!Y10*(1+Inputs!$B$34/100))+MIN((Skills!Y10*(1+Inputs!$B$34/100)),MAX(0,Inputs!$B$44-((R1808-1)*Skills!D10))))/Inputs!$B$44),IF(Inputs!$B$39="pvp",MIN((Skills!Y10*(1+Inputs!$B$34/100)),15)/15,(Skills!Y10*(1+Inputs!$B$34/100))/Skills!D10)))/100)*(1+((C1813=TRUE)*F1813*IF(AND(Inputs!$B$39&lt;&gt;"pvp",Inputs!$B$44&gt;0),(((R1813-1)*(Skills!Y15*(1+Inputs!$B$34/100))+MIN((Skills!Y15*(1+Inputs!$B$34/100)),MAX(0,Inputs!$B$44-((R1813-1)*Skills!D15))))/Inputs!$B$44),IF(Inputs!$B$39="pvp",MIN((Skills!Y15*(1+Inputs!$B$34/100)),15)/15,(Skills!Y15*(1+Inputs!$B$34/100))/Skills!D15)))/100)</f>
        <v/>
      </c>
    </row>
    <row r="1831">
      <c r="A1831" t="inlineStr">
        <is>
          <t>Global Crit Rate Bonus %</t>
        </is>
      </c>
      <c r="B1831">
        <f>((C1818=TRUE)*F1818*IF(AND(Inputs!$B$39&lt;&gt;"pvp",Inputs!$B$44&gt;0),(((R1818-1)*(Skills!Y20*(1+Inputs!$B$34/100))+MIN((Skills!Y20*(1+Inputs!$B$34/100)),MAX(0,Inputs!$B$44-((R1818-1)*Skills!D20))))/Inputs!$B$44),IF(Inputs!$B$39="pvp",MIN((Skills!Y20*(1+Inputs!$B$34/100)),15)/15,(Skills!Y20*(1+Inputs!$B$34/100))/Skills!D20)))</f>
        <v/>
      </c>
    </row>
    <row r="1832">
      <c r="A1832" t="inlineStr">
        <is>
          <t>Global Monster Damage-Taken Bonus %</t>
        </is>
      </c>
      <c r="B1832">
        <f>IF(Inputs!$B$3&gt;=82,15,0)</f>
        <v/>
      </c>
    </row>
    <row r="1833">
      <c r="A1833" t="inlineStr">
        <is>
          <t>Shadow Partner Average Multiplier</t>
        </is>
      </c>
      <c r="B1833">
        <f>1+((C1805=TRUE)*F1805*(1+3.3333333333333335*IF(C1816=TRUE,F1816,0)/100)*I1805*Skills!J7/100)/100</f>
        <v/>
      </c>
    </row>
    <row r="1834">
      <c r="A1834" t="inlineStr">
        <is>
          <t>Attack Speed Buff Bonus %</t>
        </is>
      </c>
      <c r="B1834">
        <f>((C1817=TRUE)*F1817*IF(AND(Inputs!$B$39&lt;&gt;"pvp",Inputs!$B$44&gt;0),(((R1817-1)*(Skills!Y19*(1+Inputs!$B$34/100))+MIN((Skills!Y19*(1+Inputs!$B$34/100)),MAX(0,Inputs!$B$44-((R1817-1)*Skills!D19))))/Inputs!$B$44),IF(Inputs!$B$39="pvp",MIN((Skills!Y19*(1+Inputs!$B$34/100)),15)/15,(Skills!Y19*(1+Inputs!$B$34/100))/Skills!D19)))+((C1801=TRUE)*F1801*3)</f>
        <v/>
      </c>
    </row>
    <row r="1835">
      <c r="A1835" t="inlineStr">
        <is>
          <t>Actions Per Second</t>
        </is>
      </c>
      <c r="B1835">
        <f>1+MIN(150,150*(1-(1-(Inputs!$B$11+((C1820=TRUE)*(F1820-Calc!F22)))/150)*(1-B1834/150)))/100</f>
        <v/>
      </c>
    </row>
    <row r="1836">
      <c r="A1836" t="inlineStr">
        <is>
          <t>Skill + Buff Cast Rate</t>
        </is>
      </c>
      <c r="B1836">
        <f>IF(AND(Inputs!$B$39&lt;&gt;"pvp",Inputs!$B$44&gt;0),SUMPRODUCT((Skills!E2:E30=TRUE)*(C1800:C1828=TRUE)*R1800:R1828*Skills!F2:F30)/Inputs!$B$44,SUMPRODUCT((Skills!E2:E30=TRUE)*(C1800:C1828=TRUE)*Q1800:Q1828*Skills!F2:F30))</f>
        <v/>
      </c>
    </row>
    <row r="1837">
      <c r="A1837" t="inlineStr">
        <is>
          <t>Cruel Stab Casts Per Second</t>
        </is>
      </c>
      <c r="B1837">
        <f>MAX(0,B1835-B1836)</f>
        <v/>
      </c>
    </row>
    <row r="1838">
      <c r="A1838" t="inlineStr">
        <is>
          <t>Global Critical Damage Bonus % (Smokescreen Mastery Lv.113)</t>
        </is>
      </c>
      <c r="B1838">
        <f>IF(Inputs!$B$3&gt;=113,30,0)*IF(AND(Inputs!$B$39&lt;&gt;"pvp",Inputs!$B$44&gt;0),(((R1813-1)*(Skills!Y15*(1+Inputs!$B$34/100))+MIN((Skills!Y15*(1+Inputs!$B$34/100)),MAX(0,Inputs!$B$44-((R1813-1)*Skills!D15))))/Inputs!$B$44),IF(Inputs!$B$39="pvp",MIN((Skills!Y15*(1+Inputs!$B$34/100)),15)/15,(Skills!Y15*(1+Inputs!$B$34/100))/Skills!D15))</f>
        <v/>
      </c>
    </row>
    <row r="1839">
      <c r="A1839" t="inlineStr">
        <is>
          <t>Meso Explosion average stack count</t>
        </is>
      </c>
      <c r="B1839">
        <f>MIN(10,0.5*B1835*Skills!D4)</f>
        <v/>
      </c>
    </row>
    <row r="1840">
      <c r="A1840" t="inlineStr">
        <is>
          <t>Blood Money average stack count</t>
        </is>
      </c>
      <c r="B1840">
        <f>MIN(5,0.25*B1835*Skills!D4)</f>
        <v/>
      </c>
    </row>
    <row r="1841">
      <c r="A1841" t="inlineStr">
        <is>
          <t>Assassinate Murderous Intent Multiplier</t>
        </is>
      </c>
      <c r="B1841">
        <f>1+IFERROR(MIN(1,Q1812*2/Q1809),0)</f>
        <v/>
      </c>
    </row>
    <row r="1842">
      <c r="A1842" t="inlineStr">
        <is>
          <t>Buff-Casting Startup Delay (s, fixed-duration only)</t>
        </is>
      </c>
      <c r="B1842">
        <f>IF(AND(Inputs!$B$39&lt;&gt;"pvp",Inputs!$B$44&gt;0),SUMPRODUCT((Skills!Y2:Y30&gt;0)*(Skills!E2:E30=TRUE)*(C1800:C1828=TRUE))/B1835,0)</f>
        <v/>
      </c>
    </row>
    <row r="1843">
      <c r="A1843" s="5" t="inlineStr">
        <is>
          <t>TOTAL DPS</t>
        </is>
      </c>
      <c r="B1843" s="5">
        <f>SUM(O1800:O1828)</f>
        <v/>
      </c>
    </row>
    <row r="1844">
      <c r="A1844" t="inlineStr">
        <is>
          <t>Boss-Only Total DPS (this block's swept value)</t>
        </is>
      </c>
      <c r="B1844">
        <f>SUM(T1800:T1828)</f>
        <v/>
      </c>
    </row>
    <row r="1845">
      <c r="A1845" t="inlineStr">
        <is>
          <t>Normal-Only Total DPS (this block's swept value)</t>
        </is>
      </c>
      <c r="B1845">
        <f>SUM(V1800:V1828)</f>
        <v/>
      </c>
    </row>
    <row r="1848">
      <c r="A1848" s="5" t="inlineStr">
        <is>
          <t>Stat: CDR = 5.0s</t>
        </is>
      </c>
    </row>
    <row r="1849">
      <c r="A1849" s="9" t="inlineStr">
        <is>
          <t>Key</t>
        </is>
      </c>
      <c r="B1849" s="9" t="inlineStr">
        <is>
          <t>Name</t>
        </is>
      </c>
      <c r="C1849" s="9" t="inlineStr">
        <is>
          <t>Unlocked</t>
        </is>
      </c>
      <c r="D1849" s="9" t="inlineStr">
        <is>
          <t>InputLevel</t>
        </is>
      </c>
      <c r="E1849" s="9" t="inlineStr">
        <is>
          <t>Factor</t>
        </is>
      </c>
      <c r="F1849" s="9" t="inlineStr">
        <is>
          <t>CoefficientPercent</t>
        </is>
      </c>
      <c r="G1849" s="9" t="inlineStr">
        <is>
          <t>EffectiveHits</t>
        </is>
      </c>
      <c r="H1849" s="9" t="inlineStr">
        <is>
          <t>ProcProbability</t>
        </is>
      </c>
      <c r="I1849" s="9" t="inlineStr">
        <is>
          <t>MapleHeroMultiplier</t>
        </is>
      </c>
      <c r="J1849" s="9" t="inlineStr">
        <is>
          <t>BaseDamage</t>
        </is>
      </c>
      <c r="K1849" s="9" t="inlineStr">
        <is>
          <t>BaseHitDamage</t>
        </is>
      </c>
      <c r="L1849" s="9" t="inlineStr">
        <is>
          <t>NonCritAvg</t>
        </is>
      </c>
      <c r="M1849" s="9" t="inlineStr">
        <is>
          <t>CritAvg</t>
        </is>
      </c>
      <c r="N1849" s="9" t="inlineStr">
        <is>
          <t>ExpectedDamage(perHit)</t>
        </is>
      </c>
      <c r="O1849" s="9" t="inlineStr">
        <is>
          <t>DPS</t>
        </is>
      </c>
      <c r="P1849" s="9" t="inlineStr">
        <is>
          <t>% of Total</t>
        </is>
      </c>
      <c r="Q1849" s="9" t="inlineStr">
        <is>
          <t>InvCooldown</t>
        </is>
      </c>
      <c r="R1849" s="9" t="inlineStr">
        <is>
          <t>CastsInFight</t>
        </is>
      </c>
      <c r="S1849" s="9" t="inlineStr">
        <is>
          <t>HitRate(perSec)</t>
        </is>
      </c>
      <c r="U1849" t="inlineStr">
        <is>
          <t>helpers</t>
        </is>
      </c>
    </row>
    <row r="1850">
      <c r="A1850">
        <f>Skills!A2</f>
        <v/>
      </c>
      <c r="B1850">
        <f>Skills!B2</f>
        <v/>
      </c>
      <c r="C1850">
        <f>Inputs!$B$3&gt;=100</f>
        <v/>
      </c>
      <c r="D1850" t="inlineStr"/>
      <c r="E1850" t="inlineStr"/>
      <c r="F1850">
        <f>U1852+Skills!O2</f>
        <v/>
      </c>
      <c r="G1850">
        <f>Skills!G2*IF(Skills!H2&gt;0,Skills!I2/Skills!H2,1)</f>
        <v/>
      </c>
      <c r="H1850">
        <f>1-(1-Skills!J2/100)^Skills!K2</f>
        <v/>
      </c>
      <c r="I1850" t="inlineStr">
        <is>
          <t>1</t>
        </is>
      </c>
      <c r="J1850">
        <f>((Inputs!$B$6*(1+Inputs!$B$7/100))+(((Inputs!$B$12*(1+Inputs!$B$13/100))-(Inputs!$B$12*(1+Inputs!$B$13/100)))+0.25*(Inputs!$B$14-Inputs!$B$14))*(1+Inputs!$B$7/100))*(F1850/100)</f>
        <v/>
      </c>
      <c r="K1850">
        <f>J1850*(1+((Inputs!$B$12*(1+Inputs!$B$13/100))*0.01+Inputs!$B$14*0.0025)/100)*(1+Inputs!$B$15/100)*(1+Inputs!$B$16/100)*(5000/(6000+Inputs!$B$43*(1-Inputs!$B$19/100)))*(1+(Inputs!$B$24+((C1878=TRUE)*(F1878-Calc!F30)))/100)*(1+(IF(Skills!A2="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1850)</f>
        <v/>
      </c>
      <c r="L1850">
        <f>K1850*(MIN(Inputs!$B$22+((C1872=TRUE)*(F1872-Calc!F24)),Inputs!$B$23+((C1877=TRUE)*(F1877-Calc!F29)))/100+(Inputs!$B$23+((C1877=TRUE)*(F1877-Calc!F29)))/100)/2</f>
        <v/>
      </c>
      <c r="M1850">
        <f>L1850*(1+(Inputs!$B$10+((C1874=TRUE)*(F1874-Calc!F26))+B1888)/100)</f>
        <v/>
      </c>
      <c r="N1850">
        <f>L1850*(1-MIN((Inputs!$B$9+((C1873=TRUE)*(F1873-Calc!F25))+B1881),100)/100)+M1850*(MIN((Inputs!$B$9+((C1873=TRUE)*(F1873-Calc!F25))+B1881),100)/100)</f>
        <v/>
      </c>
      <c r="O1850">
        <f>(1-Summary!$B$55)*T1850+Summary!$B$55*V1850</f>
        <v/>
      </c>
      <c r="P1850">
        <f>IF(B1893=0,0,O1850/B1893)</f>
        <v/>
      </c>
      <c r="Q1850" t="n">
        <v>0</v>
      </c>
      <c r="R1850" t="n">
        <v>0</v>
      </c>
      <c r="S1850">
        <f>IFERROR(O1850/N1850,0)</f>
        <v/>
      </c>
      <c r="T1850">
        <f>IF(C1850,(Skills!G2*N1850*B1887)*IF(Inputs!$B$39="pvp",1,1+(Inputs!$B$20+0+Skills!P2+B1882)/100),0)</f>
        <v/>
      </c>
      <c r="U1850">
        <f>MAX(0,(Inputs!$B$3-100)*3)+Inputs!$B$28+Inputs!$B$29</f>
        <v/>
      </c>
      <c r="V1850">
        <f>IF(C1850,(Skills!G2*N1850*B1887)*IF(Inputs!$B$39="pvp",1,(1+(Inputs!$B$21+Skills!Q2+B1882)/100)*(MIN((6+Inputs!$B$33),Inputs!$B$37))),0)</f>
        <v/>
      </c>
    </row>
    <row r="1851">
      <c r="A1851">
        <f>Skills!A3</f>
        <v/>
      </c>
      <c r="B1851">
        <f>Skills!B3</f>
        <v/>
      </c>
      <c r="C1851">
        <f>Inputs!$B$3&gt;=35</f>
        <v/>
      </c>
      <c r="D1851">
        <f>IF(Skills!C3=1,60+Inputs!$B$25+Inputs!$B$29,IF(Skills!C3=2,90+Inputs!$B$26+Inputs!$B$29,IF(Skills!C3=3,120+Inputs!$B$27+Inputs!$B$29,MAX(0,(Inputs!$B$3-100)*3)+Inputs!$B$28+Inputs!$B$29)))</f>
        <v/>
      </c>
      <c r="E1851">
        <f>INDEX(FactorTable!$B$2:$Y$301, MATCH(ROUND(MIN(300,MAX(1,D1851)),0), FactorTable!$A$2:$A$301,0), Skills!M3+1)</f>
        <v/>
      </c>
      <c r="F1851">
        <f>IF(Skills!N3=TRUE,(Skills!L3/10)*(E1851/1000),Skills!L3/10)+Skills!O3</f>
        <v/>
      </c>
      <c r="G1851">
        <f>Skills!G3*IF(Skills!H3&gt;0,Skills!I3/Skills!H3,1)</f>
        <v/>
      </c>
      <c r="H1851">
        <f>1-(1-Skills!J3/100)^Skills!K3</f>
        <v/>
      </c>
      <c r="I1851" t="inlineStr">
        <is>
          <t>1</t>
        </is>
      </c>
      <c r="J1851" t="inlineStr"/>
      <c r="K1851" t="inlineStr"/>
      <c r="L1851" t="inlineStr"/>
      <c r="M1851" t="inlineStr"/>
      <c r="N1851" t="inlineStr"/>
      <c r="O1851">
        <f>(1-Summary!$B$55)*T1851+Summary!$B$55*V1851</f>
        <v/>
      </c>
      <c r="P1851">
        <f>IF(B1893=0,0,O1851/B1893)</f>
        <v/>
      </c>
      <c r="Q1851" t="n">
        <v>0</v>
      </c>
      <c r="R1851" t="n">
        <v>0</v>
      </c>
      <c r="S1851">
        <f>IFERROR(O1851/N1851,0)</f>
        <v/>
      </c>
      <c r="T1851" t="n">
        <v>0</v>
      </c>
      <c r="U1851">
        <f>INDEX(FactorTable!$B$2:$Y$301, MATCH(ROUND(MIN(300,MAX(1,U1850)),0), FactorTable!$A$2:$A$301,0), 22)</f>
        <v/>
      </c>
      <c r="V1851" t="n">
        <v>0</v>
      </c>
    </row>
    <row r="1852">
      <c r="A1852">
        <f>Skills!A4</f>
        <v/>
      </c>
      <c r="B1852">
        <f>Skills!B4</f>
        <v/>
      </c>
      <c r="C1852">
        <f>Inputs!$B$3&gt;=66</f>
        <v/>
      </c>
      <c r="D1852">
        <f>IF(Skills!C4=1,60+Inputs!$B$25+Inputs!$B$29,IF(Skills!C4=2,90+Inputs!$B$26+Inputs!$B$29,IF(Skills!C4=3,120+Inputs!$B$27+Inputs!$B$29,MAX(0,(Inputs!$B$3-100)*3)+Inputs!$B$28+Inputs!$B$29)))</f>
        <v/>
      </c>
      <c r="E1852">
        <f>INDEX(FactorTable!$B$2:$Y$301, MATCH(ROUND(MIN(300,MAX(1,D1852)),0), FactorTable!$A$2:$A$301,0), Skills!M4+1)</f>
        <v/>
      </c>
      <c r="F1852">
        <f>IF(Skills!N4=TRUE,(Skills!L4/10)*(E1852/1000),Skills!L4/10)+Skills!O4</f>
        <v/>
      </c>
      <c r="G1852">
        <f>Skills!G4*IF(Skills!H4&gt;0,Skills!I4/Skills!H4,1)</f>
        <v/>
      </c>
      <c r="H1852">
        <f>1-(1-Skills!J4/100)^Skills!K4</f>
        <v/>
      </c>
      <c r="I1852" t="inlineStr">
        <is>
          <t>1</t>
        </is>
      </c>
      <c r="J1852">
        <f>((Inputs!$B$6*(1+Inputs!$B$7/100))+(((Inputs!$B$12*(1+Inputs!$B$13/100))-(Inputs!$B$12*(1+Inputs!$B$13/100)))+0.25*(Inputs!$B$14-Inputs!$B$14))*(1+Inputs!$B$7/100))*(F1852/100)</f>
        <v/>
      </c>
      <c r="K1852">
        <f>J1852*(1+((Inputs!$B$12*(1+Inputs!$B$13/100))*0.01+Inputs!$B$14*0.0025)/100)*(1+Inputs!$B$15/100)*(1+Inputs!$B$16/100)*(5000/(6000+Inputs!$B$43*(1-Inputs!$B$19/100)))*(1+(Inputs!$B$24+((C1878=TRUE)*(F1878-Calc!F30)))/100)*(1+(IF(Skills!A4="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1852)</f>
        <v/>
      </c>
      <c r="L1852">
        <f>K1852*(MIN(Inputs!$B$22+((C1872=TRUE)*(F1872-Calc!F24)),Inputs!$B$23+((C1877=TRUE)*(F1877-Calc!F29)))/100+(Inputs!$B$23+((C1877=TRUE)*(F1877-Calc!F29)))/100)/2</f>
        <v/>
      </c>
      <c r="M1852">
        <f>L1852*(1+(Inputs!$B$10+((C1874=TRUE)*(F1874-Calc!F26))+B1888)/100)</f>
        <v/>
      </c>
      <c r="N1852">
        <f>L1852*(1-MIN((Inputs!$B$9+((C1873=TRUE)*(F1873-Calc!F25))+B1881),100)/100)+M1852*(MIN((Inputs!$B$9+((C1873=TRUE)*(F1873-Calc!F25))+B1881),100)/100)</f>
        <v/>
      </c>
      <c r="O1852">
        <f>(1-Summary!$B$55)*T1852+Summary!$B$55*V1852</f>
        <v/>
      </c>
      <c r="P1852">
        <f>IF(B1893=0,0,O1852/B1893)</f>
        <v/>
      </c>
      <c r="Q1852">
        <f>IFERROR(1/IF(Inputs!$B$39="pvp",15,MAX(0.1,Skills!D4-IF(Skills!E4=TRUE,5.0,0))),0)</f>
        <v/>
      </c>
      <c r="R1852">
        <f>IF(AND(Inputs!$B$39&lt;&gt;"pvp",Inputs!$B$44&gt;0),IF(MAX(0,Inputs!$B$44-B1892)&lt;=0,0,(INT(MAX(0,Inputs!$B$44-B1892)/IF(Inputs!$B$39="pvp",15,MAX(0.1,Skills!D4-IF(Skills!E4=TRUE,5.0,0))))+1)),0)</f>
        <v/>
      </c>
      <c r="S1852">
        <f>IFERROR(O1852/N1852,0)</f>
        <v/>
      </c>
      <c r="T1852">
        <f>IF(C1852,(H1852*N1852*IF(AND(Inputs!$B$39&lt;&gt;"pvp",Inputs!$B$44&gt;0),((Skills!G4*((R1852-1)*IF(Skills!H4&gt;0,Skills!I4/Skills!H4,1)+IF(Skills!H4&gt;0,MIN(Skills!I4,MAX(0,MAX(0,Inputs!$B$44-B1892)-((R1852-1)*IF(Inputs!$B$39="pvp",15,MAX(0.1,Skills!D4-IF(Skills!E4=TRUE,5.0,0))))))/Skills!H4,1)))/Inputs!$B$44),G1852*Q1852))*IF(Inputs!$B$39="pvp",1,1+(Inputs!$B$20+0+Skills!P4+B1882)/100),0)</f>
        <v/>
      </c>
      <c r="U1852">
        <f>290*U1851/1000</f>
        <v/>
      </c>
      <c r="V1852">
        <f>IF(C1852,(H1852*N1852*IF(AND(Inputs!$B$39&lt;&gt;"pvp",Inputs!$B$44&gt;0),((Skills!G4*((R1852-1)*IF(Skills!H4&gt;0,Skills!I4/Skills!H4,1)+IF(Skills!H4&gt;0,MIN(Skills!I4,MAX(0,MAX(0,Inputs!$B$44-B1892)-((R1852-1)*IF(Inputs!$B$39="pvp",15,MAX(0.1,Skills!D4-IF(Skills!E4=TRUE,5.0,0))))))/Skills!H4,1)))/Inputs!$B$44),G1852*Q1852))*IF(Inputs!$B$39="pvp",1,(1+(Inputs!$B$21+Skills!Q4+B1882)/100)*(MIN(MIN(10,0.5*B1885*Skills!D4),Inputs!$B$37))),0)</f>
        <v/>
      </c>
    </row>
    <row r="1853">
      <c r="A1853">
        <f>Skills!A5</f>
        <v/>
      </c>
      <c r="B1853">
        <f>Skills!B5</f>
        <v/>
      </c>
      <c r="C1853">
        <f>Inputs!$B$3&gt;=63</f>
        <v/>
      </c>
      <c r="D1853">
        <f>IF(Skills!C5=1,60+Inputs!$B$25+Inputs!$B$29,IF(Skills!C5=2,90+Inputs!$B$26+Inputs!$B$29,IF(Skills!C5=3,120+Inputs!$B$27+Inputs!$B$29,MAX(0,(Inputs!$B$3-100)*3)+Inputs!$B$28+Inputs!$B$29)))</f>
        <v/>
      </c>
      <c r="E1853">
        <f>INDEX(FactorTable!$B$2:$Y$301, MATCH(ROUND(MIN(300,MAX(1,D1853)),0), FactorTable!$A$2:$A$301,0), Skills!M5+1)</f>
        <v/>
      </c>
      <c r="F1853">
        <f>IF(Skills!N5=TRUE,(Skills!L5/10)*(E1853/1000),Skills!L5/10)+Skills!O5</f>
        <v/>
      </c>
      <c r="G1853">
        <f>Skills!G5*IF(Skills!H5&gt;0,Skills!I5/Skills!H5,1)</f>
        <v/>
      </c>
      <c r="H1853">
        <f>1-(1-Skills!J5/100)^Skills!K5</f>
        <v/>
      </c>
      <c r="I1853" t="inlineStr">
        <is>
          <t>1</t>
        </is>
      </c>
      <c r="J1853">
        <f>((Inputs!$B$6*(1+Inputs!$B$7/100))+(((Inputs!$B$12*(1+Inputs!$B$13/100))-(Inputs!$B$12*(1+Inputs!$B$13/100)))+0.25*(Inputs!$B$14-Inputs!$B$14))*(1+Inputs!$B$7/100))*(F1853/100)</f>
        <v/>
      </c>
      <c r="K1853">
        <f>J1853*(1+((Inputs!$B$12*(1+Inputs!$B$13/100))*0.01+Inputs!$B$14*0.0025)/100)*(1+Inputs!$B$15/100)*(1+Inputs!$B$16/100)*(5000/(6000+Inputs!$B$43*(1-Inputs!$B$19/100)))*(1+(Inputs!$B$24+((C1878=TRUE)*(F1878-Calc!F30)))/100)*(1+2.6666666666666665*IF(C1866=TRUE,F1866,0)/100)*(1+(IF(Skills!A5="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1853)</f>
        <v/>
      </c>
      <c r="L1853">
        <f>K1853*(MIN(Inputs!$B$22+((C1872=TRUE)*(F1872-Calc!F24)),Inputs!$B$23+((C1877=TRUE)*(F1877-Calc!F29)))/100+(Inputs!$B$23+((C1877=TRUE)*(F1877-Calc!F29)))/100)/2</f>
        <v/>
      </c>
      <c r="M1853">
        <f>L1853*(1+(Inputs!$B$10+((C1874=TRUE)*(F1874-Calc!F26))+B1888)/100)</f>
        <v/>
      </c>
      <c r="N1853">
        <f>L1853*(1-MIN((Inputs!$B$9+((C1873=TRUE)*(F1873-Calc!F25))+B1881),100)/100)+M1853*(MIN((Inputs!$B$9+((C1873=TRUE)*(F1873-Calc!F25))+B1881),100)/100)</f>
        <v/>
      </c>
      <c r="O1853">
        <f>(1-Summary!$B$55)*T1853+Summary!$B$55*V1853</f>
        <v/>
      </c>
      <c r="P1853">
        <f>IF(B1893=0,0,O1853/B1893)</f>
        <v/>
      </c>
      <c r="Q1853">
        <f>IFERROR(1/IF(Inputs!$B$39="pvp",15,MAX(0.1,Skills!D5-IF(Skills!E5=TRUE,5.0,0))),0)</f>
        <v/>
      </c>
      <c r="R1853">
        <f>IF(AND(Inputs!$B$39&lt;&gt;"pvp",Inputs!$B$44&gt;0),IF(MAX(0,Inputs!$B$44-B1892)&lt;=0,0,(INT(MAX(0,Inputs!$B$44-B1892)/IF(Inputs!$B$39="pvp",15,MAX(0.1,Skills!D5-IF(Skills!E5=TRUE,5.0,0))))+1)),0)</f>
        <v/>
      </c>
      <c r="S1853">
        <f>IFERROR(O1853/N1853,0)</f>
        <v/>
      </c>
      <c r="T1853">
        <f>IF(C1853,(H1853*N1853*IF(AND(Inputs!$B$39&lt;&gt;"pvp",Inputs!$B$44&gt;0),((Skills!G5*((R1853-1)*IF(Skills!H5&gt;0,Skills!I5/Skills!H5,1)+IF(Skills!H5&gt;0,MIN(Skills!I5,MAX(0,MAX(0,Inputs!$B$44-B1892)-((R1853-1)*IF(Inputs!$B$39="pvp",15,MAX(0.1,Skills!D5-IF(Skills!E5=TRUE,5.0,0))))))/Skills!H5,1)))/Inputs!$B$44),G1853*Q1853))*IF(Inputs!$B$39="pvp",1,1+(Inputs!$B$20+0+Skills!P5+B1882)/100),0)</f>
        <v/>
      </c>
      <c r="V1853">
        <f>IF(C1853,(H1853*N1853*IF(AND(Inputs!$B$39&lt;&gt;"pvp",Inputs!$B$44&gt;0),((Skills!G5*((R1853-1)*IF(Skills!H5&gt;0,Skills!I5/Skills!H5,1)+IF(Skills!H5&gt;0,MIN(Skills!I5,MAX(0,MAX(0,Inputs!$B$44-B1892)-((R1853-1)*IF(Inputs!$B$39="pvp",15,MAX(0.1,Skills!D5-IF(Skills!E5=TRUE,5.0,0))))))/Skills!H5,1)))/Inputs!$B$44),G1853*Q1853))*IF(Inputs!$B$39="pvp",1,(1+(Inputs!$B$21+Skills!Q5+B1882)/100)*(MIN(Skills!W5,Inputs!$B$37))),0)</f>
        <v/>
      </c>
    </row>
    <row r="1854">
      <c r="A1854">
        <f>Skills!A6</f>
        <v/>
      </c>
      <c r="B1854">
        <f>Skills!B6</f>
        <v/>
      </c>
      <c r="C1854">
        <f>Inputs!$B$3&gt;=69</f>
        <v/>
      </c>
      <c r="D1854">
        <f>IF(Skills!C6=1,60+Inputs!$B$25+Inputs!$B$29,IF(Skills!C6=2,90+Inputs!$B$26+Inputs!$B$29,IF(Skills!C6=3,120+Inputs!$B$27+Inputs!$B$29,MAX(0,(Inputs!$B$3-100)*3)+Inputs!$B$28+Inputs!$B$29)))</f>
        <v/>
      </c>
      <c r="E1854">
        <f>INDEX(FactorTable!$B$2:$Y$301, MATCH(ROUND(MIN(300,MAX(1,D1854)),0), FactorTable!$A$2:$A$301,0), Skills!M6+1)</f>
        <v/>
      </c>
      <c r="F1854">
        <f>IF(Skills!N6=TRUE,(Skills!L6/10)*(E1854/1000),Skills!L6/10)+Skills!O6</f>
        <v/>
      </c>
      <c r="G1854">
        <f>Skills!G6*IF(Skills!H6&gt;0,Skills!I6/Skills!H6,1)</f>
        <v/>
      </c>
      <c r="H1854">
        <f>1-(1-Skills!J6/100)^Skills!K6</f>
        <v/>
      </c>
      <c r="I1854" t="inlineStr">
        <is>
          <t>1</t>
        </is>
      </c>
      <c r="J1854">
        <f>((Inputs!$B$6*(1+Inputs!$B$7/100))+(((Inputs!$B$12*(1+Inputs!$B$13/100))-(Inputs!$B$12*(1+Inputs!$B$13/100)))+0.25*(Inputs!$B$14-Inputs!$B$14))*(1+Inputs!$B$7/100))*(F1854/100)</f>
        <v/>
      </c>
      <c r="K1854">
        <f>J1854*(1+((Inputs!$B$12*(1+Inputs!$B$13/100))*0.01+Inputs!$B$14*0.0025)/100)*(1+Inputs!$B$15/100)*(1+Inputs!$B$16/100)*(5000/(6000+Inputs!$B$43*(1-Inputs!$B$19/100)))*(1+(Inputs!$B$24+((C1878=TRUE)*(F1878-Calc!F30)))/100)*(1+1.0*IF(C1866=TRUE,F1866,0)/100)*(1+(IF(Skills!A6="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1854)</f>
        <v/>
      </c>
      <c r="L1854">
        <f>K1854*(MIN(Inputs!$B$22+((C1872=TRUE)*(F1872-Calc!F24)),Inputs!$B$23+((C1877=TRUE)*(F1877-Calc!F29)))/100+(Inputs!$B$23+((C1877=TRUE)*(F1877-Calc!F29)))/100)/2</f>
        <v/>
      </c>
      <c r="M1854">
        <f>L1854*(1+(Inputs!$B$10+((C1874=TRUE)*(F1874-Calc!F26))+B1888)/100)</f>
        <v/>
      </c>
      <c r="N1854">
        <f>L1854*(1-MIN((Inputs!$B$9+((C1873=TRUE)*(F1873-Calc!F25))+B1881),100)/100)+M1854*(MIN((Inputs!$B$9+((C1873=TRUE)*(F1873-Calc!F25))+B1881),100)/100)</f>
        <v/>
      </c>
      <c r="O1854">
        <f>(1-Summary!$B$55)*T1854+Summary!$B$55*V1854</f>
        <v/>
      </c>
      <c r="P1854">
        <f>IF(B1893=0,0,O1854/B1893)</f>
        <v/>
      </c>
      <c r="Q1854">
        <f>IFERROR(1/IF(Inputs!$B$39="pvp",15,MAX(0.1,Skills!D6-IF(Skills!E6=TRUE,5.0,0))),0)</f>
        <v/>
      </c>
      <c r="R1854">
        <f>IF(AND(Inputs!$B$39&lt;&gt;"pvp",Inputs!$B$44&gt;0),IF(MAX(0,Inputs!$B$44-B1892)&lt;=0,0,(INT(MAX(0,Inputs!$B$44-B1892)/IF(Inputs!$B$39="pvp",15,MAX(0.1,Skills!D6-IF(Skills!E6=TRUE,5.0,0))))+1)),0)</f>
        <v/>
      </c>
      <c r="S1854">
        <f>IFERROR(O1854/N1854,0)</f>
        <v/>
      </c>
      <c r="T1854">
        <f>IF(C1854,(H1854*N1854*IF(AND(Inputs!$B$39&lt;&gt;"pvp",Inputs!$B$44&gt;0),((Skills!G6*((R1854-1)*IF(Skills!H6&gt;0,Skills!I6/Skills!H6,1)+IF(Skills!H6&gt;0,MIN(Skills!I6,MAX(0,MAX(0,Inputs!$B$44-B1892)-((R1854-1)*IF(Inputs!$B$39="pvp",15,MAX(0.1,Skills!D6-IF(Skills!E6=TRUE,5.0,0))))))/Skills!H6,1)))/Inputs!$B$44),G1854*Q1854))*IF(Inputs!$B$39="pvp",1,1+(Inputs!$B$20+0+Skills!P6+B1882)/100),0)</f>
        <v/>
      </c>
      <c r="V1854">
        <f>IF(C1854,(H1854*N1854*IF(AND(Inputs!$B$39&lt;&gt;"pvp",Inputs!$B$44&gt;0),((Skills!G6*((R1854-1)*IF(Skills!H6&gt;0,Skills!I6/Skills!H6,1)+IF(Skills!H6&gt;0,MIN(Skills!I6,MAX(0,MAX(0,Inputs!$B$44-B1892)-((R1854-1)*IF(Inputs!$B$39="pvp",15,MAX(0.1,Skills!D6-IF(Skills!E6=TRUE,5.0,0))))))/Skills!H6,1)))/Inputs!$B$44),G1854*Q1854))*IF(Inputs!$B$39="pvp",1,(1+(Inputs!$B$21+Skills!Q6+B1882)/100)*(MIN(Skills!W6,Inputs!$B$37))),0)</f>
        <v/>
      </c>
    </row>
    <row r="1855">
      <c r="A1855">
        <f>Skills!A7</f>
        <v/>
      </c>
      <c r="B1855">
        <f>Skills!B7</f>
        <v/>
      </c>
      <c r="C1855">
        <f>Inputs!$B$3&gt;=60</f>
        <v/>
      </c>
      <c r="D1855">
        <f>IF(Skills!C7=1,60+Inputs!$B$25+Inputs!$B$29,IF(Skills!C7=2,90+Inputs!$B$26+Inputs!$B$29,IF(Skills!C7=3,120+Inputs!$B$27+Inputs!$B$29,MAX(0,(Inputs!$B$3-100)*3)+Inputs!$B$28+Inputs!$B$29)))</f>
        <v/>
      </c>
      <c r="E1855">
        <f>INDEX(FactorTable!$B$2:$Y$301, MATCH(ROUND(MIN(300,MAX(1,D1855)),0), FactorTable!$A$2:$A$301,0), Skills!M7+1)</f>
        <v/>
      </c>
      <c r="F1855">
        <f>IF(Skills!N7=TRUE,(Skills!L7/10)*(E1855/1000),Skills!L7/10)+Skills!O7</f>
        <v/>
      </c>
      <c r="G1855">
        <f>Skills!G7*IF(Skills!H7&gt;0,Skills!I7/Skills!H7,1)</f>
        <v/>
      </c>
      <c r="H1855">
        <f>1-(1-Skills!J7/100)^Skills!K7</f>
        <v/>
      </c>
      <c r="I1855" t="inlineStr">
        <is>
          <t>1</t>
        </is>
      </c>
      <c r="J1855" t="inlineStr"/>
      <c r="K1855" t="inlineStr"/>
      <c r="L1855" t="inlineStr"/>
      <c r="M1855" t="inlineStr"/>
      <c r="N1855" t="inlineStr"/>
      <c r="O1855">
        <f>(1-Summary!$B$55)*T1855+Summary!$B$55*V1855</f>
        <v/>
      </c>
      <c r="P1855">
        <f>IF(B1893=0,0,O1855/B1893)</f>
        <v/>
      </c>
      <c r="Q1855" t="n">
        <v>0</v>
      </c>
      <c r="R1855" t="n">
        <v>0</v>
      </c>
      <c r="S1855">
        <f>IFERROR(O1855/N1855,0)</f>
        <v/>
      </c>
      <c r="T1855" t="n">
        <v>0</v>
      </c>
      <c r="V1855" t="n">
        <v>0</v>
      </c>
    </row>
    <row r="1856">
      <c r="A1856">
        <f>Skills!A8</f>
        <v/>
      </c>
      <c r="B1856">
        <f>Skills!B8</f>
        <v/>
      </c>
      <c r="C1856">
        <f>Inputs!$B$3&gt;=72</f>
        <v/>
      </c>
      <c r="D1856">
        <f>IF(Skills!C8=1,60+Inputs!$B$25+Inputs!$B$29,IF(Skills!C8=2,90+Inputs!$B$26+Inputs!$B$29,IF(Skills!C8=3,120+Inputs!$B$27+Inputs!$B$29,MAX(0,(Inputs!$B$3-100)*3)+Inputs!$B$28+Inputs!$B$29)))</f>
        <v/>
      </c>
      <c r="E1856">
        <f>INDEX(FactorTable!$B$2:$Y$301, MATCH(ROUND(MIN(300,MAX(1,D1856)),0), FactorTable!$A$2:$A$301,0), Skills!M8+1)</f>
        <v/>
      </c>
      <c r="F1856">
        <f>IF(Skills!N8=TRUE,(Skills!L8/10)*(E1856/1000),Skills!L8/10)+Skills!O8</f>
        <v/>
      </c>
      <c r="G1856">
        <f>Skills!G8*IF(Skills!H8&gt;0,Skills!I8/Skills!H8,1)</f>
        <v/>
      </c>
      <c r="H1856">
        <f>1-(1-Skills!J8/100)^Skills!K8</f>
        <v/>
      </c>
      <c r="I1856" t="inlineStr">
        <is>
          <t>1</t>
        </is>
      </c>
      <c r="J1856">
        <f>((Inputs!$B$6*(1+Inputs!$B$7/100))+(((Inputs!$B$12*(1+Inputs!$B$13/100))-(Inputs!$B$12*(1+Inputs!$B$13/100)))+0.25*(Inputs!$B$14-Inputs!$B$14))*(1+Inputs!$B$7/100))*(F1856/100)</f>
        <v/>
      </c>
      <c r="K1856">
        <f>J1856*(1+((Inputs!$B$12*(1+Inputs!$B$13/100))*0.01+Inputs!$B$14*0.0025)/100)*(1+Inputs!$B$15/100)*(1+Inputs!$B$16/100)*(5000/(6000+Inputs!$B$43*(1-Inputs!$B$19/100)))*(1+(Inputs!$B$24+((C1878=TRUE)*(F1878-Calc!F30)))/100)*(1+3.3333333333333335*IF(C1866=TRUE,F1866,0)/100)*(1+(IF(Skills!A8="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1856)</f>
        <v/>
      </c>
      <c r="L1856">
        <f>K1856*(MIN(Inputs!$B$22+((C1872=TRUE)*(F1872-Calc!F24)),Inputs!$B$23+((C1877=TRUE)*(F1877-Calc!F29)))/100+(Inputs!$B$23+((C1877=TRUE)*(F1877-Calc!F29)))/100)/2</f>
        <v/>
      </c>
      <c r="M1856">
        <f>L1856*(1+(Inputs!$B$10+((C1874=TRUE)*(F1874-Calc!F26))+B1888)/100)</f>
        <v/>
      </c>
      <c r="N1856">
        <f>L1856*(1-MIN((Inputs!$B$9+((C1873=TRUE)*(F1873-Calc!F25))+B1881),100)/100)+M1856*(MIN((Inputs!$B$9+((C1873=TRUE)*(F1873-Calc!F25))+B1881),100)/100)</f>
        <v/>
      </c>
      <c r="O1856">
        <f>(1-Summary!$B$55)*T1856+Summary!$B$55*V1856</f>
        <v/>
      </c>
      <c r="P1856">
        <f>IF(B1893=0,0,O1856/B1893)</f>
        <v/>
      </c>
      <c r="Q1856">
        <f>IFERROR(1/IF(Inputs!$B$39="pvp",15,MAX(0.1,Skills!D8-IF(Skills!E8=TRUE,5.0,0))),0)</f>
        <v/>
      </c>
      <c r="R1856">
        <f>IF(AND(Inputs!$B$39&lt;&gt;"pvp",Inputs!$B$44&gt;0),IF(MAX(0,Inputs!$B$44-B1892)&lt;=0,0,(INT(MAX(0,Inputs!$B$44-B1892)/IF(Inputs!$B$39="pvp",15,MAX(0.1,Skills!D8-IF(Skills!E8=TRUE,5.0,0))))+1)),0)</f>
        <v/>
      </c>
      <c r="S1856">
        <f>IFERROR(O1856/N1856,0)</f>
        <v/>
      </c>
      <c r="T1856">
        <f>IF(C1856,(H1856*N1856*IF(AND(Inputs!$B$39&lt;&gt;"pvp",Inputs!$B$44&gt;0),((Skills!G8*((R1856-1)*IF(Skills!H8&gt;0,Skills!I8/Skills!H8,1)+IF(Skills!H8&gt;0,MIN(Skills!I8,MAX(0,MAX(0,Inputs!$B$44-B1892)-((R1856-1)*IF(Inputs!$B$39="pvp",15,MAX(0.1,Skills!D8-IF(Skills!E8=TRUE,5.0,0))))))/Skills!H8,1)))/Inputs!$B$44),G1856*Q1856))*IF(Inputs!$B$39="pvp",1,1+(Inputs!$B$20+0+Skills!P8+B1882)/100),0)</f>
        <v/>
      </c>
      <c r="V1856">
        <f>IF(C1856,(H1856*N1856*IF(AND(Inputs!$B$39&lt;&gt;"pvp",Inputs!$B$44&gt;0),((Skills!G8*((R1856-1)*IF(Skills!H8&gt;0,Skills!I8/Skills!H8,1)+IF(Skills!H8&gt;0,MIN(Skills!I8,MAX(0,MAX(0,Inputs!$B$44-B1892)-((R1856-1)*IF(Inputs!$B$39="pvp",15,MAX(0.1,Skills!D8-IF(Skills!E8=TRUE,5.0,0))))))/Skills!H8,1)))/Inputs!$B$44),G1856*Q1856))*IF(Inputs!$B$39="pvp",1,(1+(Inputs!$B$21+Skills!Q8+B1882)/100)*(MIN(Skills!W8,Inputs!$B$37))),0)</f>
        <v/>
      </c>
    </row>
    <row r="1857">
      <c r="A1857">
        <f>Skills!A9</f>
        <v/>
      </c>
      <c r="B1857">
        <f>Skills!B9</f>
        <v/>
      </c>
      <c r="C1857">
        <f>Inputs!$B$3&gt;=117</f>
        <v/>
      </c>
      <c r="D1857">
        <f>IF(Skills!C9=1,60+Inputs!$B$25+Inputs!$B$29,IF(Skills!C9=2,90+Inputs!$B$26+Inputs!$B$29,IF(Skills!C9=3,120+Inputs!$B$27+Inputs!$B$29,MAX(0,(Inputs!$B$3-100)*3)+Inputs!$B$28+Inputs!$B$29)))</f>
        <v/>
      </c>
      <c r="E1857">
        <f>INDEX(FactorTable!$B$2:$Y$301, MATCH(ROUND(MIN(300,MAX(1,D1857)),0), FactorTable!$A$2:$A$301,0), Skills!M9+1)</f>
        <v/>
      </c>
      <c r="F1857">
        <f>IF(Skills!N9=TRUE,(Skills!L9/10)*(E1857/1000),Skills!L9/10)+Skills!O9</f>
        <v/>
      </c>
      <c r="G1857">
        <f>Skills!G9*IF(Skills!H9&gt;0,Skills!I9/Skills!H9,1)</f>
        <v/>
      </c>
      <c r="H1857">
        <f>1-(1-Skills!J9/100)^Skills!K9</f>
        <v/>
      </c>
      <c r="I1857" t="inlineStr">
        <is>
          <t>1</t>
        </is>
      </c>
      <c r="J1857">
        <f>((Inputs!$B$6*(1+Inputs!$B$7/100))+(((Inputs!$B$12*(1+Inputs!$B$13/100))-(Inputs!$B$12*(1+Inputs!$B$13/100)))+0.25*(Inputs!$B$14-Inputs!$B$14))*(1+Inputs!$B$7/100))*(F1857/100)</f>
        <v/>
      </c>
      <c r="K1857">
        <f>J1857*(1+((Inputs!$B$12*(1+Inputs!$B$13/100))*0.01+Inputs!$B$14*0.0025)/100)*(1+Inputs!$B$15/100)*(1+Inputs!$B$16/100)*(5000/(6000+Inputs!$B$43*(1-Inputs!$B$19/100)))*(1+(Inputs!$B$24+((C1878=TRUE)*(F1878-Calc!F30)))/100)*(1+(IF(Skills!A9="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1857)</f>
        <v/>
      </c>
      <c r="L1857">
        <f>K1857*(MIN(Inputs!$B$22+((C1872=TRUE)*(F1872-Calc!F24)),Inputs!$B$23+((C1877=TRUE)*(F1877-Calc!F29)))/100+(Inputs!$B$23+((C1877=TRUE)*(F1877-Calc!F29)))/100)/2</f>
        <v/>
      </c>
      <c r="M1857">
        <f>L1857*(1+(Inputs!$B$10+((C1874=TRUE)*(F1874-Calc!F26))+B1888)/100)</f>
        <v/>
      </c>
      <c r="N1857">
        <f>L1857*(1-MIN((Inputs!$B$9+((C1873=TRUE)*(F1873-Calc!F25))+B1881),100)/100)+M1857*(MIN((Inputs!$B$9+((C1873=TRUE)*(F1873-Calc!F25))+B1881),100)/100)</f>
        <v/>
      </c>
      <c r="O1857">
        <f>(1-Summary!$B$55)*T1857+Summary!$B$55*V1857</f>
        <v/>
      </c>
      <c r="P1857">
        <f>IF(B1893=0,0,O1857/B1893)</f>
        <v/>
      </c>
      <c r="Q1857" t="n">
        <v>0</v>
      </c>
      <c r="R1857" t="n">
        <v>0</v>
      </c>
      <c r="S1857" t="n">
        <v>0</v>
      </c>
      <c r="T1857">
        <f>IF(C1857,(0.2*SUMPRODUCT((Skills!Z2:Z30=TRUE)*(C1850:C1878=TRUE)*S1850:S1878)*N1857)*IF(Inputs!$B$39="pvp",1,1+(Inputs!$B$20+0+Skills!P9+B1882)/100),0)</f>
        <v/>
      </c>
      <c r="V1857">
        <f>IF(C1857,(0.2*SUMPRODUCT((Skills!Z2:Z30=TRUE)*(C1850:C1878=TRUE)*S1850:S1878)*N1857)*IF(Inputs!$B$39="pvp",1,(1+(Inputs!$B$21+Skills!Q9+B1882)/100)*(MIN(Skills!W9,Inputs!$B$37))),0)</f>
        <v/>
      </c>
    </row>
    <row r="1858">
      <c r="A1858">
        <f>Skills!A10</f>
        <v/>
      </c>
      <c r="B1858">
        <f>Skills!B10</f>
        <v/>
      </c>
      <c r="C1858">
        <f>Inputs!$B$3&gt;=74</f>
        <v/>
      </c>
      <c r="D1858">
        <f>IF(Skills!C10=1,60+Inputs!$B$25+Inputs!$B$29,IF(Skills!C10=2,90+Inputs!$B$26+Inputs!$B$29,IF(Skills!C10=3,120+Inputs!$B$27+Inputs!$B$29,MAX(0,(Inputs!$B$3-100)*3)+Inputs!$B$28+Inputs!$B$29)))</f>
        <v/>
      </c>
      <c r="E1858">
        <f>INDEX(FactorTable!$B$2:$Y$301, MATCH(ROUND(MIN(300,MAX(1,D1858)),0), FactorTable!$A$2:$A$301,0), Skills!M10+1)</f>
        <v/>
      </c>
      <c r="F1858">
        <f>IF(Skills!N10=TRUE,(Skills!L10/10)*(E1858/1000),Skills!L10/10)+Skills!O10</f>
        <v/>
      </c>
      <c r="G1858">
        <f>Skills!G10*IF(Skills!H10&gt;0,Skills!I10/Skills!H10,1)</f>
        <v/>
      </c>
      <c r="H1858">
        <f>1-(1-Skills!J10/100)^Skills!K10</f>
        <v/>
      </c>
      <c r="I1858" t="inlineStr">
        <is>
          <t>1</t>
        </is>
      </c>
      <c r="J1858" t="inlineStr"/>
      <c r="K1858" t="inlineStr"/>
      <c r="L1858" t="inlineStr"/>
      <c r="M1858" t="inlineStr"/>
      <c r="N1858" t="inlineStr"/>
      <c r="O1858">
        <f>(1-Summary!$B$55)*T1858+Summary!$B$55*V1858</f>
        <v/>
      </c>
      <c r="P1858">
        <f>IF(B1893=0,0,O1858/B1893)</f>
        <v/>
      </c>
      <c r="Q1858">
        <f>IFERROR(1/IF(Inputs!$B$39="pvp",15,MAX(0.1,Skills!D10-IF(Skills!E10=TRUE,5.0,0))),0)</f>
        <v/>
      </c>
      <c r="R1858">
        <f>IF(AND(Inputs!$B$39&lt;&gt;"pvp",Inputs!$B$44&gt;0),IF(Inputs!$B$44&lt;=0,0,(INT(Inputs!$B$44/IF(Inputs!$B$39="pvp",15,MAX(0.1,Skills!D10-IF(Skills!E10=TRUE,5.0,0))))+1)),0)</f>
        <v/>
      </c>
      <c r="S1858">
        <f>IFERROR(O1858/N1858,0)</f>
        <v/>
      </c>
      <c r="T1858" t="n">
        <v>0</v>
      </c>
      <c r="V1858" t="n">
        <v>0</v>
      </c>
    </row>
    <row r="1859">
      <c r="A1859">
        <f>Skills!A11</f>
        <v/>
      </c>
      <c r="B1859">
        <f>Skills!B11</f>
        <v/>
      </c>
      <c r="C1859">
        <f>Inputs!$B$3&gt;=103</f>
        <v/>
      </c>
      <c r="D1859">
        <f>IF(Skills!C11=1,60+Inputs!$B$25+Inputs!$B$29,IF(Skills!C11=2,90+Inputs!$B$26+Inputs!$B$29,IF(Skills!C11=3,120+Inputs!$B$27+Inputs!$B$29,MAX(0,(Inputs!$B$3-100)*3)+Inputs!$B$28+Inputs!$B$29)))</f>
        <v/>
      </c>
      <c r="E1859">
        <f>INDEX(FactorTable!$B$2:$Y$301, MATCH(ROUND(MIN(300,MAX(1,D1859)),0), FactorTable!$A$2:$A$301,0), Skills!M11+1)</f>
        <v/>
      </c>
      <c r="F1859">
        <f>(Skills!L11/10)*(E1859/1000)+IF(Inputs!$B$3&gt;=134,50,0)+0.5*(30000/10)*(INDEX(FactorTable!$B$2:$Y$301, MATCH(ROUND(MIN(300,MAX(1,D1859)),0), FactorTable!$A$2:$A$301,0), 13)/1000)*B1891</f>
        <v/>
      </c>
      <c r="G1859">
        <f>Skills!G11*IF(Skills!H11&gt;0,Skills!I11/Skills!H11,1)</f>
        <v/>
      </c>
      <c r="H1859">
        <f>1-(1-Skills!J11/100)^Skills!K11</f>
        <v/>
      </c>
      <c r="I1859" t="inlineStr">
        <is>
          <t>1</t>
        </is>
      </c>
      <c r="J1859">
        <f>((Inputs!$B$6*(1+Inputs!$B$7/100))+(((Inputs!$B$12*(1+Inputs!$B$13/100))-(Inputs!$B$12*(1+Inputs!$B$13/100)))+0.25*(Inputs!$B$14-Inputs!$B$14))*(1+Inputs!$B$7/100))*(F1859/100)</f>
        <v/>
      </c>
      <c r="K1859">
        <f>J1859*(1+((Inputs!$B$12*(1+Inputs!$B$13/100))*0.01+Inputs!$B$14*0.0025)/100)*(1+Inputs!$B$15/100)*(1+Inputs!$B$16/100)*(5000/(6000+Inputs!$B$43*(1-Inputs!$B$19/100)))*(1+(Inputs!$B$24+((C1878=TRUE)*(F1878-Calc!F30)))/100)*(1+(IF(Skills!A11="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1859)</f>
        <v/>
      </c>
      <c r="L1859">
        <f>K1859*(MIN(Inputs!$B$22+((C1872=TRUE)*(F1872-Calc!F24)),Inputs!$B$23+((C1877=TRUE)*(F1877-Calc!F29)))/100+(Inputs!$B$23+((C1877=TRUE)*(F1877-Calc!F29)))/100)/2</f>
        <v/>
      </c>
      <c r="M1859">
        <f>L1859*(1+(Inputs!$B$10+((C1874=TRUE)*(F1874-Calc!F26))+B1888)/100)</f>
        <v/>
      </c>
      <c r="N1859">
        <f>L1859*(1-MIN((Inputs!$B$9+((C1873=TRUE)*(F1873-Calc!F25))+B1881),100)/100)+M1859*(MIN((Inputs!$B$9+((C1873=TRUE)*(F1873-Calc!F25))+B1881),100)/100)</f>
        <v/>
      </c>
      <c r="O1859">
        <f>(1-Summary!$B$55)*T1859+Summary!$B$55*V1859</f>
        <v/>
      </c>
      <c r="P1859">
        <f>IF(B1893=0,0,O1859/B1893)</f>
        <v/>
      </c>
      <c r="Q1859">
        <f>IFERROR(1/IF(Inputs!$B$39="pvp",15,MAX(0.1,Skills!D11-IF(Skills!E11=TRUE,5.0,0))),0)</f>
        <v/>
      </c>
      <c r="R1859">
        <f>IF(AND(Inputs!$B$39&lt;&gt;"pvp",Inputs!$B$44&gt;0),IF(MAX(0,Inputs!$B$44-B1892)&lt;=0,0,(INT(MAX(0,Inputs!$B$44-B1892)/IF(Inputs!$B$39="pvp",15,MAX(0.1,Skills!D11-IF(Skills!E11=TRUE,5.0,0))))+1)),0)</f>
        <v/>
      </c>
      <c r="S1859">
        <f>IFERROR(O1859/N1859,0)</f>
        <v/>
      </c>
      <c r="T1859">
        <f>IF(C1859,(H1859*N1859*IF(AND(Inputs!$B$39&lt;&gt;"pvp",Inputs!$B$44&gt;0),((Skills!G11*((R1859-1)*IF(Skills!H11&gt;0,Skills!I11/Skills!H11,1)+IF(Skills!H11&gt;0,MIN(Skills!I11,MAX(0,MAX(0,Inputs!$B$44-B1892)-((R1859-1)*IF(Inputs!$B$39="pvp",15,MAX(0.1,Skills!D11-IF(Skills!E11=TRUE,5.0,0))))))/Skills!H11,1)))/Inputs!$B$44),G1859*Q1859))*IF(Inputs!$B$39="pvp",1,1+(Inputs!$B$20+0+Skills!P11+B1882)/100),0)</f>
        <v/>
      </c>
      <c r="V1859">
        <f>IF(C1859,(H1859*N1859*IF(AND(Inputs!$B$39&lt;&gt;"pvp",Inputs!$B$44&gt;0),((Skills!G11*((R1859-1)*IF(Skills!H11&gt;0,Skills!I11/Skills!H11,1)+IF(Skills!H11&gt;0,MIN(Skills!I11,MAX(0,MAX(0,Inputs!$B$44-B1892)-((R1859-1)*IF(Inputs!$B$39="pvp",15,MAX(0.1,Skills!D11-IF(Skills!E11=TRUE,5.0,0))))))/Skills!H11,1)))/Inputs!$B$44),G1859*Q1859))*IF(Inputs!$B$39="pvp",1,(1+(Inputs!$B$21+Skills!Q11+B1882)/100)*(MIN(Skills!W11,Inputs!$B$37))),0)</f>
        <v/>
      </c>
    </row>
    <row r="1860">
      <c r="A1860">
        <f>Skills!A12</f>
        <v/>
      </c>
      <c r="B1860">
        <f>Skills!B12</f>
        <v/>
      </c>
      <c r="C1860">
        <f>Inputs!$B$3&gt;=105</f>
        <v/>
      </c>
      <c r="D1860">
        <f>IF(Skills!C12=1,60+Inputs!$B$25+Inputs!$B$29,IF(Skills!C12=2,90+Inputs!$B$26+Inputs!$B$29,IF(Skills!C12=3,120+Inputs!$B$27+Inputs!$B$29,MAX(0,(Inputs!$B$3-100)*3)+Inputs!$B$28+Inputs!$B$29)))</f>
        <v/>
      </c>
      <c r="E1860">
        <f>INDEX(FactorTable!$B$2:$Y$301, MATCH(ROUND(MIN(300,MAX(1,D1860)),0), FactorTable!$A$2:$A$301,0), Skills!M12+1)</f>
        <v/>
      </c>
      <c r="F1860">
        <f>IF(Skills!N12=TRUE,(Skills!L12/10)*(E1860/1000),Skills!L12/10)+Skills!O12</f>
        <v/>
      </c>
      <c r="G1860">
        <f>Skills!G12*IF(Skills!H12&gt;0,Skills!I12/Skills!H12,1)</f>
        <v/>
      </c>
      <c r="H1860">
        <f>1-(1-Skills!J12/100)^Skills!K12</f>
        <v/>
      </c>
      <c r="I1860" t="inlineStr">
        <is>
          <t>1</t>
        </is>
      </c>
      <c r="J1860">
        <f>((Inputs!$B$6*(1+Inputs!$B$7/100))+(((Inputs!$B$12*(1+Inputs!$B$13/100))-(Inputs!$B$12*(1+Inputs!$B$13/100)))+0.25*(Inputs!$B$14-Inputs!$B$14))*(1+Inputs!$B$7/100))*(F1860/100)</f>
        <v/>
      </c>
      <c r="K1860">
        <f>J1860*(1+((Inputs!$B$12*(1+Inputs!$B$13/100))*0.01+Inputs!$B$14*0.0025)/100)*(1+Inputs!$B$15/100)*(1+Inputs!$B$16/100)*(5000/(6000+Inputs!$B$43*(1-Inputs!$B$19/100)))*(1+(Inputs!$B$24+((C1878=TRUE)*(F1878-Calc!F30)))/100)*(1+(IF(Skills!A12="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1860)</f>
        <v/>
      </c>
      <c r="L1860">
        <f>K1860*(MIN(Inputs!$B$22+((C1872=TRUE)*(F1872-Calc!F24)),Inputs!$B$23+((C1877=TRUE)*(F1877-Calc!F29)))/100+(Inputs!$B$23+((C1877=TRUE)*(F1877-Calc!F29)))/100)/2</f>
        <v/>
      </c>
      <c r="M1860">
        <f>L1860*(1+(Inputs!$B$10+((C1874=TRUE)*(F1874-Calc!F26))+B1888)/100)</f>
        <v/>
      </c>
      <c r="N1860">
        <f>L1860*(1-MIN((Inputs!$B$9+((C1873=TRUE)*(F1873-Calc!F25))+B1881),100)/100)+M1860*(MIN((Inputs!$B$9+((C1873=TRUE)*(F1873-Calc!F25))+B1881),100)/100)</f>
        <v/>
      </c>
      <c r="O1860">
        <f>(1-Summary!$B$55)*T1860+Summary!$B$55*V1860</f>
        <v/>
      </c>
      <c r="P1860">
        <f>IF(B1893=0,0,O1860/B1893)</f>
        <v/>
      </c>
      <c r="Q1860">
        <f>IFERROR(1/IF(Inputs!$B$39="pvp",15,MAX(0.1,Skills!D12-IF(Skills!E12=TRUE,5.0,0))),0)</f>
        <v/>
      </c>
      <c r="R1860">
        <f>IF(AND(Inputs!$B$39&lt;&gt;"pvp",Inputs!$B$44&gt;0),IF(MAX(0,Inputs!$B$44-B1892)&lt;=0,0,(INT(MAX(0,Inputs!$B$44-B1892)/IF(Inputs!$B$39="pvp",15,MAX(0.1,Skills!D12-IF(Skills!E12=TRUE,5.0,0))))+1)),0)</f>
        <v/>
      </c>
      <c r="S1860">
        <f>IFERROR(O1860/N1860,0)</f>
        <v/>
      </c>
      <c r="T1860">
        <f>IF(C1860,(H1860*N1860*IF(AND(Inputs!$B$39&lt;&gt;"pvp",Inputs!$B$44&gt;0),((Skills!G12*((R1860-1)*IF(Skills!H12&gt;0,Skills!I12/Skills!H12,1)+IF(Skills!H12&gt;0,MIN(Skills!I12,MAX(0,MAX(0,Inputs!$B$44-B1892)-((R1860-1)*IF(Inputs!$B$39="pvp",15,MAX(0.1,Skills!D12-IF(Skills!E12=TRUE,5.0,0))))))/Skills!H12,1)))/Inputs!$B$44),G1860*Q1860))*IF(Inputs!$B$39="pvp",1,1+(Inputs!$B$20+0+Skills!P12+B1882)/100),0)</f>
        <v/>
      </c>
      <c r="V1860">
        <f>IF(C1860,(H1860*N1860*IF(AND(Inputs!$B$39&lt;&gt;"pvp",Inputs!$B$44&gt;0),((Skills!G12*((R1860-1)*IF(Skills!H12&gt;0,Skills!I12/Skills!H12,1)+IF(Skills!H12&gt;0,MIN(Skills!I12,MAX(0,MAX(0,Inputs!$B$44-B1892)-((R1860-1)*IF(Inputs!$B$39="pvp",15,MAX(0.1,Skills!D12-IF(Skills!E12=TRUE,5.0,0))))))/Skills!H12,1)))/Inputs!$B$44),G1860*Q1860))*IF(Inputs!$B$39="pvp",1,(1+(Inputs!$B$21+Skills!Q12+B1882)/100)*(MIN(Skills!W12,Inputs!$B$37))),0)</f>
        <v/>
      </c>
    </row>
    <row r="1861">
      <c r="A1861">
        <f>Skills!A13</f>
        <v/>
      </c>
      <c r="B1861">
        <f>Skills!B13</f>
        <v/>
      </c>
      <c r="C1861">
        <f>Inputs!$B$3&gt;=105</f>
        <v/>
      </c>
      <c r="D1861">
        <f>IF(Skills!C13=1,60+Inputs!$B$25+Inputs!$B$29,IF(Skills!C13=2,90+Inputs!$B$26+Inputs!$B$29,IF(Skills!C13=3,120+Inputs!$B$27+Inputs!$B$29,MAX(0,(Inputs!$B$3-100)*3)+Inputs!$B$28+Inputs!$B$29)))</f>
        <v/>
      </c>
      <c r="E1861">
        <f>INDEX(FactorTable!$B$2:$Y$301, MATCH(ROUND(MIN(300,MAX(1,D1861)),0), FactorTable!$A$2:$A$301,0), Skills!M13+1)</f>
        <v/>
      </c>
      <c r="F1861">
        <f>IF(Skills!N13=TRUE,(Skills!L13/10)*(E1861/1000),Skills!L13/10)+Skills!O13</f>
        <v/>
      </c>
      <c r="G1861">
        <f>Skills!G13*IF(Skills!H13&gt;0,Skills!I13/Skills!H13,1)</f>
        <v/>
      </c>
      <c r="H1861">
        <f>1-(1-Skills!J13/100)^Skills!K13</f>
        <v/>
      </c>
      <c r="I1861" t="inlineStr">
        <is>
          <t>1</t>
        </is>
      </c>
      <c r="J1861">
        <f>((Inputs!$B$6*(1+Inputs!$B$7/100))+(((Inputs!$B$12*(1+Inputs!$B$13/100))-(Inputs!$B$12*(1+Inputs!$B$13/100)))+0.25*(Inputs!$B$14-Inputs!$B$14))*(1+Inputs!$B$7/100))*(F1861/100)</f>
        <v/>
      </c>
      <c r="K1861">
        <f>J1861*(1+((Inputs!$B$12*(1+Inputs!$B$13/100))*0.01+Inputs!$B$14*0.0025)/100)*(1+Inputs!$B$15/100)*(1+Inputs!$B$16/100)*(5000/(6000+Inputs!$B$43*(1-Inputs!$B$19/100)))*(1+(Inputs!$B$24+((C1878=TRUE)*(F1878-Calc!F30)))/100)*(1+(IF(Skills!A13="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1861)</f>
        <v/>
      </c>
      <c r="L1861">
        <f>K1861*(MIN(Inputs!$B$22+((C1872=TRUE)*(F1872-Calc!F24)),Inputs!$B$23+((C1877=TRUE)*(F1877-Calc!F29)))/100+(Inputs!$B$23+((C1877=TRUE)*(F1877-Calc!F29)))/100)/2</f>
        <v/>
      </c>
      <c r="M1861">
        <f>L1861*(1+(Inputs!$B$10+((C1874=TRUE)*(F1874-Calc!F26))+B1888)/100)</f>
        <v/>
      </c>
      <c r="N1861">
        <f>L1861*(1-MIN((Inputs!$B$9+((C1873=TRUE)*(F1873-Calc!F25))+B1881),100)/100)+M1861*(MIN((Inputs!$B$9+((C1873=TRUE)*(F1873-Calc!F25))+B1881),100)/100)</f>
        <v/>
      </c>
      <c r="O1861">
        <f>(1-Summary!$B$55)*T1861+Summary!$B$55*V1861</f>
        <v/>
      </c>
      <c r="P1861">
        <f>IF(B1893=0,0,O1861/B1893)</f>
        <v/>
      </c>
      <c r="Q1861">
        <f>IFERROR(1/IF(Inputs!$B$39="pvp",15,MAX(0.1,Skills!D13-IF(Skills!E13=TRUE,5.0,0))),0)</f>
        <v/>
      </c>
      <c r="R1861">
        <f>IF(AND(Inputs!$B$39&lt;&gt;"pvp",Inputs!$B$44&gt;0),IF(MAX(0,Inputs!$B$44-B1892)&lt;=0,0,(INT(MAX(0,Inputs!$B$44-B1892)/IF(Inputs!$B$39="pvp",15,MAX(0.1,Skills!D13-IF(Skills!E13=TRUE,5.0,0))))+1)),0)</f>
        <v/>
      </c>
      <c r="S1861">
        <f>IFERROR(O1861/N1861,0)</f>
        <v/>
      </c>
      <c r="T1861">
        <f>IF(C1861,(H1861*N1861*IF(AND(Inputs!$B$39&lt;&gt;"pvp",Inputs!$B$44&gt;0),((Skills!G13*((R1861-1)*IF(Skills!H13&gt;0,Skills!I13/Skills!H13,1)+IF(Skills!H13&gt;0,MIN(Skills!I13,MAX(0,MAX(0,Inputs!$B$44-B1892)-((R1861-1)*IF(Inputs!$B$39="pvp",15,MAX(0.1,Skills!D13-IF(Skills!E13=TRUE,5.0,0))))))/Skills!H13,1)))/Inputs!$B$44),G1861*Q1861))*IF(Inputs!$B$39="pvp",1,1+(Inputs!$B$20+0+Skills!P13+B1882)/100),0)</f>
        <v/>
      </c>
      <c r="V1861">
        <f>IF(C1861,(H1861*N1861*IF(AND(Inputs!$B$39&lt;&gt;"pvp",Inputs!$B$44&gt;0),((Skills!G13*((R1861-1)*IF(Skills!H13&gt;0,Skills!I13/Skills!H13,1)+IF(Skills!H13&gt;0,MIN(Skills!I13,MAX(0,MAX(0,Inputs!$B$44-B1892)-((R1861-1)*IF(Inputs!$B$39="pvp",15,MAX(0.1,Skills!D13-IF(Skills!E13=TRUE,5.0,0))))))/Skills!H13,1)))/Inputs!$B$44),G1861*Q1861))*IF(Inputs!$B$39="pvp",1,(1+(Inputs!$B$21+Skills!Q13+B1882)/100)*(MIN(Skills!W13,Inputs!$B$37))),0)</f>
        <v/>
      </c>
    </row>
    <row r="1862">
      <c r="A1862">
        <f>Skills!A14</f>
        <v/>
      </c>
      <c r="B1862">
        <f>Skills!B14</f>
        <v/>
      </c>
      <c r="C1862">
        <f>Inputs!$B$3&gt;=107</f>
        <v/>
      </c>
      <c r="D1862">
        <f>IF(Skills!C14=1,60+Inputs!$B$25+Inputs!$B$29,IF(Skills!C14=2,90+Inputs!$B$26+Inputs!$B$29,IF(Skills!C14=3,120+Inputs!$B$27+Inputs!$B$29,MAX(0,(Inputs!$B$3-100)*3)+Inputs!$B$28+Inputs!$B$29)))</f>
        <v/>
      </c>
      <c r="E1862">
        <f>INDEX(FactorTable!$B$2:$Y$301, MATCH(ROUND(MIN(300,MAX(1,D1862)),0), FactorTable!$A$2:$A$301,0), Skills!M14+1)</f>
        <v/>
      </c>
      <c r="F1862">
        <f>IF(Skills!N14=TRUE,(Skills!L14/10)*(E1862/1000),Skills!L14/10)+Skills!O14</f>
        <v/>
      </c>
      <c r="G1862">
        <f>Skills!G14*IF(Skills!H14&gt;0,Skills!I14/Skills!H14,1)</f>
        <v/>
      </c>
      <c r="H1862">
        <f>1-(1-Skills!J14/100)^Skills!K14</f>
        <v/>
      </c>
      <c r="I1862" t="inlineStr">
        <is>
          <t>1</t>
        </is>
      </c>
      <c r="J1862">
        <f>((Inputs!$B$6*(1+Inputs!$B$7/100))+(((Inputs!$B$12*(1+Inputs!$B$13/100))-(Inputs!$B$12*(1+Inputs!$B$13/100)))+0.25*(Inputs!$B$14-Inputs!$B$14))*(1+Inputs!$B$7/100))*(F1862/100)</f>
        <v/>
      </c>
      <c r="K1862">
        <f>J1862*(1+((Inputs!$B$12*(1+Inputs!$B$13/100))*0.01+Inputs!$B$14*0.0025)/100)*(1+Inputs!$B$15/100)*(1+Inputs!$B$16/100)*(5000/(6000+Inputs!$B$43*(1-Inputs!$B$19/100)))*(1+(Inputs!$B$24+((C1878=TRUE)*(F1878-Calc!F30)))/100)*(1+(IF(Skills!A14="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1862)</f>
        <v/>
      </c>
      <c r="L1862">
        <f>K1862*(MIN(Inputs!$B$22+((C1872=TRUE)*(F1872-Calc!F24)),Inputs!$B$23+((C1877=TRUE)*(F1877-Calc!F29)))/100+(Inputs!$B$23+((C1877=TRUE)*(F1877-Calc!F29)))/100)/2</f>
        <v/>
      </c>
      <c r="M1862">
        <f>L1862*(1+(Inputs!$B$10+((C1874=TRUE)*(F1874-Calc!F26))+B1888)/100)</f>
        <v/>
      </c>
      <c r="N1862">
        <f>L1862*(1-MIN((Inputs!$B$9+((C1873=TRUE)*(F1873-Calc!F25))+B1881),100)/100)+M1862*(MIN((Inputs!$B$9+((C1873=TRUE)*(F1873-Calc!F25))+B1881),100)/100)</f>
        <v/>
      </c>
      <c r="O1862">
        <f>(1-Summary!$B$55)*T1862+Summary!$B$55*V1862</f>
        <v/>
      </c>
      <c r="P1862">
        <f>IF(B1893=0,0,O1862/B1893)</f>
        <v/>
      </c>
      <c r="Q1862">
        <f>IFERROR(1/IF(Inputs!$B$39="pvp",15,MAX(0.1,Skills!D14-IF(Skills!E14=TRUE,5.0,0))),0)</f>
        <v/>
      </c>
      <c r="R1862">
        <f>IF(AND(Inputs!$B$39&lt;&gt;"pvp",Inputs!$B$44&gt;0),IF(MAX(0,Inputs!$B$44-B1892)&lt;=0,0,(INT(MAX(0,Inputs!$B$44-B1892)/IF(Inputs!$B$39="pvp",15,MAX(0.1,Skills!D14-IF(Skills!E14=TRUE,5.0,0))))+1)),0)</f>
        <v/>
      </c>
      <c r="S1862">
        <f>IFERROR(O1862/N1862,0)</f>
        <v/>
      </c>
      <c r="T1862">
        <f>IF(C1862,(H1862*N1862*IF(AND(Inputs!$B$39&lt;&gt;"pvp",Inputs!$B$44&gt;0),((Skills!G14*((R1862-1)*IF(Skills!H14&gt;0,Skills!I14/Skills!H14,1)+IF(Skills!H14&gt;0,MIN(Skills!I14,MAX(0,MAX(0,Inputs!$B$44-B1892)-((R1862-1)*IF(Inputs!$B$39="pvp",15,MAX(0.1,Skills!D14-IF(Skills!E14=TRUE,5.0,0))))))/Skills!H14,1)))/Inputs!$B$44),G1862*Q1862))*IF(Inputs!$B$39="pvp",1,1+(Inputs!$B$20+0+Skills!P14+B1882)/100),0)</f>
        <v/>
      </c>
      <c r="V1862">
        <f>IF(C1862,(H1862*N1862*IF(AND(Inputs!$B$39&lt;&gt;"pvp",Inputs!$B$44&gt;0),((Skills!G14*((R1862-1)*IF(Skills!H14&gt;0,Skills!I14/Skills!H14,1)+IF(Skills!H14&gt;0,MIN(Skills!I14,MAX(0,MAX(0,Inputs!$B$44-B1892)-((R1862-1)*IF(Inputs!$B$39="pvp",15,MAX(0.1,Skills!D14-IF(Skills!E14=TRUE,5.0,0))))))/Skills!H14,1)))/Inputs!$B$44),G1862*Q1862))*IF(Inputs!$B$39="pvp",1,(1+(Inputs!$B$21+Skills!Q14+B1882)/100)*(MIN(MIN(5,0.25*B1885*Skills!D4)*Skills!V14,Inputs!$B$37))),0)</f>
        <v/>
      </c>
    </row>
    <row r="1863">
      <c r="A1863">
        <f>Skills!A15</f>
        <v/>
      </c>
      <c r="B1863">
        <f>Skills!B15</f>
        <v/>
      </c>
      <c r="C1863">
        <f>Inputs!$B$3&gt;=110</f>
        <v/>
      </c>
      <c r="D1863">
        <f>IF(Skills!C15=1,60+Inputs!$B$25+Inputs!$B$29,IF(Skills!C15=2,90+Inputs!$B$26+Inputs!$B$29,IF(Skills!C15=3,120+Inputs!$B$27+Inputs!$B$29,MAX(0,(Inputs!$B$3-100)*3)+Inputs!$B$28+Inputs!$B$29)))</f>
        <v/>
      </c>
      <c r="E1863">
        <f>INDEX(FactorTable!$B$2:$Y$301, MATCH(ROUND(MIN(300,MAX(1,D1863)),0), FactorTable!$A$2:$A$301,0), Skills!M15+1)</f>
        <v/>
      </c>
      <c r="F1863">
        <f>IF(Skills!N15=TRUE,(Skills!L15/10)*(E1863/1000),Skills!L15/10)+Skills!O15</f>
        <v/>
      </c>
      <c r="G1863">
        <f>Skills!G15*IF(Skills!H15&gt;0,Skills!I15/Skills!H15,1)</f>
        <v/>
      </c>
      <c r="H1863">
        <f>1-(1-Skills!J15/100)^Skills!K15</f>
        <v/>
      </c>
      <c r="I1863" t="inlineStr">
        <is>
          <t>1</t>
        </is>
      </c>
      <c r="J1863" t="inlineStr"/>
      <c r="K1863" t="inlineStr"/>
      <c r="L1863" t="inlineStr"/>
      <c r="M1863" t="inlineStr"/>
      <c r="N1863" t="inlineStr"/>
      <c r="O1863">
        <f>(1-Summary!$B$55)*T1863+Summary!$B$55*V1863</f>
        <v/>
      </c>
      <c r="P1863">
        <f>IF(B1893=0,0,O1863/B1893)</f>
        <v/>
      </c>
      <c r="Q1863">
        <f>IFERROR(1/IF(Inputs!$B$39="pvp",15,MAX(0.1,Skills!D15-IF(Skills!E15=TRUE,5.0,0))),0)</f>
        <v/>
      </c>
      <c r="R1863">
        <f>IF(AND(Inputs!$B$39&lt;&gt;"pvp",Inputs!$B$44&gt;0),IF(Inputs!$B$44&lt;=0,0,(INT(Inputs!$B$44/IF(Inputs!$B$39="pvp",15,MAX(0.1,Skills!D15-IF(Skills!E15=TRUE,5.0,0))))+1)),0)</f>
        <v/>
      </c>
      <c r="S1863">
        <f>IFERROR(O1863/N1863,0)</f>
        <v/>
      </c>
      <c r="T1863" t="n">
        <v>0</v>
      </c>
      <c r="V1863" t="n">
        <v>0</v>
      </c>
    </row>
    <row r="1864">
      <c r="A1864">
        <f>Skills!A16</f>
        <v/>
      </c>
      <c r="B1864">
        <f>Skills!B16</f>
        <v/>
      </c>
      <c r="C1864">
        <f>Inputs!$B$3&gt;=115</f>
        <v/>
      </c>
      <c r="D1864">
        <f>IF(Skills!C16=1,60+Inputs!$B$25+Inputs!$B$29,IF(Skills!C16=2,90+Inputs!$B$26+Inputs!$B$29,IF(Skills!C16=3,120+Inputs!$B$27+Inputs!$B$29,MAX(0,(Inputs!$B$3-100)*3)+Inputs!$B$28+Inputs!$B$29)))</f>
        <v/>
      </c>
      <c r="E1864">
        <f>INDEX(FactorTable!$B$2:$Y$301, MATCH(ROUND(MIN(300,MAX(1,D1864)),0), FactorTable!$A$2:$A$301,0), Skills!M16+1)</f>
        <v/>
      </c>
      <c r="F1864">
        <f>IF(Skills!N16=TRUE,(Skills!L16/10)*(E1864/1000),Skills!L16/10)+Skills!O16</f>
        <v/>
      </c>
      <c r="G1864">
        <f>Skills!G16*IF(Skills!H16&gt;0,Skills!I16/Skills!H16,1)</f>
        <v/>
      </c>
      <c r="H1864">
        <f>1-(1-Skills!J16/100)^Skills!K16</f>
        <v/>
      </c>
      <c r="I1864" t="inlineStr">
        <is>
          <t>1</t>
        </is>
      </c>
      <c r="J1864">
        <f>((Inputs!$B$6*(1+Inputs!$B$7/100))+(((Inputs!$B$12*(1+Inputs!$B$13/100))-(Inputs!$B$12*(1+Inputs!$B$13/100)))+0.25*(Inputs!$B$14-Inputs!$B$14))*(1+Inputs!$B$7/100))*(F1864/100)</f>
        <v/>
      </c>
      <c r="K1864">
        <f>J1864*(1+((Inputs!$B$12*(1+Inputs!$B$13/100))*0.01+Inputs!$B$14*0.0025)/100)*(1+Inputs!$B$15/100)*(1+Inputs!$B$16/100)*(5000/(6000+Inputs!$B$43*(1-Inputs!$B$19/100)))*(1+(Inputs!$B$24+((C1878=TRUE)*(F1878-Calc!F30)))/100)*(1+(IF(Skills!A16="CRUEL_STAB",Inputs!$B$17+((C1875=TRUE)*(F1875-Calc!F27)),Inputs!$B$18+((C1876=TRUE)*(F1876-Calc!F28))))/100)*(((1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B1883*I1864)</f>
        <v/>
      </c>
      <c r="L1864">
        <f>K1864*(MIN(Inputs!$B$22+((C1872=TRUE)*(F1872-Calc!F24)),Inputs!$B$23+((C1877=TRUE)*(F1877-Calc!F29)))/100+(Inputs!$B$23+((C1877=TRUE)*(F1877-Calc!F29)))/100)/2</f>
        <v/>
      </c>
      <c r="M1864">
        <f>L1864*(1+(Inputs!$B$10+((C1874=TRUE)*(F1874-Calc!F26))+B1888)/100)</f>
        <v/>
      </c>
      <c r="N1864">
        <f>L1864*(1-MIN((Inputs!$B$9+((C1873=TRUE)*(F1873-Calc!F25))+B1881),100)/100)+M1864*(MIN((Inputs!$B$9+((C1873=TRUE)*(F1873-Calc!F25))+B1881),100)/100)</f>
        <v/>
      </c>
      <c r="O1864">
        <f>(1-Summary!$B$55)*T1864+Summary!$B$55*V1864</f>
        <v/>
      </c>
      <c r="P1864">
        <f>IF(B1893=0,0,O1864/B1893)</f>
        <v/>
      </c>
      <c r="Q1864" t="n">
        <v>0</v>
      </c>
      <c r="R1864" t="n">
        <v>0</v>
      </c>
      <c r="S1864">
        <f>IFERROR(O1864/N1864,0)</f>
        <v/>
      </c>
      <c r="T1864">
        <f>IF(C1864,(Inputs!$B$38*0.2*N1864)*IF(Inputs!$B$39="pvp",1,1+(Inputs!$B$20+0+Skills!P16+B1882)/100),0)</f>
        <v/>
      </c>
      <c r="V1864">
        <f>IF(C1864,(Inputs!$B$38*0.2*N1864)*IF(Inputs!$B$39="pvp",1,(1+(Inputs!$B$21+Skills!Q16+B1882)/100)*(MIN(Skills!W16,Inputs!$B$37))),0)</f>
        <v/>
      </c>
    </row>
    <row r="1865">
      <c r="A1865">
        <f>Skills!A17</f>
        <v/>
      </c>
      <c r="B1865">
        <f>Skills!B17</f>
        <v/>
      </c>
      <c r="C1865">
        <f>Inputs!$B$3&gt;=115</f>
        <v/>
      </c>
      <c r="D1865">
        <f>IF(Skills!C17=1,60+Inputs!$B$25+Inputs!$B$29,IF(Skills!C17=2,90+Inputs!$B$26+Inputs!$B$29,IF(Skills!C17=3,120+Inputs!$B$27+Inputs!$B$29,MAX(0,(Inputs!$B$3-100)*3)+Inputs!$B$28+Inputs!$B$29)))</f>
        <v/>
      </c>
      <c r="E1865">
        <f>INDEX(FactorTable!$B$2:$Y$301, MATCH(ROUND(MIN(300,MAX(1,D1865)),0), FactorTable!$A$2:$A$301,0), Skills!M17+1)</f>
        <v/>
      </c>
      <c r="F1865">
        <f>IF(Skills!N17=TRUE,(Skills!L17/10)*(E1865/1000),Skills!L17/10)+Skills!O17</f>
        <v/>
      </c>
      <c r="G1865">
        <f>Skills!G17*IF(Skills!H17&gt;0,Skills!I17/Skills!H17,1)</f>
        <v/>
      </c>
      <c r="H1865">
        <f>1-(1-Skills!J17/100)^Skills!K17</f>
        <v/>
      </c>
      <c r="I1865" t="inlineStr">
        <is>
          <t>1</t>
        </is>
      </c>
      <c r="J1865" t="inlineStr"/>
      <c r="K1865" t="inlineStr"/>
      <c r="L1865" t="inlineStr"/>
      <c r="M1865" t="inlineStr"/>
      <c r="N1865" t="inlineStr"/>
      <c r="O1865">
        <f>(1-Summary!$B$55)*T1865+Summary!$B$55*V1865</f>
        <v/>
      </c>
      <c r="P1865">
        <f>IF(B1893=0,0,O1865/B1893)</f>
        <v/>
      </c>
      <c r="Q1865" t="n">
        <v>0</v>
      </c>
      <c r="R1865" t="n">
        <v>0</v>
      </c>
      <c r="S1865">
        <f>IFERROR(O1865/N1865,0)</f>
        <v/>
      </c>
      <c r="T1865" t="n">
        <v>0</v>
      </c>
      <c r="V1865" t="n">
        <v>0</v>
      </c>
    </row>
    <row r="1866">
      <c r="A1866">
        <f>Skills!A18</f>
        <v/>
      </c>
      <c r="B1866">
        <f>Skills!B18</f>
        <v/>
      </c>
      <c r="C1866">
        <f>Inputs!$B$3&gt;=100</f>
        <v/>
      </c>
      <c r="D1866">
        <f>IF(Skills!C18=1,60+Inputs!$B$25+Inputs!$B$29,IF(Skills!C18=2,90+Inputs!$B$26+Inputs!$B$29,IF(Skills!C18=3,120+Inputs!$B$27+Inputs!$B$29,MAX(0,(Inputs!$B$3-100)*3)+Inputs!$B$28+Inputs!$B$29)))</f>
        <v/>
      </c>
      <c r="E1866">
        <f>INDEX(FactorTable!$B$2:$Y$301, MATCH(ROUND(MIN(300,MAX(1,D1866)),0), FactorTable!$A$2:$A$301,0), Skills!M18+1)</f>
        <v/>
      </c>
      <c r="F1866">
        <f>IF(Skills!N18=TRUE,(Skills!L18/10)*(E1866/1000),Skills!L18/10)+Skills!O18</f>
        <v/>
      </c>
      <c r="G1866">
        <f>Skills!G18*IF(Skills!H18&gt;0,Skills!I18/Skills!H18,1)</f>
        <v/>
      </c>
      <c r="H1866">
        <f>1-(1-Skills!J18/100)^Skills!K18</f>
        <v/>
      </c>
      <c r="I1866" t="inlineStr">
        <is>
          <t>1</t>
        </is>
      </c>
      <c r="J1866" t="inlineStr"/>
      <c r="K1866" t="inlineStr"/>
      <c r="L1866" t="inlineStr"/>
      <c r="M1866" t="inlineStr"/>
      <c r="N1866" t="inlineStr"/>
      <c r="O1866">
        <f>(1-Summary!$B$55)*T1866+Summary!$B$55*V1866</f>
        <v/>
      </c>
      <c r="P1866">
        <f>IF(B1893=0,0,O1866/B1893)</f>
        <v/>
      </c>
      <c r="Q1866" t="n">
        <v>0</v>
      </c>
      <c r="R1866" t="n">
        <v>0</v>
      </c>
      <c r="S1866">
        <f>IFERROR(O1866/N1866,0)</f>
        <v/>
      </c>
      <c r="T1866" t="n">
        <v>0</v>
      </c>
      <c r="V1866" t="n">
        <v>0</v>
      </c>
    </row>
    <row r="1867">
      <c r="A1867">
        <f>Skills!A19</f>
        <v/>
      </c>
      <c r="B1867">
        <f>Skills!B19</f>
        <v/>
      </c>
      <c r="C1867">
        <f>TRUE</f>
        <v/>
      </c>
      <c r="D1867">
        <f>IF(Skills!C19=1,60+Inputs!$B$25+Inputs!$B$29,IF(Skills!C19=2,90+Inputs!$B$26+Inputs!$B$29,IF(Skills!C19=3,120+Inputs!$B$27+Inputs!$B$29,MAX(0,(Inputs!$B$3-100)*3)+Inputs!$B$28+Inputs!$B$29)))</f>
        <v/>
      </c>
      <c r="E1867">
        <f>INDEX(FactorTable!$B$2:$Y$301, MATCH(ROUND(MIN(300,MAX(1,D1867)),0), FactorTable!$A$2:$A$301,0), Skills!M19+1)</f>
        <v/>
      </c>
      <c r="F1867">
        <f>IF(Skills!N19=TRUE,(Skills!L19/10)*(E1867/1000),Skills!L19/10)+Skills!O19</f>
        <v/>
      </c>
      <c r="G1867">
        <f>Skills!G19*IF(Skills!H19&gt;0,Skills!I19/Skills!H19,1)</f>
        <v/>
      </c>
      <c r="H1867">
        <f>1-(1-Skills!J19/100)^Skills!K19</f>
        <v/>
      </c>
      <c r="I1867" t="inlineStr">
        <is>
          <t>1</t>
        </is>
      </c>
      <c r="J1867" t="inlineStr"/>
      <c r="K1867" t="inlineStr"/>
      <c r="L1867" t="inlineStr"/>
      <c r="M1867" t="inlineStr"/>
      <c r="N1867" t="inlineStr"/>
      <c r="O1867">
        <f>(1-Summary!$B$55)*T1867+Summary!$B$55*V1867</f>
        <v/>
      </c>
      <c r="P1867">
        <f>IF(B1893=0,0,O1867/B1893)</f>
        <v/>
      </c>
      <c r="Q1867">
        <f>IFERROR(1/IF(Inputs!$B$39="pvp",15,MAX(0.1,Skills!D19-IF(Skills!E19=TRUE,5.0,0))),0)</f>
        <v/>
      </c>
      <c r="R1867">
        <f>IF(AND(Inputs!$B$39&lt;&gt;"pvp",Inputs!$B$44&gt;0),IF(Inputs!$B$44&lt;=0,0,(INT(Inputs!$B$44/IF(Inputs!$B$39="pvp",15,MAX(0.1,Skills!D19-IF(Skills!E19=TRUE,5.0,0))))+1)),0)</f>
        <v/>
      </c>
      <c r="S1867">
        <f>IFERROR(O1867/N1867,0)</f>
        <v/>
      </c>
      <c r="T1867" t="n">
        <v>0</v>
      </c>
      <c r="V1867" t="n">
        <v>0</v>
      </c>
    </row>
    <row r="1868">
      <c r="A1868">
        <f>Skills!A20</f>
        <v/>
      </c>
      <c r="B1868">
        <f>Skills!B20</f>
        <v/>
      </c>
      <c r="C1868">
        <f>Inputs!$B$3&gt;=15</f>
        <v/>
      </c>
      <c r="D1868">
        <f>IF(Skills!C20=1,60+Inputs!$B$25+Inputs!$B$29,IF(Skills!C20=2,90+Inputs!$B$26+Inputs!$B$29,IF(Skills!C20=3,120+Inputs!$B$27+Inputs!$B$29,MAX(0,(Inputs!$B$3-100)*3)+Inputs!$B$28+Inputs!$B$29)))</f>
        <v/>
      </c>
      <c r="E1868">
        <f>INDEX(FactorTable!$B$2:$Y$301, MATCH(ROUND(MIN(300,MAX(1,D1868)),0), FactorTable!$A$2:$A$301,0), Skills!M20+1)</f>
        <v/>
      </c>
      <c r="F1868">
        <f>IF(Skills!N20=TRUE,(Skills!L20/10)*(E1868/1000),Skills!L20/10)+Skills!O20</f>
        <v/>
      </c>
      <c r="G1868">
        <f>Skills!G20*IF(Skills!H20&gt;0,Skills!I20/Skills!H20,1)</f>
        <v/>
      </c>
      <c r="H1868">
        <f>1-(1-Skills!J20/100)^Skills!K20</f>
        <v/>
      </c>
      <c r="I1868" t="inlineStr">
        <is>
          <t>1</t>
        </is>
      </c>
      <c r="J1868" t="inlineStr"/>
      <c r="K1868" t="inlineStr"/>
      <c r="L1868" t="inlineStr"/>
      <c r="M1868" t="inlineStr"/>
      <c r="N1868" t="inlineStr"/>
      <c r="O1868">
        <f>(1-Summary!$B$55)*T1868+Summary!$B$55*V1868</f>
        <v/>
      </c>
      <c r="P1868">
        <f>IF(B1893=0,0,O1868/B1893)</f>
        <v/>
      </c>
      <c r="Q1868">
        <f>IFERROR(1/IF(Inputs!$B$39="pvp",15,MAX(0.1,Skills!D20-IF(Skills!E20=TRUE,5.0,0))),0)</f>
        <v/>
      </c>
      <c r="R1868">
        <f>IF(AND(Inputs!$B$39&lt;&gt;"pvp",Inputs!$B$44&gt;0),IF(Inputs!$B$44&lt;=0,0,(INT(Inputs!$B$44/IF(Inputs!$B$39="pvp",15,MAX(0.1,Skills!D20-IF(Skills!E20=TRUE,5.0,0))))+1)),0)</f>
        <v/>
      </c>
      <c r="S1868">
        <f>IFERROR(O1868/N1868,0)</f>
        <v/>
      </c>
      <c r="T1868" t="n">
        <v>0</v>
      </c>
      <c r="V1868" t="n">
        <v>0</v>
      </c>
    </row>
    <row r="1869">
      <c r="A1869">
        <f>Skills!A21</f>
        <v/>
      </c>
      <c r="B1869">
        <f>Skills!B21</f>
        <v/>
      </c>
      <c r="C1869">
        <f>Inputs!$B$3&gt;=15</f>
        <v/>
      </c>
      <c r="D1869">
        <f>IF(Skills!C21=1,60+Inputs!$B$25+Inputs!$B$29,IF(Skills!C21=2,90+Inputs!$B$26+Inputs!$B$29,IF(Skills!C21=3,120+Inputs!$B$27+Inputs!$B$29,MAX(0,(Inputs!$B$3-100)*3)+Inputs!$B$28+Inputs!$B$29)))</f>
        <v/>
      </c>
      <c r="E1869">
        <f>INDEX(FactorTable!$B$2:$Y$301, MATCH(ROUND(MIN(300,MAX(1,D1869)),0), FactorTable!$A$2:$A$301,0), Skills!M21+1)</f>
        <v/>
      </c>
      <c r="F1869">
        <f>IF(Skills!N21=TRUE,(Skills!L21/10)*(E1869/1000),Skills!L21/10)+Skills!O21</f>
        <v/>
      </c>
      <c r="G1869">
        <f>Skills!G21*IF(Skills!H21&gt;0,Skills!I21/Skills!H21,1)</f>
        <v/>
      </c>
      <c r="H1869">
        <f>1-(1-Skills!J21/100)^Skills!K21</f>
        <v/>
      </c>
      <c r="I1869" t="inlineStr">
        <is>
          <t>1</t>
        </is>
      </c>
      <c r="J1869" t="inlineStr"/>
      <c r="K1869" t="inlineStr"/>
      <c r="L1869" t="inlineStr"/>
      <c r="M1869" t="inlineStr"/>
      <c r="N1869" t="inlineStr"/>
      <c r="O1869">
        <f>(1-Summary!$B$55)*T1869+Summary!$B$55*V1869</f>
        <v/>
      </c>
      <c r="P1869">
        <f>IF(B1893=0,0,O1869/B1893)</f>
        <v/>
      </c>
      <c r="Q1869">
        <f>IFERROR(1/IF(Inputs!$B$39="pvp",15,MAX(0.1,Skills!D21-IF(Skills!E21=TRUE,5.0,0))),0)</f>
        <v/>
      </c>
      <c r="R1869">
        <f>IF(AND(Inputs!$B$39&lt;&gt;"pvp",Inputs!$B$44&gt;0),IF(Inputs!$B$44&lt;=0,0,(INT(Inputs!$B$44/IF(Inputs!$B$39="pvp",15,MAX(0.1,Skills!D21-IF(Skills!E21=TRUE,5.0,0))))+1)),0)</f>
        <v/>
      </c>
      <c r="S1869">
        <f>IFERROR(O1869/N1869,0)</f>
        <v/>
      </c>
      <c r="T1869" t="n">
        <v>0</v>
      </c>
      <c r="V1869" t="n">
        <v>0</v>
      </c>
    </row>
    <row r="1870">
      <c r="A1870">
        <f>Skills!A22</f>
        <v/>
      </c>
      <c r="B1870">
        <f>Skills!B22</f>
        <v/>
      </c>
      <c r="C1870">
        <f>Inputs!$B$3&gt;=33</f>
        <v/>
      </c>
      <c r="D1870">
        <f>IF(Skills!C22=1,60+Inputs!$B$25+Inputs!$B$29,IF(Skills!C22=2,90+Inputs!$B$26+Inputs!$B$29,IF(Skills!C22=3,120+Inputs!$B$27+Inputs!$B$29,MAX(0,(Inputs!$B$3-100)*3)+Inputs!$B$28+Inputs!$B$29)))</f>
        <v/>
      </c>
      <c r="E1870">
        <f>INDEX(FactorTable!$B$2:$Y$301, MATCH(ROUND(MIN(300,MAX(1,D1870)),0), FactorTable!$A$2:$A$301,0), Skills!M22+1)</f>
        <v/>
      </c>
      <c r="F1870">
        <f>IF(Skills!N22=TRUE,(Skills!L22/10)*(E1870/1000),Skills!L22/10)+Skills!O22</f>
        <v/>
      </c>
      <c r="G1870">
        <f>Skills!G22*IF(Skills!H22&gt;0,Skills!I22/Skills!H22,1)</f>
        <v/>
      </c>
      <c r="H1870">
        <f>1-(1-Skills!J22/100)^Skills!K22</f>
        <v/>
      </c>
      <c r="I1870" t="inlineStr">
        <is>
          <t>1</t>
        </is>
      </c>
      <c r="J1870" t="inlineStr"/>
      <c r="K1870" t="inlineStr"/>
      <c r="L1870" t="inlineStr"/>
      <c r="M1870" t="inlineStr"/>
      <c r="N1870" t="inlineStr"/>
      <c r="O1870">
        <f>(1-Summary!$B$55)*T1870+Summary!$B$55*V1870</f>
        <v/>
      </c>
      <c r="P1870">
        <f>IF(B1893=0,0,O1870/B1893)</f>
        <v/>
      </c>
      <c r="Q1870" t="n">
        <v>0</v>
      </c>
      <c r="R1870" t="n">
        <v>0</v>
      </c>
      <c r="S1870">
        <f>IFERROR(O1870/N1870,0)</f>
        <v/>
      </c>
      <c r="T1870" t="n">
        <v>0</v>
      </c>
      <c r="V1870" t="n">
        <v>0</v>
      </c>
    </row>
    <row r="1871">
      <c r="A1871">
        <f>Skills!A23</f>
        <v/>
      </c>
      <c r="B1871">
        <f>Skills!B23</f>
        <v/>
      </c>
      <c r="C1871">
        <f>Inputs!$B$3&gt;=40</f>
        <v/>
      </c>
      <c r="D1871">
        <f>IF(Skills!C23=1,60+Inputs!$B$25+Inputs!$B$29,IF(Skills!C23=2,90+Inputs!$B$26+Inputs!$B$29,IF(Skills!C23=3,120+Inputs!$B$27+Inputs!$B$29,MAX(0,(Inputs!$B$3-100)*3)+Inputs!$B$28+Inputs!$B$29)))</f>
        <v/>
      </c>
      <c r="E1871">
        <f>INDEX(FactorTable!$B$2:$Y$301, MATCH(ROUND(MIN(300,MAX(1,D1871)),0), FactorTable!$A$2:$A$301,0), Skills!M23+1)</f>
        <v/>
      </c>
      <c r="F1871">
        <f>IF(Skills!N23=TRUE,(Skills!L23/10)*(E1871/1000),Skills!L23/10)+Skills!O23</f>
        <v/>
      </c>
      <c r="G1871">
        <f>Skills!G23*IF(Skills!H23&gt;0,Skills!I23/Skills!H23,1)</f>
        <v/>
      </c>
      <c r="H1871">
        <f>1-(1-Skills!J23/100)^Skills!K23</f>
        <v/>
      </c>
      <c r="I1871" t="inlineStr">
        <is>
          <t>1</t>
        </is>
      </c>
      <c r="J1871" t="inlineStr"/>
      <c r="K1871" t="inlineStr"/>
      <c r="L1871" t="inlineStr"/>
      <c r="M1871" t="inlineStr"/>
      <c r="N1871" t="inlineStr"/>
      <c r="O1871">
        <f>(1-Summary!$B$55)*T1871+Summary!$B$55*V1871</f>
        <v/>
      </c>
      <c r="P1871">
        <f>IF(B1893=0,0,O1871/B1893)</f>
        <v/>
      </c>
      <c r="Q1871" t="n">
        <v>0</v>
      </c>
      <c r="R1871" t="n">
        <v>0</v>
      </c>
      <c r="S1871">
        <f>IFERROR(O1871/N1871,0)</f>
        <v/>
      </c>
      <c r="T1871" t="n">
        <v>0</v>
      </c>
      <c r="V1871" t="n">
        <v>0</v>
      </c>
    </row>
    <row r="1872">
      <c r="A1872">
        <f>Skills!A24</f>
        <v/>
      </c>
      <c r="B1872">
        <f>Skills!B24</f>
        <v/>
      </c>
      <c r="C1872">
        <f>Inputs!$B$3&gt;=43</f>
        <v/>
      </c>
      <c r="D1872">
        <f>IF(Skills!C24=1,60+Inputs!$B$25+Inputs!$B$29,IF(Skills!C24=2,90+Inputs!$B$26+Inputs!$B$29,IF(Skills!C24=3,120+Inputs!$B$27+Inputs!$B$29,MAX(0,(Inputs!$B$3-100)*3)+Inputs!$B$28+Inputs!$B$29)))</f>
        <v/>
      </c>
      <c r="E1872">
        <f>INDEX(FactorTable!$B$2:$Y$301, MATCH(ROUND(MIN(300,MAX(1,D1872)),0), FactorTable!$A$2:$A$301,0), Skills!M24+1)</f>
        <v/>
      </c>
      <c r="F1872">
        <f>IF(Skills!N24=TRUE,(Skills!L24/10)*(E1872/1000),Skills!L24/10)+Skills!O24</f>
        <v/>
      </c>
      <c r="G1872">
        <f>Skills!G24*IF(Skills!H24&gt;0,Skills!I24/Skills!H24,1)</f>
        <v/>
      </c>
      <c r="H1872">
        <f>1-(1-Skills!J24/100)^Skills!K24</f>
        <v/>
      </c>
      <c r="I1872" t="inlineStr">
        <is>
          <t>1</t>
        </is>
      </c>
      <c r="J1872" t="inlineStr"/>
      <c r="K1872" t="inlineStr"/>
      <c r="L1872" t="inlineStr"/>
      <c r="M1872" t="inlineStr"/>
      <c r="N1872" t="inlineStr"/>
      <c r="O1872">
        <f>(1-Summary!$B$55)*T1872+Summary!$B$55*V1872</f>
        <v/>
      </c>
      <c r="P1872">
        <f>IF(B1893=0,0,O1872/B1893)</f>
        <v/>
      </c>
      <c r="Q1872" t="n">
        <v>0</v>
      </c>
      <c r="R1872" t="n">
        <v>0</v>
      </c>
      <c r="S1872">
        <f>IFERROR(O1872/N1872,0)</f>
        <v/>
      </c>
      <c r="T1872" t="n">
        <v>0</v>
      </c>
      <c r="V1872" t="n">
        <v>0</v>
      </c>
    </row>
    <row r="1873">
      <c r="A1873">
        <f>Skills!A25</f>
        <v/>
      </c>
      <c r="B1873">
        <f>Skills!B25</f>
        <v/>
      </c>
      <c r="C1873">
        <f>Inputs!$B$3&gt;=50</f>
        <v/>
      </c>
      <c r="D1873">
        <f>IF(Skills!C25=1,60+Inputs!$B$25+Inputs!$B$29,IF(Skills!C25=2,90+Inputs!$B$26+Inputs!$B$29,IF(Skills!C25=3,120+Inputs!$B$27+Inputs!$B$29,MAX(0,(Inputs!$B$3-100)*3)+Inputs!$B$28+Inputs!$B$29)))</f>
        <v/>
      </c>
      <c r="E1873">
        <f>INDEX(FactorTable!$B$2:$Y$301, MATCH(ROUND(MIN(300,MAX(1,D1873)),0), FactorTable!$A$2:$A$301,0), Skills!M25+1)</f>
        <v/>
      </c>
      <c r="F1873">
        <f>IF(Skills!N25=TRUE,(Skills!L25/10)*(E1873/1000),Skills!L25/10)+Skills!O25</f>
        <v/>
      </c>
      <c r="G1873">
        <f>Skills!G25*IF(Skills!H25&gt;0,Skills!I25/Skills!H25,1)</f>
        <v/>
      </c>
      <c r="H1873">
        <f>1-(1-Skills!J25/100)^Skills!K25</f>
        <v/>
      </c>
      <c r="I1873" t="inlineStr">
        <is>
          <t>1</t>
        </is>
      </c>
      <c r="J1873" t="inlineStr"/>
      <c r="K1873" t="inlineStr"/>
      <c r="L1873" t="inlineStr"/>
      <c r="M1873" t="inlineStr"/>
      <c r="N1873" t="inlineStr"/>
      <c r="O1873">
        <f>(1-Summary!$B$55)*T1873+Summary!$B$55*V1873</f>
        <v/>
      </c>
      <c r="P1873">
        <f>IF(B1893=0,0,O1873/B1893)</f>
        <v/>
      </c>
      <c r="Q1873" t="n">
        <v>0</v>
      </c>
      <c r="R1873" t="n">
        <v>0</v>
      </c>
      <c r="S1873">
        <f>IFERROR(O1873/N1873,0)</f>
        <v/>
      </c>
      <c r="T1873" t="n">
        <v>0</v>
      </c>
      <c r="V1873" t="n">
        <v>0</v>
      </c>
    </row>
    <row r="1874">
      <c r="A1874">
        <f>Skills!A26</f>
        <v/>
      </c>
      <c r="B1874">
        <f>Skills!B26</f>
        <v/>
      </c>
      <c r="C1874">
        <f>Inputs!$B$3&gt;=50</f>
        <v/>
      </c>
      <c r="D1874">
        <f>IF(Skills!C26=1,60+Inputs!$B$25+Inputs!$B$29,IF(Skills!C26=2,90+Inputs!$B$26+Inputs!$B$29,IF(Skills!C26=3,120+Inputs!$B$27+Inputs!$B$29,MAX(0,(Inputs!$B$3-100)*3)+Inputs!$B$28+Inputs!$B$29)))</f>
        <v/>
      </c>
      <c r="E1874">
        <f>INDEX(FactorTable!$B$2:$Y$301, MATCH(ROUND(MIN(300,MAX(1,D1874)),0), FactorTable!$A$2:$A$301,0), Skills!M26+1)</f>
        <v/>
      </c>
      <c r="F1874">
        <f>IF(Skills!N26=TRUE,(Skills!L26/10)*(E1874/1000),Skills!L26/10)+Skills!O26</f>
        <v/>
      </c>
      <c r="G1874">
        <f>Skills!G26*IF(Skills!H26&gt;0,Skills!I26/Skills!H26,1)</f>
        <v/>
      </c>
      <c r="H1874">
        <f>1-(1-Skills!J26/100)^Skills!K26</f>
        <v/>
      </c>
      <c r="I1874" t="inlineStr">
        <is>
          <t>1</t>
        </is>
      </c>
      <c r="J1874" t="inlineStr"/>
      <c r="K1874" t="inlineStr"/>
      <c r="L1874" t="inlineStr"/>
      <c r="M1874" t="inlineStr"/>
      <c r="N1874" t="inlineStr"/>
      <c r="O1874">
        <f>(1-Summary!$B$55)*T1874+Summary!$B$55*V1874</f>
        <v/>
      </c>
      <c r="P1874">
        <f>IF(B1893=0,0,O1874/B1893)</f>
        <v/>
      </c>
      <c r="Q1874" t="n">
        <v>0</v>
      </c>
      <c r="R1874" t="n">
        <v>0</v>
      </c>
      <c r="S1874">
        <f>IFERROR(O1874/N1874,0)</f>
        <v/>
      </c>
      <c r="T1874" t="n">
        <v>0</v>
      </c>
      <c r="V1874" t="n">
        <v>0</v>
      </c>
    </row>
    <row r="1875">
      <c r="A1875">
        <f>Skills!A27</f>
        <v/>
      </c>
      <c r="B1875">
        <f>Skills!B27</f>
        <v/>
      </c>
      <c r="C1875">
        <f>Inputs!$B$3&gt;=38</f>
        <v/>
      </c>
      <c r="D1875">
        <f>IF(Skills!C27=1,60+Inputs!$B$25+Inputs!$B$29,IF(Skills!C27=2,90+Inputs!$B$26+Inputs!$B$29,IF(Skills!C27=3,120+Inputs!$B$27+Inputs!$B$29,MAX(0,(Inputs!$B$3-100)*3)+Inputs!$B$28+Inputs!$B$29)))</f>
        <v/>
      </c>
      <c r="E1875">
        <f>INDEX(FactorTable!$B$2:$Y$301, MATCH(ROUND(MIN(300,MAX(1,D1875)),0), FactorTable!$A$2:$A$301,0), Skills!M27+1)</f>
        <v/>
      </c>
      <c r="F1875">
        <f>IF(Skills!N27=TRUE,(Skills!L27/10)*(E1875/1000),Skills!L27/10)+Skills!O27</f>
        <v/>
      </c>
      <c r="G1875">
        <f>Skills!G27*IF(Skills!H27&gt;0,Skills!I27/Skills!H27,1)</f>
        <v/>
      </c>
      <c r="H1875">
        <f>1-(1-Skills!J27/100)^Skills!K27</f>
        <v/>
      </c>
      <c r="I1875" t="inlineStr">
        <is>
          <t>1</t>
        </is>
      </c>
      <c r="J1875" t="inlineStr"/>
      <c r="K1875" t="inlineStr"/>
      <c r="L1875" t="inlineStr"/>
      <c r="M1875" t="inlineStr"/>
      <c r="N1875" t="inlineStr"/>
      <c r="O1875">
        <f>(1-Summary!$B$55)*T1875+Summary!$B$55*V1875</f>
        <v/>
      </c>
      <c r="P1875">
        <f>IF(B1893=0,0,O1875/B1893)</f>
        <v/>
      </c>
      <c r="Q1875" t="n">
        <v>0</v>
      </c>
      <c r="R1875" t="n">
        <v>0</v>
      </c>
      <c r="S1875">
        <f>IFERROR(O1875/N1875,0)</f>
        <v/>
      </c>
      <c r="T1875" t="n">
        <v>0</v>
      </c>
      <c r="V1875" t="n">
        <v>0</v>
      </c>
    </row>
    <row r="1876">
      <c r="A1876">
        <f>Skills!A28</f>
        <v/>
      </c>
      <c r="B1876">
        <f>Skills!B28</f>
        <v/>
      </c>
      <c r="C1876">
        <f>Inputs!$B$3&gt;=120</f>
        <v/>
      </c>
      <c r="D1876">
        <f>IF(Skills!C28=1,60+Inputs!$B$25+Inputs!$B$29,IF(Skills!C28=2,90+Inputs!$B$26+Inputs!$B$29,IF(Skills!C28=3,120+Inputs!$B$27+Inputs!$B$29,MAX(0,(Inputs!$B$3-100)*3)+Inputs!$B$28+Inputs!$B$29)))</f>
        <v/>
      </c>
      <c r="E1876">
        <f>INDEX(FactorTable!$B$2:$Y$301, MATCH(ROUND(MIN(300,MAX(1,D1876)),0), FactorTable!$A$2:$A$301,0), Skills!M28+1)</f>
        <v/>
      </c>
      <c r="F1876">
        <f>IF(Skills!N28=TRUE,(Skills!L28/10)*(E1876/1000),Skills!L28/10)+Skills!O28</f>
        <v/>
      </c>
      <c r="G1876">
        <f>Skills!G28*IF(Skills!H28&gt;0,Skills!I28/Skills!H28,1)</f>
        <v/>
      </c>
      <c r="H1876">
        <f>1-(1-Skills!J28/100)^Skills!K28</f>
        <v/>
      </c>
      <c r="I1876" t="inlineStr">
        <is>
          <t>1</t>
        </is>
      </c>
      <c r="J1876" t="inlineStr"/>
      <c r="K1876" t="inlineStr"/>
      <c r="L1876" t="inlineStr"/>
      <c r="M1876" t="inlineStr"/>
      <c r="N1876" t="inlineStr"/>
      <c r="O1876">
        <f>(1-Summary!$B$55)*T1876+Summary!$B$55*V1876</f>
        <v/>
      </c>
      <c r="P1876">
        <f>IF(B1893=0,0,O1876/B1893)</f>
        <v/>
      </c>
      <c r="Q1876" t="n">
        <v>0</v>
      </c>
      <c r="R1876" t="n">
        <v>0</v>
      </c>
      <c r="S1876">
        <f>IFERROR(O1876/N1876,0)</f>
        <v/>
      </c>
      <c r="T1876" t="n">
        <v>0</v>
      </c>
      <c r="V1876" t="n">
        <v>0</v>
      </c>
    </row>
    <row r="1877">
      <c r="A1877">
        <f>Skills!A29</f>
        <v/>
      </c>
      <c r="B1877">
        <f>Skills!B29</f>
        <v/>
      </c>
      <c r="C1877">
        <f>Inputs!$B$3&gt;=120</f>
        <v/>
      </c>
      <c r="D1877">
        <f>IF(Skills!C29=1,60+Inputs!$B$25+Inputs!$B$29,IF(Skills!C29=2,90+Inputs!$B$26+Inputs!$B$29,IF(Skills!C29=3,120+Inputs!$B$27+Inputs!$B$29,MAX(0,(Inputs!$B$3-100)*3)+Inputs!$B$28+Inputs!$B$29)))</f>
        <v/>
      </c>
      <c r="E1877">
        <f>INDEX(FactorTable!$B$2:$Y$301, MATCH(ROUND(MIN(300,MAX(1,D1877)),0), FactorTable!$A$2:$A$301,0), Skills!M29+1)</f>
        <v/>
      </c>
      <c r="F1877">
        <f>IF(Skills!N29=TRUE,(Skills!L29/10)*(E1877/1000),Skills!L29/10)+Skills!O29</f>
        <v/>
      </c>
      <c r="G1877">
        <f>Skills!G29*IF(Skills!H29&gt;0,Skills!I29/Skills!H29,1)</f>
        <v/>
      </c>
      <c r="H1877">
        <f>1-(1-Skills!J29/100)^Skills!K29</f>
        <v/>
      </c>
      <c r="I1877" t="inlineStr">
        <is>
          <t>1</t>
        </is>
      </c>
      <c r="J1877" t="inlineStr"/>
      <c r="K1877" t="inlineStr"/>
      <c r="L1877" t="inlineStr"/>
      <c r="M1877" t="inlineStr"/>
      <c r="N1877" t="inlineStr"/>
      <c r="O1877">
        <f>(1-Summary!$B$55)*T1877+Summary!$B$55*V1877</f>
        <v/>
      </c>
      <c r="P1877">
        <f>IF(B1893=0,0,O1877/B1893)</f>
        <v/>
      </c>
      <c r="Q1877" t="n">
        <v>0</v>
      </c>
      <c r="R1877" t="n">
        <v>0</v>
      </c>
      <c r="S1877">
        <f>IFERROR(O1877/N1877,0)</f>
        <v/>
      </c>
      <c r="T1877" t="n">
        <v>0</v>
      </c>
      <c r="V1877" t="n">
        <v>0</v>
      </c>
    </row>
    <row r="1878">
      <c r="A1878">
        <f>Skills!A30</f>
        <v/>
      </c>
      <c r="B1878">
        <f>Skills!B30</f>
        <v/>
      </c>
      <c r="C1878">
        <f>Inputs!$B$3&gt;=125</f>
        <v/>
      </c>
      <c r="D1878">
        <f>IF(Skills!C30=1,60+Inputs!$B$25+Inputs!$B$29,IF(Skills!C30=2,90+Inputs!$B$26+Inputs!$B$29,IF(Skills!C30=3,120+Inputs!$B$27+Inputs!$B$29,MAX(0,(Inputs!$B$3-100)*3)+Inputs!$B$28+Inputs!$B$29)))</f>
        <v/>
      </c>
      <c r="E1878">
        <f>INDEX(FactorTable!$B$2:$Y$301, MATCH(ROUND(MIN(300,MAX(1,D1878)),0), FactorTable!$A$2:$A$301,0), Skills!M30+1)</f>
        <v/>
      </c>
      <c r="F1878">
        <f>IF(Skills!N30=TRUE,(Skills!L30/10)*(E1878/1000),Skills!L30/10)+Skills!O30</f>
        <v/>
      </c>
      <c r="G1878">
        <f>Skills!G30*IF(Skills!H30&gt;0,Skills!I30/Skills!H30,1)</f>
        <v/>
      </c>
      <c r="H1878">
        <f>1-(1-Skills!J30/100)^Skills!K30</f>
        <v/>
      </c>
      <c r="I1878" t="inlineStr">
        <is>
          <t>1</t>
        </is>
      </c>
      <c r="J1878" t="inlineStr"/>
      <c r="K1878" t="inlineStr"/>
      <c r="L1878" t="inlineStr"/>
      <c r="M1878" t="inlineStr"/>
      <c r="N1878" t="inlineStr"/>
      <c r="O1878">
        <f>(1-Summary!$B$55)*T1878+Summary!$B$55*V1878</f>
        <v/>
      </c>
      <c r="P1878">
        <f>IF(B1893=0,0,O1878/B1893)</f>
        <v/>
      </c>
      <c r="Q1878" t="n">
        <v>0</v>
      </c>
      <c r="R1878" t="n">
        <v>0</v>
      </c>
      <c r="S1878">
        <f>IFERROR(O1878/N1878,0)</f>
        <v/>
      </c>
      <c r="T1878" t="n">
        <v>0</v>
      </c>
      <c r="V1878" t="n">
        <v>0</v>
      </c>
    </row>
    <row r="1880">
      <c r="A1880" t="inlineStr">
        <is>
          <t>Average Buff Multiplier</t>
        </is>
      </c>
      <c r="B1880">
        <f>(1+(((C1869=TRUE)*F1869*IF(AND(Inputs!$B$39&lt;&gt;"pvp",Inputs!$B$44&gt;0),(((R1869-1)*(Skills!Y21*(1+Inputs!$B$34/100))+MIN((Skills!Y21*(1+Inputs!$B$34/100)),MAX(0,Inputs!$B$44-((R1869-1)*Skills!D21))))/Inputs!$B$44),IF(Inputs!$B$39="pvp",MIN((Skills!Y21*(1+Inputs!$B$34/100)),15)/15,(Skills!Y21*(1+Inputs!$B$34/100))/Skills!D21)))+((C1871=TRUE)*(F1871-Calc!F23))+((C1865=TRUE)*(F1865-Calc!F17)))/100)*(1+((C1858=TRUE)*F1858*IF(AND(Inputs!$B$39&lt;&gt;"pvp",Inputs!$B$44&gt;0),(((R1858-1)*(Skills!Y10*(1+Inputs!$B$34/100))+MIN((Skills!Y10*(1+Inputs!$B$34/100)),MAX(0,Inputs!$B$44-((R1858-1)*Skills!D10))))/Inputs!$B$44),IF(Inputs!$B$39="pvp",MIN((Skills!Y10*(1+Inputs!$B$34/100)),15)/15,(Skills!Y10*(1+Inputs!$B$34/100))/Skills!D10)))/100)*(1+((C1863=TRUE)*F1863*IF(AND(Inputs!$B$39&lt;&gt;"pvp",Inputs!$B$44&gt;0),(((R1863-1)*(Skills!Y15*(1+Inputs!$B$34/100))+MIN((Skills!Y15*(1+Inputs!$B$34/100)),MAX(0,Inputs!$B$44-((R1863-1)*Skills!D15))))/Inputs!$B$44),IF(Inputs!$B$39="pvp",MIN((Skills!Y15*(1+Inputs!$B$34/100)),15)/15,(Skills!Y15*(1+Inputs!$B$34/100))/Skills!D15)))/100)</f>
        <v/>
      </c>
    </row>
    <row r="1881">
      <c r="A1881" t="inlineStr">
        <is>
          <t>Global Crit Rate Bonus %</t>
        </is>
      </c>
      <c r="B1881">
        <f>((C1868=TRUE)*F1868*IF(AND(Inputs!$B$39&lt;&gt;"pvp",Inputs!$B$44&gt;0),(((R1868-1)*(Skills!Y20*(1+Inputs!$B$34/100))+MIN((Skills!Y20*(1+Inputs!$B$34/100)),MAX(0,Inputs!$B$44-((R1868-1)*Skills!D20))))/Inputs!$B$44),IF(Inputs!$B$39="pvp",MIN((Skills!Y20*(1+Inputs!$B$34/100)),15)/15,(Skills!Y20*(1+Inputs!$B$34/100))/Skills!D20)))</f>
        <v/>
      </c>
    </row>
    <row r="1882">
      <c r="A1882" t="inlineStr">
        <is>
          <t>Global Monster Damage-Taken Bonus %</t>
        </is>
      </c>
      <c r="B1882">
        <f>IF(Inputs!$B$3&gt;=82,15,0)</f>
        <v/>
      </c>
    </row>
    <row r="1883">
      <c r="A1883" t="inlineStr">
        <is>
          <t>Shadow Partner Average Multiplier</t>
        </is>
      </c>
      <c r="B1883">
        <f>1+((C1855=TRUE)*F1855*(1+3.3333333333333335*IF(C1866=TRUE,F1866,0)/100)*I1855*Skills!J7/100)/100</f>
        <v/>
      </c>
    </row>
    <row r="1884">
      <c r="A1884" t="inlineStr">
        <is>
          <t>Attack Speed Buff Bonus %</t>
        </is>
      </c>
      <c r="B1884">
        <f>((C1867=TRUE)*F1867*IF(AND(Inputs!$B$39&lt;&gt;"pvp",Inputs!$B$44&gt;0),(((R1867-1)*(Skills!Y19*(1+Inputs!$B$34/100))+MIN((Skills!Y19*(1+Inputs!$B$34/100)),MAX(0,Inputs!$B$44-((R1867-1)*Skills!D19))))/Inputs!$B$44),IF(Inputs!$B$39="pvp",MIN((Skills!Y19*(1+Inputs!$B$34/100)),15)/15,(Skills!Y19*(1+Inputs!$B$34/100))/Skills!D19)))+((C1851=TRUE)*F1851*3)</f>
        <v/>
      </c>
    </row>
    <row r="1885">
      <c r="A1885" t="inlineStr">
        <is>
          <t>Actions Per Second</t>
        </is>
      </c>
      <c r="B1885">
        <f>1+MIN(150,150*(1-(1-(Inputs!$B$11+((C1870=TRUE)*(F1870-Calc!F22)))/150)*(1-B1884/150)))/100</f>
        <v/>
      </c>
    </row>
    <row r="1886">
      <c r="A1886" t="inlineStr">
        <is>
          <t>Skill + Buff Cast Rate</t>
        </is>
      </c>
      <c r="B1886">
        <f>IF(AND(Inputs!$B$39&lt;&gt;"pvp",Inputs!$B$44&gt;0),SUMPRODUCT((Skills!E2:E30=TRUE)*(C1850:C1878=TRUE)*R1850:R1878*Skills!F2:F30)/Inputs!$B$44,SUMPRODUCT((Skills!E2:E30=TRUE)*(C1850:C1878=TRUE)*Q1850:Q1878*Skills!F2:F30))</f>
        <v/>
      </c>
    </row>
    <row r="1887">
      <c r="A1887" t="inlineStr">
        <is>
          <t>Cruel Stab Casts Per Second</t>
        </is>
      </c>
      <c r="B1887">
        <f>MAX(0,B1885-B1886)</f>
        <v/>
      </c>
    </row>
    <row r="1888">
      <c r="A1888" t="inlineStr">
        <is>
          <t>Global Critical Damage Bonus % (Smokescreen Mastery Lv.113)</t>
        </is>
      </c>
      <c r="B1888">
        <f>IF(Inputs!$B$3&gt;=113,30,0)*IF(AND(Inputs!$B$39&lt;&gt;"pvp",Inputs!$B$44&gt;0),(((R1863-1)*(Skills!Y15*(1+Inputs!$B$34/100))+MIN((Skills!Y15*(1+Inputs!$B$34/100)),MAX(0,Inputs!$B$44-((R1863-1)*Skills!D15))))/Inputs!$B$44),IF(Inputs!$B$39="pvp",MIN((Skills!Y15*(1+Inputs!$B$34/100)),15)/15,(Skills!Y15*(1+Inputs!$B$34/100))/Skills!D15))</f>
        <v/>
      </c>
    </row>
    <row r="1889">
      <c r="A1889" t="inlineStr">
        <is>
          <t>Meso Explosion average stack count</t>
        </is>
      </c>
      <c r="B1889">
        <f>MIN(10,0.5*B1885*Skills!D4)</f>
        <v/>
      </c>
    </row>
    <row r="1890">
      <c r="A1890" t="inlineStr">
        <is>
          <t>Blood Money average stack count</t>
        </is>
      </c>
      <c r="B1890">
        <f>MIN(5,0.25*B1885*Skills!D4)</f>
        <v/>
      </c>
    </row>
    <row r="1891">
      <c r="A1891" t="inlineStr">
        <is>
          <t>Assassinate Murderous Intent Multiplier</t>
        </is>
      </c>
      <c r="B1891">
        <f>1+IFERROR(MIN(1,Q1862*2/Q1859),0)</f>
        <v/>
      </c>
    </row>
    <row r="1892">
      <c r="A1892" t="inlineStr">
        <is>
          <t>Buff-Casting Startup Delay (s, fixed-duration only)</t>
        </is>
      </c>
      <c r="B1892">
        <f>IF(AND(Inputs!$B$39&lt;&gt;"pvp",Inputs!$B$44&gt;0),SUMPRODUCT((Skills!Y2:Y30&gt;0)*(Skills!E2:E30=TRUE)*(C1850:C1878=TRUE))/B1885,0)</f>
        <v/>
      </c>
    </row>
    <row r="1893">
      <c r="A1893" s="5" t="inlineStr">
        <is>
          <t>TOTAL DPS</t>
        </is>
      </c>
      <c r="B1893" s="5">
        <f>SUM(O1850:O1878)</f>
        <v/>
      </c>
    </row>
    <row r="1894">
      <c r="A1894" t="inlineStr">
        <is>
          <t>Boss-Only Total DPS (this block's swept value)</t>
        </is>
      </c>
      <c r="B1894">
        <f>SUM(T1850:T1878)</f>
        <v/>
      </c>
    </row>
    <row r="1895">
      <c r="A1895" t="inlineStr">
        <is>
          <t>Normal-Only Total DPS (this block's swept value)</t>
        </is>
      </c>
      <c r="B1895">
        <f>SUM(V1850:V1878)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2026-09-20T09:37:41Z</dcterms:created>
  <dcterms:modified xsi:type="dcterms:W3CDTF">2026-09-20T09:37:41Z</dcterms:modified>
</cp:coreProperties>
</file>